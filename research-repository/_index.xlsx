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Legend" sheetId="2" state="visible" r:id="rId4"/>
    <sheet name="Trajectory Reference" sheetId="3" state="visible" r:id="rId5"/>
    <sheet name="Page Evidence" sheetId="4" state="visible" r:id="rId6"/>
  </sheets>
  <definedNames>
    <definedName function="false" hidden="true" localSheetId="0" name="_xlnm._FilterDatabase" vbProcedure="false">Index!$A$2:$AM$2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<sst xmlns="http://schemas.openxmlformats.org/spreadsheetml/2006/main" count="2402" uniqueCount="594">
  <si>
    <t xml:space="preserve">HOW TO USE: Filter by Outcome, Primary Mechanism, Traffic Trajectory, AIO Portfolio Susceptibility, Dominant Content Model, Commercial Alignment, or AI Discoverability columns to find comps. Open Record File for full narrative and Calculation Log. Yellow = example row (delete before sharing with clients). Gray = formula-derived — do not edit manually. Source of truth: the markdown record. Correct the index from the record when they disagree.</t>
  </si>
  <si>
    <t xml:space="preserve">Company</t>
  </si>
  <si>
    <t xml:space="preserve">Website</t>
  </si>
  <si>
    <t xml:space="preserve">Category</t>
  </si>
  <si>
    <t xml:space="preserve">Business Model</t>
  </si>
  <si>
    <t xml:space="preserve">Dominant Content Model</t>
  </si>
  <si>
    <t xml:space="preserve">Company Size</t>
  </si>
  <si>
    <t xml:space="preserve">Study Window Start</t>
  </si>
  <si>
    <t xml:space="preserve">Study Window End</t>
  </si>
  <si>
    <t xml:space="preserve">Study Duration (Months)</t>
  </si>
  <si>
    <t xml:space="preserve">Analysis Date</t>
  </si>
  <si>
    <t xml:space="preserve">Last Verified Date</t>
  </si>
  <si>
    <t xml:space="preserve">Methodology Version</t>
  </si>
  <si>
    <t xml:space="preserve">Record Status</t>
  </si>
  <si>
    <t xml:space="preserve">Migration Validation Stage</t>
  </si>
  <si>
    <t xml:space="preserve">External Use Status</t>
  </si>
  <si>
    <t xml:space="preserve">Traffic Change %</t>
  </si>
  <si>
    <t xml:space="preserve">Decline/Growth Band</t>
  </si>
  <si>
    <t xml:space="preserve">Outcome</t>
  </si>
  <si>
    <t xml:space="preserve">Traffic Trajectory</t>
  </si>
  <si>
    <t xml:space="preserve">Current Direction</t>
  </si>
  <si>
    <t xml:space="preserve">Recovery Status</t>
  </si>
  <si>
    <t xml:space="preserve">Recovery Mechanism</t>
  </si>
  <si>
    <t xml:space="preserve">Observed Company Response</t>
  </si>
  <si>
    <t xml:space="preserve">Primary Mechanism</t>
  </si>
  <si>
    <t xml:space="preserve">Contributing Mechanisms</t>
  </si>
  <si>
    <t xml:space="preserve">Mechanism Confidence</t>
  </si>
  <si>
    <t xml:space="preserve">Algorithm Alignment</t>
  </si>
  <si>
    <t xml:space="preserve">AIO Portfolio Susceptibility</t>
  </si>
  <si>
    <t xml:space="preserve">AIO Presence Observed</t>
  </si>
  <si>
    <t xml:space="preserve">AIO Observed Effect</t>
  </si>
  <si>
    <t xml:space="preserve">AIO Citation Observed</t>
  </si>
  <si>
    <t xml:space="preserve">Gross-Loss Offset Rate</t>
  </si>
  <si>
    <t xml:space="preserve">Top 5 Traffic Share</t>
  </si>
  <si>
    <t xml:space="preserve">Risk Flags</t>
  </si>
  <si>
    <t xml:space="preserve">AI Discoverability Measured</t>
  </si>
  <si>
    <t xml:space="preserve">AI Discoverability Trend</t>
  </si>
  <si>
    <t xml:space="preserve">AI Visibility Strength</t>
  </si>
  <si>
    <t xml:space="preserve">AI Data Source</t>
  </si>
  <si>
    <t xml:space="preserve">Data Provenance</t>
  </si>
  <si>
    <t xml:space="preserve">Calculation Verified</t>
  </si>
  <si>
    <t xml:space="preserve">Record File</t>
  </si>
  <si>
    <t xml:space="preserve">Related Documents</t>
  </si>
  <si>
    <t xml:space="preserve">Commercial Alignment</t>
  </si>
  <si>
    <t xml:space="preserve">Comp Summary</t>
  </si>
  <si>
    <t xml:space="preserve">Comparison Limitations</t>
  </si>
  <si>
    <t xml:space="preserve">Measurement Reliability</t>
  </si>
  <si>
    <t xml:space="preserve">Intervention Level</t>
  </si>
  <si>
    <t xml:space="preserve">GitHub</t>
  </si>
  <si>
    <t xml:space="preserve">github.com</t>
  </si>
  <si>
    <t xml:space="preserve">Developer Tools</t>
  </si>
  <si>
    <t xml:space="preserve">Developer Ecosystem</t>
  </si>
  <si>
    <t xml:space="preserve">Programmatic</t>
  </si>
  <si>
    <t xml:space="preserve">Enterprise</t>
  </si>
  <si>
    <t xml:space="preserve">V2.3</t>
  </si>
  <si>
    <t xml:space="preserve">Draft</t>
  </si>
  <si>
    <t xml:space="preserve">Migrated — not revalidated</t>
  </si>
  <si>
    <t xml:space="preserve">Internal only</t>
  </si>
  <si>
    <t xml:space="preserve">Declined</t>
  </si>
  <si>
    <t xml:space="preserve">Early Peak then Decline</t>
  </si>
  <si>
    <t xml:space="preserve">Declining</t>
  </si>
  <si>
    <t xml:space="preserve">None</t>
  </si>
  <si>
    <t xml:space="preserve">N/A</t>
  </si>
  <si>
    <t xml:space="preserve">Unknown</t>
  </si>
  <si>
    <t xml:space="preserve">Search Demand Shift</t>
  </si>
  <si>
    <t xml:space="preserve">AI Overview Interception</t>
  </si>
  <si>
    <t xml:space="preserve">Medium</t>
  </si>
  <si>
    <t xml:space="preserve">Weak</t>
  </si>
  <si>
    <t xml:space="preserve">High</t>
  </si>
  <si>
    <t xml:space="preserve">Yes</t>
  </si>
  <si>
    <t xml:space="preserve">No conclusion</t>
  </si>
  <si>
    <t xml:space="preserve">Export window mismatch (Top Pages Jun 2024-Jun 2026, not study window); Referring Domains unusable at this scale; ~75% of top traffic from third-party repos; business-metric decoupling (platform at all-time high while traffic -72%)</t>
  </si>
  <si>
    <t xml:space="preserve">Ahrefs Organic Keywords Export (AIO-filtered, 2026-08-11)</t>
  </si>
  <si>
    <t xml:space="preserve">Ahrefs Export</t>
  </si>
  <si>
    <t xml:space="preserve">Partial</t>
  </si>
  <si>
    <t xml:space="preserve">company-records/github.md</t>
  </si>
  <si>
    <t xml:space="preserve">comparison-briefs/github-circleci-harness-cloudbees.md</t>
  </si>
  <si>
    <t xml:space="preserve">Low</t>
  </si>
  <si>
    <t xml:space="preserve">-72.0% decline while platform usage at all-time high (1B commits/2025); traffic-value divergence (-72.0% traffic vs -43.6% TV) consistent with AI-mediated demand erosion but mechanism not isolated (AIO interception vs. upstream demand shift); ~75% of top traffic from third-party repos; limited owned-content recovery levers given third-party repo dominance</t>
  </si>
  <si>
    <t xml:space="preserve">Scale unique to major DevOps platforms; third-party repo content not owned or controllable; Referring Domains unavailable; cannot be benchmarked for standard B2B SaaS content programs</t>
  </si>
  <si>
    <t xml:space="preserve">Gainsight</t>
  </si>
  <si>
    <t xml:space="preserve">gainsight.com</t>
  </si>
  <si>
    <t xml:space="preserve">Customer Success</t>
  </si>
  <si>
    <t xml:space="preserve">B2B SaaS</t>
  </si>
  <si>
    <t xml:space="preserve">Mixed</t>
  </si>
  <si>
    <t xml:space="preserve">Grew</t>
  </si>
  <si>
    <t xml:space="preserve">Continuous Acceleration</t>
  </si>
  <si>
    <t xml:space="preserve">Growing</t>
  </si>
  <si>
    <t xml:space="preserve">Not applicable — grew throughout</t>
  </si>
  <si>
    <t xml:space="preserve">Demand Expansion</t>
  </si>
  <si>
    <t xml:space="preserve">Brand-keyword anomaly (Brazil ~600x, headline +253.1% not defensible); keyword sample cap; no AI spot-check; education.gainsight.com partial reconciliation</t>
  </si>
  <si>
    <t xml:space="preserve">No</t>
  </si>
  <si>
    <t xml:space="preserve">company-records/gainsight.md</t>
  </si>
  <si>
    <t xml:space="preserve">Acquisition-driven growth case: Skilljar integration page launched day after acquisition closed (2,303 referring domains), with direct keyword-level evidence of demand transfer; broad-based non-brand traffic +174.5%. Headline +253.1% has unresolved geographic anomaly — use defensible figure.</t>
  </si>
  <si>
    <t xml:space="preserve">Less comparable for companies without a recent acquisition; headline traffic figure should not be cited externally without flagging the brand-keyword anomaly</t>
  </si>
  <si>
    <t xml:space="preserve">Aha!</t>
  </si>
  <si>
    <t xml:space="preserve">aha.io</t>
  </si>
  <si>
    <t xml:space="preserve">Product Analytics</t>
  </si>
  <si>
    <t xml:space="preserve">Editorial</t>
  </si>
  <si>
    <t xml:space="preserve">Mid-Market</t>
  </si>
  <si>
    <t xml:space="preserve">Steady Decline</t>
  </si>
  <si>
    <t xml:space="preserve">Search Demand Shift, Competitive Displacement</t>
  </si>
  <si>
    <t xml:space="preserve">Moderate</t>
  </si>
  <si>
    <t xml:space="preserve">Intercepted</t>
  </si>
  <si>
    <t xml:space="preserve">Brand-naming vulnerability (aha disambiguation); template format structural exposure (154 pages, -60.3%); starting/ending traffic estimates unavailable; TV and RD unavailable; keyword export cap hit; branded decline faster than non-branded</t>
  </si>
  <si>
    <t xml:space="preserve">company-records/aha.md</t>
  </si>
  <si>
    <t xml:space="preserve">AIO click interception evidence: same-position 80–99% estimated traffic drops on role/list/template queries (3 cases where estimated position improved while estimated traffic dropped 79–93%) — strongly consistent with AIO click-through interception; GSC click data would confirm. Gross-Loss Offset Rate 286.6% — Extreme zone; highest in V1.7 cohort among records with computed Top Pages rates. Definitional content held −13.9% vs −42.4% overall. Template format structurally vulnerable. TV/RD and starting/ending traffic estimates unavailable.</t>
  </si>
  <si>
    <t xml:space="preserve">Bootstrapped funding structure not representative; brand-naming vulnerability unique to aha as common English word; template-heavy content library larger than most mid-market clients; TV/RD figures and starting/ending traffic estimates unavailable in source</t>
  </si>
  <si>
    <t xml:space="preserve">CircleCI</t>
  </si>
  <si>
    <t xml:space="preserve">circleci.com</t>
  </si>
  <si>
    <t xml:space="preserve">Decline then Recovery</t>
  </si>
  <si>
    <t xml:space="preserve">Full</t>
  </si>
  <si>
    <t xml:space="preserve">Ranking Recovery</t>
  </si>
  <si>
    <t xml:space="preserve">Content Quality</t>
  </si>
  <si>
    <t xml:space="preserve">Algorithm Update</t>
  </si>
  <si>
    <t xml:space="preserve">High single-page concentration (top post = 31.5%, top 5 = 56.8%); export date range inferred not confirmed; organizational instability context (3 rounds of layoffs); no AI spot-check on top post</t>
  </si>
  <si>
    <t xml:space="preserve">company-records/circleci.md</t>
  </si>
  <si>
    <t xml:space="preserve">Content cluster breakthrough recovery archetype: top post (0 → 59,353 traffic) on 5 referring domains, first backlink March 2026 — ranking preceded link acquisition; recovery to new all-time high (+121.7% from trough); non-branded +119%, branded +5%</t>
  </si>
  <si>
    <t xml:space="preserve">High concentration risk (single post = 31.5% of top-page traffic with 5 RDs — fragile); export date range inferred; decline-phase mechanism Low confidence; organizational instability context not typical for most clients</t>
  </si>
  <si>
    <t xml:space="preserve">Harness</t>
  </si>
  <si>
    <t xml:space="preserve">harness.io</t>
  </si>
  <si>
    <t xml:space="preserve">2026-08-12</t>
  </si>
  <si>
    <t xml:space="preserve">V2.4</t>
  </si>
  <si>
    <t xml:space="preserve">Yes — confirmed, portfolio scale (AIO keyword export 2026-08-12)</t>
  </si>
  <si>
    <t xml:space="preserve">Mixed (net strongly positive)</t>
  </si>
  <si>
    <t xml:space="preserve">Yes — 2,451 AIO citation keywords; 30,071 traffic (88.6% non-branded informational DevOps content); 170 SPC+AIO (-1,384)</t>
  </si>
  <si>
    <t xml:space="preserve">Extreme single-page concentration: devops-pipeline explainer = 35.0% of current traffic (34,109/97,372) and 42.1% of gross gain (Aug 2024→Aug 2026 window); interior Nov 2025 dip (-12.9% from Jul 2025 peak, position-bucket collapse) obscured by Continuous Acceleration label; Dec 2025 acceleration timing entangled with $240M Series E announcement same day; Split.io acquisition demand transfer negligible; no cannibalization computed; Jul 2026 step-change (+34.9% MoM) anomalously large — warrants algorithm update investigation</t>
  </si>
  <si>
    <t xml:space="preserve">company-records/harness.md</t>
  </si>
  <si>
    <t xml:space="preserve">comparison-briefs/github-circleci-harness-cloudbees.md; portfolio-durability/harness.md</t>
  </si>
  <si>
    <t xml:space="preserve">+52.9% non-branded-led growth (revised 2026-08-12 from fresh PH); offset rate 9.4% (second-lowest in cohort; Vanta: 8.5%) — Continuous Acceleration; new-URL dominant (65.0% of gross gain from 541 new pages); top page 35.0% single-page concentration (⚠ extreme); top page holds #1 for "what is a devops pipeline" with AI Overview displayed — strongest keyword-level AIO resistance evidence in cohort; non-branded +137% (keyword export), branded flat; RD +136.1% (3,453→8,152)</t>
  </si>
  <si>
    <t xml:space="preserve">Interior Nov 2025 trough (-12.9%) and position-bucket collapse not visible in headline; Dec 2025 acceleration entangled with $240M Series E; Split.io demand transfer negligible despite named acquisition; most clients lack equivalent funding event; Top Pages window (Aug 2024→Aug 2026) does not match cohort study window (Jan 2025→Jun 2026) — cross-source figures are window-matched and resolved; offset rate (9.4%) and URL-level gain decomposition internally valid</t>
  </si>
  <si>
    <t xml:space="preserve">CloudBees</t>
  </si>
  <si>
    <t xml:space="preserve">cloudbees.com</t>
  </si>
  <si>
    <t xml:space="preserve">Mixed (Phase-dependent)</t>
  </si>
  <si>
    <t xml:space="preserve">Pass 2 column-shift data correction (all figures corrected); no domain-level RD data available; commercial page erosion concurrent with traffic growth; brand traffic -16.6% while non-branded +107%; two-phase story requires careful reading; still 40.7% below Apr 2022 all-time high</t>
  </si>
  <si>
    <t xml:space="preserve">company-records/cloudbees.md</t>
  </si>
  <si>
    <t xml:space="preserve">+71.9% two-phase story: Aug 2025 spam update collapsed 60-75% of long-tail positions (Phase 1); ranking breakthrough on existing 3yr-old git tutorial page drove Phase 2; brand traffic -16.6% while non-branded +107%; CI/CD and Jenkins commercial pages lost ground simultaneously</t>
  </si>
  <si>
    <t xml:space="preserve">Two-phase story requires careful reading (headline simplifies real interior collapse); commercial page erosion happened concurrent with traffic growth; Referring Domains unavailable; Pass 2 data correction means prior comparisons using old figures should be re-checked</t>
  </si>
  <si>
    <t xml:space="preserve">Braze</t>
  </si>
  <si>
    <t xml:space="preserve">braze.com</t>
  </si>
  <si>
    <t xml:space="preserve">Marketing Automation</t>
  </si>
  <si>
    <t xml:space="preserve">Demand Expansion (OfferFit acquisition)</t>
  </si>
  <si>
    <t xml:space="preserve">sms-vs-mms-vs-rcs has 1,488 RDs (~14% of site total) with only 192 traffic — unexplained outlier; OfferFit acquisition complicates non-branded demand interpretation</t>
  </si>
  <si>
    <t xml:space="preserve">company-records/braze.md</t>
  </si>
  <si>
    <t xml:space="preserve">comparison-briefs/activecampaign-braze.md</t>
  </si>
  <si>
    <t xml:space="preserve">Cleanest broad-based non-branded growth in cohort; +510.3% non-branded (7,216→44,038), 80.2% of net gain across 20+ /resources/articles/ pages; 87.9-100.8% reconciliation; grows while 7/10 Marketing Automation peers declined; OfferFit acquisition adds demand transfer signal</t>
  </si>
  <si>
    <t xml:space="preserve">Marketing Automation category; OfferFit demand transfer complicates mechanism isolation; editorial/blog model may not transfer to integration-led or programmatic content models; cannibalization zone not formally computed</t>
  </si>
  <si>
    <t xml:space="preserve">Rippling</t>
  </si>
  <si>
    <t xml:space="preserve">rippling.com</t>
  </si>
  <si>
    <t xml:space="preserve">HR / People Operations</t>
  </si>
  <si>
    <t xml:space="preserve">Growth then Pullback</t>
  </si>
  <si>
    <t xml:space="preserve">Traffic/value divergence (+28.0% traffic vs +3.6% TV); branded/non-branded direction contested (perf file: non-branded -9.4%; Keywords sample: non-branded +34.8%); homepage = 68.5% of sampled net gain; long-tail blog ranking losses root cause unidentified; RD growth (+146.7%) disproportionate to traffic growth</t>
  </si>
  <si>
    <t xml:space="preserve">company-records/rippling.md</t>
  </si>
  <si>
    <t xml:space="preserve">comparison-briefs/paylocity-rippling.md</t>
  </si>
  <si>
    <t xml:space="preserve">+28.0% traffic / +3.6% TV — sharpest traffic-value gap in growth cohort; homepage (+121,012) = 68.5% of sampled net gain; long-tail blog posts losing 85-99% concurrent with glossary-cluster growth; grows while 7/10 HR peers declined; branded/non-branded composition direction contested between two data sources</t>
  </si>
  <si>
    <t xml:space="preserve">Homepage concentration not replicable through content investment alone; branded/non-branded direction contested; cannibalization not formally computed; root cause of long-tail losses unidentified; portfolio-reshaping mechanism harder to translate into client tactic than clean editorial-growth story</t>
  </si>
  <si>
    <t xml:space="preserve">Navan</t>
  </si>
  <si>
    <t xml:space="preserve">navan.com</t>
  </si>
  <si>
    <t xml:space="preserve">Finance / Spend Management</t>
  </si>
  <si>
    <t xml:space="preserve">Glossary/Definitional</t>
  </si>
  <si>
    <t xml:space="preserve">Steady Growth</t>
  </si>
  <si>
    <t xml:space="preserve">None identified</t>
  </si>
  <si>
    <t xml:space="preserve">TV/traffic divergence (+36.0% traffic vs +0.3% TV) — most extreme in growth cohort at time of analysis; RD concentration in 3 pages (80.3% of site total) with suspicious first-seen-date clustering; no AI spot-check; legacy TripActions brand traffic in decline throughout window</t>
  </si>
  <si>
    <t xml:space="preserve">company-records/navan.md</t>
  </si>
  <si>
    <t xml:space="preserve">comparison-briefs/navan-ramp.md</t>
  </si>
  <si>
    <t xml:space="preserve">Third and cleanest-reconciled case of broad-based minimal-cannibalization content growth (after Gainsight, Braze); independently corroborated by Concurate; 96% of net sampled gain is non-branded; no page above 7% of net gain; second AIO-resistance case for glossary/definitional content; most extreme TV/traffic gap in growth cohort (+36.0% traffic / +0.3% TV)</t>
  </si>
  <si>
    <t xml:space="preserve">Mixed (not heavily-declining) category tempers "swim-against-the-tide" framing; TV/traffic gap makes commercial-value argument harder than for Braze or Harness; cannibalization not formally computed; legacy TripActions brand decay not formally excluded from headline; RD concentration first-seen-date anomaly unresolved</t>
  </si>
  <si>
    <t xml:space="preserve">Ramp</t>
  </si>
  <si>
    <t xml:space="preserve">ramp.com</t>
  </si>
  <si>
    <t xml:space="preserve">Strong</t>
  </si>
  <si>
    <t xml:space="preserve">Position-bucket/headline reconciliation gap (bucket figures directional only); Aug-Nov 2025 90% long-tail collapse nearly invisible in headline — cleanest masked-collapse case in cohort; cannibalization rate discrepancy (computed 28% vs. original "22%"); funding cadence PR noise vs. data story; free-tool traffic durability unassessed (18,439 traffic / 29 RDs); no AI spot-check</t>
  </si>
  <si>
    <t xml:space="preserve">company-records/ramp.md</t>
  </si>
  <si>
    <t xml:space="preserve">+112.5% traffic; 81.4% non-branded (exact, perf file); 4th broad-content-growth case (after Gainsight, Braze, Navan) at much larger scale; cleanest masked algorithm-update case in cohort (90% long-tail collapse invisible in headline); 5 funding rounds in 17 months demonstrably not the primary growth driver; 3rd AIO-resistance case for definitional content</t>
  </si>
  <si>
    <t xml:space="preserve">Cannibalization rate discrepancy (22% vs. 28%) unresolved; position-bucket/headline reconciliation gap limits precision of collapse quantification; free-tool growth not cleanly separable from glossary growth in attribution; long-tail ranking losses permanent — durable content model requires top-position consolidation without long-tail coverage</t>
  </si>
  <si>
    <t xml:space="preserve">Hyperproof</t>
  </si>
  <si>
    <t xml:space="preserve">hyperproof.io</t>
  </si>
  <si>
    <t xml:space="preserve">Security / Compliance</t>
  </si>
  <si>
    <t xml:space="preserve">PDA completed 2026-08-11 — partial revalidation</t>
  </si>
  <si>
    <t xml:space="preserve">AIO Observed Effect updated to Mixed (was Resistant) — both citation (~56% of traffic, 2,149 keywords) and interception (382 SPC+AIO keywords, -6,095 traffic) confirmed from same export. Net AIO positive but Mixed per schema. Gross-Loss Offset Rate updated to 24.7% (Aug 2024→Aug 2026 window, was 52.3% Carried from Jan 2025→Jun 2026). No Search Console data. Specific algorithm update (Oct-Nov 2025 collapse trigger) not definitively identified.</t>
  </si>
  <si>
    <t xml:space="preserve">Partial — Gross-Loss recomputed from Aug 2026 exports</t>
  </si>
  <si>
    <t xml:space="preserve">company-records/hyperproof.md; portfolio-durability/hyperproof.md</t>
  </si>
  <si>
    <t xml:space="preserve">comparison-briefs/secureframe-vanta.md; comparison-briefs/sprinto-secureframe.md; portfolio-durability/hyperproof.md (2026-08-11)</t>
  </si>
  <si>
    <t xml:space="preserve">+26.78% Decline then Recovery; Oct-Nov 2025 position-bucket collapse (11-50+ down 60-72%) followed by all-time traffic high (48,155, Aug 2026). AIO Cited + Resistant: 56.1% of all traffic (26,879) flows through AIO-cited positions on non-branded GRC definitional/methodological queries. Gross-Loss Offset Rate 24.7% (recomputed, Aug 2024→Aug 2026 window) — lowest in cohort. Top gainer: /resource/cybersecurity-incident-response-plan/ +7,909 (1,603→9,512). Content Quality mechanism confirmed at page level via PDA 2026-08-11. Foundational GRC content earns AIO citation while peripheral/topical content declining — opposite of Secureframe/Sprinto.</t>
  </si>
  <si>
    <t xml:space="preserve">No Search Console data. Specific algorithm update (Oct-Nov 2025 collapse trigger) not definitively identified. Gross-Loss Offset Rate (24.7%) and Gross-Loss Offset Rate in old record (52.3%) use different windows — not directly comparable. Query-level AIO citation vs. interception split mechanism not isolable from available data.</t>
  </si>
  <si>
    <t xml:space="preserve">LogRocket</t>
  </si>
  <si>
    <t xml:space="preserve">blog.logrocket.com / logrocket.com</t>
  </si>
  <si>
    <t xml:space="preserve">Product Analytics / Product Management</t>
  </si>
  <si>
    <t xml:space="preserve">PDA complete 2026-08-12; company record not revalidated (figures carried from Jun 2026 analysis)</t>
  </si>
  <si>
    <t xml:space="preserve">Algorithm Update (Phase 1); Search Demand Shift (Phase 1); Content Quality (Phase 2)</t>
  </si>
  <si>
    <t xml:space="preserve">PDA complete 2026-08-12. Ahrefs estimate revision: Jan 2025 revised +26% (103K→130K), Jun 2026 revised -21% (124K→98K) — net outcome changes from +19.85% (old record) to -24.6% (new PH). Recovery not yet complete by Jun 2026 — still -7.0% below start as of Aug 2026. Branded-dominant recovery: branded +103% (Jan 2025→Jun 2026); non-branded essentially flat (-3%); growth not from new keyword acquisition. Position compression: total ranked positions -84.6% (383K→59K) — surviving portfolio dramatically smaller and better-ranked. Homepage concentration: 19.6% of Top Pages current traffic. Niche content pipeline risk: emerging-library tutorial strategy requires continuous identification of topics before AI training data becomes dense. Revenue-traffic decoupling confirmed: ARR +22% to $111M in 2024 during traffic decline — portfolio durability risk is awareness/brand risk, not revenue risk. Monthly perf file gap resolved (Aug 12 PH). AI Observation Protocol not run — requires different protocol (AI coding tool citation check).</t>
  </si>
  <si>
    <t xml:space="preserve">company-records/logrocket.md</t>
  </si>
  <si>
    <t xml:space="preserve">comparison-briefs/userpilot-posthog.md; portfolio-durability/logrocket.md</t>
  </si>
  <si>
    <t xml:space="preserve">-24.6% net over cohort window (revised 2026-08-12 from +19.85% per Ahrefs estimate revision; new PH: Jan 2025=130,185, Jun 2026=98,149). Decline then Recovery — Phase 1: -47.8% (Jan→Nov 2025 trough 67,911); Phase 2: +44.5% (Nov 2025→Jun 2026). Post-window: Aug 2026=121,083 (-7.0% below Jan 2025 start, recovery continuing). Offset rate 75.6% (substantial loss drag zone) — Top 5 share 32.4%, 619 new URLs (53.5% of gross gain). Recovery mechanism: branded +103% (Jan→Jun 2026; homepage 8K→24K); non-branded flat; niche/emerging library blog content replacing mature-tech tutorials. Position compression: 383K ranked positions → 59K (-84.6%) — surviving content heavily concentrated in pos 1-10 (90.8% vs 41.7% at start). AI-substitution segmentation: mature library tutorials (Axios, React basics, React Hook Form) zeroed out; niche library tutorials (Swiper.js, Barba.js, Next.js partial pre-rendering) gaining. Revenue-traffic decoupling: ARR +22% to $111M in 2024 while blog traffic structurally declined. RD +32.5% (Jan 2025→Jun 2026) through Phase 1 decline — link authority intact, decoupled from traffic.</t>
  </si>
  <si>
    <t xml:space="preserve">Ahrefs estimate revision creates cross-source inconsistency: Jun 30 Top Pages (cohort window) internally consistent with old PH; new PH shows substantially different absolute figures. Gross Gain/Loss/Offset Rate from old Top Pages (aligns with old PH era) — these are the cohort-window figures. Starting/ending traffic from new PH. Monthly perf file gap resolved (Aug 12 2026 export). AI Displacement is Search Demand Shift via AI coding tools — not standard AIO pattern; AIO citation data for this company is not comparable to B2B SaaS content peers. Revenue decoupling makes traffic-to-commercial-value inference unreliable. Post-window trajectory (Aug 2026: 121,083) ongoing — not yet returned to Jan 2025 starting levels.</t>
  </si>
  <si>
    <t xml:space="preserve">Freshworks</t>
  </si>
  <si>
    <t xml:space="preserve">freshworks.com</t>
  </si>
  <si>
    <t xml:space="preserve">Customer Support / Help Desk</t>
  </si>
  <si>
    <t xml:space="preserve">B2B SaaS (public company, NASDAQ: FRSH)</t>
  </si>
  <si>
    <t xml:space="preserve">Product/Support</t>
  </si>
  <si>
    <t xml:space="preserve">Category-wide AI-interception pressure (Low confidence; partial — is-it-down cluster only; 13.6% of noise-adjusted lost-ranking bucket)</t>
  </si>
  <si>
    <t xml:space="preserve">Unexplained ~9% current-side gap between Ahrefs export and Pass 2 figures; branded/non-branded composition not computed (open item); exact month of decline acceleration unknown (two-point data only); category-wide AI-interception not cleanly separated from company-specific redesign effect; AI Observation Protocol not run (is-it-down cluster specifically warrants AIO spot-check); ~4.1% SERP noise estimate in lost-ranking bucket based on top-30 spot check only</t>
  </si>
  <si>
    <t xml:space="preserve">company-records/freshworks.md</t>
  </si>
  <si>
    <t xml:space="preserve">-40.0% Steady Decline; window opens at peak (410,262, Jan 2025) and closes at trough (245,955, Jun 2026); 18,656 of 30,000 sampled keyword rows disappeared from rankings entirely (not eroded, not URL-migrated — wholesale loss); losses span Freshdesk, Freshservice, CRM, 4+ locales; legacy URLs still live with intact backlinks (best falsification of authority-decay explanation: RDs +30.3% while traffic -40.0%); Dew design system launch Dec 1, 2025 externally confirmed; new platform URL paths absorbed tiny fraction of lost traffic; business-strategy deprioritization hypothesis explicitly tested and rejected (Freshdesk lost least despite being slower-growth segment)</t>
  </si>
  <si>
    <t xml:space="preserve">~9% current-side export gap means current-traffic figure should be cited with caveat; branded/non-branded split not computed; exact redesign rollout timing not confirmed at monthly granularity; category-wide AI-interception contribution cannot be cleanly isolated from redesign effect; URL-bucket methodology not directly comparable to standard Top Pages cannibalization rates in other records</t>
  </si>
  <si>
    <t xml:space="preserve">Vanta</t>
  </si>
  <si>
    <t xml:space="preserve">vanta.com</t>
  </si>
  <si>
    <t xml:space="preserve">Complete</t>
  </si>
  <si>
    <t xml:space="preserve">Revalidated 2026-08-11</t>
  </si>
  <si>
    <t xml:space="preserve">Accelerating</t>
  </si>
  <si>
    <t xml:space="preserve">None independent — branded traffic growth (+38.1%) is a secondary aspect of the same product-launch mechanism, not an independent driver</t>
  </si>
  <si>
    <t xml:space="preserve">Causal link is timing-and-pattern correlation (no internal publish-date log confirmed); 'Other brands' composition column volatility unresolved; what-is-soc-2 within-cohort-window collapse was temporary (shows +746 in 2-year window); AIO reclassified Mixed — note /glossary/ pages experiencing interception (AIO interception on thin definitional content); Ahrefs historical traffic estimates revised — carried figures from original analysis are superseded</t>
  </si>
  <si>
    <t xml:space="preserve">Yes — recomputed 2026-08-11</t>
  </si>
  <si>
    <t xml:space="preserve">company-records/vanta.md</t>
  </si>
  <si>
    <t xml:space="preserve">portfolio-durability/vanta.md; comparison-briefs/secureframe-vanta.md; comparison-briefs/sprinto-secureframe.md</t>
  </si>
  <si>
    <t xml:space="preserve">+79.2% Continuous Acceleration (recomputed 2026-08-11; original +60.3% superseded by Ahrefs historical revision); 'flat, then accelerate' shape with ~1-2 month lag from Agentic Trust Platform launch (Nov 18, 2025 — best-corroborated off-content event in the study); both branded (+46.3%) and non-branded (+229.0%) growing simultaneously; GRC/risk-frameworks page 33→26,682 (+26,649, top 1 page); gross-loss offset rate 8.5% — lowest in repository (Exceptional zone); /collection/ 255 pages: +52,169 gain, only -243 loss; AIO: Mixed net strongly positive (+25,473 net; 1,806 cited keywords 34,234 traffic; 202 SPC+AIO -2,132 traffic); Aug 2026 all-time high 125,140; position-bucket collapse at long-tail precedes acceleration (fourth independent case); competitors split: Drata +24.1%, Secureframe -35.2% (same category, same window)</t>
  </si>
  <si>
    <t xml:space="preserve">Causal link is correlation not confirmed mechanism (no internal page-publish-date log); AIO classification now Mixed (not Resistant) per 2026-08-11 recomputation; URL comparison window (Aug 2024→Aug 2026) is broader than cohort window (Jan 2025→Jun 2026) — do not mix figures from different windows; Ahrefs revised historical estimates (Jan 2025 figure changed 71,941→57,951); company-specific mechanism (product launch) requires similar conditions to generalize; 'Other brands' composition column volatility unresolved</t>
  </si>
  <si>
    <t xml:space="preserve">PostHog</t>
  </si>
  <si>
    <t xml:space="preserve">posthog.com</t>
  </si>
  <si>
    <t xml:space="preserve">B2B SaaS (open source / product-led growth)</t>
  </si>
  <si>
    <t xml:space="preserve">Brand/Homepage</t>
  </si>
  <si>
    <t xml:space="preserve">Content Quality (secondary, small — "product-engineers" persona content cluster; minor navigational-page gains)</t>
  </si>
  <si>
    <t xml:space="preserve">Search-volume growth inferred from traffic-at-constant-position (no "previous volume" field in keyword export — core limitation); no discrete dateable triggering event identified (unlike Vanta's product-launch case); cross-export "Previous" snapshot gap (~17% below Pass 2 Jan 2025 figure — largest in batch); cannibalization not formally computed; AI Observation Protocol not run; no Search Console data</t>
  </si>
  <si>
    <t xml:space="preserve">company-records/posthog.md</t>
  </si>
  <si>
    <t xml:space="preserve">comparison-briefs/userpilot-posthog.md</t>
  </si>
  <si>
    <t xml:space="preserve">+131.4% Continuous Acceleration; single-keyword brand concentration ("posthog" keyword, 54 country variants, position 1 constant in both snapshots) = ~95% of net keyword-level gain; homepage = 87% of net page-level gain; branded traffic +186.9% = ~97% of net keyword gain; most lopsided branded/non-branded split in study; first case where dominant explanation is company becoming better known rather than SEO/content execution; ARR +99% YoY + two funding rounds (Series D $70M Jun 2025; Series E $75M Oct 2025) corroborate business-momentum reading; AIO Susceptibility Low; cautionary case: large traffic growth numbers can be passive brand-demand mirrors, not SEO achievements; category tailwind (Mixpanel +84.8%) real but insufficient to explain 1.5x outperformance</t>
  </si>
  <si>
    <t xml:space="preserve">"Posthog" keyword search-volume growth is inferred, not directly observed (no previous-volume field in export); no discrete triggering event with tight timing evidence (unlike Vanta); cross-export "Previous" snapshot gap largest in this batch; position-bucket-collapse pattern NOT corroborated (minor/absent — consistent with brand-demand-led rather than content-led growth); on-page content change cannot be extracted as a replicable lesson</t>
  </si>
  <si>
    <t xml:space="preserve">Akita</t>
  </si>
  <si>
    <t xml:space="preserve">akitaapp.com</t>
  </si>
  <si>
    <t xml:space="preserve">B2B SaaS (small; CS health scoring / churn and retention tooling for SaaS companies)</t>
  </si>
  <si>
    <t xml:space="preserve">SMB</t>
  </si>
  <si>
    <t xml:space="preserve">None independent — brand traffic (+31 net) and other pages account for remaining ~27% of net gain</t>
  </si>
  <si>
    <t xml:space="preserve">No monthly perf/trend CSV exists (first case in study without one — shape inferred from Pass 2 summary + keyword date stamps; re-check if file becomes available); on-page content change inference not confirmed (no Wayback Machine comparison run); algorithm-update timing overlap not fully ruled out; position-bucket snapshot-size asymmetry (2,480 previous vs. 210 current rows — not a clean corroborating case for the Validated pattern); absolute traffic very small (666 total — use percentage framing only); cannibalization not formally computed; AI Observation Protocol not run; no Search Console data</t>
  </si>
  <si>
    <t xml:space="preserve">company-records/akita.md</t>
  </si>
  <si>
    <t xml:space="preserve">+185.8% Continuous Acceleration; two-post concentration (steps-to-successful-customer-onboarding +223 = 39% of net; customer-churn-analysis +193 = 34% of net; together 73%); zero backlinks on both driving posts — cleanest "backlinks did not cause this" finding in study (flat zero on the specific pages, not a disproportionate ratio); two distinct mechanisms co-existing: ranking breakthrough (pos ~70-100 → 1-3 on onboarding post) and breadth-of-moderate-position capture (pos 22-36 across many high-vol variants on churn post); non-branded ~94.5% of net gain (content-driven shape); no off-content events found; second-highest growth rate in Customer Success vertical; no category-wide tailwind (5/13 grew, 4 declined); useful counterpoint to PostHog (brand-demand passive mirror vs. identifiable on-page mechanism)</t>
  </si>
  <si>
    <t xml:space="preserve">No monthly perf/trend CSV — within-window shape inferred from Pass 2 summary and keyword date stamps only; on-page content change not directly confirmed (no content-version comparison run; Ahrefs tracks rankings, not content history); algorithm-update timing overlap not fully ruled out; position-bucket comparison not a clean fifth corroborating case (snapshot-size asymmetry); absolute figures very small (666 total traffic) — percentage-based framing required in any client use</t>
  </si>
  <si>
    <t xml:space="preserve">Gladly</t>
  </si>
  <si>
    <t xml:space="preserve">gladly.ai</t>
  </si>
  <si>
    <t xml:space="preserve">Tool/Template</t>
  </si>
  <si>
    <t xml:space="preserve">V2.0</t>
  </si>
  <si>
    <t xml:space="preserve">Final</t>
  </si>
  <si>
    <t xml:space="preserve">N/A — new record</t>
  </si>
  <si>
    <t xml:space="preserve">46.7%</t>
  </si>
  <si>
    <t xml:space="preserve">Domain migration (gladly.com → gladly.ai ~May 2025; pre-migration baseline unknown); Brand dependence (68.2% of GSC clicks branded); Commercial misalignment (template/script content disconnected from platform buyers); Organic minority channel (~13.9% of sessions); Single-page impression concentration</t>
  </si>
  <si>
    <t xml:space="preserve">Full: +GSC+GA4</t>
  </si>
  <si>
    <t xml:space="preserve">company-records/gladly.md</t>
  </si>
  <si>
    <t xml:space="preserve">From Oct 2025 to Jun 2026, property-level impressions grew 47.7% and avg position improved slightly while clicks fell 41.4% — visibility–click divergence consistent with AI-mediated demand erosion on high-susceptibility content; AIO interception is the leading hypothesis, not yet directly tested.</t>
  </si>
  <si>
    <t xml:space="preserve">Study window constrained by domain migration (gladly.ai launched May 2025); no pre-migration baseline; Ahrefs comparison blank; AIO Observed Effect not tested; Pages.csv vs Chart.csv totals discrepancy documented; key-event type breakdown unavailable</t>
  </si>
  <si>
    <t xml:space="preserve">Apollo.io</t>
  </si>
  <si>
    <t xml:space="preserve">apollo.io</t>
  </si>
  <si>
    <t xml:space="preserve">Sales Engagement</t>
  </si>
  <si>
    <t xml:space="preserve">Branded/Geographic Expansion</t>
  </si>
  <si>
    <t xml:space="preserve">Algorithmic Reassessment</t>
  </si>
  <si>
    <t xml:space="preserve">Programmatic page collapse (29,339+ URLs lost; floor estimate); extreme homepage dependence (59.2% single URL); brand-dependent keyword portfolio (76% branded in export); non-branded spike (May 2026) unresolved; recovery direction unclear (3-month pullback insufficient to classify); international traffic uncharacterized in US-scoped competitor comparison</t>
  </si>
  <si>
    <t xml:space="preserve">company-records/apollo-io.md</t>
  </si>
  <si>
    <t xml:space="preserve">Grew +35.7% during cohort window (Jan 2025–Jun 2026), which opened near the trough of a prior programmatic visibility collapse. 85.5% of observed gross loss concentrated in /companies/ (23,925 URLs) and /people/ (5,283 URLs) programmatic pages; RDs grew +141.2% over historical window — broad link loss weighs against this pattern; recovery via 51.8% new URLs + 48.2% improving continuing URLs; lost programmatic population did not recover; traffic pulled back 20.9% from May 2026 peak by Aug 2026; cohort outcome accurate but window-sensitive</t>
  </si>
  <si>
    <t xml:space="preserve">Cohort window (Jan 2025–Jun 2026) opened near trough — Grew classification describes recovery phase, not full historical arc; historical window (Jul 2024–Aug 2026) shows −16.5% net decline; Gross Loss is floor estimate (30K row cap); no GSC/GA4; Organic Competitors US-scoped only; "Other brands" includes Apollo own branded traffic (brand terms not configured in Ahrefs)</t>
  </si>
  <si>
    <t xml:space="preserve">Gong</t>
  </si>
  <si>
    <t xml:space="preserve">gong.io</t>
  </si>
  <si>
    <t xml:space="preserve">Sales Engagement / Revenue Intelligence</t>
  </si>
  <si>
    <t xml:space="preserve">V2.5</t>
  </si>
  <si>
    <t xml:space="preserve">Volatile</t>
  </si>
  <si>
    <t xml:space="preserve">No intervention observed</t>
  </si>
  <si>
    <t xml:space="preserve">Demand Expansion, link acquisition</t>
  </si>
  <si>
    <t xml:space="preserve">Resistant</t>
  </si>
  <si>
    <t xml:space="preserve">Extreme homepage dependence (53.0% of Top Pages current traffic, Aug 2024→Aug 2026 window); high branded concentration (capped KW export 66.6%; qbr misclassification); long-tail ranking keyword coverage near zero at cohort end (341/161/8 keywords in positions 11-20/21-50/51+; permanence not established); AIO chatbot citation not measured (Google AIO only)</t>
  </si>
  <si>
    <t xml:space="preserve">company-records/gong.md</t>
  </si>
  <si>
    <t xml:space="preserve">synthesis-matrix.md</t>
  </si>
  <si>
    <t xml:space="preserve">Grew +29.4% (Jan 2025–Jun 2026, revised PH). Organic pages −70.5% (2,876→848); long-tail ranking keyword counts in positions 11–50 collapsed 71–77% in Oct 2025, near-zero at window-end. Traffic declined −10.8% (Aug→Nov 2025) then recovered +32.2% to a new cohort peak, finishing +18.0% above pre-event level — full headline recovery, no footprint recovery. Homepage = 53.0% of Top Pages current traffic (Aug 2024→Aug 2026). AIO confirmed on 11 of 12 tested queries; Gong cited in AIO thumbnails on 10. Gross-Loss Offset Rate 51.4% (normalization-corrected). Position-bucket figures are ranking keyword counts.</t>
  </si>
  <si>
    <t xml:space="preserve">No GSC/GA4; Organic Competitors US-scoped only; position-bucket figures directional only (do not reconcile precisely to headline metric); branded/non-branded share from revised PH needs revalidation; content-type breakdown of loss side deferred</t>
  </si>
  <si>
    <t xml:space="preserve">No Intervention Indicated</t>
  </si>
  <si>
    <t xml:space="preserve">LaunchDarkly</t>
  </si>
  <si>
    <t xml:space="preserve">launchdarkly.com</t>
  </si>
  <si>
    <t xml:space="preserve">Developer Tools — Feature Management</t>
  </si>
  <si>
    <t xml:space="preserve">Developer Ecosystem / B2B SaaS</t>
  </si>
  <si>
    <t xml:space="preserve">Mid-Market to Enterprise</t>
  </si>
  <si>
    <t xml:space="preserve">Demand Growth</t>
  </si>
  <si>
    <t xml:space="preserve">Technical (structural consolidation candidate)</t>
  </si>
  <si>
    <t xml:space="preserve">Not assessed</t>
  </si>
  <si>
    <t xml:space="preserve">Medium-High</t>
  </si>
  <si>
    <t xml:space="preserve">Extreme single-page dependence (32.9% from /blog/deployment-strategies/); Homepage dependence (37.5%); International demand fragility (80% non-US on top page); Portfolio compression (−66.6% pages over study window); Limited page-specific authority on top non-branded page (UR 4, 10 RDs); AIO sustainability risk</t>
  </si>
  <si>
    <t xml:space="preserve">company-records/launchdarkly.md</t>
  </si>
  <si>
    <t xml:space="preserve">source-analyses/launchdarkly-v0.1.md</t>
  </si>
  <si>
    <t xml:space="preserve">LaunchDarkly more than doubled organic traffic over two years through a decade-old educational page absorbing rising global search demand without a content rewrite; trajectory includes a real late-2025 pullback (−15%) coinciding with 66% portfolio compression, followed by demand-driven acceleration; AIO dual presence confirmed on primary keyword (cited, not displaced).</t>
  </si>
  <si>
    <t xml:space="preserve">Top non-branded page is 80% international — not representative for US-centric clients; extreme two-page concentration (70.4%) driven by demand expansion not replicable as an editorial strategy; portfolio compression mechanism unconfirmed; AIO click-suppression effect not separately assessed.</t>
  </si>
  <si>
    <t xml:space="preserve">Salesloft</t>
  </si>
  <si>
    <t xml:space="preserve">www.salesloft.com</t>
  </si>
  <si>
    <t xml:space="preserve">Sales Engagement / Revenue Orchestration</t>
  </si>
  <si>
    <t xml:space="preserve">Verified</t>
  </si>
  <si>
    <t xml:space="preserve">Homepage concentration (48.0% traffic); Drift entity traffic still unwinding (1,622 Aug 2026, down from 14,241 peak); non-branded growth concentrated in /learn/ prefix; /learn/ publication status unknown (blank Previous ≠ new URL); RD anomaly (−3,389 in one month, Aug→Sep 2025) unexplained; AIO exposure on /learn/ hub not fully assessed</t>
  </si>
  <si>
    <t xml:space="preserve">company-records/salesloft.md</t>
  </si>
  <si>
    <t xml:space="preserve">source-analyses/salesloft-v01.md</t>
  </si>
  <si>
    <t xml:space="preserve">Salesloft grew +50.3% (Aug 2024–Aug 2026) across a three-phase trajectory: Drift entity traffic amplification to a 100,000 peak (Sep 2025), structural unwinding (−37.8% to May 2026 trough), then partial organic recovery (+12.7%). Non-branded-intent traffic: +607.5% (3,163→22,377), primarily /learn/ hub; not fully Drift-adjusted. Two Wayback-confirmed Phase 3 winners recovered without page-level intervention: /learn/lead-management moved #12→#3 on "lead management software" (6,400 vol); /resources/blog/sales-pipeline-funnel acquired Image Pack traffic (~+1,100) from a diagram unchanged since ≥Dec 2023. Drift→/platform/chat-agents product-level succession confirmed; redirect type unverified. E-002 strengthened (second passive recovery case); E-005 created (Image Pack from preexisting asset).</t>
  </si>
  <si>
    <t xml:space="preserve">Headline +50.3% includes structural Drift amplification — not a clean organic growth signal; non-branded +607.5% is not fully Drift-adjusted; Phase 3 passive recovery scoped to two sampled pages (cannot generalize to full property); RD anomaly unexplained; no GSC or GA4; /learn/ hub publication status unresolved; Drift entity integration mechanics unverified.</t>
  </si>
  <si>
    <t xml:space="preserve">Cognism</t>
  </si>
  <si>
    <t xml:space="preserve">cognism.com</t>
  </si>
  <si>
    <t xml:space="preserve">Homepage dependence (28.3% traffic share); positions 51+ near-total collapse (−99.96%); no recovery signal at cohort end; trough not established</t>
  </si>
  <si>
    <t xml:space="preserve">company-records/cognism.md</t>
  </si>
  <si>
    <t xml:space="preserve">comparison-briefs/cognism-zoominfo.md, source-analyses/cognism-v01.md</t>
  </si>
  <si>
    <t xml:space="preserve">Two-wave algorithmic reassessment removed 99.96% of positions 51+ coverage while branded traffic (−0.4%) and referring domains (+82.5%) held flat; definitional and blog content accounted for 92.5% of page-level gross loss with no recovery signal at cohort end.</t>
  </si>
  <si>
    <t xml:space="preserve">URL comparison window begins ~Jul 2024 rather than cohort start Jan 2025 — gross loss figures blend pre-cohort movement; no GSC data; seven-query AIO sample insufficient for portfolio-level AIO attribution.</t>
  </si>
  <si>
    <t xml:space="preserve">ActiveCampaign</t>
  </si>
  <si>
    <t xml:space="preserve">www.activecampaign.com</t>
  </si>
  <si>
    <t xml:space="preserve">Email Marketing / Marketing Automation</t>
  </si>
  <si>
    <t xml:space="preserve">Content investment</t>
  </si>
  <si>
    <t xml:space="preserve">Mixed (three segments)</t>
  </si>
  <si>
    <t xml:space="preserve">Algorithmic Reassessment, SERP Feature Displacement, AI Tool Competition</t>
  </si>
  <si>
    <t xml:space="preserve">Narrow recovery base (two pages = 49% of recovery gains; offset rate 0.962 nearly cancels gains); blog net-loss consistent with systematic content-type abandonment; AIO does not cite pricing page on its own primary commercial query; URL migration unadjusted in calculations</t>
  </si>
  <si>
    <t xml:space="preserve">company-records/activecampaign.md</t>
  </si>
  <si>
    <t xml:space="preserve">source-analyses/activecampaign-v01.md, portfolio-durability/activecampaign.md</t>
  </si>
  <si>
    <t xml:space="preserve">Three-mechanism decline — blog definitional content abandoned at portfolio scale, commercial pages lost traffic despite holding position 1, AI-native tools displaced a utility page; recovery concentrated in two pages while offset rate of 0.962 nearly cancels gains across the rest of the portfolio.</t>
  </si>
  <si>
    <t xml:space="preserve">Recovery window differs from cohort window; URL migration (subject line generator) unadjusted in gross figures; AIO historical state unconfirmable from current snapshot; blog URL-level decline enumeration incomplete.</t>
  </si>
  <si>
    <t xml:space="preserve">Soundproof Cow</t>
  </si>
  <si>
    <t xml:space="preserve">soundproofcow.com</t>
  </si>
  <si>
    <t xml:space="preserve">Soundproofing / Home Improvement</t>
  </si>
  <si>
    <t xml:space="preserve">eCommerce</t>
  </si>
  <si>
    <t xml:space="preserve">Client conversations</t>
  </si>
  <si>
    <t xml:space="preserve">AI Overview Interception, Search Demand Shift</t>
  </si>
  <si>
    <t xml:space="preserve">First B2C e-commerce case in cohort; Loudest NFL Stadiums traffic distortion (single page, no commercial connection); 'mlv' SERP intent capture / entity displacement (head term captured by Major League Volleyball — unrecoverable); MLV category 73% AIO-dependent with no organic fallback; Ahrefs Top Pages comparison dates unconfirmed; interventions in progress</t>
  </si>
  <si>
    <t xml:space="preserve">client-work/soundproofcow-diagnosis.md</t>
  </si>
  <si>
    <t xml:space="preserve">−85.3% all-time decline (Oct 2023 → Aug 2026) driven by Algorithmic Reassessment across two Core Update windows (Oct 2025, Mar 2026); 64.6% of gross losses in informational/how-to content; AIO cited across 955 keywords including product categories but absent on head terms including 'mass loaded vinyl'; 'mlv' head term lost to SERP intent capture / entity displacement (Major League Volleyball). Gross-Loss Offset Rate 29.60x. Quiet Batt insulation category growing while MLV category declining — commercial-content divergence unresolved.</t>
  </si>
  <si>
    <t xml:space="preserve">First B2C e-commerce case — no direct cohort comparables; Ahrefs Top Pages comparison dates unconfirmed; 'mlv' SERP intent shift confounds MLV query-level analysis; Loudest NFL Stadiums traffic distorts headline click figures; interventions started (door page rewritten) — pre/post comparison not yet possible</t>
  </si>
  <si>
    <t xml:space="preserve">Field Reference — Controlled Vocabulary</t>
  </si>
  <si>
    <t xml:space="preserve">Field</t>
  </si>
  <si>
    <t xml:space="preserve">Allowed Values / Notes</t>
  </si>
  <si>
    <t xml:space="preserve">Developer Tools / Fintech / HR Tech / Security / Product Analytics / Marketing Automation / Sales Engagement / Customer Success / Customer Support / Project Management / Other. Note: B2B SaaS is a Business Model, not a Category.</t>
  </si>
  <si>
    <t xml:space="preserve">B2B SaaS / Developer Ecosystem / Fintech / eCommerce / Media-Publisher / Services / Other</t>
  </si>
  <si>
    <t xml:space="preserve">Normalized controlled vocabulary. Allowed values: Editorial / Programmatic / Glossary/Definitional / Tool/Template / Product/Support / Brand/Homepage / Mixed. Editorial: editorial/blog/tutorial content as the primary organic surface. Programmatic: user-generated or database-driven content at scale. Glossary/Definitional: glossary or definitional pages as the primary surface. Tool/Template: interactive tools or downloadable templates as the primary surface. Product/Support: product pages and support/documentation content. Brand/Homepage: brand and homepage navigational content dominant. Mixed: two or more models in meaningful proportion. Nuance (GRC focus, developer audience, small-site context, etc.) belongs in the authoritative company record, not this field.</t>
  </si>
  <si>
    <t xml:space="preserve">SMB / Mid-Market / Mid-Market to Enterprise / Enterprise / Unknown — use 'Mid-Market to Enterprise' when the company demonstrably serves both segments and headcount/ARR classification is ambiguous (e.g., 500–2,000 employees, large deal sizes but broad customer base).</t>
  </si>
  <si>
    <t xml:space="preserve">Study Duration</t>
  </si>
  <si>
    <t xml:space="preserve">Elapsed months between Study Window Start and End. Formula: (YEAR(end)−YEAR(start))×12+(MONTH(end)−MONTH(start)). Point-to-point elapsed count, not inclusive. Jan 2025 to Jun 2026 = 17. Formula-derived — do not edit manually.</t>
  </si>
  <si>
    <t xml:space="preserve">Draft / Verified / Final / Needs Revalidation — reflects publication readiness.</t>
  </si>
  <si>
    <t xml:space="preserve">N/A — new record / Migrated — not revalidated / Metrics revalidated / Narrative revalidated / Fully revalidated</t>
  </si>
  <si>
    <t xml:space="preserve">Internal only / Client conversations / Client deliverable / Public evidence library. Final Record Status does not imply permission to publish externally.</t>
  </si>
  <si>
    <t xml:space="preserve">Stored as decimal (e.g., -0.34 = -34%). Source: Calculation Log.</t>
  </si>
  <si>
    <t xml:space="preserve">Formula-derived: Growth &gt;50% / Growth 10-50% / Flat / Decline 10-25% / Decline 25-50% / Decline 50-75% / Decline &gt;75%. Do not edit manually.</t>
  </si>
  <si>
    <t xml:space="preserve">Grew (&gt;+10%) / Flat (-10% to +10%) / Declined (&lt;-10%)</t>
  </si>
  <si>
    <t xml:space="preserve">Continuous Acceleration / Steady Growth / Growth then Pullback / Early Peak then Plateau / Early Peak then Decline / Decline then Recovery / Flat / Steady Decline / Volatile. See Trajectory Reference tab.</t>
  </si>
  <si>
    <t xml:space="preserve">Growing / Stable / Declining</t>
  </si>
  <si>
    <t xml:space="preserve">Full / Partial / None / Not applicable — grew throughout / Too early to assess</t>
  </si>
  <si>
    <t xml:space="preserve">How recovery was achieved. Allowed values: Ranking Recovery / Demand Growth / Branded/Geographic Expansion / New URL Gain / Mixed / Unknown / N/A. Ranking Recovery: existing pages improved rankings without new content production; driven by algorithmic or competitive shift. Demand Growth: existing rankings held; underlying query demand increased, absorbing more traffic to stable positions. Branded/Geographic Expansion: branded search demand grew or international markets expanded, recovering traffic. New URL Gain: recovery primarily driven by new pages (prev=0) entering the top pages population. Mixed: two or more distinct mechanisms operating on materially different pages or query clusters. Unknown: mechanism cannot be established from available evidence. N/A: no recovery event in the study window; company grew throughout or has not recovered. Source of truth: company record. Index mirrors the settled value only.</t>
  </si>
  <si>
    <t xml:space="preserve">Controlled vocabulary defined in governance/mechanism-taxonomy.md — do not maintain a separate mechanism list here. Mixed (Phase-dependent) used when distinct phases within the study window are best explained by different mechanisms.</t>
  </si>
  <si>
    <t xml:space="preserve">Comma-separated from same controlled vocabulary as Primary Mechanism (see governance/mechanism-taxonomy.md). Blank if none.</t>
  </si>
  <si>
    <t xml:space="preserve">High / Medium / Low</t>
  </si>
  <si>
    <t xml:space="preserve">Strong / Moderate / Weak / None / Not assessed — timing between inflection and documented algo update</t>
  </si>
  <si>
    <t xml:space="preserve">High / Medium-High / Medium / Low / Unknown — structural exposure of the query/page portfolio to AI Overview interception. High = majority of portfolio is definitional, informational, or comparison content where AIO is likely to appear. Medium-High = significant but not dominant exposure. Medium = mixed portfolio. Low = mostly navigational or commercial content where AIO rarely appears.</t>
  </si>
  <si>
    <t xml:space="preserve">Yes / No / Not tested — whether an AI Overview was directly confirmed on one or more key queries</t>
  </si>
  <si>
    <t xml:space="preserve">Intercepted / Resistant / Mixed / No conclusion / Not tested — traffic-outcome classification only. Intercepted = material traffic/click suppression confirmed on AIO-exposed queries (evidence required). Resistant = AIO present, no material suppression evidence. Mixed = materially different AIO traffic outcomes across the portfolio or phases. No conclusion = AIO presence confirmed via export, but evidence insufficient to classify traffic outcome. Not tested = AIO presence not assessed. Do NOT use this field to record citation status — see AIO Citation Observed.</t>
  </si>
  <si>
    <t xml:space="preserve">Yes / No / Not tested — whether the company appears as a cited source inside an AI Overview, independent of traffic outcome. Yes = company is cited in at least one AIO (position kind = AI Overview in Ahrefs Organic Keywords export). No = AIO presence confirmed but company is not cited in any tested AIO. Not tested = AIO presence not assessed. This field records source-citation status only; traffic outcome is captured in AIO Observed Effect.</t>
  </si>
  <si>
    <t xml:space="preserve">Gross Loss ÷ Gross Gain from Top Pages export. Decimal. N/A if Gross Gain = 0. Offset Zones: Healthy &lt;30% / Moderate 30–60% / High 60–100% / Extreme &gt;100%.</t>
  </si>
  <si>
    <t xml:space="preserve">Top 5 pages' share of ending-period organic traffic. Decimal. Blank if not computed.</t>
  </si>
  <si>
    <t xml:space="preserve">Long-tail observations only: Single-page risk / Brand-dependent / International subfolder issue / Migration-related / Programmatic sprawl / Intent mismatch / Index bloat / Successful content replacement / Legacy-content dependence / Homepage dependence</t>
  </si>
  <si>
    <t xml:space="preserve">Yes / No</t>
  </si>
  <si>
    <t xml:space="preserve">Improving / Stable / Declining / Unknown. Must be paired with 'Trend Compared To' in the record (Initial measurement / Previous quarterly assessment / Previous annual assessment / Other). 'Improving' without a reference period is not interpretable.</t>
  </si>
  <si>
    <t xml:space="preserve">Trend Compared To</t>
  </si>
  <si>
    <t xml:space="preserve">Initial measurement / Previous quarterly assessment / Previous annual assessment / Other — specify. Required whenever AI Discoverability Trend is not Unknown.</t>
  </si>
  <si>
    <t xml:space="preserve">High / Medium / Low / Unknown — classify per current thresholds in governance/ai-discoverability-methodology.md. Thresholds may evolve; the methodology doc carries the changelog. Always document prompt set scope in the record's Coverage section.</t>
  </si>
  <si>
    <t xml:space="preserve">Profound / Scrunch / Ahrefs SERP Overview / Internal prompt library / Manual testing / Mixed</t>
  </si>
  <si>
    <t xml:space="preserve">Ahrefs Export / Ahrefs Dashboard / Ahrefs Export + Semrush / Ahrefs Export + Similarweb / Full: +GSC+GA4 / Mixed</t>
  </si>
  <si>
    <t xml:space="preserve">Yes = all key metrics recomputed and passed reconciliation / Partial = some metrics reproduced / No = figures carried without recomputation</t>
  </si>
  <si>
    <t xml:space="preserve">High / Medium / Low / Unverified — reliability of the underlying traffic observation itself, separate from mechanism confidence. High: multiple exports reconcile at sufficient scale and coverage. Medium: direction credible but magnitude or coverage has limitations. Low: small base, missing trend data, asymmetric samples, or major vendor limitations. Unverified: migrated figures not recomputed from source exports.</t>
  </si>
  <si>
    <t xml:space="preserve">Filenames of comparison briefs, synthesis docs, studies, or report references. Comma-separated. None if not applicable.</t>
  </si>
  <si>
    <t xml:space="preserve">High / Medium / Low / Mixed / Unknown — degree to which the site's organic search footprint is topically connected to the company's commercial positioning. High: traffic is predominantly from queries directly relevant to the product's buyers. Mixed: meaningful share of traffic is from tangentially related content. Low: most traffic comes from content unrelated to the commercial proposition.</t>
  </si>
  <si>
    <t xml:space="preserve">One sentence: observable pattern and why this record is useful as a comp. Client-readable. No settled causal claims for medium/low-confidence attributions.</t>
  </si>
  <si>
    <t xml:space="preserve">One sentence: where the analogy breaks. Essential for client-facing use.</t>
  </si>
  <si>
    <t xml:space="preserve">Source of Truth</t>
  </si>
  <si>
    <t xml:space="preserve">The markdown record is authoritative. The index is a retrieval layer. Correct the index from the record when they disagree.</t>
  </si>
  <si>
    <t xml:space="preserve">Content investment / Structural consolidation / Technical intervention / No intervention observed / Mixed / Unknown — what the company was observed to have done during or before the recovery window. Distinct from Intervention Level, which captures what the evidence suggests was actually required.</t>
  </si>
  <si>
    <t xml:space="preserve">Page / Cluster/Portfolio / Site/Technical / Authority/External / No Intervention Indicated / Mixed / Unknown — what the evidence suggests actually required action, assessed from mechanism and observed outcome. Diagnostic implication, not a description of what the company chose to do. 'No Intervention Indicated' requires positive evidence: mechanism inconsistent with page-level defect, and/or Wayback confirms page unchanged through recovery.</t>
  </si>
  <si>
    <t xml:space="preserve">Index Discipline</t>
  </si>
  <si>
    <t xml:space="preserve">Controlled index fields must contain only an allowed value from this Legend. Never append rationale, caveats, dates, parentheticals, employee counts, or qualifiers. All explanatory context belongs in Comp Summary, Comparison Limitations, Risk Flags, or the underlying company record. Hybrid values (e.g., Medium-High, Mid-Market to Enterprise) are permitted only when explicitly listed here.</t>
  </si>
  <si>
    <t xml:space="preserve">— PAGE EVIDENCE FIELDS —</t>
  </si>
  <si>
    <t xml:space="preserve">The following fields apply to the Page Evidence sheet. Unit of analysis: one row per page per analysis window. All values must come from the authoritative PDA. Do not independently classify.</t>
  </si>
  <si>
    <t xml:space="preserve">Observation Type [PE]</t>
  </si>
  <si>
    <t xml:space="preserve">Recovery / Decline / Stable / Growth / Mixed — what happened to this page during the window. Recovery = net traffic gain. Decline = net traffic loss. Stable = within ±20% threshold. Growth = positive trend within a broader growth context. Mixed = conflicting signals across sub-windows.</t>
  </si>
  <si>
    <t xml:space="preserve">Pattern [PE]</t>
  </si>
  <si>
    <t xml:space="preserve">Recovery Pattern (recovery rows): Broad ranking recovery / Single-query breakout / Long-tail expansion / Stable rankings + higher traffic / Existing demand recaptured / Mixed. Decline Pattern (decline rows): Ranking collapse / Keyword disappearance / Stable rankings + traffic decline / Gradual position erosion / Mixed. Use the applicable set based on Observation Type.</t>
  </si>
  <si>
    <t xml:space="preserve">Observed Page Response [PE]</t>
  </si>
  <si>
    <t xml:space="preserve">No material change / Minor refresh / Substantive rewrite / Structural / URL change / New page / asset / Mixed / Unknown — what visibly changed on the individual page during the relevant window, assessed from Wayback Machine comparison or equivalent evidence. Distinct from company-level Observed Company Response. 'No material change' requires Wayback confirmation. 'Unknown' when Wayback was not checked.</t>
  </si>
  <si>
    <t xml:space="preserve">Intervention Level [PE]</t>
  </si>
  <si>
    <t xml:space="preserve">Page / Cluster/Portfolio / Site/Technical / Authority/External / No Intervention Indicated / Mixed / Unknown — same vocabulary as company-level field. At the page level: what level of intervention does the evidence suggest was actually required to produce this page's observed outcome? 'No Intervention Indicated' requires: Wayback confirms no material change AND outcome was recovery or stable.</t>
  </si>
  <si>
    <t xml:space="preserve">AIO Presence [PE]</t>
  </si>
  <si>
    <t xml:space="preserve">Yes / No / Inferred / Not tested / Not applicable — whether an AI Overview was confirmed, inferred, or not tested on this specific page's top query. 'Inferred' = AIO was confirmed at domain level and this page's query type matches the pattern; not directly tested. 'Not applicable' = brand/navigational query where AIO does not meaningfully apply.</t>
  </si>
  <si>
    <t xml:space="preserve">AIO Observed Effect [PE]</t>
  </si>
  <si>
    <t xml:space="preserve">Intercepted / Resistant / Mixed / No conclusion / Not tested / Not applicable — same vocabulary as company-level field, applied at page level. 'Resistant' at page level requires: AIO Presence = Yes AND page holds traffic. 'Intercepted' requires: AIO Presence = Yes AND traffic declined while rankings held or improved.</t>
  </si>
  <si>
    <t xml:space="preserve">Wayback Checked [PE]</t>
  </si>
  <si>
    <t xml:space="preserve">Yes / No / Not applicable — whether a Wayback Machine comparison was completed for this specific page. 'Not applicable' = page is new (no prior state to compare) or is a brand/homepage URL where content comparison is not the diagnostic question.</t>
  </si>
  <si>
    <t xml:space="preserve">Page Outcome [PE]</t>
  </si>
  <si>
    <t xml:space="preserve">Promote / Preserve / Abandon — portfolio classification from the PDA. Promote = material traffic gain. Preserve = held within stable threshold. Abandon = material traffic loss.</t>
  </si>
  <si>
    <t xml:space="preserve">Recovery Potential [PE]</t>
  </si>
  <si>
    <t xml:space="preserve">High / Medium / Low / Unknown / Not applicable — assessed for decline cohort pages only. 'Not applicable' for recovery and stable rows.</t>
  </si>
  <si>
    <t xml:space="preserve">Durable Demand Signals [PE]</t>
  </si>
  <si>
    <t xml:space="preserve">Comma-separated. Full signal vocabulary in governance/page-archetype-taxonomy.md: Repeat engagement / Requires judgment / Requires workflow / Requires comparison / Proprietary data / Tool or interactive / Community or network / Brand destination / Renewable demand / AI-answerable / High commercial intent. Use '—' when no signals apply.</t>
  </si>
  <si>
    <t xml:space="preserve">Observation Unit [PE]</t>
  </si>
  <si>
    <t xml:space="preserve">Page / Aggregate — Page: observation represents one identifiable URL. Aggregate: observation represents multiple URLs, a directory, locale, subdomain, category, or other grouped population. Aggregates must always be Rate Eligibility = No.</t>
  </si>
  <si>
    <t xml:space="preserve">Rate Eligibility [PE]</t>
  </si>
  <si>
    <t xml:space="preserve">Yes / No — Whether this observation may participate as a denominator unit in page-level quantitative rate calculations (e.g., recovery rate by Page Archetype, decline rate by AI Substitutability, survival rate by query type). Yes requires: Observation Unit = Page AND the underlying PDA establishes a sufficiently complete and defined sampling frame for the calculation. Hand-selected pages (top gainers, top losers, notable recoveries, diagnostic examples) default to No. Aggregates are always No. Use No conservatively when eligibility is uncertain.</t>
  </si>
  <si>
    <t xml:space="preserve">Rate Eligibility — Governing Rule [PE]</t>
  </si>
  <si>
    <t xml:space="preserve">Quantitative page-level rates (recovery rate, decline rate, survival rate, intervention success rates) may ONLY use rows where Observation Unit = Page AND Rate Eligibility = Yes. Hand-selected, aggregate, and eligibility-uncertain rows remain in Page Evidence as qualitative evidence but must not be included in rate denominators. Do not retroactively treat an existing PDA sample as representative.</t>
  </si>
  <si>
    <t xml:space="preserve">Sampling Frame [PE]</t>
  </si>
  <si>
    <t xml:space="preserve">Identifies the source population and selection method that produced this observation. Format: [Source]; [Selection Method]; [PDA Reference]. Populated from the PDA's documented decision rule — not inferred. Required for any row where Rate Eligibility = Yes. Cross-company page-level rates may only combine observations drawn from compatible sampling frames or from a common inclusion rule applied consistently across all included companies. Incompatible frames (e.g., top-20% gainers vs. top-5 by absolute gain) must not be pooled into a single rate calculation.</t>
  </si>
  <si>
    <t xml:space="preserve">Sampling Frame — Governing Rule [PE]</t>
  </si>
  <si>
    <t xml:space="preserve">Rate Eligibility establishes whether an observation may participate in denominator-based analysis. Sampling Frame establishes which denominator it belongs to. Cross-company page-level rates may only combine observations drawn from compatible sampling frames or from a common inclusion rule applied consistently across all included companies.</t>
  </si>
  <si>
    <t xml:space="preserve">Official Traffic Trajectory Taxonomy — 9 Approved Values</t>
  </si>
  <si>
    <t xml:space="preserve">Label</t>
  </si>
  <si>
    <t xml:space="preserve">Definition</t>
  </si>
  <si>
    <t xml:space="preserve">Example Companies</t>
  </si>
  <si>
    <t xml:space="preserve">Study-window peak is the most recent month (or within 1–2 months of window end), with no meaningful pullback.</t>
  </si>
  <si>
    <t xml:space="preserve">Gainsight, Apollo, ZoomInfo</t>
  </si>
  <si>
    <t xml:space="preserve">Consistent upward movement without a sharp early spike. More gradual and linear than Continuous Acceleration.</t>
  </si>
  <si>
    <t xml:space="preserve">Growth followed by a meaningful pullback — but still nets Grew (&gt;+10%) at window end.</t>
  </si>
  <si>
    <t xml:space="preserve">Early Peak then Plateau</t>
  </si>
  <si>
    <t xml:space="preserve">Peak occurs early (months 1–4 of 18), followed by flattening rather than sustained decline.</t>
  </si>
  <si>
    <t xml:space="preserve">Peak early in window, followed by sustained decline. Nets Flat or Declined. Also use when company recovers some ground but still nets Declined.</t>
  </si>
  <si>
    <t xml:space="preserve">Late-window recovery brings company back to Flat-range (±10% start-to-end). If still net Declined, use Early Peak then Decline.</t>
  </si>
  <si>
    <t xml:space="preserve">Planhat, ClientSuccess, Rocketlane, EverAfter</t>
  </si>
  <si>
    <t xml:space="preserve">Flat</t>
  </si>
  <si>
    <t xml:space="preserve">Net classification Flat (±10%), no oscillating pattern of Volatile.</t>
  </si>
  <si>
    <t xml:space="preserve">Gradual, fairly linear downward trend without a sharp early high point.</t>
  </si>
  <si>
    <t xml:space="preserve">Oscillates with no clear sustained directional trend, regardless of net classification.</t>
  </si>
  <si>
    <t xml:space="preserve">Klaviyo, ContactPigeon</t>
  </si>
  <si>
    <t xml:space="preserve">Page Evidence — S.LAB Research Repository  |  Unit of analysis: one row per page observation per analysis window. The PDA is authoritative; this sheet is a retrieval/aggregation layer only. Do not independently classify or reinterpret pages here. If a PDA changes, update the row.</t>
  </si>
  <si>
    <t xml:space="preserve">URL</t>
  </si>
  <si>
    <t xml:space="preserve">Window Start</t>
  </si>
  <si>
    <t xml:space="preserve">Window End</t>
  </si>
  <si>
    <t xml:space="preserve">Observation Type</t>
  </si>
  <si>
    <t xml:space="preserve">Traffic Start</t>
  </si>
  <si>
    <t xml:space="preserve">Traffic End</t>
  </si>
  <si>
    <t xml:space="preserve">Page Archetype</t>
  </si>
  <si>
    <t xml:space="preserve">AI Substitutability</t>
  </si>
  <si>
    <t xml:space="preserve">Primary Query Type</t>
  </si>
  <si>
    <t xml:space="preserve">Pattern</t>
  </si>
  <si>
    <t xml:space="preserve">Candidate Driver</t>
  </si>
  <si>
    <t xml:space="preserve">Driver Confidence</t>
  </si>
  <si>
    <t xml:space="preserve">Observed Page Response</t>
  </si>
  <si>
    <t xml:space="preserve">AIO Presence</t>
  </si>
  <si>
    <t xml:space="preserve">Wayback Checked</t>
  </si>
  <si>
    <t xml:space="preserve">Page Outcome</t>
  </si>
  <si>
    <t xml:space="preserve">Recovery Potential</t>
  </si>
  <si>
    <t xml:space="preserve">Durable Demand Signals</t>
  </si>
  <si>
    <t xml:space="preserve">Source PDA</t>
  </si>
  <si>
    <t xml:space="preserve">Observation Unit</t>
  </si>
  <si>
    <t xml:space="preserve">Rate Eligibility</t>
  </si>
  <si>
    <t xml:space="preserve">Sampling Frame</t>
  </si>
  <si>
    <t xml:space="preserve">/revenue-intelligence</t>
  </si>
  <si>
    <t xml:space="preserve">2025-01</t>
  </si>
  <si>
    <t xml:space="preserve">2026-07</t>
  </si>
  <si>
    <t xml:space="preserve">Recovery</t>
  </si>
  <si>
    <t xml:space="preserve">Commercial Evaluation</t>
  </si>
  <si>
    <t xml:space="preserve">Commercial investigation</t>
  </si>
  <si>
    <t xml:space="preserve">Single-query breakout</t>
  </si>
  <si>
    <t xml:space="preserve">Algorithmic reevaluation / Demand growth</t>
  </si>
  <si>
    <t xml:space="preserve">Not tested</t>
  </si>
  <si>
    <t xml:space="preserve">Promote</t>
  </si>
  <si>
    <t xml:space="preserve">Not applicable</t>
  </si>
  <si>
    <t xml:space="preserve">High commercial intent, Requires comparison, Brand destination</t>
  </si>
  <si>
    <t xml:space="preserve">portfolio-durability/gong.md</t>
  </si>
  <si>
    <t xml:space="preserve">2026-08-04</t>
  </si>
  <si>
    <t xml:space="preserve">Page</t>
  </si>
  <si>
    <t xml:space="preserve">Ahrefs Top Pages; &gt;+20% traffic gain threshold; Gong PDA (2025-01/2026-07)</t>
  </si>
  <si>
    <t xml:space="preserve">/call-recording-software</t>
  </si>
  <si>
    <t xml:space="preserve">Broad ranking recovery</t>
  </si>
  <si>
    <t xml:space="preserve">Algorithmic reevaluation</t>
  </si>
  <si>
    <t xml:space="preserve">High commercial intent, Requires comparison</t>
  </si>
  <si>
    <t xml:space="preserve">/blog/quarterly-business-review-agenda</t>
  </si>
  <si>
    <t xml:space="preserve">Methodological</t>
  </si>
  <si>
    <t xml:space="preserve">Minor refresh</t>
  </si>
  <si>
    <t xml:space="preserve">Requires workflow, Repeat engagement</t>
  </si>
  <si>
    <t xml:space="preserve">/about</t>
  </si>
  <si>
    <t xml:space="preserve">Homepage</t>
  </si>
  <si>
    <t xml:space="preserve">Brand</t>
  </si>
  <si>
    <t xml:space="preserve">Stable rankings + higher traffic</t>
  </si>
  <si>
    <t xml:space="preserve">Demand growth</t>
  </si>
  <si>
    <t xml:space="preserve">Brand destination</t>
  </si>
  <si>
    <t xml:space="preserve">/blog/sales-funnel-examples</t>
  </si>
  <si>
    <t xml:space="preserve">No material change</t>
  </si>
  <si>
    <t xml:space="preserve">Requires workflow, Requires judgment</t>
  </si>
  <si>
    <t xml:space="preserve">/customer-retention-management-software</t>
  </si>
  <si>
    <t xml:space="preserve">New page / asset</t>
  </si>
  <si>
    <t xml:space="preserve">/blog/quarterly-business-review-examples</t>
  </si>
  <si>
    <t xml:space="preserve">Requires workflow, Repeat engagement, Requires judgment</t>
  </si>
  <si>
    <t xml:space="preserve">/sales-coaching-software</t>
  </si>
  <si>
    <t xml:space="preserve">/press</t>
  </si>
  <si>
    <t xml:space="preserve">Demand growth / Link acquisition</t>
  </si>
  <si>
    <t xml:space="preserve">/revenue-operations-software</t>
  </si>
  <si>
    <t xml:space="preserve">/sales-training-software</t>
  </si>
  <si>
    <t xml:space="preserve">/blog/sales-intelligence-tools</t>
  </si>
  <si>
    <t xml:space="preserve">Requires judgment</t>
  </si>
  <si>
    <t xml:space="preserve">/blog/sales-enablement-strategy</t>
  </si>
  <si>
    <t xml:space="preserve">/call-transcription-software</t>
  </si>
  <si>
    <t xml:space="preserve">/blog/customer-success-tools</t>
  </si>
  <si>
    <t xml:space="preserve">/conversation-intelligence</t>
  </si>
  <si>
    <t xml:space="preserve">Decline</t>
  </si>
  <si>
    <t xml:space="preserve">Ranking collapse</t>
  </si>
  <si>
    <t xml:space="preserve">Brand repositioning (Gong vocabulary shift: conversation → revenue intelligence)</t>
  </si>
  <si>
    <t xml:space="preserve">Inferred</t>
  </si>
  <si>
    <t xml:space="preserve">Abandon</t>
  </si>
  <si>
    <t xml:space="preserve">High commercial intent</t>
  </si>
  <si>
    <t xml:space="preserve">Ahrefs Top Pages; &gt;−20% traffic loss threshold; Gong PDA (2025-01/2026-07)</t>
  </si>
  <si>
    <t xml:space="preserve">/careers</t>
  </si>
  <si>
    <t xml:space="preserve">Utility</t>
  </si>
  <si>
    <t xml:space="preserve">Navigational</t>
  </si>
  <si>
    <t xml:space="preserve">Gradual position erosion</t>
  </si>
  <si>
    <t xml:space="preserve">Demand contraction (hiring market)</t>
  </si>
  <si>
    <t xml:space="preserve">—</t>
  </si>
  <si>
    <t xml:space="preserve">/fr (locale aggregate)</t>
  </si>
  <si>
    <t xml:space="preserve">Other</t>
  </si>
  <si>
    <t xml:space="preserve">Algorithmic reevaluation (locale quality signal)</t>
  </si>
  <si>
    <t xml:space="preserve">Aggregate</t>
  </si>
  <si>
    <t xml:space="preserve">Locale aggregate; Gong PDA (2025-01/2026-07)</t>
  </si>
  <si>
    <t xml:space="preserve">/blog/average-saas-churn-rate</t>
  </si>
  <si>
    <t xml:space="preserve">Conceptual</t>
  </si>
  <si>
    <t xml:space="preserve">Definitional</t>
  </si>
  <si>
    <t xml:space="preserve">AI Overview interception</t>
  </si>
  <si>
    <t xml:space="preserve">AI-answerable</t>
  </si>
  <si>
    <t xml:space="preserve">/blog/sandler-selling-method</t>
  </si>
  <si>
    <t xml:space="preserve">/blog/conceptual-selling</t>
  </si>
  <si>
    <t xml:space="preserve">/blog/bant-sales</t>
  </si>
  <si>
    <t xml:space="preserve">/de (locale aggregate)</t>
  </si>
  <si>
    <t xml:space="preserve">/blog/sales-efficiency</t>
  </si>
  <si>
    <t xml:space="preserve">/blog/what-is-enterprise-sales</t>
  </si>
  <si>
    <t xml:space="preserve">/blog/sales-cycle</t>
  </si>
  <si>
    <t xml:space="preserve">/blog/miller-heiman-sales-process</t>
  </si>
  <si>
    <t xml:space="preserve">/blog/sales-manager-skills</t>
  </si>
  <si>
    <t xml:space="preserve">/platform (old)</t>
  </si>
  <si>
    <t xml:space="preserve">Internal cannibalization / product restructure</t>
  </si>
  <si>
    <t xml:space="preserve">/zoom-call-transcription</t>
  </si>
  <si>
    <t xml:space="preserve">Competitive displacement / AI tool demand substitution</t>
  </si>
  <si>
    <t xml:space="preserve">/ (homepage)</t>
  </si>
  <si>
    <t xml:space="preserve">Stable</t>
  </si>
  <si>
    <t xml:space="preserve">Preserve</t>
  </si>
  <si>
    <t xml:space="preserve">Ahrefs Top Pages; stable cohort selection; Gong PDA (2025-01/2026-07)</t>
  </si>
  <si>
    <t xml:space="preserve">/blog/icp-sales</t>
  </si>
  <si>
    <t xml:space="preserve">Requires workflow, Requires judgment, High commercial intent</t>
  </si>
  <si>
    <t xml:space="preserve">/pricing</t>
  </si>
  <si>
    <t xml:space="preserve">/blog/sandler-pain-funnel</t>
  </si>
  <si>
    <t xml:space="preserve">Requires workflow</t>
  </si>
  <si>
    <t xml:space="preserve">/call-software</t>
  </si>
  <si>
    <t xml:space="preserve">/blog/deployment-strategies/</t>
  </si>
  <si>
    <t xml:space="preserve">2026-08</t>
  </si>
  <si>
    <t xml:space="preserve">Renewable demand, Requires comparison, Requires judgment</t>
  </si>
  <si>
    <t xml:space="preserve">portfolio-durability/launchdarkly.md</t>
  </si>
  <si>
    <t xml:space="preserve">2026-08-06</t>
  </si>
  <si>
    <t xml:space="preserve">Ahrefs Top Pages; gain decomposition / notable-page selection; LaunchDarkly PDA (2025-01/2026-08)</t>
  </si>
  <si>
    <t xml:space="preserve">Brand / Navigational</t>
  </si>
  <si>
    <t xml:space="preserve">docs.launchdarkly.com/*</t>
  </si>
  <si>
    <t xml:space="preserve">Tool-Utility / Navigational</t>
  </si>
  <si>
    <t xml:space="preserve">Keyword disappearance</t>
  </si>
  <si>
    <t xml:space="preserve">Structural consolidation (subdomain removed)</t>
  </si>
  <si>
    <t xml:space="preserve">Site/Technical</t>
  </si>
  <si>
    <t xml:space="preserve">Subdomain removal aggregate (prev &gt;0, current =0); LaunchDarkly PDA (2025-01/2026-08)</t>
  </si>
  <si>
    <t xml:space="preserve">support.launchdarkly.com/*</t>
  </si>
  <si>
    <t xml:space="preserve">academy.launchdarkly.com/*</t>
  </si>
  <si>
    <t xml:space="preserve">Methodological / Tool-Utility</t>
  </si>
  <si>
    <t xml:space="preserve">launchdarkly.com/guides/*</t>
  </si>
  <si>
    <t xml:space="preserve">Structural consolidation</t>
  </si>
  <si>
    <t xml:space="preserve">/glossary/email-campaign</t>
  </si>
  <si>
    <t xml:space="preserve">Page rewrite or expansion / Algorithmic reevaluation</t>
  </si>
  <si>
    <t xml:space="preserve">Substantive rewrite</t>
  </si>
  <si>
    <t xml:space="preserve">Requires workflow, Brand destination, Repeat engagement</t>
  </si>
  <si>
    <t xml:space="preserve">portfolio-durability/activecampaign.md</t>
  </si>
  <si>
    <t xml:space="preserve">Ahrefs Top Pages; top-5 by absolute gain; ActiveCampaign PDA (2025-01/2026-07)</t>
  </si>
  <si>
    <t xml:space="preserve">/es/tools/whatsapp-link-creator</t>
  </si>
  <si>
    <t xml:space="preserve">Tool-Utility</t>
  </si>
  <si>
    <t xml:space="preserve">Long-tail expansion</t>
  </si>
  <si>
    <t xml:space="preserve">Demand growth / SERP composition change</t>
  </si>
  <si>
    <t xml:space="preserve">Tool or interactive, Renewable demand</t>
  </si>
  <si>
    <t xml:space="preserve">/de (locale)</t>
  </si>
  <si>
    <t xml:space="preserve">Locale aggregate (recovery); ActiveCampaign PDA (2025-01/2026-07)</t>
  </si>
  <si>
    <t xml:space="preserve">/blog/best-online-learning-platforms</t>
  </si>
  <si>
    <t xml:space="preserve">Comparative</t>
  </si>
  <si>
    <t xml:space="preserve">Requires comparison</t>
  </si>
  <si>
    <t xml:space="preserve">/glossary/email-etiquette</t>
  </si>
  <si>
    <t xml:space="preserve">Algorithmic reevaluation / Unknown</t>
  </si>
  <si>
    <t xml:space="preserve">Requires workflow (email practice)</t>
  </si>
  <si>
    <t xml:space="preserve">Broad portfolio decline redistributed through homepage</t>
  </si>
  <si>
    <t xml:space="preserve">Ahrefs Top Pages / source analysis; material loss documented; ActiveCampaign PDA (2025-01/2026-07)</t>
  </si>
  <si>
    <t xml:space="preserve">/blog/sales-development-representative</t>
  </si>
  <si>
    <t xml:space="preserve">Algorithmic Reassessment (content-type deprioritization)</t>
  </si>
  <si>
    <t xml:space="preserve">Stable rankings + traffic decline</t>
  </si>
  <si>
    <t xml:space="preserve">SERP Feature Displacement (PAA at #2, AIO at #4 not citing pricing page)</t>
  </si>
  <si>
    <t xml:space="preserve">High commercial intent, AI-answerable (pricing facts)</t>
  </si>
  <si>
    <t xml:space="preserve">/free-marketing-tools/subject-line-generator</t>
  </si>
  <si>
    <t xml:space="preserve">URL migration + AI tool competitive displacement</t>
  </si>
  <si>
    <t xml:space="preserve">Structural / URL change</t>
  </si>
  <si>
    <t xml:space="preserve">Tool or interactive</t>
  </si>
  <si>
    <t xml:space="preserve">Blog category (aggregate — multiple URLs)</t>
  </si>
  <si>
    <t xml:space="preserve">Conceptual / Editorial (mixed)</t>
  </si>
  <si>
    <t xml:space="preserve">Keyword disappearance / Ranking collapse</t>
  </si>
  <si>
    <t xml:space="preserve">Algorithmic Reassessment of definitional blog content</t>
  </si>
  <si>
    <t xml:space="preserve">Blog category aggregate; ActiveCampaign PDA (2025-01/2026-07)</t>
  </si>
  <si>
    <t xml:space="preserve">/platform/sales-crm</t>
  </si>
  <si>
    <t xml:space="preserve">Ahrefs Top Pages; stable cohort selection; ActiveCampaign PDA (2025-01/2026-07)</t>
  </si>
  <si>
    <t xml:space="preserve">/blog/company-slogans</t>
  </si>
  <si>
    <t xml:space="preserve">Ahrefs Top Pages; notable-page selection; ActiveCampaign PDA (2025-01/2026-07)</t>
  </si>
</sst>
</file>

<file path=xl/styles.xml><?xml version="1.0" encoding="utf-8"?>
<styleSheet xmlns="http://schemas.openxmlformats.org/spreadsheetml/2006/main">
  <numFmts count="6">
    <numFmt numFmtId="164" formatCode="General"/>
    <numFmt numFmtId="165" formatCode="yyyy\-mm"/>
    <numFmt numFmtId="166" formatCode="0.0%"/>
    <numFmt numFmtId="167" formatCode="yyyy\-mm\-dd\ h:mm:ss"/>
    <numFmt numFmtId="168" formatCode="yyyy\-mm\-dd"/>
    <numFmt numFmtId="169" formatCode="0.000"/>
  </numFmts>
  <fonts count="13">
    <font>
      <sz val="11"/>
      <color theme="1"/>
      <name val="Calibri"/>
      <family val="2"/>
      <charset val="1"/>
    </font>
    <font>
      <sz val="10"/>
      <name val="Arial"/>
      <family val="0"/>
    </font>
    <font>
      <sz val="10"/>
      <name val="Arial"/>
      <family val="0"/>
    </font>
    <font>
      <sz val="10"/>
      <name val="Arial"/>
      <family val="0"/>
    </font>
    <font>
      <i val="true"/>
      <sz val="10"/>
      <color rgb="FF333333"/>
      <name val="Arial"/>
      <family val="0"/>
      <charset val="1"/>
    </font>
    <font>
      <b val="true"/>
      <sz val="10"/>
      <color rgb="FFFFFFFF"/>
      <name val="Arial"/>
      <family val="0"/>
      <charset val="1"/>
    </font>
    <font>
      <i val="true"/>
      <sz val="10"/>
      <color rgb="FF555555"/>
      <name val="Arial"/>
      <family val="0"/>
      <charset val="1"/>
    </font>
    <font>
      <sz val="10"/>
      <name val="Arial"/>
      <family val="0"/>
      <charset val="1"/>
    </font>
    <font>
      <sz val="11"/>
      <name val="Calibri"/>
      <family val="0"/>
      <charset val="1"/>
    </font>
    <font>
      <b val="true"/>
      <sz val="13"/>
      <color rgb="FF162040"/>
      <name val="Arial"/>
      <family val="0"/>
      <charset val="1"/>
    </font>
    <font>
      <b val="true"/>
      <sz val="10"/>
      <name val="Arial"/>
      <family val="0"/>
      <charset val="1"/>
    </font>
    <font>
      <b val="true"/>
      <sz val="9"/>
      <color rgb="FFFFFFFF"/>
      <name val="Cambria"/>
      <family val="0"/>
      <charset val="1"/>
    </font>
    <font>
      <sz val="9"/>
      <name val="Cambria"/>
      <family val="0"/>
      <charset val="1"/>
    </font>
  </fonts>
  <fills count="10">
    <fill>
      <patternFill patternType="none"/>
    </fill>
    <fill>
      <patternFill patternType="gray125"/>
    </fill>
    <fill>
      <patternFill patternType="solid">
        <fgColor rgb="FFF0F4FF"/>
        <bgColor rgb="FFEBF3FB"/>
      </patternFill>
    </fill>
    <fill>
      <patternFill patternType="solid">
        <fgColor rgb="FF162040"/>
        <bgColor rgb="FF333333"/>
      </patternFill>
    </fill>
    <fill>
      <patternFill patternType="solid">
        <fgColor rgb="FFFFF9E6"/>
        <bgColor rgb="FFF5F5F5"/>
      </patternFill>
    </fill>
    <fill>
      <patternFill patternType="solid">
        <fgColor rgb="FFFFFFFF"/>
        <bgColor rgb="FFFFF9E6"/>
      </patternFill>
    </fill>
    <fill>
      <patternFill patternType="solid">
        <fgColor rgb="FFF5F5F5"/>
        <bgColor rgb="FFF0F4FF"/>
      </patternFill>
    </fill>
    <fill>
      <patternFill patternType="solid">
        <fgColor rgb="FF2F5496"/>
        <bgColor rgb="FF1F3864"/>
      </patternFill>
    </fill>
    <fill>
      <patternFill patternType="solid">
        <fgColor rgb="FF1F3864"/>
        <bgColor rgb="FF333333"/>
      </patternFill>
    </fill>
    <fill>
      <patternFill patternType="solid">
        <fgColor rgb="FFEBF3FB"/>
        <bgColor rgb="FFF0F4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center" textRotation="0" wrapText="true" indent="0" shrinkToFit="false"/>
      <protection locked="true" hidden="false"/>
    </xf>
    <xf numFmtId="164" fontId="5" fillId="3" borderId="0" xfId="0" applyFont="true" applyBorder="false" applyAlignment="true" applyProtection="true">
      <alignment horizontal="center" vertical="center" textRotation="0" wrapText="true" indent="0" shrinkToFit="false"/>
      <protection locked="true" hidden="false"/>
    </xf>
    <xf numFmtId="164" fontId="6" fillId="4" borderId="0" xfId="0" applyFont="true" applyBorder="false" applyAlignment="true" applyProtection="true">
      <alignment horizontal="general" vertical="center" textRotation="0" wrapText="true" indent="0" shrinkToFit="false"/>
      <protection locked="true" hidden="false"/>
    </xf>
    <xf numFmtId="165" fontId="6" fillId="4" borderId="0" xfId="0" applyFont="true" applyBorder="false" applyAlignment="true" applyProtection="true">
      <alignment horizontal="general" vertical="center" textRotation="0" wrapText="true" indent="0" shrinkToFit="false"/>
      <protection locked="true" hidden="false"/>
    </xf>
    <xf numFmtId="166" fontId="6" fillId="4" borderId="0" xfId="0" applyFont="true" applyBorder="false" applyAlignment="true" applyProtection="true">
      <alignment horizontal="general" vertical="center" textRotation="0" wrapText="true" indent="0" shrinkToFit="false"/>
      <protection locked="true" hidden="false"/>
    </xf>
    <xf numFmtId="164" fontId="6" fillId="5" borderId="0" xfId="0" applyFont="true" applyBorder="false" applyAlignment="true" applyProtection="true">
      <alignment horizontal="general" vertical="center" textRotation="0" wrapText="true" indent="0" shrinkToFit="false"/>
      <protection locked="true" hidden="false"/>
    </xf>
    <xf numFmtId="165" fontId="7" fillId="5" borderId="0" xfId="0" applyFont="true" applyBorder="false" applyAlignment="true" applyProtection="true">
      <alignment horizontal="general" vertical="center" textRotation="0" wrapText="true" indent="0" shrinkToFit="false"/>
      <protection locked="true" hidden="false"/>
    </xf>
    <xf numFmtId="164" fontId="7" fillId="6" borderId="0" xfId="0" applyFont="true" applyBorder="false" applyAlignment="true" applyProtection="true">
      <alignment horizontal="general" vertical="center" textRotation="0" wrapText="true" indent="0" shrinkToFit="false"/>
      <protection locked="true" hidden="false"/>
    </xf>
    <xf numFmtId="166" fontId="7" fillId="5" borderId="0" xfId="0" applyFont="true" applyBorder="false" applyAlignment="true" applyProtection="true">
      <alignment horizontal="general" vertical="center" textRotation="0" wrapText="true" indent="0" shrinkToFit="false"/>
      <protection locked="true" hidden="false"/>
    </xf>
    <xf numFmtId="166" fontId="6" fillId="5"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8" fontId="8" fillId="0" borderId="0" xfId="0" applyFont="true" applyBorder="false" applyAlignment="true" applyProtection="true">
      <alignment horizontal="general" vertical="top" textRotation="0" wrapText="true" indent="0" shrinkToFit="false"/>
      <protection locked="true" hidden="false"/>
    </xf>
    <xf numFmtId="166" fontId="8" fillId="0" borderId="0" xfId="0" applyFont="true" applyBorder="false" applyAlignment="true" applyProtection="true">
      <alignment horizontal="general" vertical="top" textRotation="0" wrapText="true" indent="0" shrinkToFit="false"/>
      <protection locked="true" hidden="false"/>
    </xf>
    <xf numFmtId="169"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top" textRotation="0" wrapText="false" indent="0" shrinkToFit="false"/>
      <protection locked="true" hidden="false"/>
    </xf>
    <xf numFmtId="164" fontId="5" fillId="3"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7" borderId="0" xfId="0" applyFont="true" applyBorder="true" applyAlignment="true" applyProtection="true">
      <alignment horizontal="general" vertical="bottom" textRotation="0" wrapText="true" indent="0" shrinkToFit="false"/>
      <protection locked="true" hidden="false"/>
    </xf>
    <xf numFmtId="164" fontId="11" fillId="8" borderId="0" xfId="0" applyFont="true" applyBorder="false" applyAlignment="true" applyProtection="true">
      <alignment horizontal="general" vertical="bottom" textRotation="0" wrapText="true" indent="0" shrinkToFit="false"/>
      <protection locked="true" hidden="false"/>
    </xf>
    <xf numFmtId="164" fontId="12" fillId="5" borderId="0" xfId="0" applyFont="true" applyBorder="false" applyAlignment="true" applyProtection="true">
      <alignment horizontal="general" vertical="bottom" textRotation="0" wrapText="true" indent="0" shrinkToFit="false"/>
      <protection locked="true" hidden="false"/>
    </xf>
    <xf numFmtId="166" fontId="12" fillId="5" borderId="0" xfId="0" applyFont="true" applyBorder="false" applyAlignment="true" applyProtection="true">
      <alignment horizontal="general" vertical="bottom" textRotation="0" wrapText="true" indent="0" shrinkToFit="false"/>
      <protection locked="true" hidden="false"/>
    </xf>
    <xf numFmtId="164" fontId="12" fillId="9" borderId="0" xfId="0" applyFont="true" applyBorder="false" applyAlignment="true" applyProtection="true">
      <alignment horizontal="general" vertical="bottom" textRotation="0" wrapText="true" indent="0" shrinkToFit="false"/>
      <protection locked="true" hidden="false"/>
    </xf>
    <xf numFmtId="166" fontId="12" fillId="9"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62040"/>
          <bgColor rgb="FF000000"/>
        </patternFill>
      </fill>
    </dxf>
    <dxf>
      <fill>
        <patternFill patternType="solid">
          <fgColor rgb="FFF0F4FF"/>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E6"/>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0F4FF"/>
      <rgbColor rgb="FFF5F5F5"/>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16204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3" min="2" style="1" width="22"/>
    <col collapsed="false" customWidth="true" hidden="false" outlineLevel="0" max="4" min="4" style="1" width="20"/>
    <col collapsed="false" customWidth="true" hidden="false" outlineLevel="0" max="5" min="5" style="1" width="24"/>
    <col collapsed="false" customWidth="true" hidden="false" outlineLevel="0" max="6" min="6" style="1" width="14"/>
    <col collapsed="false" customWidth="true" hidden="false" outlineLevel="0" max="8" min="7" style="1" width="16"/>
    <col collapsed="false" customWidth="true" hidden="false" outlineLevel="0" max="9" min="9" style="1" width="18"/>
    <col collapsed="false" customWidth="true" hidden="false" outlineLevel="0" max="10" min="10" style="1" width="14"/>
    <col collapsed="false" customWidth="true" hidden="false" outlineLevel="0" max="12" min="11" style="1" width="16"/>
    <col collapsed="false" customWidth="true" hidden="false" outlineLevel="0" max="13" min="13" style="1" width="18"/>
    <col collapsed="false" customWidth="true" hidden="false" outlineLevel="0" max="14" min="14" style="1" width="24"/>
    <col collapsed="false" customWidth="true" hidden="false" outlineLevel="0" max="15" min="15" style="1" width="22"/>
    <col collapsed="false" customWidth="true" hidden="false" outlineLevel="0" max="16" min="16" style="1" width="15"/>
    <col collapsed="false" customWidth="true" hidden="false" outlineLevel="0" max="17" min="17" style="1" width="20"/>
    <col collapsed="false" customWidth="true" hidden="false" outlineLevel="0" max="18" min="18" style="1" width="12"/>
    <col collapsed="false" customWidth="true" hidden="false" outlineLevel="0" max="19" min="19" style="1" width="24"/>
    <col collapsed="false" customWidth="true" hidden="false" outlineLevel="0" max="20" min="20" style="1" width="16"/>
    <col collapsed="false" customWidth="true" hidden="false" outlineLevel="0" max="21" min="21" style="1" width="20"/>
    <col collapsed="false" customWidth="true" hidden="false" outlineLevel="0" max="22" min="22" style="1" width="22"/>
    <col collapsed="false" customWidth="true" hidden="false" outlineLevel="0" max="23" min="23" style="1" width="24"/>
    <col collapsed="false" customWidth="true" hidden="false" outlineLevel="0" max="25" min="24" style="1" width="18"/>
    <col collapsed="false" customWidth="true" hidden="false" outlineLevel="0" max="28" min="26" style="1" width="20"/>
    <col collapsed="false" customWidth="true" hidden="false" outlineLevel="0" max="29" min="29" style="1" width="28"/>
    <col collapsed="false" customWidth="true" hidden="false" outlineLevel="0" max="31" min="30" style="1" width="20"/>
    <col collapsed="false" customWidth="true" hidden="false" outlineLevel="0" max="32" min="32" style="1" width="18"/>
    <col collapsed="false" customWidth="true" hidden="false" outlineLevel="0" max="34" min="33" style="1" width="22"/>
    <col collapsed="false" customWidth="true" hidden="false" outlineLevel="0" max="35" min="35" style="1" width="18"/>
    <col collapsed="false" customWidth="true" hidden="false" outlineLevel="0" max="36" min="36" style="1" width="28"/>
    <col collapsed="false" customWidth="true" hidden="false" outlineLevel="0" max="37" min="37" style="1" width="30"/>
    <col collapsed="false" customWidth="true" hidden="false" outlineLevel="0" max="38" min="38" style="1" width="40"/>
    <col collapsed="false" customWidth="true" hidden="false" outlineLevel="0" max="39" min="39" style="1" width="36"/>
    <col collapsed="false" customWidth="true" hidden="false" outlineLevel="0" max="40" min="40" style="1" width="28"/>
  </cols>
  <sheetData>
    <row r="1" customFormat="false" ht="43.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customFormat="false" ht="43.5" hidden="false" customHeight="true" outlineLevel="0" collapsed="false">
      <c r="A2" s="3"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c r="V2" s="3" t="s">
        <v>22</v>
      </c>
      <c r="W2" s="3" t="s">
        <v>23</v>
      </c>
      <c r="X2" s="3" t="s">
        <v>24</v>
      </c>
      <c r="Y2" s="3" t="s">
        <v>25</v>
      </c>
      <c r="Z2" s="3" t="s">
        <v>26</v>
      </c>
      <c r="AA2" s="3" t="s">
        <v>27</v>
      </c>
      <c r="AB2" s="3" t="s">
        <v>28</v>
      </c>
      <c r="AC2" s="3" t="s">
        <v>29</v>
      </c>
      <c r="AD2" s="3" t="s">
        <v>30</v>
      </c>
      <c r="AE2" s="3" t="s">
        <v>31</v>
      </c>
      <c r="AF2" s="3" t="s">
        <v>32</v>
      </c>
      <c r="AG2" s="3" t="s">
        <v>33</v>
      </c>
      <c r="AH2" s="3" t="s">
        <v>34</v>
      </c>
      <c r="AI2" s="3" t="s">
        <v>35</v>
      </c>
      <c r="AJ2" s="3" t="s">
        <v>36</v>
      </c>
      <c r="AK2" s="3" t="s">
        <v>37</v>
      </c>
      <c r="AL2" s="3" t="s">
        <v>38</v>
      </c>
      <c r="AM2" s="3" t="s">
        <v>39</v>
      </c>
      <c r="AN2" s="3" t="s">
        <v>40</v>
      </c>
      <c r="AO2" s="3" t="s">
        <v>41</v>
      </c>
      <c r="AP2" s="3" t="s">
        <v>42</v>
      </c>
      <c r="AQ2" s="3" t="s">
        <v>43</v>
      </c>
      <c r="AR2" s="3" t="s">
        <v>44</v>
      </c>
      <c r="AS2" s="3" t="s">
        <v>45</v>
      </c>
      <c r="AT2" s="3" t="s">
        <v>46</v>
      </c>
      <c r="AU2" s="1" t="s">
        <v>47</v>
      </c>
    </row>
    <row r="3" customFormat="false" ht="31.5" hidden="false" customHeight="true" outlineLevel="0" collapsed="false">
      <c r="A3" s="4" t="s">
        <v>48</v>
      </c>
      <c r="B3" s="4" t="s">
        <v>49</v>
      </c>
      <c r="C3" s="4" t="s">
        <v>50</v>
      </c>
      <c r="D3" s="4" t="s">
        <v>51</v>
      </c>
      <c r="E3" s="4" t="s">
        <v>52</v>
      </c>
      <c r="F3" s="4" t="s">
        <v>53</v>
      </c>
      <c r="G3" s="5" t="n">
        <v>45658</v>
      </c>
      <c r="H3" s="5" t="n">
        <v>46174</v>
      </c>
      <c r="I3" s="4" t="n">
        <f aca="false">IF(AND(G3&lt;&gt;"",H3&lt;&gt;""),(YEAR(H3)-YEAR(G3))*12+(MONTH(H3)-MONTH(G3)),"")</f>
        <v>17</v>
      </c>
      <c r="J3" s="5" t="n">
        <v>46202</v>
      </c>
      <c r="K3" s="5"/>
      <c r="L3" s="4" t="s">
        <v>54</v>
      </c>
      <c r="M3" s="4" t="s">
        <v>55</v>
      </c>
      <c r="N3" s="4" t="s">
        <v>56</v>
      </c>
      <c r="O3" s="4" t="s">
        <v>57</v>
      </c>
      <c r="P3" s="6" t="n">
        <v>-0.72</v>
      </c>
      <c r="Q3" s="4" t="str">
        <f aca="false">IF(P3="","",IF(P3&gt;0.5,"Growth &gt;50%",IF(P3&gt;0.1,"Growth 10-50%",IF(P3&gt;=-0.1,"Flat",IF(P3&gt;=-0.25,"Decline 10-25%",IF(P3&gt;=-0.5,"Decline 25-50%",IF(P3&gt;=-0.75,"Decline 50-75%","Decline &gt;75%")))))))</f>
        <v>Decline 50-75%</v>
      </c>
      <c r="R3" s="4" t="s">
        <v>58</v>
      </c>
      <c r="S3" s="4" t="s">
        <v>59</v>
      </c>
      <c r="T3" s="4" t="s">
        <v>60</v>
      </c>
      <c r="U3" s="4" t="s">
        <v>61</v>
      </c>
      <c r="V3" s="4" t="s">
        <v>62</v>
      </c>
      <c r="W3" s="1" t="s">
        <v>63</v>
      </c>
      <c r="X3" s="4" t="s">
        <v>64</v>
      </c>
      <c r="Y3" s="4" t="s">
        <v>65</v>
      </c>
      <c r="Z3" s="4" t="s">
        <v>66</v>
      </c>
      <c r="AA3" s="4" t="s">
        <v>67</v>
      </c>
      <c r="AB3" s="4" t="s">
        <v>68</v>
      </c>
      <c r="AC3" s="1" t="s">
        <v>69</v>
      </c>
      <c r="AD3" s="1" t="s">
        <v>70</v>
      </c>
      <c r="AE3" s="1" t="s">
        <v>69</v>
      </c>
      <c r="AF3" s="6"/>
      <c r="AG3" s="6"/>
      <c r="AH3" s="4" t="s">
        <v>71</v>
      </c>
      <c r="AI3" s="4" t="s">
        <v>69</v>
      </c>
      <c r="AJ3" s="4" t="s">
        <v>63</v>
      </c>
      <c r="AK3" s="4" t="s">
        <v>68</v>
      </c>
      <c r="AL3" s="4" t="s">
        <v>72</v>
      </c>
      <c r="AM3" s="4" t="s">
        <v>73</v>
      </c>
      <c r="AN3" s="4" t="s">
        <v>74</v>
      </c>
      <c r="AO3" s="4" t="s">
        <v>75</v>
      </c>
      <c r="AP3" s="4" t="s">
        <v>76</v>
      </c>
      <c r="AQ3" s="1" t="s">
        <v>77</v>
      </c>
      <c r="AR3" s="4" t="s">
        <v>78</v>
      </c>
      <c r="AS3" s="4" t="s">
        <v>79</v>
      </c>
      <c r="AT3" s="4" t="s">
        <v>66</v>
      </c>
      <c r="AU3" s="1" t="s">
        <v>63</v>
      </c>
    </row>
    <row r="4" customFormat="false" ht="24" hidden="false" customHeight="true" outlineLevel="0" collapsed="false">
      <c r="A4" s="7" t="s">
        <v>80</v>
      </c>
      <c r="B4" s="7" t="s">
        <v>81</v>
      </c>
      <c r="C4" s="7" t="s">
        <v>82</v>
      </c>
      <c r="D4" s="7" t="s">
        <v>83</v>
      </c>
      <c r="E4" s="7" t="s">
        <v>84</v>
      </c>
      <c r="F4" s="7" t="s">
        <v>53</v>
      </c>
      <c r="G4" s="8" t="n">
        <v>45658</v>
      </c>
      <c r="H4" s="8" t="n">
        <v>46174</v>
      </c>
      <c r="I4" s="9" t="n">
        <f aca="false">IF(AND(G4&lt;&gt;"",H4&lt;&gt;""),(YEAR(H4)-YEAR(G4))*12+(MONTH(H4)-MONTH(G4)),"")</f>
        <v>17</v>
      </c>
      <c r="J4" s="8" t="n">
        <v>46202</v>
      </c>
      <c r="K4" s="8"/>
      <c r="L4" s="7" t="s">
        <v>54</v>
      </c>
      <c r="M4" s="7" t="s">
        <v>55</v>
      </c>
      <c r="N4" s="7" t="s">
        <v>56</v>
      </c>
      <c r="O4" s="7" t="s">
        <v>57</v>
      </c>
      <c r="P4" s="10" t="n">
        <v>2.531</v>
      </c>
      <c r="Q4" s="9" t="str">
        <f aca="false">IF(P4="","",IF(P4&gt;0.5,"Growth &gt;50%",IF(P4&gt;0.1,"Growth 10-50%",IF(P4&gt;=-0.1,"Flat",IF(P4&gt;=-0.25,"Decline 10-25%",IF(P4&gt;=-0.5,"Decline 25-50%",IF(P4&gt;=-0.75,"Decline 50-75%","Decline &gt;75%")))))))</f>
        <v>Growth &gt;50%</v>
      </c>
      <c r="R4" s="7" t="s">
        <v>85</v>
      </c>
      <c r="S4" s="7" t="s">
        <v>86</v>
      </c>
      <c r="T4" s="7" t="s">
        <v>87</v>
      </c>
      <c r="U4" s="7" t="s">
        <v>88</v>
      </c>
      <c r="V4" s="7" t="s">
        <v>62</v>
      </c>
      <c r="W4" s="1" t="s">
        <v>63</v>
      </c>
      <c r="X4" s="7" t="s">
        <v>89</v>
      </c>
      <c r="Y4" s="7"/>
      <c r="Z4" s="7" t="s">
        <v>66</v>
      </c>
      <c r="AA4" s="7" t="s">
        <v>67</v>
      </c>
      <c r="AB4" s="7" t="s">
        <v>66</v>
      </c>
      <c r="AC4" s="1" t="s">
        <v>69</v>
      </c>
      <c r="AD4" s="1" t="s">
        <v>70</v>
      </c>
      <c r="AE4" s="1" t="s">
        <v>69</v>
      </c>
      <c r="AF4" s="10"/>
      <c r="AG4" s="11"/>
      <c r="AH4" s="7" t="s">
        <v>90</v>
      </c>
      <c r="AI4" s="7" t="s">
        <v>69</v>
      </c>
      <c r="AJ4" s="7" t="s">
        <v>63</v>
      </c>
      <c r="AK4" s="7" t="s">
        <v>66</v>
      </c>
      <c r="AL4" s="7" t="s">
        <v>72</v>
      </c>
      <c r="AM4" s="7" t="s">
        <v>73</v>
      </c>
      <c r="AN4" s="7" t="s">
        <v>91</v>
      </c>
      <c r="AO4" s="7" t="s">
        <v>92</v>
      </c>
      <c r="AP4" s="7" t="s">
        <v>61</v>
      </c>
      <c r="AQ4" s="1" t="s">
        <v>68</v>
      </c>
      <c r="AR4" s="7" t="s">
        <v>93</v>
      </c>
      <c r="AS4" s="7" t="s">
        <v>94</v>
      </c>
      <c r="AT4" s="7" t="s">
        <v>66</v>
      </c>
      <c r="AU4" s="1" t="s">
        <v>63</v>
      </c>
    </row>
    <row r="5" customFormat="false" ht="90.75" hidden="false" customHeight="true" outlineLevel="0" collapsed="false">
      <c r="A5" s="12" t="s">
        <v>95</v>
      </c>
      <c r="B5" s="12" t="s">
        <v>96</v>
      </c>
      <c r="C5" s="12" t="s">
        <v>97</v>
      </c>
      <c r="D5" s="12" t="s">
        <v>83</v>
      </c>
      <c r="E5" s="12" t="s">
        <v>98</v>
      </c>
      <c r="F5" s="12" t="s">
        <v>99</v>
      </c>
      <c r="G5" s="13" t="n">
        <v>45658</v>
      </c>
      <c r="H5" s="13" t="n">
        <v>46174</v>
      </c>
      <c r="I5" s="1" t="n">
        <f aca="false">IF(AND(G5&lt;&gt;"",H5&lt;&gt;""),(YEAR(H5)-YEAR(G5))*12+(MONTH(H5)-MONTH(G5)),"")</f>
        <v>17</v>
      </c>
      <c r="J5" s="13" t="n">
        <v>46203</v>
      </c>
      <c r="K5" s="13"/>
      <c r="L5" s="12" t="s">
        <v>54</v>
      </c>
      <c r="M5" s="12" t="s">
        <v>55</v>
      </c>
      <c r="N5" s="12" t="s">
        <v>56</v>
      </c>
      <c r="O5" s="12" t="s">
        <v>57</v>
      </c>
      <c r="P5" s="14" t="n">
        <v>-0.424</v>
      </c>
      <c r="Q5" s="1" t="str">
        <f aca="false">IF(P5="","",IF(P5&gt;0.5,"Growth &gt;50%",IF(P5&gt;0.1,"Growth 10-50%",IF(P5&gt;=-0.1,"Flat",IF(P5&gt;=-0.25,"Decline 10-25%",IF(P5&gt;=-0.5,"Decline 25-50%",IF(P5&gt;=-0.75,"Decline 50-75%","Decline &gt;75%")))))))</f>
        <v>Decline 25-50%</v>
      </c>
      <c r="R5" s="12" t="s">
        <v>58</v>
      </c>
      <c r="S5" s="12" t="s">
        <v>100</v>
      </c>
      <c r="T5" s="12" t="s">
        <v>60</v>
      </c>
      <c r="U5" s="12" t="s">
        <v>74</v>
      </c>
      <c r="V5" s="12" t="s">
        <v>63</v>
      </c>
      <c r="W5" s="1" t="s">
        <v>63</v>
      </c>
      <c r="X5" s="12" t="s">
        <v>65</v>
      </c>
      <c r="Y5" s="12" t="s">
        <v>101</v>
      </c>
      <c r="Z5" s="12" t="s">
        <v>66</v>
      </c>
      <c r="AA5" s="12" t="s">
        <v>102</v>
      </c>
      <c r="AB5" s="12" t="s">
        <v>68</v>
      </c>
      <c r="AC5" s="1" t="s">
        <v>69</v>
      </c>
      <c r="AD5" s="1" t="s">
        <v>103</v>
      </c>
      <c r="AE5" s="1" t="s">
        <v>69</v>
      </c>
      <c r="AF5" s="14" t="n">
        <v>2.866</v>
      </c>
      <c r="AG5" s="12"/>
      <c r="AH5" s="12" t="s">
        <v>104</v>
      </c>
      <c r="AI5" s="12" t="s">
        <v>91</v>
      </c>
      <c r="AJ5" s="12" t="s">
        <v>63</v>
      </c>
      <c r="AK5" s="12" t="s">
        <v>66</v>
      </c>
      <c r="AL5" s="12" t="s">
        <v>72</v>
      </c>
      <c r="AM5" s="12" t="s">
        <v>73</v>
      </c>
      <c r="AN5" s="12" t="s">
        <v>91</v>
      </c>
      <c r="AO5" s="12" t="s">
        <v>105</v>
      </c>
      <c r="AP5" s="12" t="s">
        <v>61</v>
      </c>
      <c r="AQ5" s="1" t="s">
        <v>84</v>
      </c>
      <c r="AR5" s="12" t="s">
        <v>106</v>
      </c>
      <c r="AS5" s="12" t="s">
        <v>107</v>
      </c>
      <c r="AT5" s="12" t="s">
        <v>66</v>
      </c>
      <c r="AU5" s="1" t="s">
        <v>63</v>
      </c>
    </row>
    <row r="6" customFormat="false" ht="15" hidden="false" customHeight="true" outlineLevel="0" collapsed="false">
      <c r="A6" s="1" t="s">
        <v>108</v>
      </c>
      <c r="B6" s="1" t="s">
        <v>109</v>
      </c>
      <c r="C6" s="1" t="s">
        <v>50</v>
      </c>
      <c r="D6" s="1" t="s">
        <v>83</v>
      </c>
      <c r="E6" s="1" t="s">
        <v>98</v>
      </c>
      <c r="F6" s="1" t="s">
        <v>99</v>
      </c>
      <c r="G6" s="15" t="n">
        <v>45658</v>
      </c>
      <c r="H6" s="15" t="n">
        <v>46174</v>
      </c>
      <c r="I6" s="1" t="n">
        <f aca="false">IF(AND(G6&lt;&gt;"",H6&lt;&gt;""),(YEAR(H6)-YEAR(G6))*12+(MONTH(H6)-MONTH(G6)),"")</f>
        <v>17</v>
      </c>
      <c r="J6" s="15" t="n">
        <v>46202</v>
      </c>
      <c r="L6" s="1" t="s">
        <v>54</v>
      </c>
      <c r="M6" s="1" t="s">
        <v>55</v>
      </c>
      <c r="N6" s="1" t="s">
        <v>56</v>
      </c>
      <c r="O6" s="1" t="s">
        <v>57</v>
      </c>
      <c r="P6" s="1" t="n">
        <v>0.373</v>
      </c>
      <c r="Q6" s="1" t="str">
        <f aca="false">IF(P6="","",IF(P6&gt;0.5,"Growth &gt;50%",IF(P6&gt;0.1,"Growth 10-50%",IF(P6&gt;=-0.1,"Flat",IF(P6&gt;=-0.25,"Decline 10-25%",IF(P6&gt;=-0.5,"Decline 25-50%",IF(P6&gt;=-0.75,"Decline 50-75%","Decline &gt;75%")))))))</f>
        <v>Growth 10-50%</v>
      </c>
      <c r="R6" s="1" t="s">
        <v>85</v>
      </c>
      <c r="S6" s="1" t="s">
        <v>110</v>
      </c>
      <c r="T6" s="1" t="s">
        <v>87</v>
      </c>
      <c r="U6" s="1" t="s">
        <v>111</v>
      </c>
      <c r="V6" s="1" t="s">
        <v>112</v>
      </c>
      <c r="W6" s="1" t="s">
        <v>63</v>
      </c>
      <c r="X6" s="1" t="s">
        <v>113</v>
      </c>
      <c r="Y6" s="1" t="s">
        <v>114</v>
      </c>
      <c r="Z6" s="1" t="s">
        <v>66</v>
      </c>
      <c r="AA6" s="1" t="s">
        <v>102</v>
      </c>
      <c r="AB6" s="1" t="s">
        <v>66</v>
      </c>
      <c r="AC6" s="1" t="s">
        <v>69</v>
      </c>
      <c r="AD6" s="1" t="s">
        <v>84</v>
      </c>
      <c r="AE6" s="1" t="s">
        <v>69</v>
      </c>
      <c r="AG6" s="1" t="n">
        <v>0.568</v>
      </c>
      <c r="AH6" s="1" t="s">
        <v>115</v>
      </c>
      <c r="AI6" s="1" t="s">
        <v>69</v>
      </c>
      <c r="AJ6" s="1" t="s">
        <v>63</v>
      </c>
      <c r="AK6" s="1" t="s">
        <v>66</v>
      </c>
      <c r="AL6" s="1" t="s">
        <v>72</v>
      </c>
      <c r="AM6" s="1" t="s">
        <v>73</v>
      </c>
      <c r="AN6" s="1" t="s">
        <v>74</v>
      </c>
      <c r="AO6" s="1" t="s">
        <v>116</v>
      </c>
      <c r="AP6" s="1" t="s">
        <v>76</v>
      </c>
      <c r="AQ6" s="1" t="s">
        <v>68</v>
      </c>
      <c r="AR6" s="1" t="s">
        <v>117</v>
      </c>
      <c r="AS6" s="1" t="s">
        <v>118</v>
      </c>
      <c r="AT6" s="1" t="s">
        <v>66</v>
      </c>
      <c r="AU6" s="1" t="s">
        <v>63</v>
      </c>
    </row>
    <row r="7" customFormat="false" ht="15" hidden="false" customHeight="true" outlineLevel="0" collapsed="false">
      <c r="A7" s="1" t="s">
        <v>119</v>
      </c>
      <c r="B7" s="1" t="s">
        <v>120</v>
      </c>
      <c r="C7" s="1" t="s">
        <v>50</v>
      </c>
      <c r="D7" s="1" t="s">
        <v>83</v>
      </c>
      <c r="E7" s="1" t="s">
        <v>98</v>
      </c>
      <c r="F7" s="1" t="s">
        <v>99</v>
      </c>
      <c r="G7" s="15" t="n">
        <v>45658</v>
      </c>
      <c r="H7" s="15" t="n">
        <v>46174</v>
      </c>
      <c r="I7" s="1" t="n">
        <f aca="false">IF(AND(G7&lt;&gt;"",H7&lt;&gt;""),(YEAR(H7)-YEAR(G7))*12+(MONTH(H7)-MONTH(G7)),"")</f>
        <v>17</v>
      </c>
      <c r="J7" s="15" t="n">
        <v>46202</v>
      </c>
      <c r="K7" s="1" t="s">
        <v>121</v>
      </c>
      <c r="L7" s="1" t="s">
        <v>122</v>
      </c>
      <c r="M7" s="1" t="s">
        <v>55</v>
      </c>
      <c r="N7" s="1" t="s">
        <v>56</v>
      </c>
      <c r="O7" s="1" t="s">
        <v>57</v>
      </c>
      <c r="P7" s="1" t="n">
        <v>0.529</v>
      </c>
      <c r="Q7" s="1" t="str">
        <f aca="false">IF(P7="","",IF(P7&gt;0.5,"Growth &gt;50%",IF(P7&gt;0.1,"Growth 10-50%",IF(P7&gt;=-0.1,"Flat",IF(P7&gt;=-0.25,"Decline 10-25%",IF(P7&gt;=-0.5,"Decline 25-50%",IF(P7&gt;=-0.75,"Decline 50-75%","Decline &gt;75%")))))))</f>
        <v>Growth &gt;50%</v>
      </c>
      <c r="R7" s="1" t="s">
        <v>85</v>
      </c>
      <c r="S7" s="1" t="s">
        <v>86</v>
      </c>
      <c r="T7" s="1" t="s">
        <v>87</v>
      </c>
      <c r="U7" s="1" t="s">
        <v>88</v>
      </c>
      <c r="V7" s="1" t="s">
        <v>62</v>
      </c>
      <c r="W7" s="1" t="s">
        <v>63</v>
      </c>
      <c r="X7" s="1" t="s">
        <v>113</v>
      </c>
      <c r="Y7" s="1" t="s">
        <v>114</v>
      </c>
      <c r="Z7" s="1" t="s">
        <v>66</v>
      </c>
      <c r="AA7" s="1" t="s">
        <v>102</v>
      </c>
      <c r="AB7" s="1" t="s">
        <v>68</v>
      </c>
      <c r="AC7" s="1" t="s">
        <v>123</v>
      </c>
      <c r="AD7" s="1" t="s">
        <v>124</v>
      </c>
      <c r="AE7" s="1" t="s">
        <v>125</v>
      </c>
      <c r="AF7" s="1" t="n">
        <v>0.094</v>
      </c>
      <c r="AG7" s="1" t="n">
        <v>0.7</v>
      </c>
      <c r="AH7" s="1" t="s">
        <v>126</v>
      </c>
      <c r="AI7" s="1" t="s">
        <v>91</v>
      </c>
      <c r="AJ7" s="1" t="s">
        <v>63</v>
      </c>
      <c r="AK7" s="1" t="s">
        <v>66</v>
      </c>
      <c r="AL7" s="1" t="s">
        <v>72</v>
      </c>
      <c r="AM7" s="1" t="s">
        <v>73</v>
      </c>
      <c r="AN7" s="1" t="s">
        <v>74</v>
      </c>
      <c r="AO7" s="1" t="s">
        <v>127</v>
      </c>
      <c r="AP7" s="1" t="s">
        <v>128</v>
      </c>
      <c r="AQ7" s="1" t="s">
        <v>68</v>
      </c>
      <c r="AR7" s="1" t="s">
        <v>129</v>
      </c>
      <c r="AS7" s="1" t="s">
        <v>130</v>
      </c>
      <c r="AT7" s="1" t="s">
        <v>66</v>
      </c>
      <c r="AU7" s="1" t="s">
        <v>63</v>
      </c>
    </row>
    <row r="8" customFormat="false" ht="15" hidden="false" customHeight="true" outlineLevel="0" collapsed="false">
      <c r="A8" s="1" t="s">
        <v>131</v>
      </c>
      <c r="B8" s="1" t="s">
        <v>132</v>
      </c>
      <c r="C8" s="1" t="s">
        <v>50</v>
      </c>
      <c r="D8" s="1" t="s">
        <v>83</v>
      </c>
      <c r="E8" s="1" t="s">
        <v>98</v>
      </c>
      <c r="F8" s="1" t="s">
        <v>99</v>
      </c>
      <c r="G8" s="15" t="n">
        <v>45658</v>
      </c>
      <c r="H8" s="15" t="n">
        <v>46174</v>
      </c>
      <c r="I8" s="1" t="n">
        <f aca="false">IF(AND(G8&lt;&gt;"",H8&lt;&gt;""),(YEAR(H8)-YEAR(G8))*12+(MONTH(H8)-MONTH(G8)),"")</f>
        <v>17</v>
      </c>
      <c r="J8" s="15" t="n">
        <v>46202</v>
      </c>
      <c r="L8" s="1" t="s">
        <v>54</v>
      </c>
      <c r="M8" s="1" t="s">
        <v>55</v>
      </c>
      <c r="N8" s="1" t="s">
        <v>56</v>
      </c>
      <c r="O8" s="1" t="s">
        <v>57</v>
      </c>
      <c r="P8" s="1" t="n">
        <v>0.719</v>
      </c>
      <c r="Q8" s="1" t="str">
        <f aca="false">IF(P8="","",IF(P8&gt;0.5,"Growth &gt;50%",IF(P8&gt;0.1,"Growth 10-50%",IF(P8&gt;=-0.1,"Flat",IF(P8&gt;=-0.25,"Decline 10-25%",IF(P8&gt;=-0.5,"Decline 25-50%",IF(P8&gt;=-0.75,"Decline 50-75%","Decline &gt;75%")))))))</f>
        <v>Growth &gt;50%</v>
      </c>
      <c r="R8" s="1" t="s">
        <v>85</v>
      </c>
      <c r="S8" s="1" t="s">
        <v>86</v>
      </c>
      <c r="T8" s="1" t="s">
        <v>87</v>
      </c>
      <c r="U8" s="1" t="s">
        <v>111</v>
      </c>
      <c r="V8" s="1" t="s">
        <v>112</v>
      </c>
      <c r="W8" s="1" t="s">
        <v>63</v>
      </c>
      <c r="X8" s="1" t="s">
        <v>133</v>
      </c>
      <c r="Y8" s="1" t="s">
        <v>114</v>
      </c>
      <c r="Z8" s="1" t="s">
        <v>66</v>
      </c>
      <c r="AA8" s="1" t="s">
        <v>102</v>
      </c>
      <c r="AB8" s="1" t="s">
        <v>68</v>
      </c>
      <c r="AC8" s="1" t="s">
        <v>69</v>
      </c>
      <c r="AD8" s="1" t="s">
        <v>70</v>
      </c>
      <c r="AE8" s="1" t="s">
        <v>69</v>
      </c>
      <c r="AH8" s="1" t="s">
        <v>134</v>
      </c>
      <c r="AI8" s="1" t="s">
        <v>69</v>
      </c>
      <c r="AJ8" s="1" t="s">
        <v>63</v>
      </c>
      <c r="AK8" s="1" t="s">
        <v>77</v>
      </c>
      <c r="AL8" s="1" t="s">
        <v>72</v>
      </c>
      <c r="AM8" s="1" t="s">
        <v>73</v>
      </c>
      <c r="AN8" s="1" t="s">
        <v>74</v>
      </c>
      <c r="AO8" s="1" t="s">
        <v>135</v>
      </c>
      <c r="AP8" s="1" t="s">
        <v>76</v>
      </c>
      <c r="AQ8" s="1" t="s">
        <v>84</v>
      </c>
      <c r="AR8" s="1" t="s">
        <v>136</v>
      </c>
      <c r="AS8" s="1" t="s">
        <v>137</v>
      </c>
      <c r="AT8" s="1" t="s">
        <v>77</v>
      </c>
      <c r="AU8" s="1" t="s">
        <v>63</v>
      </c>
    </row>
    <row r="9" customFormat="false" ht="15" hidden="false" customHeight="true" outlineLevel="0" collapsed="false">
      <c r="A9" s="1" t="s">
        <v>138</v>
      </c>
      <c r="B9" s="1" t="s">
        <v>139</v>
      </c>
      <c r="C9" s="1" t="s">
        <v>140</v>
      </c>
      <c r="D9" s="1" t="s">
        <v>83</v>
      </c>
      <c r="E9" s="1" t="s">
        <v>98</v>
      </c>
      <c r="F9" s="1" t="s">
        <v>53</v>
      </c>
      <c r="G9" s="15" t="n">
        <v>45658</v>
      </c>
      <c r="H9" s="15" t="n">
        <v>46174</v>
      </c>
      <c r="I9" s="1" t="n">
        <f aca="false">IF(AND(G9&lt;&gt;"",H9&lt;&gt;""),(YEAR(H9)-YEAR(G9))*12+(MONTH(H9)-MONTH(G9)),"")</f>
        <v>17</v>
      </c>
      <c r="J9" s="15" t="n">
        <v>46202</v>
      </c>
      <c r="L9" s="1" t="s">
        <v>54</v>
      </c>
      <c r="M9" s="1" t="s">
        <v>55</v>
      </c>
      <c r="N9" s="1" t="s">
        <v>56</v>
      </c>
      <c r="O9" s="1" t="s">
        <v>57</v>
      </c>
      <c r="P9" s="14" t="n">
        <v>0.599</v>
      </c>
      <c r="Q9" s="1" t="str">
        <f aca="false">IF(P9="","",IF(P9&gt;0.5,"Growth &gt;50%",IF(P9&gt;0.1,"Growth 10-50%",IF(P9&gt;=-0.1,"Flat",IF(P9&gt;=-0.25,"Decline 10-25%",IF(P9&gt;=-0.5,"Decline 25-50%",IF(P9&gt;=-0.75,"Decline 50-75%","Decline &gt;75%")))))))</f>
        <v>Growth &gt;50%</v>
      </c>
      <c r="R9" s="1" t="s">
        <v>85</v>
      </c>
      <c r="S9" s="1" t="s">
        <v>86</v>
      </c>
      <c r="T9" s="1" t="s">
        <v>87</v>
      </c>
      <c r="U9" s="1" t="s">
        <v>88</v>
      </c>
      <c r="V9" s="1" t="s">
        <v>62</v>
      </c>
      <c r="W9" s="1" t="s">
        <v>63</v>
      </c>
      <c r="X9" s="1" t="s">
        <v>113</v>
      </c>
      <c r="Y9" s="1" t="s">
        <v>141</v>
      </c>
      <c r="Z9" s="1" t="s">
        <v>68</v>
      </c>
      <c r="AA9" s="1" t="s">
        <v>61</v>
      </c>
      <c r="AB9" s="1" t="s">
        <v>66</v>
      </c>
      <c r="AC9" s="1" t="s">
        <v>69</v>
      </c>
      <c r="AD9" s="1" t="s">
        <v>70</v>
      </c>
      <c r="AE9" s="1" t="s">
        <v>69</v>
      </c>
      <c r="AH9" s="1" t="s">
        <v>142</v>
      </c>
      <c r="AI9" s="1" t="s">
        <v>69</v>
      </c>
      <c r="AJ9" s="1" t="s">
        <v>63</v>
      </c>
      <c r="AK9" s="1" t="s">
        <v>66</v>
      </c>
      <c r="AL9" s="1" t="s">
        <v>72</v>
      </c>
      <c r="AM9" s="1" t="s">
        <v>73</v>
      </c>
      <c r="AN9" s="1" t="s">
        <v>74</v>
      </c>
      <c r="AO9" s="1" t="s">
        <v>143</v>
      </c>
      <c r="AP9" s="1" t="s">
        <v>144</v>
      </c>
      <c r="AQ9" s="1" t="s">
        <v>68</v>
      </c>
      <c r="AR9" s="1" t="s">
        <v>145</v>
      </c>
      <c r="AS9" s="1" t="s">
        <v>146</v>
      </c>
      <c r="AT9" s="1" t="s">
        <v>66</v>
      </c>
      <c r="AU9" s="1" t="s">
        <v>63</v>
      </c>
    </row>
    <row r="10" customFormat="false" ht="15" hidden="false" customHeight="true" outlineLevel="0" collapsed="false">
      <c r="A10" s="1" t="s">
        <v>147</v>
      </c>
      <c r="B10" s="1" t="s">
        <v>148</v>
      </c>
      <c r="C10" s="1" t="s">
        <v>149</v>
      </c>
      <c r="D10" s="1" t="s">
        <v>83</v>
      </c>
      <c r="E10" s="1" t="s">
        <v>84</v>
      </c>
      <c r="F10" s="1" t="s">
        <v>53</v>
      </c>
      <c r="G10" s="15" t="n">
        <v>45658</v>
      </c>
      <c r="H10" s="15" t="n">
        <v>46174</v>
      </c>
      <c r="I10" s="1" t="n">
        <f aca="false">IF(AND(G10&lt;&gt;"",H10&lt;&gt;""),(YEAR(H10)-YEAR(G10))*12+(MONTH(H10)-MONTH(G10)),"")</f>
        <v>17</v>
      </c>
      <c r="J10" s="15" t="n">
        <v>46202</v>
      </c>
      <c r="L10" s="1" t="s">
        <v>54</v>
      </c>
      <c r="M10" s="1" t="s">
        <v>55</v>
      </c>
      <c r="N10" s="1" t="s">
        <v>56</v>
      </c>
      <c r="O10" s="1" t="s">
        <v>57</v>
      </c>
      <c r="P10" s="14" t="n">
        <v>0.28</v>
      </c>
      <c r="Q10" s="1" t="str">
        <f aca="false">IF(P10="","",IF(P10&gt;0.5,"Growth &gt;50%",IF(P10&gt;0.1,"Growth 10-50%",IF(P10&gt;=-0.1,"Flat",IF(P10&gt;=-0.25,"Decline 10-25%",IF(P10&gt;=-0.5,"Decline 25-50%",IF(P10&gt;=-0.75,"Decline 50-75%","Decline &gt;75%")))))))</f>
        <v>Growth 10-50%</v>
      </c>
      <c r="R10" s="1" t="s">
        <v>85</v>
      </c>
      <c r="S10" s="1" t="s">
        <v>150</v>
      </c>
      <c r="T10" s="1" t="s">
        <v>87</v>
      </c>
      <c r="U10" s="1" t="s">
        <v>74</v>
      </c>
      <c r="V10" s="1" t="s">
        <v>112</v>
      </c>
      <c r="W10" s="1" t="s">
        <v>63</v>
      </c>
      <c r="X10" s="1" t="s">
        <v>113</v>
      </c>
      <c r="Y10" s="1" t="s">
        <v>114</v>
      </c>
      <c r="Z10" s="1" t="s">
        <v>66</v>
      </c>
      <c r="AA10" s="1" t="s">
        <v>102</v>
      </c>
      <c r="AB10" s="1" t="s">
        <v>68</v>
      </c>
      <c r="AC10" s="1" t="s">
        <v>69</v>
      </c>
      <c r="AD10" s="1" t="s">
        <v>70</v>
      </c>
      <c r="AE10" s="1" t="s">
        <v>69</v>
      </c>
      <c r="AH10" s="1" t="s">
        <v>151</v>
      </c>
      <c r="AI10" s="1" t="s">
        <v>69</v>
      </c>
      <c r="AJ10" s="1" t="s">
        <v>63</v>
      </c>
      <c r="AK10" s="1" t="s">
        <v>68</v>
      </c>
      <c r="AL10" s="1" t="s">
        <v>72</v>
      </c>
      <c r="AM10" s="1" t="s">
        <v>73</v>
      </c>
      <c r="AN10" s="1" t="s">
        <v>74</v>
      </c>
      <c r="AO10" s="1" t="s">
        <v>152</v>
      </c>
      <c r="AP10" s="1" t="s">
        <v>153</v>
      </c>
      <c r="AQ10" s="1" t="s">
        <v>66</v>
      </c>
      <c r="AR10" s="1" t="s">
        <v>154</v>
      </c>
      <c r="AS10" s="1" t="s">
        <v>155</v>
      </c>
      <c r="AT10" s="1" t="s">
        <v>68</v>
      </c>
      <c r="AU10" s="1" t="s">
        <v>63</v>
      </c>
    </row>
    <row r="11" customFormat="false" ht="15" hidden="false" customHeight="true" outlineLevel="0" collapsed="false">
      <c r="A11" s="1" t="s">
        <v>156</v>
      </c>
      <c r="B11" s="1" t="s">
        <v>157</v>
      </c>
      <c r="C11" s="1" t="s">
        <v>158</v>
      </c>
      <c r="D11" s="1" t="s">
        <v>83</v>
      </c>
      <c r="E11" s="1" t="s">
        <v>159</v>
      </c>
      <c r="F11" s="1" t="s">
        <v>53</v>
      </c>
      <c r="G11" s="15" t="n">
        <v>45658</v>
      </c>
      <c r="H11" s="15" t="n">
        <v>46174</v>
      </c>
      <c r="I11" s="1" t="n">
        <f aca="false">IF(AND(G11&lt;&gt;"",H11&lt;&gt;""),(YEAR(H11)-YEAR(G11))*12+(MONTH(H11)-MONTH(G11)),"")</f>
        <v>17</v>
      </c>
      <c r="J11" s="15" t="n">
        <v>46202</v>
      </c>
      <c r="L11" s="1" t="s">
        <v>54</v>
      </c>
      <c r="M11" s="1" t="s">
        <v>55</v>
      </c>
      <c r="N11" s="1" t="s">
        <v>56</v>
      </c>
      <c r="O11" s="1" t="s">
        <v>57</v>
      </c>
      <c r="P11" s="14" t="n">
        <v>0.36</v>
      </c>
      <c r="Q11" s="1" t="str">
        <f aca="false">IF(P11="","",IF(P11&gt;0.5,"Growth &gt;50%",IF(P11&gt;0.1,"Growth 10-50%",IF(P11&gt;=-0.1,"Flat",IF(P11&gt;=-0.25,"Decline 10-25%",IF(P11&gt;=-0.5,"Decline 25-50%",IF(P11&gt;=-0.75,"Decline 50-75%","Decline &gt;75%")))))))</f>
        <v>Growth 10-50%</v>
      </c>
      <c r="R11" s="1" t="s">
        <v>85</v>
      </c>
      <c r="S11" s="1" t="s">
        <v>160</v>
      </c>
      <c r="T11" s="1" t="s">
        <v>60</v>
      </c>
      <c r="U11" s="1" t="s">
        <v>88</v>
      </c>
      <c r="V11" s="1" t="s">
        <v>62</v>
      </c>
      <c r="W11" s="1" t="s">
        <v>63</v>
      </c>
      <c r="X11" s="1" t="s">
        <v>113</v>
      </c>
      <c r="Y11" s="1" t="s">
        <v>161</v>
      </c>
      <c r="Z11" s="1" t="s">
        <v>68</v>
      </c>
      <c r="AA11" s="1" t="s">
        <v>61</v>
      </c>
      <c r="AB11" s="1" t="s">
        <v>68</v>
      </c>
      <c r="AC11" s="1" t="s">
        <v>69</v>
      </c>
      <c r="AD11" s="1" t="s">
        <v>70</v>
      </c>
      <c r="AE11" s="1" t="s">
        <v>69</v>
      </c>
      <c r="AH11" s="1" t="s">
        <v>162</v>
      </c>
      <c r="AI11" s="1" t="s">
        <v>69</v>
      </c>
      <c r="AJ11" s="1" t="s">
        <v>63</v>
      </c>
      <c r="AK11" s="1" t="s">
        <v>66</v>
      </c>
      <c r="AL11" s="1" t="s">
        <v>72</v>
      </c>
      <c r="AM11" s="1" t="s">
        <v>73</v>
      </c>
      <c r="AN11" s="1" t="s">
        <v>74</v>
      </c>
      <c r="AO11" s="1" t="s">
        <v>163</v>
      </c>
      <c r="AP11" s="1" t="s">
        <v>164</v>
      </c>
      <c r="AQ11" s="1" t="s">
        <v>77</v>
      </c>
      <c r="AR11" s="1" t="s">
        <v>165</v>
      </c>
      <c r="AS11" s="1" t="s">
        <v>166</v>
      </c>
      <c r="AT11" s="1" t="s">
        <v>66</v>
      </c>
      <c r="AU11" s="1" t="s">
        <v>63</v>
      </c>
    </row>
    <row r="12" customFormat="false" ht="15" hidden="false" customHeight="true" outlineLevel="0" collapsed="false">
      <c r="A12" s="1" t="s">
        <v>167</v>
      </c>
      <c r="B12" s="1" t="s">
        <v>168</v>
      </c>
      <c r="C12" s="1" t="s">
        <v>158</v>
      </c>
      <c r="D12" s="1" t="s">
        <v>83</v>
      </c>
      <c r="E12" s="1" t="s">
        <v>84</v>
      </c>
      <c r="F12" s="1" t="s">
        <v>53</v>
      </c>
      <c r="G12" s="15" t="n">
        <v>45658</v>
      </c>
      <c r="H12" s="15" t="n">
        <v>46174</v>
      </c>
      <c r="I12" s="1" t="n">
        <f aca="false">IF(AND(G12&lt;&gt;"",H12&lt;&gt;""),(YEAR(H12)-YEAR(G12))*12+(MONTH(H12)-MONTH(G12)),"")</f>
        <v>17</v>
      </c>
      <c r="J12" s="15" t="n">
        <v>46202</v>
      </c>
      <c r="L12" s="1" t="s">
        <v>54</v>
      </c>
      <c r="M12" s="1" t="s">
        <v>55</v>
      </c>
      <c r="N12" s="1" t="s">
        <v>56</v>
      </c>
      <c r="O12" s="1" t="s">
        <v>57</v>
      </c>
      <c r="P12" s="14" t="n">
        <v>1.125</v>
      </c>
      <c r="Q12" s="1" t="str">
        <f aca="false">IF(P12="","",IF(P12&gt;0.5,"Growth &gt;50%",IF(P12&gt;0.1,"Growth 10-50%",IF(P12&gt;=-0.1,"Flat",IF(P12&gt;=-0.25,"Decline 10-25%",IF(P12&gt;=-0.5,"Decline 25-50%",IF(P12&gt;=-0.75,"Decline 50-75%","Decline &gt;75%")))))))</f>
        <v>Growth &gt;50%</v>
      </c>
      <c r="R12" s="1" t="s">
        <v>85</v>
      </c>
      <c r="S12" s="1" t="s">
        <v>86</v>
      </c>
      <c r="T12" s="1" t="s">
        <v>87</v>
      </c>
      <c r="U12" s="1" t="s">
        <v>88</v>
      </c>
      <c r="V12" s="1" t="s">
        <v>62</v>
      </c>
      <c r="W12" s="1" t="s">
        <v>63</v>
      </c>
      <c r="X12" s="1" t="s">
        <v>113</v>
      </c>
      <c r="Y12" s="1" t="s">
        <v>114</v>
      </c>
      <c r="Z12" s="1" t="s">
        <v>68</v>
      </c>
      <c r="AA12" s="1" t="s">
        <v>169</v>
      </c>
      <c r="AB12" s="1" t="s">
        <v>68</v>
      </c>
      <c r="AC12" s="1" t="s">
        <v>69</v>
      </c>
      <c r="AD12" s="1" t="s">
        <v>70</v>
      </c>
      <c r="AE12" s="1" t="s">
        <v>69</v>
      </c>
      <c r="AH12" s="1" t="s">
        <v>170</v>
      </c>
      <c r="AI12" s="1" t="s">
        <v>69</v>
      </c>
      <c r="AJ12" s="1" t="s">
        <v>63</v>
      </c>
      <c r="AK12" s="1" t="s">
        <v>66</v>
      </c>
      <c r="AL12" s="1" t="s">
        <v>72</v>
      </c>
      <c r="AM12" s="1" t="s">
        <v>73</v>
      </c>
      <c r="AN12" s="1" t="s">
        <v>74</v>
      </c>
      <c r="AO12" s="1" t="s">
        <v>171</v>
      </c>
      <c r="AP12" s="1" t="s">
        <v>164</v>
      </c>
      <c r="AQ12" s="1" t="s">
        <v>66</v>
      </c>
      <c r="AR12" s="1" t="s">
        <v>172</v>
      </c>
      <c r="AS12" s="1" t="s">
        <v>173</v>
      </c>
      <c r="AT12" s="1" t="s">
        <v>66</v>
      </c>
      <c r="AU12" s="1" t="s">
        <v>63</v>
      </c>
    </row>
    <row r="13" customFormat="false" ht="15" hidden="false" customHeight="true" outlineLevel="0" collapsed="false">
      <c r="A13" s="1" t="s">
        <v>174</v>
      </c>
      <c r="B13" s="1" t="s">
        <v>175</v>
      </c>
      <c r="C13" s="1" t="s">
        <v>176</v>
      </c>
      <c r="D13" s="1" t="s">
        <v>83</v>
      </c>
      <c r="E13" s="1" t="s">
        <v>98</v>
      </c>
      <c r="F13" s="1" t="s">
        <v>99</v>
      </c>
      <c r="G13" s="15" t="n">
        <v>45658</v>
      </c>
      <c r="H13" s="15" t="n">
        <v>46174</v>
      </c>
      <c r="I13" s="1" t="n">
        <f aca="false">IF(AND(G13&lt;&gt;"",H13&lt;&gt;""),(YEAR(H13)-YEAR(G13))*12+(MONTH(H13)-MONTH(G13)),"")</f>
        <v>17</v>
      </c>
      <c r="J13" s="15" t="n">
        <v>46202</v>
      </c>
      <c r="L13" s="1" t="s">
        <v>122</v>
      </c>
      <c r="M13" s="1" t="s">
        <v>55</v>
      </c>
      <c r="N13" s="1" t="s">
        <v>177</v>
      </c>
      <c r="O13" s="1" t="s">
        <v>57</v>
      </c>
      <c r="P13" s="14" t="n">
        <v>0.2678</v>
      </c>
      <c r="Q13" s="1" t="str">
        <f aca="false">IF(P13="","",IF(P13&gt;0.5,"Growth &gt;50%",IF(P13&gt;0.1,"Growth 10-50%",IF(P13&gt;=-0.1,"Flat",IF(P13&gt;=-0.25,"Decline 10-25%",IF(P13&gt;=-0.5,"Decline 25-50%",IF(P13&gt;=-0.75,"Decline 50-75%","Decline &gt;75%")))))))</f>
        <v>Growth 10-50%</v>
      </c>
      <c r="R13" s="1" t="s">
        <v>85</v>
      </c>
      <c r="S13" s="1" t="s">
        <v>110</v>
      </c>
      <c r="T13" s="1" t="s">
        <v>60</v>
      </c>
      <c r="U13" s="1" t="s">
        <v>111</v>
      </c>
      <c r="V13" s="1" t="s">
        <v>84</v>
      </c>
      <c r="W13" s="1" t="s">
        <v>63</v>
      </c>
      <c r="X13" s="1" t="s">
        <v>113</v>
      </c>
      <c r="Y13" s="1" t="s">
        <v>114</v>
      </c>
      <c r="Z13" s="1" t="s">
        <v>68</v>
      </c>
      <c r="AA13" s="1" t="s">
        <v>102</v>
      </c>
      <c r="AB13" s="1" t="s">
        <v>66</v>
      </c>
      <c r="AC13" s="1" t="s">
        <v>69</v>
      </c>
      <c r="AD13" s="1" t="s">
        <v>84</v>
      </c>
      <c r="AE13" s="1" t="s">
        <v>69</v>
      </c>
      <c r="AF13" s="1" t="n">
        <v>0.247</v>
      </c>
      <c r="AH13" s="1" t="s">
        <v>178</v>
      </c>
      <c r="AI13" s="1" t="s">
        <v>91</v>
      </c>
      <c r="AJ13" s="1" t="s">
        <v>63</v>
      </c>
      <c r="AK13" s="1" t="s">
        <v>66</v>
      </c>
      <c r="AL13" s="1" t="s">
        <v>72</v>
      </c>
      <c r="AM13" s="1" t="s">
        <v>73</v>
      </c>
      <c r="AN13" s="1" t="s">
        <v>179</v>
      </c>
      <c r="AO13" s="1" t="s">
        <v>180</v>
      </c>
      <c r="AP13" s="1" t="s">
        <v>181</v>
      </c>
      <c r="AQ13" s="1" t="s">
        <v>68</v>
      </c>
      <c r="AR13" s="1" t="s">
        <v>182</v>
      </c>
      <c r="AS13" s="1" t="s">
        <v>183</v>
      </c>
      <c r="AT13" s="1" t="s">
        <v>77</v>
      </c>
      <c r="AU13" s="1" t="s">
        <v>63</v>
      </c>
    </row>
    <row r="14" customFormat="false" ht="15" hidden="false" customHeight="true" outlineLevel="0" collapsed="false">
      <c r="A14" s="1" t="s">
        <v>184</v>
      </c>
      <c r="B14" s="1" t="s">
        <v>185</v>
      </c>
      <c r="C14" s="1" t="s">
        <v>186</v>
      </c>
      <c r="D14" s="1" t="s">
        <v>83</v>
      </c>
      <c r="E14" s="1" t="s">
        <v>98</v>
      </c>
      <c r="F14" s="1" t="s">
        <v>99</v>
      </c>
      <c r="G14" s="15" t="n">
        <v>45658</v>
      </c>
      <c r="H14" s="15" t="n">
        <v>46174</v>
      </c>
      <c r="I14" s="1" t="n">
        <f aca="false">IF(AND(G14&lt;&gt;"",H14&lt;&gt;""),(YEAR(H14)-YEAR(G14))*12+(MONTH(H14)-MONTH(G14)),"")</f>
        <v>17</v>
      </c>
      <c r="J14" s="15" t="n">
        <v>46202</v>
      </c>
      <c r="L14" s="1" t="s">
        <v>54</v>
      </c>
      <c r="M14" s="1" t="s">
        <v>55</v>
      </c>
      <c r="N14" s="1" t="s">
        <v>187</v>
      </c>
      <c r="O14" s="1" t="s">
        <v>57</v>
      </c>
      <c r="P14" s="14" t="n">
        <v>-0.246</v>
      </c>
      <c r="Q14" s="1" t="str">
        <f aca="false">IF(P14="","",IF(P14&gt;0.5,"Growth &gt;50%",IF(P14&gt;0.1,"Growth 10-50%",IF(P14&gt;=-0.1,"Flat",IF(P14&gt;=-0.25,"Decline 10-25%",IF(P14&gt;=-0.5,"Decline 25-50%",IF(P14&gt;=-0.75,"Decline 50-75%","Decline &gt;75%")))))))</f>
        <v>Decline 10-25%</v>
      </c>
      <c r="R14" s="1" t="s">
        <v>58</v>
      </c>
      <c r="S14" s="1" t="s">
        <v>110</v>
      </c>
      <c r="T14" s="1" t="s">
        <v>87</v>
      </c>
      <c r="U14" s="1" t="s">
        <v>74</v>
      </c>
      <c r="V14" s="1" t="s">
        <v>84</v>
      </c>
      <c r="W14" s="1" t="s">
        <v>63</v>
      </c>
      <c r="X14" s="1" t="s">
        <v>133</v>
      </c>
      <c r="Y14" s="1" t="s">
        <v>188</v>
      </c>
      <c r="Z14" s="1" t="s">
        <v>66</v>
      </c>
      <c r="AA14" s="1" t="s">
        <v>102</v>
      </c>
      <c r="AB14" s="1" t="s">
        <v>68</v>
      </c>
      <c r="AC14" s="1" t="s">
        <v>69</v>
      </c>
      <c r="AD14" s="1" t="s">
        <v>70</v>
      </c>
      <c r="AE14" s="1" t="s">
        <v>69</v>
      </c>
      <c r="AF14" s="1" t="n">
        <v>0.756</v>
      </c>
      <c r="AG14" s="1" t="n">
        <v>0.324</v>
      </c>
      <c r="AH14" s="1" t="s">
        <v>189</v>
      </c>
      <c r="AI14" s="1" t="s">
        <v>91</v>
      </c>
      <c r="AJ14" s="1" t="s">
        <v>63</v>
      </c>
      <c r="AK14" s="1" t="s">
        <v>66</v>
      </c>
      <c r="AL14" s="1" t="s">
        <v>72</v>
      </c>
      <c r="AM14" s="1" t="s">
        <v>73</v>
      </c>
      <c r="AN14" s="1" t="s">
        <v>74</v>
      </c>
      <c r="AO14" s="1" t="s">
        <v>190</v>
      </c>
      <c r="AP14" s="1" t="s">
        <v>191</v>
      </c>
      <c r="AQ14" s="1" t="s">
        <v>77</v>
      </c>
      <c r="AR14" s="1" t="s">
        <v>192</v>
      </c>
      <c r="AS14" s="1" t="s">
        <v>193</v>
      </c>
      <c r="AT14" s="1" t="s">
        <v>66</v>
      </c>
      <c r="AU14" s="1" t="s">
        <v>63</v>
      </c>
    </row>
    <row r="15" customFormat="false" ht="15" hidden="false" customHeight="true" outlineLevel="0" collapsed="false">
      <c r="A15" s="1" t="s">
        <v>194</v>
      </c>
      <c r="B15" s="1" t="s">
        <v>195</v>
      </c>
      <c r="C15" s="1" t="s">
        <v>196</v>
      </c>
      <c r="D15" s="1" t="s">
        <v>197</v>
      </c>
      <c r="E15" s="1" t="s">
        <v>198</v>
      </c>
      <c r="F15" s="1" t="s">
        <v>53</v>
      </c>
      <c r="G15" s="15" t="n">
        <v>45658</v>
      </c>
      <c r="H15" s="15" t="n">
        <v>46174</v>
      </c>
      <c r="I15" s="1" t="n">
        <f aca="false">IF(AND(G15&lt;&gt;"",H15&lt;&gt;""),(YEAR(H15)-YEAR(G15))*12+(MONTH(H15)-MONTH(G15)),"")</f>
        <v>17</v>
      </c>
      <c r="J15" s="15" t="n">
        <v>46202</v>
      </c>
      <c r="L15" s="1" t="s">
        <v>54</v>
      </c>
      <c r="M15" s="1" t="s">
        <v>55</v>
      </c>
      <c r="N15" s="1" t="s">
        <v>56</v>
      </c>
      <c r="O15" s="1" t="s">
        <v>57</v>
      </c>
      <c r="P15" s="14" t="n">
        <v>-0.4</v>
      </c>
      <c r="Q15" s="1" t="str">
        <f aca="false">IF(P15="","",IF(P15&gt;0.5,"Growth &gt;50%",IF(P15&gt;0.1,"Growth 10-50%",IF(P15&gt;=-0.1,"Flat",IF(P15&gt;=-0.25,"Decline 10-25%",IF(P15&gt;=-0.5,"Decline 25-50%",IF(P15&gt;=-0.75,"Decline 50-75%","Decline &gt;75%")))))))</f>
        <v>Decline 25-50%</v>
      </c>
      <c r="R15" s="1" t="s">
        <v>58</v>
      </c>
      <c r="S15" s="1" t="s">
        <v>100</v>
      </c>
      <c r="T15" s="1" t="s">
        <v>60</v>
      </c>
      <c r="U15" s="1" t="s">
        <v>61</v>
      </c>
      <c r="V15" s="1" t="s">
        <v>62</v>
      </c>
      <c r="W15" s="1" t="s">
        <v>63</v>
      </c>
      <c r="X15" s="1" t="s">
        <v>113</v>
      </c>
      <c r="Y15" s="1" t="s">
        <v>199</v>
      </c>
      <c r="Z15" s="1" t="s">
        <v>66</v>
      </c>
      <c r="AA15" s="1" t="s">
        <v>67</v>
      </c>
      <c r="AB15" s="1" t="s">
        <v>66</v>
      </c>
      <c r="AC15" s="1" t="s">
        <v>69</v>
      </c>
      <c r="AD15" s="1" t="s">
        <v>70</v>
      </c>
      <c r="AE15" s="1" t="s">
        <v>69</v>
      </c>
      <c r="AH15" s="1" t="s">
        <v>200</v>
      </c>
      <c r="AI15" s="1" t="s">
        <v>69</v>
      </c>
      <c r="AJ15" s="1" t="s">
        <v>63</v>
      </c>
      <c r="AK15" s="1" t="s">
        <v>66</v>
      </c>
      <c r="AL15" s="1" t="s">
        <v>72</v>
      </c>
      <c r="AM15" s="1" t="s">
        <v>73</v>
      </c>
      <c r="AN15" s="1" t="s">
        <v>74</v>
      </c>
      <c r="AO15" s="1" t="s">
        <v>201</v>
      </c>
      <c r="AQ15" s="1" t="s">
        <v>68</v>
      </c>
      <c r="AR15" s="1" t="s">
        <v>202</v>
      </c>
      <c r="AS15" s="1" t="s">
        <v>203</v>
      </c>
      <c r="AT15" s="1" t="s">
        <v>66</v>
      </c>
      <c r="AU15" s="1" t="s">
        <v>63</v>
      </c>
    </row>
    <row r="16" customFormat="false" ht="15" hidden="false" customHeight="true" outlineLevel="0" collapsed="false">
      <c r="A16" s="1" t="s">
        <v>204</v>
      </c>
      <c r="B16" s="1" t="s">
        <v>205</v>
      </c>
      <c r="C16" s="1" t="s">
        <v>176</v>
      </c>
      <c r="D16" s="1" t="s">
        <v>83</v>
      </c>
      <c r="E16" s="1" t="s">
        <v>98</v>
      </c>
      <c r="F16" s="1" t="s">
        <v>53</v>
      </c>
      <c r="G16" s="15" t="n">
        <v>45658</v>
      </c>
      <c r="H16" s="15" t="n">
        <v>46174</v>
      </c>
      <c r="I16" s="1" t="n">
        <f aca="false">IF(AND(G16&lt;&gt;"",H16&lt;&gt;""),(YEAR(H16)-YEAR(G16))*12+(MONTH(H16)-MONTH(G16)),"")</f>
        <v>17</v>
      </c>
      <c r="J16" s="15" t="n">
        <v>46202</v>
      </c>
      <c r="K16" s="15" t="n">
        <v>46245</v>
      </c>
      <c r="L16" s="1" t="s">
        <v>122</v>
      </c>
      <c r="M16" s="1" t="s">
        <v>206</v>
      </c>
      <c r="N16" s="1" t="s">
        <v>207</v>
      </c>
      <c r="O16" s="1" t="s">
        <v>57</v>
      </c>
      <c r="P16" s="14" t="n">
        <v>0.792</v>
      </c>
      <c r="Q16" s="1" t="str">
        <f aca="false">IF(P16="","",IF(P16&gt;0.5,"Growth &gt;50%",IF(P16&gt;0.1,"Growth 10-50%",IF(P16&gt;=-0.1,"Flat",IF(P16&gt;=-0.25,"Decline 10-25%",IF(P16&gt;=-0.5,"Decline 25-50%",IF(P16&gt;=-0.75,"Decline 50-75%","Decline &gt;75%")))))))</f>
        <v>Growth &gt;50%</v>
      </c>
      <c r="R16" s="1" t="s">
        <v>85</v>
      </c>
      <c r="S16" s="1" t="s">
        <v>86</v>
      </c>
      <c r="T16" s="1" t="s">
        <v>208</v>
      </c>
      <c r="U16" s="1" t="s">
        <v>88</v>
      </c>
      <c r="V16" s="1" t="s">
        <v>62</v>
      </c>
      <c r="W16" s="1" t="s">
        <v>63</v>
      </c>
      <c r="X16" s="1" t="s">
        <v>113</v>
      </c>
      <c r="Y16" s="1" t="s">
        <v>209</v>
      </c>
      <c r="Z16" s="1" t="s">
        <v>68</v>
      </c>
      <c r="AA16" s="1" t="s">
        <v>67</v>
      </c>
      <c r="AB16" s="1" t="s">
        <v>66</v>
      </c>
      <c r="AC16" s="1" t="s">
        <v>69</v>
      </c>
      <c r="AD16" s="1" t="s">
        <v>124</v>
      </c>
      <c r="AE16" s="1" t="s">
        <v>69</v>
      </c>
      <c r="AF16" s="1" t="n">
        <v>0.085</v>
      </c>
      <c r="AG16" s="1" t="n">
        <v>0.544</v>
      </c>
      <c r="AH16" s="1" t="s">
        <v>210</v>
      </c>
      <c r="AI16" s="1" t="s">
        <v>91</v>
      </c>
      <c r="AJ16" s="1" t="s">
        <v>63</v>
      </c>
      <c r="AK16" s="1" t="s">
        <v>66</v>
      </c>
      <c r="AL16" s="1" t="s">
        <v>72</v>
      </c>
      <c r="AM16" s="1" t="s">
        <v>73</v>
      </c>
      <c r="AN16" s="1" t="s">
        <v>211</v>
      </c>
      <c r="AO16" s="1" t="s">
        <v>212</v>
      </c>
      <c r="AP16" s="1" t="s">
        <v>213</v>
      </c>
      <c r="AQ16" s="1" t="s">
        <v>68</v>
      </c>
      <c r="AR16" s="1" t="s">
        <v>214</v>
      </c>
      <c r="AS16" s="1" t="s">
        <v>215</v>
      </c>
      <c r="AT16" s="1" t="s">
        <v>68</v>
      </c>
      <c r="AU16" s="1" t="s">
        <v>63</v>
      </c>
    </row>
    <row r="17" customFormat="false" ht="15" hidden="false" customHeight="true" outlineLevel="0" collapsed="false">
      <c r="A17" s="1" t="s">
        <v>216</v>
      </c>
      <c r="B17" s="1" t="s">
        <v>217</v>
      </c>
      <c r="C17" s="1" t="s">
        <v>186</v>
      </c>
      <c r="D17" s="1" t="s">
        <v>218</v>
      </c>
      <c r="E17" s="1" t="s">
        <v>219</v>
      </c>
      <c r="F17" s="1" t="s">
        <v>99</v>
      </c>
      <c r="G17" s="15" t="n">
        <v>45658</v>
      </c>
      <c r="H17" s="15" t="n">
        <v>46174</v>
      </c>
      <c r="I17" s="1" t="n">
        <f aca="false">IF(AND(G17&lt;&gt;"",H17&lt;&gt;""),(YEAR(H17)-YEAR(G17))*12+(MONTH(H17)-MONTH(G17)),"")</f>
        <v>17</v>
      </c>
      <c r="J17" s="15" t="n">
        <v>46202</v>
      </c>
      <c r="L17" s="1" t="s">
        <v>54</v>
      </c>
      <c r="M17" s="1" t="s">
        <v>55</v>
      </c>
      <c r="N17" s="1" t="s">
        <v>56</v>
      </c>
      <c r="O17" s="1" t="s">
        <v>57</v>
      </c>
      <c r="P17" s="14" t="n">
        <v>1.314</v>
      </c>
      <c r="Q17" s="1" t="str">
        <f aca="false">IF(P17="","",IF(P17&gt;0.5,"Growth &gt;50%",IF(P17&gt;0.1,"Growth 10-50%",IF(P17&gt;=-0.1,"Flat",IF(P17&gt;=-0.25,"Decline 10-25%",IF(P17&gt;=-0.5,"Decline 25-50%",IF(P17&gt;=-0.75,"Decline 50-75%","Decline &gt;75%")))))))</f>
        <v>Growth &gt;50%</v>
      </c>
      <c r="R17" s="1" t="s">
        <v>85</v>
      </c>
      <c r="S17" s="1" t="s">
        <v>86</v>
      </c>
      <c r="T17" s="1" t="s">
        <v>87</v>
      </c>
      <c r="U17" s="1" t="s">
        <v>88</v>
      </c>
      <c r="V17" s="1" t="s">
        <v>62</v>
      </c>
      <c r="W17" s="1" t="s">
        <v>63</v>
      </c>
      <c r="X17" s="1" t="s">
        <v>89</v>
      </c>
      <c r="Y17" s="1" t="s">
        <v>220</v>
      </c>
      <c r="Z17" s="1" t="s">
        <v>68</v>
      </c>
      <c r="AA17" s="1" t="s">
        <v>61</v>
      </c>
      <c r="AB17" s="1" t="s">
        <v>77</v>
      </c>
      <c r="AC17" s="1" t="s">
        <v>69</v>
      </c>
      <c r="AD17" s="1" t="s">
        <v>70</v>
      </c>
      <c r="AE17" s="1" t="s">
        <v>69</v>
      </c>
      <c r="AH17" s="1" t="s">
        <v>221</v>
      </c>
      <c r="AI17" s="1" t="s">
        <v>69</v>
      </c>
      <c r="AJ17" s="1" t="s">
        <v>63</v>
      </c>
      <c r="AK17" s="1" t="s">
        <v>66</v>
      </c>
      <c r="AL17" s="1" t="s">
        <v>72</v>
      </c>
      <c r="AM17" s="1" t="s">
        <v>73</v>
      </c>
      <c r="AN17" s="1" t="s">
        <v>74</v>
      </c>
      <c r="AO17" s="1" t="s">
        <v>222</v>
      </c>
      <c r="AP17" s="1" t="s">
        <v>223</v>
      </c>
      <c r="AQ17" s="1" t="s">
        <v>68</v>
      </c>
      <c r="AR17" s="1" t="s">
        <v>224</v>
      </c>
      <c r="AS17" s="1" t="s">
        <v>225</v>
      </c>
      <c r="AT17" s="1" t="s">
        <v>66</v>
      </c>
      <c r="AU17" s="1" t="s">
        <v>63</v>
      </c>
    </row>
    <row r="18" customFormat="false" ht="15" hidden="false" customHeight="true" outlineLevel="0" collapsed="false">
      <c r="A18" s="1" t="s">
        <v>226</v>
      </c>
      <c r="B18" s="1" t="s">
        <v>227</v>
      </c>
      <c r="C18" s="1" t="s">
        <v>82</v>
      </c>
      <c r="D18" s="1" t="s">
        <v>228</v>
      </c>
      <c r="E18" s="1" t="s">
        <v>98</v>
      </c>
      <c r="F18" s="1" t="s">
        <v>229</v>
      </c>
      <c r="G18" s="15" t="n">
        <v>45658</v>
      </c>
      <c r="H18" s="15" t="n">
        <v>46174</v>
      </c>
      <c r="I18" s="1" t="n">
        <f aca="false">IF(AND(G18&lt;&gt;"",H18&lt;&gt;""),(YEAR(H18)-YEAR(G18))*12+(MONTH(H18)-MONTH(G18)),"")</f>
        <v>17</v>
      </c>
      <c r="J18" s="15" t="n">
        <v>46202</v>
      </c>
      <c r="L18" s="1" t="s">
        <v>54</v>
      </c>
      <c r="M18" s="1" t="s">
        <v>55</v>
      </c>
      <c r="N18" s="1" t="s">
        <v>56</v>
      </c>
      <c r="O18" s="1" t="s">
        <v>57</v>
      </c>
      <c r="P18" s="14" t="n">
        <v>1.858</v>
      </c>
      <c r="Q18" s="1" t="str">
        <f aca="false">IF(P18="","",IF(P18&gt;0.5,"Growth &gt;50%",IF(P18&gt;0.1,"Growth 10-50%",IF(P18&gt;=-0.1,"Flat",IF(P18&gt;=-0.25,"Decline 10-25%",IF(P18&gt;=-0.5,"Decline 25-50%",IF(P18&gt;=-0.75,"Decline 50-75%","Decline &gt;75%")))))))</f>
        <v>Growth &gt;50%</v>
      </c>
      <c r="R18" s="1" t="s">
        <v>85</v>
      </c>
      <c r="S18" s="1" t="s">
        <v>86</v>
      </c>
      <c r="T18" s="1" t="s">
        <v>87</v>
      </c>
      <c r="U18" s="1" t="s">
        <v>88</v>
      </c>
      <c r="V18" s="1" t="s">
        <v>62</v>
      </c>
      <c r="W18" s="1" t="s">
        <v>63</v>
      </c>
      <c r="X18" s="1" t="s">
        <v>113</v>
      </c>
      <c r="Y18" s="1" t="s">
        <v>230</v>
      </c>
      <c r="Z18" s="1" t="s">
        <v>66</v>
      </c>
      <c r="AA18" s="1" t="s">
        <v>67</v>
      </c>
      <c r="AB18" s="1" t="s">
        <v>66</v>
      </c>
      <c r="AC18" s="1" t="s">
        <v>69</v>
      </c>
      <c r="AD18" s="1" t="s">
        <v>70</v>
      </c>
      <c r="AE18" s="1" t="s">
        <v>69</v>
      </c>
      <c r="AH18" s="1" t="s">
        <v>231</v>
      </c>
      <c r="AI18" s="1" t="s">
        <v>69</v>
      </c>
      <c r="AJ18" s="1" t="s">
        <v>63</v>
      </c>
      <c r="AK18" s="1" t="s">
        <v>77</v>
      </c>
      <c r="AL18" s="1" t="s">
        <v>72</v>
      </c>
      <c r="AM18" s="1" t="s">
        <v>73</v>
      </c>
      <c r="AN18" s="1" t="s">
        <v>74</v>
      </c>
      <c r="AO18" s="1" t="s">
        <v>232</v>
      </c>
      <c r="AQ18" s="1" t="s">
        <v>66</v>
      </c>
      <c r="AR18" s="1" t="s">
        <v>233</v>
      </c>
      <c r="AS18" s="1" t="s">
        <v>234</v>
      </c>
      <c r="AT18" s="1" t="s">
        <v>77</v>
      </c>
      <c r="AU18" s="1" t="s">
        <v>63</v>
      </c>
    </row>
    <row r="19" customFormat="false" ht="15" hidden="false" customHeight="true" outlineLevel="0" collapsed="false">
      <c r="A19" s="1" t="s">
        <v>235</v>
      </c>
      <c r="B19" s="1" t="s">
        <v>236</v>
      </c>
      <c r="C19" s="1" t="s">
        <v>196</v>
      </c>
      <c r="D19" s="1" t="s">
        <v>83</v>
      </c>
      <c r="E19" s="1" t="s">
        <v>237</v>
      </c>
      <c r="F19" s="1" t="s">
        <v>99</v>
      </c>
      <c r="G19" s="15" t="n">
        <v>45778</v>
      </c>
      <c r="H19" s="15" t="n">
        <v>46174</v>
      </c>
      <c r="I19" s="1" t="n">
        <f aca="false">IF(AND(G19&lt;&gt;"",H19&lt;&gt;""),(YEAR(H19)-YEAR(G19))*12+(MONTH(H19)-MONTH(G19)),"")</f>
        <v>13</v>
      </c>
      <c r="J19" s="15" t="n">
        <v>46234</v>
      </c>
      <c r="K19" s="15" t="n">
        <v>46234</v>
      </c>
      <c r="L19" s="1" t="s">
        <v>238</v>
      </c>
      <c r="M19" s="1" t="s">
        <v>239</v>
      </c>
      <c r="N19" s="1" t="s">
        <v>240</v>
      </c>
      <c r="O19" s="1" t="s">
        <v>57</v>
      </c>
      <c r="P19" s="1" t="n">
        <v>-0.414</v>
      </c>
      <c r="Q19" s="1" t="str">
        <f aca="false">IF(P19="","",IF(P19&gt;0.5,"Growth &gt;50%",IF(P19&gt;0.1,"Growth 10-50%",IF(P19&gt;=-0.1,"Flat",IF(P19&gt;=-0.25,"Decline 10-25%",IF(P19&gt;=-0.5,"Decline 25-50%",IF(P19&gt;=-0.75,"Decline 50-75%","Decline &gt;75%")))))))</f>
        <v>Decline 25-50%</v>
      </c>
      <c r="R19" s="1" t="s">
        <v>58</v>
      </c>
      <c r="S19" s="1" t="s">
        <v>150</v>
      </c>
      <c r="T19" s="1" t="s">
        <v>60</v>
      </c>
      <c r="U19" s="1" t="s">
        <v>61</v>
      </c>
      <c r="V19" s="1" t="s">
        <v>62</v>
      </c>
      <c r="W19" s="1" t="s">
        <v>63</v>
      </c>
      <c r="X19" s="1" t="s">
        <v>65</v>
      </c>
      <c r="Z19" s="1" t="s">
        <v>66</v>
      </c>
      <c r="AA19" s="1" t="s">
        <v>102</v>
      </c>
      <c r="AB19" s="1" t="s">
        <v>68</v>
      </c>
      <c r="AC19" s="1" t="s">
        <v>69</v>
      </c>
      <c r="AD19" s="1" t="s">
        <v>103</v>
      </c>
      <c r="AE19" s="1" t="s">
        <v>69</v>
      </c>
      <c r="AF19" s="1" t="s">
        <v>62</v>
      </c>
      <c r="AG19" s="1" t="s">
        <v>241</v>
      </c>
      <c r="AH19" s="1" t="s">
        <v>242</v>
      </c>
      <c r="AI19" s="1" t="s">
        <v>69</v>
      </c>
      <c r="AJ19" s="1" t="s">
        <v>63</v>
      </c>
      <c r="AK19" s="1" t="s">
        <v>77</v>
      </c>
      <c r="AL19" s="1" t="s">
        <v>72</v>
      </c>
      <c r="AM19" s="1" t="s">
        <v>243</v>
      </c>
      <c r="AN19" s="1" t="s">
        <v>74</v>
      </c>
      <c r="AO19" s="1" t="s">
        <v>244</v>
      </c>
      <c r="AP19" s="1" t="s">
        <v>61</v>
      </c>
      <c r="AQ19" s="1" t="s">
        <v>77</v>
      </c>
      <c r="AR19" s="1" t="s">
        <v>245</v>
      </c>
      <c r="AS19" s="1" t="s">
        <v>246</v>
      </c>
      <c r="AT19" s="1" t="s">
        <v>66</v>
      </c>
      <c r="AU19" s="1" t="s">
        <v>63</v>
      </c>
    </row>
    <row r="20" customFormat="false" ht="15" hidden="false" customHeight="true" outlineLevel="0" collapsed="false">
      <c r="A20" s="1" t="s">
        <v>247</v>
      </c>
      <c r="B20" s="1" t="s">
        <v>248</v>
      </c>
      <c r="C20" s="1" t="s">
        <v>249</v>
      </c>
      <c r="D20" s="1" t="s">
        <v>83</v>
      </c>
      <c r="E20" s="1" t="s">
        <v>52</v>
      </c>
      <c r="F20" s="1" t="s">
        <v>99</v>
      </c>
      <c r="G20" s="15" t="n">
        <v>45658</v>
      </c>
      <c r="H20" s="15" t="n">
        <v>46174</v>
      </c>
      <c r="I20" s="1" t="n">
        <f aca="false">IF(AND(G20&lt;&gt;"",H20&lt;&gt;""),(YEAR(H20)-YEAR(G20))*12+(MONTH(H20)-MONTH(G20)),"")</f>
        <v>17</v>
      </c>
      <c r="J20" s="15" t="n">
        <v>46237</v>
      </c>
      <c r="K20" s="15" t="n">
        <v>46237</v>
      </c>
      <c r="L20" s="1" t="s">
        <v>54</v>
      </c>
      <c r="M20" s="1" t="s">
        <v>55</v>
      </c>
      <c r="N20" s="1" t="s">
        <v>240</v>
      </c>
      <c r="O20" s="1" t="s">
        <v>57</v>
      </c>
      <c r="P20" s="14" t="n">
        <v>0.357</v>
      </c>
      <c r="Q20" s="1" t="str">
        <f aca="false">IF(P20="","",IF(P20&gt;0.5,"Growth &gt;50%",IF(P20&gt;0.1,"Growth 10-50%",IF(P20&gt;=-0.1,"Flat",IF(P20&gt;=-0.25,"Decline 10-25%",IF(P20&gt;=-0.5,"Decline 25-50%",IF(P20&gt;=-0.75,"Decline 50-75%","Decline &gt;75%")))))))</f>
        <v>Growth 10-50%</v>
      </c>
      <c r="R20" s="1" t="s">
        <v>85</v>
      </c>
      <c r="S20" s="1" t="s">
        <v>110</v>
      </c>
      <c r="T20" s="1" t="s">
        <v>60</v>
      </c>
      <c r="U20" s="1" t="s">
        <v>74</v>
      </c>
      <c r="V20" s="1" t="s">
        <v>250</v>
      </c>
      <c r="W20" s="1" t="s">
        <v>63</v>
      </c>
      <c r="X20" s="1" t="s">
        <v>251</v>
      </c>
      <c r="Y20" s="1" t="s">
        <v>113</v>
      </c>
      <c r="Z20" s="1" t="s">
        <v>66</v>
      </c>
      <c r="AA20" s="1" t="s">
        <v>102</v>
      </c>
      <c r="AB20" s="1" t="s">
        <v>66</v>
      </c>
      <c r="AC20" s="1" t="s">
        <v>69</v>
      </c>
      <c r="AD20" s="1" t="s">
        <v>70</v>
      </c>
      <c r="AE20" s="1" t="s">
        <v>69</v>
      </c>
      <c r="AF20" s="14" t="n">
        <v>1.286</v>
      </c>
      <c r="AG20" s="14" t="n">
        <v>0.76</v>
      </c>
      <c r="AH20" s="1" t="s">
        <v>252</v>
      </c>
      <c r="AI20" s="1" t="s">
        <v>69</v>
      </c>
      <c r="AJ20" s="1" t="s">
        <v>63</v>
      </c>
      <c r="AK20" s="1" t="s">
        <v>66</v>
      </c>
      <c r="AL20" s="1" t="s">
        <v>72</v>
      </c>
      <c r="AM20" s="1" t="s">
        <v>73</v>
      </c>
      <c r="AN20" s="1" t="s">
        <v>69</v>
      </c>
      <c r="AO20" s="1" t="s">
        <v>253</v>
      </c>
      <c r="AQ20" s="1" t="s">
        <v>84</v>
      </c>
      <c r="AR20" s="1" t="s">
        <v>254</v>
      </c>
      <c r="AS20" s="1" t="s">
        <v>255</v>
      </c>
      <c r="AT20" s="1" t="s">
        <v>66</v>
      </c>
      <c r="AU20" s="1" t="s">
        <v>63</v>
      </c>
    </row>
    <row r="21" customFormat="false" ht="15" hidden="false" customHeight="true" outlineLevel="0" collapsed="false">
      <c r="A21" s="1" t="s">
        <v>256</v>
      </c>
      <c r="B21" s="1" t="s">
        <v>257</v>
      </c>
      <c r="C21" s="1" t="s">
        <v>258</v>
      </c>
      <c r="D21" s="1" t="s">
        <v>83</v>
      </c>
      <c r="E21" s="1" t="s">
        <v>84</v>
      </c>
      <c r="F21" s="1" t="s">
        <v>53</v>
      </c>
      <c r="G21" s="16" t="n">
        <v>45658</v>
      </c>
      <c r="H21" s="16" t="n">
        <v>46174</v>
      </c>
      <c r="I21" s="1" t="n">
        <f aca="false">IF(AND(G21&lt;&gt;"",H21&lt;&gt;""),(YEAR(H21)-YEAR(G21))*12+(MONTH(H21)-MONTH(G21)),"")</f>
        <v>17</v>
      </c>
      <c r="J21" s="16" t="n">
        <v>46238</v>
      </c>
      <c r="K21" s="16" t="s">
        <v>121</v>
      </c>
      <c r="L21" s="1" t="s">
        <v>259</v>
      </c>
      <c r="M21" s="1" t="s">
        <v>55</v>
      </c>
      <c r="N21" s="1" t="s">
        <v>240</v>
      </c>
      <c r="O21" s="1" t="s">
        <v>57</v>
      </c>
      <c r="P21" s="14" t="n">
        <v>0.294</v>
      </c>
      <c r="Q21" s="1" t="str">
        <f aca="false">IF(P21="","",IF(P21&gt;0.5,"Growth &gt;50%",IF(P21&gt;0.1,"Growth 10-50%",IF(P21&gt;=-0.1,"Flat",IF(P21&gt;=-0.25,"Decline 10-25%",IF(P21&gt;=-0.5,"Decline 25-50%",IF(P21&gt;=-0.75,"Decline 50-75%","Decline &gt;75%")))))))</f>
        <v>Growth 10-50%</v>
      </c>
      <c r="R21" s="1" t="s">
        <v>85</v>
      </c>
      <c r="S21" s="1" t="s">
        <v>260</v>
      </c>
      <c r="T21" s="1" t="s">
        <v>87</v>
      </c>
      <c r="U21" s="1" t="s">
        <v>74</v>
      </c>
      <c r="V21" s="1" t="s">
        <v>84</v>
      </c>
      <c r="W21" s="1" t="s">
        <v>261</v>
      </c>
      <c r="X21" s="1" t="s">
        <v>251</v>
      </c>
      <c r="Y21" s="1" t="s">
        <v>262</v>
      </c>
      <c r="Z21" s="1" t="s">
        <v>66</v>
      </c>
      <c r="AA21" s="1" t="s">
        <v>102</v>
      </c>
      <c r="AB21" s="1" t="s">
        <v>68</v>
      </c>
      <c r="AC21" s="1" t="s">
        <v>69</v>
      </c>
      <c r="AD21" s="1" t="s">
        <v>263</v>
      </c>
      <c r="AE21" s="1" t="s">
        <v>69</v>
      </c>
      <c r="AF21" s="1" t="n">
        <v>0.514</v>
      </c>
      <c r="AG21" s="14" t="n">
        <v>0.642</v>
      </c>
      <c r="AH21" s="1" t="s">
        <v>264</v>
      </c>
      <c r="AI21" s="1" t="s">
        <v>69</v>
      </c>
      <c r="AJ21" s="1" t="s">
        <v>63</v>
      </c>
      <c r="AK21" s="1" t="s">
        <v>68</v>
      </c>
      <c r="AL21" s="1" t="s">
        <v>72</v>
      </c>
      <c r="AM21" s="1" t="s">
        <v>73</v>
      </c>
      <c r="AN21" s="1" t="s">
        <v>69</v>
      </c>
      <c r="AO21" s="1" t="s">
        <v>265</v>
      </c>
      <c r="AP21" s="1" t="s">
        <v>266</v>
      </c>
      <c r="AQ21" s="1" t="s">
        <v>68</v>
      </c>
      <c r="AR21" s="1" t="s">
        <v>267</v>
      </c>
      <c r="AS21" s="1" t="s">
        <v>268</v>
      </c>
      <c r="AT21" s="1" t="s">
        <v>68</v>
      </c>
      <c r="AU21" s="1" t="s">
        <v>269</v>
      </c>
    </row>
    <row r="22" customFormat="false" ht="15" hidden="false" customHeight="true" outlineLevel="0" collapsed="false">
      <c r="A22" s="1" t="s">
        <v>270</v>
      </c>
      <c r="B22" s="1" t="s">
        <v>271</v>
      </c>
      <c r="C22" s="1" t="s">
        <v>272</v>
      </c>
      <c r="D22" s="1" t="s">
        <v>273</v>
      </c>
      <c r="E22" s="1" t="s">
        <v>98</v>
      </c>
      <c r="F22" s="1" t="s">
        <v>274</v>
      </c>
      <c r="G22" s="15" t="n">
        <v>45505</v>
      </c>
      <c r="H22" s="15" t="n">
        <v>46235</v>
      </c>
      <c r="I22" s="1" t="n">
        <f aca="false">IF(AND(G22&lt;&gt;"",H22&lt;&gt;""),(YEAR(H22)-YEAR(G22))*12+(MONTH(H22)-MONTH(G22)),"")</f>
        <v>24</v>
      </c>
      <c r="J22" s="15" t="n">
        <v>46240</v>
      </c>
      <c r="K22" s="15" t="n">
        <v>46240</v>
      </c>
      <c r="L22" s="1" t="s">
        <v>259</v>
      </c>
      <c r="M22" s="1" t="s">
        <v>55</v>
      </c>
      <c r="N22" s="1" t="s">
        <v>240</v>
      </c>
      <c r="O22" s="1" t="s">
        <v>57</v>
      </c>
      <c r="P22" s="1" t="n">
        <v>1.026</v>
      </c>
      <c r="Q22" s="1" t="str">
        <f aca="false">IF(P22="","",IF(P22&gt;0.5,"Growth &gt;50%",IF(P22&gt;0.1,"Growth 10-50%",IF(P22&gt;=-0.1,"Flat",IF(P22&gt;=-0.25,"Decline 10-25%",IF(P22&gt;=-0.5,"Decline 25-50%",IF(P22&gt;=-0.75,"Decline 50-75%","Decline &gt;75%")))))))</f>
        <v>Growth &gt;50%</v>
      </c>
      <c r="R22" s="1" t="s">
        <v>85</v>
      </c>
      <c r="S22" s="1" t="s">
        <v>150</v>
      </c>
      <c r="T22" s="1" t="s">
        <v>87</v>
      </c>
      <c r="U22" s="1" t="s">
        <v>74</v>
      </c>
      <c r="V22" s="1" t="s">
        <v>275</v>
      </c>
      <c r="W22" s="1" t="s">
        <v>261</v>
      </c>
      <c r="X22" s="1" t="s">
        <v>89</v>
      </c>
      <c r="Y22" s="1" t="s">
        <v>276</v>
      </c>
      <c r="Z22" s="1" t="s">
        <v>68</v>
      </c>
      <c r="AA22" s="1" t="s">
        <v>277</v>
      </c>
      <c r="AB22" s="1" t="s">
        <v>278</v>
      </c>
      <c r="AC22" s="1" t="s">
        <v>69</v>
      </c>
      <c r="AD22" s="1" t="s">
        <v>263</v>
      </c>
      <c r="AE22" s="1" t="s">
        <v>69</v>
      </c>
      <c r="AF22" s="1" t="n">
        <v>0.112</v>
      </c>
      <c r="AG22" s="1" t="n">
        <v>0.787</v>
      </c>
      <c r="AH22" s="1" t="s">
        <v>279</v>
      </c>
      <c r="AI22" s="1" t="s">
        <v>91</v>
      </c>
      <c r="AJ22" s="1" t="s">
        <v>63</v>
      </c>
      <c r="AK22" s="1" t="s">
        <v>66</v>
      </c>
      <c r="AL22" s="1" t="s">
        <v>72</v>
      </c>
      <c r="AM22" s="1" t="s">
        <v>73</v>
      </c>
      <c r="AN22" s="1" t="s">
        <v>69</v>
      </c>
      <c r="AO22" s="1" t="s">
        <v>280</v>
      </c>
      <c r="AP22" s="1" t="s">
        <v>281</v>
      </c>
      <c r="AQ22" s="1" t="s">
        <v>66</v>
      </c>
      <c r="AR22" s="1" t="s">
        <v>282</v>
      </c>
      <c r="AS22" s="1" t="s">
        <v>283</v>
      </c>
      <c r="AT22" s="1" t="s">
        <v>66</v>
      </c>
      <c r="AU22" s="1" t="s">
        <v>269</v>
      </c>
    </row>
    <row r="23" customFormat="false" ht="15" hidden="false" customHeight="true" outlineLevel="0" collapsed="false">
      <c r="A23" s="1" t="s">
        <v>284</v>
      </c>
      <c r="B23" s="1" t="s">
        <v>285</v>
      </c>
      <c r="C23" s="1" t="s">
        <v>286</v>
      </c>
      <c r="D23" s="1" t="s">
        <v>83</v>
      </c>
      <c r="E23" s="1" t="s">
        <v>84</v>
      </c>
      <c r="F23" s="1" t="s">
        <v>274</v>
      </c>
      <c r="G23" s="16" t="n">
        <v>45505</v>
      </c>
      <c r="H23" s="16" t="n">
        <v>46235</v>
      </c>
      <c r="I23" s="1" t="n">
        <f aca="false">IF(AND(G23&lt;&gt;"",H23&lt;&gt;""),(YEAR(H23)-YEAR(G23))*12+(MONTH(H23)-MONTH(G23)),"")</f>
        <v>24</v>
      </c>
      <c r="J23" s="16" t="n">
        <v>46241</v>
      </c>
      <c r="K23" s="16" t="n">
        <v>46241</v>
      </c>
      <c r="L23" s="1" t="s">
        <v>259</v>
      </c>
      <c r="M23" s="1" t="s">
        <v>287</v>
      </c>
      <c r="N23" s="1" t="s">
        <v>240</v>
      </c>
      <c r="O23" s="1" t="s">
        <v>57</v>
      </c>
      <c r="P23" s="1" t="n">
        <v>0.503</v>
      </c>
      <c r="Q23" s="1" t="str">
        <f aca="false">IF(P23="","",IF(P23&gt;0.5,"Growth &gt;50%",IF(P23&gt;0.1,"Growth 10-50%",IF(P23&gt;=-0.1,"Flat",IF(P23&gt;=-0.25,"Decline 10-25%",IF(P23&gt;=-0.5,"Decline 25-50%",IF(P23&gt;=-0.75,"Decline 50-75%","Decline &gt;75%")))))))</f>
        <v>Growth &gt;50%</v>
      </c>
      <c r="R23" s="1" t="s">
        <v>85</v>
      </c>
      <c r="S23" s="1" t="s">
        <v>150</v>
      </c>
      <c r="T23" s="1" t="s">
        <v>87</v>
      </c>
      <c r="U23" s="1" t="s">
        <v>74</v>
      </c>
      <c r="V23" s="1" t="s">
        <v>84</v>
      </c>
      <c r="W23" s="1" t="s">
        <v>84</v>
      </c>
      <c r="X23" s="1" t="s">
        <v>133</v>
      </c>
      <c r="Y23" s="1" t="s">
        <v>63</v>
      </c>
      <c r="Z23" s="1" t="s">
        <v>66</v>
      </c>
      <c r="AA23" s="1" t="s">
        <v>61</v>
      </c>
      <c r="AB23" s="1" t="s">
        <v>68</v>
      </c>
      <c r="AC23" s="1" t="s">
        <v>69</v>
      </c>
      <c r="AD23" s="1" t="s">
        <v>70</v>
      </c>
      <c r="AE23" s="1" t="s">
        <v>69</v>
      </c>
      <c r="AF23" s="1" t="n">
        <v>0.296</v>
      </c>
      <c r="AG23" s="1" t="n">
        <v>0.615</v>
      </c>
      <c r="AH23" s="1" t="s">
        <v>288</v>
      </c>
      <c r="AI23" s="1" t="s">
        <v>91</v>
      </c>
      <c r="AJ23" s="1" t="s">
        <v>63</v>
      </c>
      <c r="AK23" s="1" t="s">
        <v>77</v>
      </c>
      <c r="AL23" s="1" t="s">
        <v>72</v>
      </c>
      <c r="AM23" s="1" t="s">
        <v>73</v>
      </c>
      <c r="AN23" s="1" t="s">
        <v>69</v>
      </c>
      <c r="AO23" s="1" t="s">
        <v>289</v>
      </c>
      <c r="AP23" s="1" t="s">
        <v>290</v>
      </c>
      <c r="AQ23" s="1" t="s">
        <v>66</v>
      </c>
      <c r="AR23" s="1" t="s">
        <v>291</v>
      </c>
      <c r="AS23" s="1" t="s">
        <v>292</v>
      </c>
      <c r="AT23" s="1" t="s">
        <v>66</v>
      </c>
      <c r="AU23" s="1" t="s">
        <v>84</v>
      </c>
    </row>
    <row r="24" customFormat="false" ht="15" hidden="false" customHeight="true" outlineLevel="0" collapsed="false">
      <c r="A24" s="1" t="s">
        <v>293</v>
      </c>
      <c r="B24" s="1" t="s">
        <v>294</v>
      </c>
      <c r="C24" s="1" t="s">
        <v>249</v>
      </c>
      <c r="D24" s="1" t="s">
        <v>83</v>
      </c>
      <c r="E24" s="1" t="s">
        <v>159</v>
      </c>
      <c r="F24" s="1" t="s">
        <v>99</v>
      </c>
      <c r="G24" s="13" t="n">
        <v>45658</v>
      </c>
      <c r="H24" s="13" t="n">
        <v>46174</v>
      </c>
      <c r="I24" s="1" t="n">
        <f aca="false">IF(AND(G24&lt;&gt;"",H24&lt;&gt;""),(YEAR(H24)-YEAR(G24))*12+(MONTH(H24)-MONTH(G24)),"")</f>
        <v>17</v>
      </c>
      <c r="J24" s="13" t="n">
        <v>46237</v>
      </c>
      <c r="K24" s="13" t="n">
        <v>46237</v>
      </c>
      <c r="L24" s="1" t="s">
        <v>54</v>
      </c>
      <c r="M24" s="1" t="s">
        <v>287</v>
      </c>
      <c r="N24" s="1" t="s">
        <v>240</v>
      </c>
      <c r="O24" s="1" t="s">
        <v>57</v>
      </c>
      <c r="P24" s="1" t="n">
        <v>-0.507</v>
      </c>
      <c r="Q24" s="1" t="str">
        <f aca="false">IF(P24="","",IF(P24&gt;0.5,"Growth &gt;50%",IF(P24&gt;0.1,"Growth 10-50%",IF(P24&gt;=-0.1,"Flat",IF(P24&gt;=-0.25,"Decline 10-25%",IF(P24&gt;=-0.5,"Decline 25-50%",IF(P24&gt;=-0.75,"Decline 50-75%","Decline &gt;75%")))))))</f>
        <v>Decline 50-75%</v>
      </c>
      <c r="R24" s="1" t="s">
        <v>58</v>
      </c>
      <c r="S24" s="1" t="s">
        <v>59</v>
      </c>
      <c r="T24" s="1" t="s">
        <v>60</v>
      </c>
      <c r="U24" s="1" t="s">
        <v>61</v>
      </c>
      <c r="V24" s="1" t="s">
        <v>62</v>
      </c>
      <c r="W24" s="1" t="s">
        <v>63</v>
      </c>
      <c r="X24" s="1" t="s">
        <v>251</v>
      </c>
      <c r="Y24" s="1" t="s">
        <v>63</v>
      </c>
      <c r="Z24" s="1" t="s">
        <v>66</v>
      </c>
      <c r="AA24" s="1" t="s">
        <v>102</v>
      </c>
      <c r="AB24" s="1" t="s">
        <v>68</v>
      </c>
      <c r="AC24" s="1" t="s">
        <v>69</v>
      </c>
      <c r="AD24" s="1" t="s">
        <v>70</v>
      </c>
      <c r="AE24" s="1" t="s">
        <v>69</v>
      </c>
      <c r="AF24" s="1" t="n">
        <v>2.671</v>
      </c>
      <c r="AG24" s="1" t="n">
        <v>0.398</v>
      </c>
      <c r="AH24" s="1" t="s">
        <v>295</v>
      </c>
      <c r="AI24" s="1" t="s">
        <v>69</v>
      </c>
      <c r="AJ24" s="1" t="s">
        <v>63</v>
      </c>
      <c r="AK24" s="1" t="s">
        <v>66</v>
      </c>
      <c r="AL24" s="1" t="s">
        <v>72</v>
      </c>
      <c r="AM24" s="1" t="s">
        <v>73</v>
      </c>
      <c r="AN24" s="1" t="s">
        <v>69</v>
      </c>
      <c r="AO24" s="1" t="s">
        <v>296</v>
      </c>
      <c r="AP24" s="1" t="s">
        <v>297</v>
      </c>
      <c r="AQ24" s="1" t="s">
        <v>68</v>
      </c>
      <c r="AR24" s="1" t="s">
        <v>298</v>
      </c>
      <c r="AS24" s="1" t="s">
        <v>299</v>
      </c>
      <c r="AT24" s="1" t="s">
        <v>68</v>
      </c>
      <c r="AU24" s="1" t="s">
        <v>63</v>
      </c>
    </row>
    <row r="25" customFormat="false" ht="15" hidden="false" customHeight="true" outlineLevel="0" collapsed="false">
      <c r="A25" s="1" t="s">
        <v>300</v>
      </c>
      <c r="B25" s="1" t="s">
        <v>301</v>
      </c>
      <c r="C25" s="1" t="s">
        <v>302</v>
      </c>
      <c r="D25" s="1" t="s">
        <v>83</v>
      </c>
      <c r="E25" s="1" t="s">
        <v>84</v>
      </c>
      <c r="F25" s="1" t="s">
        <v>274</v>
      </c>
      <c r="G25" s="13" t="n">
        <v>45658</v>
      </c>
      <c r="H25" s="13" t="n">
        <v>46204</v>
      </c>
      <c r="I25" s="1" t="n">
        <f aca="false">IF(AND(G25&lt;&gt;"",H25&lt;&gt;""),(YEAR(H25)-YEAR(G25))*12+(MONTH(H25)-MONTH(G25)),"")</f>
        <v>18</v>
      </c>
      <c r="J25" s="13" t="n">
        <v>46238</v>
      </c>
      <c r="K25" s="13" t="n">
        <v>46238</v>
      </c>
      <c r="L25" s="1" t="s">
        <v>122</v>
      </c>
      <c r="M25" s="1" t="s">
        <v>287</v>
      </c>
      <c r="N25" s="1" t="s">
        <v>240</v>
      </c>
      <c r="O25" s="1" t="s">
        <v>57</v>
      </c>
      <c r="P25" s="1" t="n">
        <v>-0.126</v>
      </c>
      <c r="Q25" s="1" t="str">
        <f aca="false">IF(P25="","",IF(P25&gt;0.5,"Growth &gt;50%",IF(P25&gt;0.1,"Growth 10-50%",IF(P25&gt;=-0.1,"Flat",IF(P25&gt;=-0.25,"Decline 10-25%",IF(P25&gt;=-0.5,"Decline 25-50%",IF(P25&gt;=-0.75,"Decline 50-75%","Decline &gt;75%")))))))</f>
        <v>Decline 10-25%</v>
      </c>
      <c r="R25" s="1" t="s">
        <v>58</v>
      </c>
      <c r="S25" s="1" t="s">
        <v>110</v>
      </c>
      <c r="T25" s="1" t="s">
        <v>87</v>
      </c>
      <c r="U25" s="1" t="s">
        <v>74</v>
      </c>
      <c r="V25" s="1" t="s">
        <v>112</v>
      </c>
      <c r="W25" s="1" t="s">
        <v>303</v>
      </c>
      <c r="X25" s="1" t="s">
        <v>304</v>
      </c>
      <c r="Y25" s="1" t="s">
        <v>305</v>
      </c>
      <c r="Z25" s="1" t="s">
        <v>66</v>
      </c>
      <c r="AA25" s="1" t="s">
        <v>67</v>
      </c>
      <c r="AB25" s="1" t="s">
        <v>68</v>
      </c>
      <c r="AC25" s="1" t="s">
        <v>69</v>
      </c>
      <c r="AD25" s="1" t="s">
        <v>84</v>
      </c>
      <c r="AE25" s="1" t="s">
        <v>69</v>
      </c>
      <c r="AF25" s="1" t="n">
        <v>1.555</v>
      </c>
      <c r="AG25" s="1" t="n">
        <v>0.62</v>
      </c>
      <c r="AH25" s="1" t="s">
        <v>306</v>
      </c>
      <c r="AI25" s="1" t="s">
        <v>69</v>
      </c>
      <c r="AJ25" s="1" t="s">
        <v>63</v>
      </c>
      <c r="AK25" s="1" t="s">
        <v>66</v>
      </c>
      <c r="AL25" s="1" t="s">
        <v>72</v>
      </c>
      <c r="AM25" s="1" t="s">
        <v>73</v>
      </c>
      <c r="AN25" s="1" t="s">
        <v>69</v>
      </c>
      <c r="AO25" s="1" t="s">
        <v>307</v>
      </c>
      <c r="AP25" s="1" t="s">
        <v>308</v>
      </c>
      <c r="AQ25" s="1" t="s">
        <v>68</v>
      </c>
      <c r="AR25" s="1" t="s">
        <v>309</v>
      </c>
      <c r="AS25" s="1" t="s">
        <v>310</v>
      </c>
      <c r="AT25" s="1" t="s">
        <v>66</v>
      </c>
      <c r="AU25" s="1" t="s">
        <v>84</v>
      </c>
    </row>
    <row r="26" customFormat="false" ht="863.25" hidden="false" customHeight="true" outlineLevel="0" collapsed="false">
      <c r="A26" s="17" t="s">
        <v>311</v>
      </c>
      <c r="B26" s="17" t="s">
        <v>312</v>
      </c>
      <c r="C26" s="17" t="s">
        <v>313</v>
      </c>
      <c r="D26" s="17" t="s">
        <v>314</v>
      </c>
      <c r="E26" s="17" t="s">
        <v>84</v>
      </c>
      <c r="F26" s="17" t="s">
        <v>229</v>
      </c>
      <c r="G26" s="18" t="n">
        <v>45200</v>
      </c>
      <c r="H26" s="18" t="n">
        <v>46235</v>
      </c>
      <c r="I26" s="17" t="n">
        <f aca="false">IF(AND(G26&lt;&gt;"",H26&lt;&gt;""),(YEAR(H26)-YEAR(G26))*12+(MONTH(H26)-MONTH(G26)),"")</f>
        <v>34</v>
      </c>
      <c r="J26" s="18" t="n">
        <v>46245</v>
      </c>
      <c r="K26" s="18" t="n">
        <v>46245</v>
      </c>
      <c r="L26" s="17" t="s">
        <v>122</v>
      </c>
      <c r="M26" s="17" t="s">
        <v>287</v>
      </c>
      <c r="N26" s="17" t="s">
        <v>240</v>
      </c>
      <c r="O26" s="17" t="s">
        <v>315</v>
      </c>
      <c r="P26" s="19" t="n">
        <v>-0.853</v>
      </c>
      <c r="Q26" s="17" t="str">
        <f aca="false">IF(P26="","",IF(P26&gt;0.5,"Growth &gt;50%",IF(P26&gt;0.1,"Growth 10-50%",IF(P26&gt;=-0.1,"Flat",IF(P26&gt;=-0.25,"Decline 10-25%",IF(P26&gt;=-0.5,"Decline 25-50%",IF(P26&gt;=-0.75,"Decline 50-75%","Decline &gt;75%")))))))</f>
        <v>Decline &gt;75%</v>
      </c>
      <c r="R26" s="17" t="s">
        <v>58</v>
      </c>
      <c r="S26" s="17" t="s">
        <v>59</v>
      </c>
      <c r="T26" s="17" t="s">
        <v>60</v>
      </c>
      <c r="U26" s="17" t="s">
        <v>61</v>
      </c>
      <c r="V26" s="17" t="s">
        <v>62</v>
      </c>
      <c r="W26" s="17" t="s">
        <v>63</v>
      </c>
      <c r="X26" s="17" t="s">
        <v>251</v>
      </c>
      <c r="Y26" s="17" t="s">
        <v>316</v>
      </c>
      <c r="Z26" s="17" t="s">
        <v>68</v>
      </c>
      <c r="AA26" s="17" t="s">
        <v>169</v>
      </c>
      <c r="AB26" s="17" t="s">
        <v>68</v>
      </c>
      <c r="AC26" s="17" t="s">
        <v>69</v>
      </c>
      <c r="AD26" s="17" t="s">
        <v>84</v>
      </c>
      <c r="AE26" s="1" t="s">
        <v>69</v>
      </c>
      <c r="AF26" s="17" t="n">
        <v>0.296</v>
      </c>
      <c r="AG26" s="20" t="n">
        <v>0.449</v>
      </c>
      <c r="AH26" s="17" t="s">
        <v>317</v>
      </c>
      <c r="AI26" s="17" t="s">
        <v>69</v>
      </c>
      <c r="AJ26" s="17" t="s">
        <v>63</v>
      </c>
      <c r="AK26" s="17" t="s">
        <v>63</v>
      </c>
      <c r="AL26" s="17" t="s">
        <v>84</v>
      </c>
      <c r="AM26" s="17" t="s">
        <v>84</v>
      </c>
      <c r="AN26" s="17" t="s">
        <v>74</v>
      </c>
      <c r="AO26" s="17" t="s">
        <v>318</v>
      </c>
      <c r="AP26" s="17"/>
      <c r="AQ26" s="17" t="s">
        <v>84</v>
      </c>
      <c r="AR26" s="17" t="s">
        <v>319</v>
      </c>
      <c r="AS26" s="17" t="s">
        <v>320</v>
      </c>
      <c r="AT26" s="17" t="s">
        <v>68</v>
      </c>
      <c r="AU26" s="17" t="s">
        <v>63</v>
      </c>
    </row>
  </sheetData>
  <autoFilter ref="A2:AM2"/>
  <mergeCells count="1">
    <mergeCell ref="A1:A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90"/>
  </cols>
  <sheetData>
    <row r="1" customFormat="false" ht="30" hidden="false" customHeight="true" outlineLevel="0" collapsed="false">
      <c r="A1" s="21" t="s">
        <v>321</v>
      </c>
    </row>
    <row r="2" customFormat="false" ht="36" hidden="false" customHeight="true" outlineLevel="0" collapsed="false">
      <c r="A2" s="22" t="s">
        <v>322</v>
      </c>
      <c r="B2" s="23" t="s">
        <v>323</v>
      </c>
    </row>
    <row r="3" customFormat="false" ht="36" hidden="false" customHeight="true" outlineLevel="0" collapsed="false">
      <c r="A3" s="24" t="s">
        <v>3</v>
      </c>
      <c r="B3" s="25" t="s">
        <v>324</v>
      </c>
    </row>
    <row r="4" customFormat="false" ht="36" hidden="false" customHeight="true" outlineLevel="0" collapsed="false">
      <c r="A4" s="24" t="s">
        <v>4</v>
      </c>
      <c r="B4" s="25" t="s">
        <v>325</v>
      </c>
    </row>
    <row r="5" customFormat="false" ht="36" hidden="false" customHeight="true" outlineLevel="0" collapsed="false">
      <c r="A5" s="24" t="s">
        <v>5</v>
      </c>
      <c r="B5" s="25" t="s">
        <v>326</v>
      </c>
    </row>
    <row r="6" customFormat="false" ht="36" hidden="false" customHeight="true" outlineLevel="0" collapsed="false">
      <c r="A6" s="24" t="s">
        <v>6</v>
      </c>
      <c r="B6" s="25" t="s">
        <v>327</v>
      </c>
    </row>
    <row r="7" customFormat="false" ht="36" hidden="false" customHeight="true" outlineLevel="0" collapsed="false">
      <c r="A7" s="24" t="s">
        <v>328</v>
      </c>
      <c r="B7" s="25" t="s">
        <v>329</v>
      </c>
    </row>
    <row r="8" customFormat="false" ht="36" hidden="false" customHeight="true" outlineLevel="0" collapsed="false">
      <c r="A8" s="24" t="s">
        <v>13</v>
      </c>
      <c r="B8" s="25" t="s">
        <v>330</v>
      </c>
    </row>
    <row r="9" customFormat="false" ht="36" hidden="false" customHeight="true" outlineLevel="0" collapsed="false">
      <c r="A9" s="24" t="s">
        <v>14</v>
      </c>
      <c r="B9" s="25" t="s">
        <v>331</v>
      </c>
    </row>
    <row r="10" customFormat="false" ht="36" hidden="false" customHeight="true" outlineLevel="0" collapsed="false">
      <c r="A10" s="24" t="s">
        <v>15</v>
      </c>
      <c r="B10" s="25" t="s">
        <v>332</v>
      </c>
    </row>
    <row r="11" customFormat="false" ht="36" hidden="false" customHeight="true" outlineLevel="0" collapsed="false">
      <c r="A11" s="24" t="s">
        <v>16</v>
      </c>
      <c r="B11" s="25" t="s">
        <v>333</v>
      </c>
    </row>
    <row r="12" customFormat="false" ht="36" hidden="false" customHeight="true" outlineLevel="0" collapsed="false">
      <c r="A12" s="24" t="s">
        <v>17</v>
      </c>
      <c r="B12" s="25" t="s">
        <v>334</v>
      </c>
    </row>
    <row r="13" customFormat="false" ht="36" hidden="false" customHeight="true" outlineLevel="0" collapsed="false">
      <c r="A13" s="24" t="s">
        <v>18</v>
      </c>
      <c r="B13" s="25" t="s">
        <v>335</v>
      </c>
    </row>
    <row r="14" customFormat="false" ht="36" hidden="false" customHeight="true" outlineLevel="0" collapsed="false">
      <c r="A14" s="24" t="s">
        <v>19</v>
      </c>
      <c r="B14" s="25" t="s">
        <v>336</v>
      </c>
    </row>
    <row r="15" customFormat="false" ht="36" hidden="false" customHeight="true" outlineLevel="0" collapsed="false">
      <c r="A15" s="24" t="s">
        <v>20</v>
      </c>
      <c r="B15" s="25" t="s">
        <v>337</v>
      </c>
    </row>
    <row r="16" customFormat="false" ht="36" hidden="false" customHeight="true" outlineLevel="0" collapsed="false">
      <c r="A16" s="24" t="s">
        <v>21</v>
      </c>
      <c r="B16" s="25" t="s">
        <v>338</v>
      </c>
    </row>
    <row r="17" customFormat="false" ht="36" hidden="false" customHeight="true" outlineLevel="0" collapsed="false">
      <c r="A17" s="26" t="s">
        <v>22</v>
      </c>
      <c r="B17" s="1" t="s">
        <v>339</v>
      </c>
    </row>
    <row r="18" customFormat="false" ht="36" hidden="false" customHeight="true" outlineLevel="0" collapsed="false">
      <c r="A18" s="24" t="s">
        <v>24</v>
      </c>
      <c r="B18" s="25" t="s">
        <v>340</v>
      </c>
    </row>
    <row r="19" customFormat="false" ht="36" hidden="false" customHeight="true" outlineLevel="0" collapsed="false">
      <c r="A19" s="24" t="s">
        <v>25</v>
      </c>
      <c r="B19" s="25" t="s">
        <v>341</v>
      </c>
    </row>
    <row r="20" customFormat="false" ht="36" hidden="false" customHeight="true" outlineLevel="0" collapsed="false">
      <c r="A20" s="24" t="s">
        <v>26</v>
      </c>
      <c r="B20" s="25" t="s">
        <v>342</v>
      </c>
    </row>
    <row r="21" customFormat="false" ht="36" hidden="false" customHeight="true" outlineLevel="0" collapsed="false">
      <c r="A21" s="24" t="s">
        <v>27</v>
      </c>
      <c r="B21" s="25" t="s">
        <v>343</v>
      </c>
    </row>
    <row r="22" customFormat="false" ht="36" hidden="false" customHeight="true" outlineLevel="0" collapsed="false">
      <c r="A22" s="24" t="s">
        <v>28</v>
      </c>
      <c r="B22" s="25" t="s">
        <v>344</v>
      </c>
    </row>
    <row r="23" customFormat="false" ht="36" hidden="false" customHeight="true" outlineLevel="0" collapsed="false">
      <c r="A23" s="1" t="s">
        <v>29</v>
      </c>
      <c r="B23" s="1" t="s">
        <v>345</v>
      </c>
    </row>
    <row r="24" customFormat="false" ht="36" hidden="false" customHeight="true" outlineLevel="0" collapsed="false">
      <c r="A24" s="1" t="s">
        <v>30</v>
      </c>
      <c r="B24" s="1" t="s">
        <v>346</v>
      </c>
    </row>
    <row r="25" customFormat="false" ht="36" hidden="false" customHeight="true" outlineLevel="0" collapsed="false">
      <c r="A25" s="1" t="s">
        <v>31</v>
      </c>
      <c r="B25" s="1" t="s">
        <v>347</v>
      </c>
    </row>
    <row r="26" customFormat="false" ht="36" hidden="false" customHeight="true" outlineLevel="0" collapsed="false">
      <c r="A26" s="24" t="s">
        <v>32</v>
      </c>
      <c r="B26" s="25" t="s">
        <v>348</v>
      </c>
    </row>
    <row r="27" customFormat="false" ht="36" hidden="false" customHeight="true" outlineLevel="0" collapsed="false">
      <c r="A27" s="24" t="s">
        <v>33</v>
      </c>
      <c r="B27" s="25" t="s">
        <v>349</v>
      </c>
    </row>
    <row r="28" customFormat="false" ht="36" hidden="false" customHeight="true" outlineLevel="0" collapsed="false">
      <c r="A28" s="24" t="s">
        <v>34</v>
      </c>
      <c r="B28" s="25" t="s">
        <v>350</v>
      </c>
    </row>
    <row r="29" customFormat="false" ht="36" hidden="false" customHeight="true" outlineLevel="0" collapsed="false">
      <c r="A29" s="24" t="s">
        <v>35</v>
      </c>
      <c r="B29" s="25" t="s">
        <v>351</v>
      </c>
    </row>
    <row r="30" customFormat="false" ht="36" hidden="false" customHeight="true" outlineLevel="0" collapsed="false">
      <c r="A30" s="24" t="s">
        <v>36</v>
      </c>
      <c r="B30" s="25" t="s">
        <v>352</v>
      </c>
    </row>
    <row r="31" customFormat="false" ht="36" hidden="false" customHeight="true" outlineLevel="0" collapsed="false">
      <c r="A31" s="24" t="s">
        <v>353</v>
      </c>
      <c r="B31" s="25" t="s">
        <v>354</v>
      </c>
    </row>
    <row r="32" customFormat="false" ht="36" hidden="false" customHeight="true" outlineLevel="0" collapsed="false">
      <c r="A32" s="24" t="s">
        <v>37</v>
      </c>
      <c r="B32" s="25" t="s">
        <v>355</v>
      </c>
    </row>
    <row r="33" customFormat="false" ht="36" hidden="false" customHeight="true" outlineLevel="0" collapsed="false">
      <c r="A33" s="24" t="s">
        <v>38</v>
      </c>
      <c r="B33" s="25" t="s">
        <v>356</v>
      </c>
    </row>
    <row r="34" customFormat="false" ht="36" hidden="false" customHeight="true" outlineLevel="0" collapsed="false">
      <c r="A34" s="24" t="s">
        <v>39</v>
      </c>
      <c r="B34" s="25" t="s">
        <v>357</v>
      </c>
    </row>
    <row r="35" customFormat="false" ht="23.25" hidden="false" customHeight="true" outlineLevel="0" collapsed="false">
      <c r="A35" s="24" t="s">
        <v>40</v>
      </c>
      <c r="B35" s="25" t="s">
        <v>358</v>
      </c>
    </row>
    <row r="36" customFormat="false" ht="15" hidden="false" customHeight="true" outlineLevel="0" collapsed="false">
      <c r="A36" s="1" t="s">
        <v>46</v>
      </c>
      <c r="B36" s="1" t="s">
        <v>359</v>
      </c>
    </row>
    <row r="37" customFormat="false" ht="23.25" hidden="false" customHeight="true" outlineLevel="0" collapsed="false">
      <c r="A37" s="24" t="s">
        <v>42</v>
      </c>
      <c r="B37" s="25" t="s">
        <v>360</v>
      </c>
    </row>
    <row r="38" customFormat="false" ht="15" hidden="false" customHeight="true" outlineLevel="0" collapsed="false">
      <c r="A38" s="1" t="s">
        <v>43</v>
      </c>
      <c r="B38" s="1" t="s">
        <v>361</v>
      </c>
    </row>
    <row r="39" customFormat="false" ht="23.25" hidden="false" customHeight="true" outlineLevel="0" collapsed="false">
      <c r="A39" s="24" t="s">
        <v>44</v>
      </c>
      <c r="B39" s="25" t="s">
        <v>362</v>
      </c>
    </row>
    <row r="40" customFormat="false" ht="15" hidden="false" customHeight="true" outlineLevel="0" collapsed="false">
      <c r="A40" s="24" t="s">
        <v>45</v>
      </c>
      <c r="B40" s="25" t="s">
        <v>363</v>
      </c>
    </row>
    <row r="41" customFormat="false" ht="15" hidden="false" customHeight="true" outlineLevel="0" collapsed="false">
      <c r="A41" s="24" t="s">
        <v>364</v>
      </c>
      <c r="B41" s="25" t="s">
        <v>365</v>
      </c>
    </row>
    <row r="42" customFormat="false" ht="15" hidden="false" customHeight="true" outlineLevel="0" collapsed="false">
      <c r="A42" s="1" t="s">
        <v>23</v>
      </c>
      <c r="B42" s="1" t="s">
        <v>366</v>
      </c>
    </row>
    <row r="43" customFormat="false" ht="15" hidden="false" customHeight="true" outlineLevel="0" collapsed="false">
      <c r="A43" s="1" t="s">
        <v>47</v>
      </c>
      <c r="B43" s="1" t="s">
        <v>367</v>
      </c>
    </row>
    <row r="44" customFormat="false" ht="15" hidden="false" customHeight="true" outlineLevel="0" collapsed="false">
      <c r="A44" s="1" t="s">
        <v>368</v>
      </c>
      <c r="B44" s="1" t="s">
        <v>369</v>
      </c>
    </row>
    <row r="45" customFormat="false" ht="15" hidden="false" customHeight="true" outlineLevel="0" collapsed="false">
      <c r="A45" s="1" t="s">
        <v>370</v>
      </c>
      <c r="B45" s="1" t="s">
        <v>371</v>
      </c>
    </row>
    <row r="46" customFormat="false" ht="15" hidden="false" customHeight="true" outlineLevel="0" collapsed="false">
      <c r="A46" s="1" t="s">
        <v>372</v>
      </c>
      <c r="B46" s="1" t="s">
        <v>373</v>
      </c>
    </row>
    <row r="47" customFormat="false" ht="15" hidden="false" customHeight="true" outlineLevel="0" collapsed="false">
      <c r="A47" s="1" t="s">
        <v>374</v>
      </c>
      <c r="B47" s="1" t="s">
        <v>375</v>
      </c>
    </row>
    <row r="48" customFormat="false" ht="15" hidden="false" customHeight="true" outlineLevel="0" collapsed="false">
      <c r="A48" s="1" t="s">
        <v>376</v>
      </c>
      <c r="B48" s="1" t="s">
        <v>377</v>
      </c>
    </row>
    <row r="49" customFormat="false" ht="15" hidden="false" customHeight="true" outlineLevel="0" collapsed="false">
      <c r="A49" s="1" t="s">
        <v>378</v>
      </c>
      <c r="B49" s="1" t="s">
        <v>379</v>
      </c>
    </row>
    <row r="50" customFormat="false" ht="15" hidden="false" customHeight="true" outlineLevel="0" collapsed="false">
      <c r="A50" s="1" t="s">
        <v>380</v>
      </c>
      <c r="B50" s="1" t="s">
        <v>381</v>
      </c>
    </row>
    <row r="51" customFormat="false" ht="15" hidden="false" customHeight="true" outlineLevel="0" collapsed="false">
      <c r="A51" s="1" t="s">
        <v>382</v>
      </c>
      <c r="B51" s="1" t="s">
        <v>383</v>
      </c>
    </row>
    <row r="52" customFormat="false" ht="15" hidden="false" customHeight="true" outlineLevel="0" collapsed="false">
      <c r="A52" s="1" t="s">
        <v>384</v>
      </c>
      <c r="B52" s="1" t="s">
        <v>385</v>
      </c>
    </row>
    <row r="53" customFormat="false" ht="15" hidden="false" customHeight="true" outlineLevel="0" collapsed="false">
      <c r="A53" s="1" t="s">
        <v>386</v>
      </c>
      <c r="B53" s="1" t="s">
        <v>387</v>
      </c>
    </row>
    <row r="54" customFormat="false" ht="15" hidden="false" customHeight="true" outlineLevel="0" collapsed="false">
      <c r="A54" s="1" t="s">
        <v>388</v>
      </c>
      <c r="B54" s="1" t="s">
        <v>389</v>
      </c>
    </row>
    <row r="55" customFormat="false" ht="15" hidden="false" customHeight="true" outlineLevel="0" collapsed="false">
      <c r="A55" s="1" t="s">
        <v>390</v>
      </c>
      <c r="B55" s="1" t="s">
        <v>391</v>
      </c>
    </row>
    <row r="56" customFormat="false" ht="15" hidden="false" customHeight="true" outlineLevel="0" collapsed="false">
      <c r="A56" s="1" t="s">
        <v>392</v>
      </c>
      <c r="B56" s="1" t="s">
        <v>393</v>
      </c>
    </row>
    <row r="57" customFormat="false" ht="15" hidden="false" customHeight="true" outlineLevel="0" collapsed="false">
      <c r="A57" s="1" t="s">
        <v>394</v>
      </c>
      <c r="B57" s="1" t="s">
        <v>395</v>
      </c>
    </row>
    <row r="58" customFormat="false" ht="15" hidden="false" customHeight="true" outlineLevel="0" collapsed="false">
      <c r="A58" s="1" t="s">
        <v>396</v>
      </c>
      <c r="B58" s="1" t="s">
        <v>397</v>
      </c>
    </row>
    <row r="59" customFormat="false" ht="15" hidden="false" customHeight="true" outlineLevel="0" collapsed="false">
      <c r="A59" s="1" t="s">
        <v>398</v>
      </c>
      <c r="B59" s="1" t="s">
        <v>399</v>
      </c>
    </row>
    <row r="60" customFormat="false" ht="15" hidden="false" customHeight="true" outlineLevel="0" collapsed="false">
      <c r="A60" s="1" t="s">
        <v>400</v>
      </c>
      <c r="B60" s="1" t="s">
        <v>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2"/>
    <col collapsed="false" customWidth="true" hidden="false" outlineLevel="0" max="3" min="3" style="1" width="28"/>
  </cols>
  <sheetData>
    <row r="1" customFormat="false" ht="30" hidden="false" customHeight="true" outlineLevel="0" collapsed="false">
      <c r="A1" s="21" t="s">
        <v>402</v>
      </c>
    </row>
    <row r="2" customFormat="false" ht="51.75" hidden="false" customHeight="true" outlineLevel="0" collapsed="false">
      <c r="A2" s="23" t="s">
        <v>403</v>
      </c>
      <c r="B2" s="23" t="s">
        <v>404</v>
      </c>
      <c r="C2" s="23" t="s">
        <v>405</v>
      </c>
    </row>
    <row r="3" customFormat="false" ht="51.75" hidden="false" customHeight="true" outlineLevel="0" collapsed="false">
      <c r="A3" s="25" t="s">
        <v>86</v>
      </c>
      <c r="B3" s="25" t="s">
        <v>406</v>
      </c>
      <c r="C3" s="25" t="s">
        <v>407</v>
      </c>
    </row>
    <row r="4" customFormat="false" ht="51.75" hidden="false" customHeight="true" outlineLevel="0" collapsed="false">
      <c r="A4" s="25" t="s">
        <v>160</v>
      </c>
      <c r="B4" s="25" t="s">
        <v>408</v>
      </c>
      <c r="C4" s="25"/>
    </row>
    <row r="5" customFormat="false" ht="51.75" hidden="false" customHeight="true" outlineLevel="0" collapsed="false">
      <c r="A5" s="25" t="s">
        <v>150</v>
      </c>
      <c r="B5" s="25" t="s">
        <v>409</v>
      </c>
      <c r="C5" s="25"/>
    </row>
    <row r="6" customFormat="false" ht="51.75" hidden="false" customHeight="true" outlineLevel="0" collapsed="false">
      <c r="A6" s="25" t="s">
        <v>410</v>
      </c>
      <c r="B6" s="25" t="s">
        <v>411</v>
      </c>
      <c r="C6" s="25"/>
    </row>
    <row r="7" customFormat="false" ht="51.75" hidden="false" customHeight="true" outlineLevel="0" collapsed="false">
      <c r="A7" s="25" t="s">
        <v>59</v>
      </c>
      <c r="B7" s="25" t="s">
        <v>412</v>
      </c>
      <c r="C7" s="25"/>
    </row>
    <row r="8" customFormat="false" ht="51.75" hidden="false" customHeight="true" outlineLevel="0" collapsed="false">
      <c r="A8" s="25" t="s">
        <v>110</v>
      </c>
      <c r="B8" s="25" t="s">
        <v>413</v>
      </c>
      <c r="C8" s="25" t="s">
        <v>414</v>
      </c>
    </row>
    <row r="9" customFormat="false" ht="51.75" hidden="false" customHeight="true" outlineLevel="0" collapsed="false">
      <c r="A9" s="25" t="s">
        <v>415</v>
      </c>
      <c r="B9" s="25" t="s">
        <v>416</v>
      </c>
      <c r="C9" s="25"/>
    </row>
    <row r="10" customFormat="false" ht="51.75" hidden="false" customHeight="true" outlineLevel="0" collapsed="false">
      <c r="A10" s="25" t="s">
        <v>100</v>
      </c>
      <c r="B10" s="25" t="s">
        <v>417</v>
      </c>
      <c r="C10" s="25"/>
    </row>
    <row r="11" customFormat="false" ht="51.75" hidden="false" customHeight="true" outlineLevel="0" collapsed="false">
      <c r="A11" s="25" t="s">
        <v>260</v>
      </c>
      <c r="B11" s="25" t="s">
        <v>418</v>
      </c>
      <c r="C11" s="25" t="s">
        <v>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4" min="3" style="1" width="11"/>
    <col collapsed="false" customWidth="true" hidden="false" outlineLevel="0" max="5" min="5" style="1" width="13"/>
    <col collapsed="false" customWidth="true" hidden="false" outlineLevel="0" max="7" min="6" style="1" width="11"/>
    <col collapsed="false" customWidth="true" hidden="false" outlineLevel="0" max="8" min="8" style="1" width="13"/>
    <col collapsed="false" customWidth="true" hidden="false" outlineLevel="0" max="9" min="9" style="1" width="20"/>
    <col collapsed="false" customWidth="true" hidden="false" outlineLevel="0" max="10" min="10" style="1" width="16"/>
    <col collapsed="false" customWidth="true" hidden="false" outlineLevel="0" max="11" min="11" style="1" width="22"/>
    <col collapsed="false" customWidth="true" hidden="false" outlineLevel="0" max="12" min="12" style="1" width="28"/>
    <col collapsed="false" customWidth="true" hidden="false" outlineLevel="0" max="13" min="13" style="1" width="35"/>
    <col collapsed="false" customWidth="true" hidden="false" outlineLevel="0" max="14" min="14" style="1" width="14"/>
    <col collapsed="false" customWidth="true" hidden="false" outlineLevel="0" max="16" min="15" style="1" width="22"/>
    <col collapsed="false" customWidth="true" hidden="false" outlineLevel="0" max="17" min="17" style="1" width="13"/>
    <col collapsed="false" customWidth="true" hidden="false" outlineLevel="0" max="18" min="18" style="1" width="18"/>
    <col collapsed="false" customWidth="true" hidden="false" outlineLevel="0" max="19" min="19" style="1" width="13"/>
    <col collapsed="false" customWidth="true" hidden="false" outlineLevel="0" max="20" min="20" style="1" width="12"/>
    <col collapsed="false" customWidth="true" hidden="false" outlineLevel="0" max="21" min="21" style="1" width="16"/>
    <col collapsed="false" customWidth="true" hidden="false" outlineLevel="0" max="22" min="22" style="1" width="40"/>
    <col collapsed="false" customWidth="true" hidden="false" outlineLevel="0" max="23" min="23" style="1" width="34"/>
    <col collapsed="false" customWidth="true" hidden="false" outlineLevel="0" max="24" min="24" style="1" width="14"/>
    <col collapsed="false" customWidth="true" hidden="false" outlineLevel="0" max="25" min="25" style="1" width="18"/>
    <col collapsed="false" customWidth="true" hidden="false" outlineLevel="0" max="26" min="26" style="1" width="16"/>
    <col collapsed="false" customWidth="true" hidden="false" outlineLevel="0" max="27" min="27" style="1" width="55"/>
  </cols>
  <sheetData>
    <row r="1" customFormat="false" ht="27.75" hidden="false" customHeight="true" outlineLevel="0" collapsed="false">
      <c r="A1" s="27" t="s">
        <v>420</v>
      </c>
      <c r="B1" s="27"/>
      <c r="C1" s="27"/>
      <c r="D1" s="27"/>
      <c r="E1" s="27"/>
      <c r="F1" s="27"/>
      <c r="G1" s="27"/>
      <c r="H1" s="27"/>
      <c r="I1" s="27"/>
      <c r="J1" s="27"/>
      <c r="K1" s="27"/>
      <c r="L1" s="27"/>
      <c r="M1" s="27"/>
      <c r="N1" s="27"/>
      <c r="O1" s="27"/>
      <c r="P1" s="27"/>
      <c r="Q1" s="27"/>
      <c r="R1" s="27"/>
      <c r="S1" s="27"/>
      <c r="T1" s="27"/>
      <c r="U1" s="27"/>
      <c r="V1" s="27"/>
      <c r="W1" s="27"/>
      <c r="X1" s="27"/>
    </row>
    <row r="2" customFormat="false" ht="31.5" hidden="false" customHeight="true" outlineLevel="0" collapsed="false">
      <c r="A2" s="28" t="s">
        <v>1</v>
      </c>
      <c r="B2" s="28" t="s">
        <v>421</v>
      </c>
      <c r="C2" s="28" t="s">
        <v>422</v>
      </c>
      <c r="D2" s="28" t="s">
        <v>423</v>
      </c>
      <c r="E2" s="28" t="s">
        <v>424</v>
      </c>
      <c r="F2" s="28" t="s">
        <v>425</v>
      </c>
      <c r="G2" s="28" t="s">
        <v>426</v>
      </c>
      <c r="H2" s="28" t="s">
        <v>16</v>
      </c>
      <c r="I2" s="28" t="s">
        <v>427</v>
      </c>
      <c r="J2" s="28" t="s">
        <v>428</v>
      </c>
      <c r="K2" s="28" t="s">
        <v>429</v>
      </c>
      <c r="L2" s="28" t="s">
        <v>430</v>
      </c>
      <c r="M2" s="28" t="s">
        <v>431</v>
      </c>
      <c r="N2" s="28" t="s">
        <v>432</v>
      </c>
      <c r="O2" s="28" t="s">
        <v>433</v>
      </c>
      <c r="P2" s="28" t="s">
        <v>47</v>
      </c>
      <c r="Q2" s="28" t="s">
        <v>434</v>
      </c>
      <c r="R2" s="28" t="s">
        <v>30</v>
      </c>
      <c r="S2" s="28" t="s">
        <v>435</v>
      </c>
      <c r="T2" s="28" t="s">
        <v>436</v>
      </c>
      <c r="U2" s="28" t="s">
        <v>437</v>
      </c>
      <c r="V2" s="28" t="s">
        <v>438</v>
      </c>
      <c r="W2" s="28" t="s">
        <v>439</v>
      </c>
      <c r="X2" s="28" t="s">
        <v>11</v>
      </c>
      <c r="Y2" s="28" t="s">
        <v>440</v>
      </c>
      <c r="Z2" s="28" t="s">
        <v>441</v>
      </c>
      <c r="AA2" s="28" t="s">
        <v>442</v>
      </c>
    </row>
    <row r="3" customFormat="false" ht="21.75" hidden="false" customHeight="true" outlineLevel="0" collapsed="false">
      <c r="A3" s="29" t="s">
        <v>256</v>
      </c>
      <c r="B3" s="29" t="s">
        <v>443</v>
      </c>
      <c r="C3" s="29" t="s">
        <v>444</v>
      </c>
      <c r="D3" s="29" t="s">
        <v>445</v>
      </c>
      <c r="E3" s="29" t="s">
        <v>446</v>
      </c>
      <c r="F3" s="29" t="n">
        <v>200</v>
      </c>
      <c r="G3" s="29" t="n">
        <v>1151</v>
      </c>
      <c r="H3" s="30" t="n">
        <f aca="false">IF(AND(F3&lt;&gt;"",G3&lt;&gt;"",F3&lt;&gt;0),(G3-F3)/F3,"")</f>
        <v>4.755</v>
      </c>
      <c r="I3" s="29" t="s">
        <v>447</v>
      </c>
      <c r="J3" s="29" t="s">
        <v>77</v>
      </c>
      <c r="K3" s="29" t="s">
        <v>448</v>
      </c>
      <c r="L3" s="29" t="s">
        <v>449</v>
      </c>
      <c r="M3" s="29" t="s">
        <v>450</v>
      </c>
      <c r="N3" s="29" t="s">
        <v>66</v>
      </c>
      <c r="O3" s="29" t="s">
        <v>63</v>
      </c>
      <c r="P3" s="29" t="s">
        <v>63</v>
      </c>
      <c r="Q3" s="29" t="s">
        <v>451</v>
      </c>
      <c r="R3" s="29" t="s">
        <v>451</v>
      </c>
      <c r="S3" s="29" t="s">
        <v>91</v>
      </c>
      <c r="T3" s="29" t="s">
        <v>452</v>
      </c>
      <c r="U3" s="29" t="s">
        <v>453</v>
      </c>
      <c r="V3" s="29" t="s">
        <v>454</v>
      </c>
      <c r="W3" s="29" t="s">
        <v>455</v>
      </c>
      <c r="X3" s="29" t="s">
        <v>456</v>
      </c>
      <c r="Y3" s="1" t="s">
        <v>457</v>
      </c>
      <c r="Z3" s="1" t="s">
        <v>91</v>
      </c>
      <c r="AA3" s="1" t="s">
        <v>458</v>
      </c>
    </row>
    <row r="4" customFormat="false" ht="15" hidden="false" customHeight="true" outlineLevel="0" collapsed="false">
      <c r="A4" s="31" t="s">
        <v>256</v>
      </c>
      <c r="B4" s="31" t="s">
        <v>459</v>
      </c>
      <c r="C4" s="31" t="s">
        <v>444</v>
      </c>
      <c r="D4" s="31" t="s">
        <v>445</v>
      </c>
      <c r="E4" s="31" t="s">
        <v>446</v>
      </c>
      <c r="F4" s="31" t="n">
        <v>690</v>
      </c>
      <c r="G4" s="31" t="n">
        <v>1082</v>
      </c>
      <c r="H4" s="32" t="n">
        <f aca="false">IF(AND(F4&lt;&gt;"",G4&lt;&gt;"",F4&lt;&gt;0),(G4-F4)/F4,"")</f>
        <v>0.568115942028986</v>
      </c>
      <c r="I4" s="31" t="s">
        <v>447</v>
      </c>
      <c r="J4" s="31" t="s">
        <v>77</v>
      </c>
      <c r="K4" s="31" t="s">
        <v>448</v>
      </c>
      <c r="L4" s="31" t="s">
        <v>460</v>
      </c>
      <c r="M4" s="31" t="s">
        <v>461</v>
      </c>
      <c r="N4" s="31" t="s">
        <v>66</v>
      </c>
      <c r="O4" s="31" t="s">
        <v>63</v>
      </c>
      <c r="P4" s="31" t="s">
        <v>63</v>
      </c>
      <c r="Q4" s="31" t="s">
        <v>451</v>
      </c>
      <c r="R4" s="31" t="s">
        <v>451</v>
      </c>
      <c r="S4" s="31" t="s">
        <v>91</v>
      </c>
      <c r="T4" s="31" t="s">
        <v>452</v>
      </c>
      <c r="U4" s="31" t="s">
        <v>453</v>
      </c>
      <c r="V4" s="31" t="s">
        <v>462</v>
      </c>
      <c r="W4" s="31" t="s">
        <v>455</v>
      </c>
      <c r="X4" s="31" t="s">
        <v>456</v>
      </c>
      <c r="Y4" s="1" t="s">
        <v>457</v>
      </c>
      <c r="Z4" s="1" t="s">
        <v>91</v>
      </c>
      <c r="AA4" s="1" t="s">
        <v>458</v>
      </c>
    </row>
    <row r="5" customFormat="false" ht="15" hidden="false" customHeight="true" outlineLevel="0" collapsed="false">
      <c r="A5" s="29" t="s">
        <v>256</v>
      </c>
      <c r="B5" s="29" t="s">
        <v>463</v>
      </c>
      <c r="C5" s="29" t="s">
        <v>444</v>
      </c>
      <c r="D5" s="29" t="s">
        <v>445</v>
      </c>
      <c r="E5" s="29" t="s">
        <v>446</v>
      </c>
      <c r="F5" s="29" t="n">
        <v>87</v>
      </c>
      <c r="G5" s="29" t="n">
        <v>901</v>
      </c>
      <c r="H5" s="30" t="n">
        <f aca="false">IF(AND(F5&lt;&gt;"",G5&lt;&gt;"",F5&lt;&gt;0),(G5-F5)/F5,"")</f>
        <v>9.35632183908046</v>
      </c>
      <c r="I5" s="29" t="s">
        <v>464</v>
      </c>
      <c r="J5" s="29" t="s">
        <v>66</v>
      </c>
      <c r="K5" s="29" t="s">
        <v>464</v>
      </c>
      <c r="L5" s="29" t="s">
        <v>449</v>
      </c>
      <c r="M5" s="29" t="s">
        <v>461</v>
      </c>
      <c r="N5" s="29" t="s">
        <v>66</v>
      </c>
      <c r="O5" s="29" t="s">
        <v>465</v>
      </c>
      <c r="P5" s="29" t="s">
        <v>84</v>
      </c>
      <c r="Q5" s="29" t="s">
        <v>451</v>
      </c>
      <c r="R5" s="29" t="s">
        <v>451</v>
      </c>
      <c r="S5" s="29" t="s">
        <v>69</v>
      </c>
      <c r="T5" s="29" t="s">
        <v>452</v>
      </c>
      <c r="U5" s="29" t="s">
        <v>453</v>
      </c>
      <c r="V5" s="29" t="s">
        <v>466</v>
      </c>
      <c r="W5" s="29" t="s">
        <v>455</v>
      </c>
      <c r="X5" s="29" t="s">
        <v>456</v>
      </c>
      <c r="Y5" s="1" t="s">
        <v>457</v>
      </c>
      <c r="Z5" s="1" t="s">
        <v>91</v>
      </c>
      <c r="AA5" s="1" t="s">
        <v>458</v>
      </c>
    </row>
    <row r="6" customFormat="false" ht="15" hidden="false" customHeight="true" outlineLevel="0" collapsed="false">
      <c r="A6" s="31" t="s">
        <v>256</v>
      </c>
      <c r="B6" s="31" t="s">
        <v>467</v>
      </c>
      <c r="C6" s="31" t="s">
        <v>444</v>
      </c>
      <c r="D6" s="31" t="s">
        <v>445</v>
      </c>
      <c r="E6" s="31" t="s">
        <v>446</v>
      </c>
      <c r="F6" s="31" t="n">
        <v>586</v>
      </c>
      <c r="G6" s="31" t="n">
        <v>872</v>
      </c>
      <c r="H6" s="32" t="n">
        <f aca="false">IF(AND(F6&lt;&gt;"",G6&lt;&gt;"",F6&lt;&gt;0),(G6-F6)/F6,"")</f>
        <v>0.488054607508532</v>
      </c>
      <c r="I6" s="31" t="s">
        <v>468</v>
      </c>
      <c r="J6" s="31" t="s">
        <v>77</v>
      </c>
      <c r="K6" s="31" t="s">
        <v>469</v>
      </c>
      <c r="L6" s="31" t="s">
        <v>470</v>
      </c>
      <c r="M6" s="31" t="s">
        <v>471</v>
      </c>
      <c r="N6" s="31" t="s">
        <v>68</v>
      </c>
      <c r="O6" s="31" t="s">
        <v>63</v>
      </c>
      <c r="P6" s="31" t="s">
        <v>63</v>
      </c>
      <c r="Q6" s="31" t="s">
        <v>453</v>
      </c>
      <c r="R6" s="31" t="s">
        <v>453</v>
      </c>
      <c r="S6" s="31" t="s">
        <v>453</v>
      </c>
      <c r="T6" s="31" t="s">
        <v>452</v>
      </c>
      <c r="U6" s="31" t="s">
        <v>453</v>
      </c>
      <c r="V6" s="31" t="s">
        <v>472</v>
      </c>
      <c r="W6" s="31" t="s">
        <v>455</v>
      </c>
      <c r="X6" s="31" t="s">
        <v>456</v>
      </c>
      <c r="Y6" s="1" t="s">
        <v>457</v>
      </c>
      <c r="Z6" s="1" t="s">
        <v>91</v>
      </c>
      <c r="AA6" s="1" t="s">
        <v>458</v>
      </c>
    </row>
    <row r="7" customFormat="false" ht="15" hidden="false" customHeight="true" outlineLevel="0" collapsed="false">
      <c r="A7" s="29" t="s">
        <v>256</v>
      </c>
      <c r="B7" s="29" t="s">
        <v>473</v>
      </c>
      <c r="C7" s="29" t="s">
        <v>444</v>
      </c>
      <c r="D7" s="29" t="s">
        <v>445</v>
      </c>
      <c r="E7" s="29" t="s">
        <v>446</v>
      </c>
      <c r="F7" s="29" t="n">
        <v>146</v>
      </c>
      <c r="G7" s="29" t="n">
        <v>785</v>
      </c>
      <c r="H7" s="30" t="n">
        <f aca="false">IF(AND(F7&lt;&gt;"",G7&lt;&gt;"",F7&lt;&gt;0),(G7-F7)/F7,"")</f>
        <v>4.37671232876712</v>
      </c>
      <c r="I7" s="29" t="s">
        <v>464</v>
      </c>
      <c r="J7" s="29" t="s">
        <v>66</v>
      </c>
      <c r="K7" s="29" t="s">
        <v>464</v>
      </c>
      <c r="L7" s="29" t="s">
        <v>449</v>
      </c>
      <c r="M7" s="29" t="s">
        <v>461</v>
      </c>
      <c r="N7" s="29" t="s">
        <v>66</v>
      </c>
      <c r="O7" s="29" t="s">
        <v>474</v>
      </c>
      <c r="P7" s="29" t="s">
        <v>269</v>
      </c>
      <c r="Q7" s="29" t="s">
        <v>451</v>
      </c>
      <c r="R7" s="29" t="s">
        <v>451</v>
      </c>
      <c r="S7" s="29" t="s">
        <v>69</v>
      </c>
      <c r="T7" s="29" t="s">
        <v>452</v>
      </c>
      <c r="U7" s="29" t="s">
        <v>453</v>
      </c>
      <c r="V7" s="29" t="s">
        <v>475</v>
      </c>
      <c r="W7" s="29" t="s">
        <v>455</v>
      </c>
      <c r="X7" s="29" t="s">
        <v>456</v>
      </c>
      <c r="Y7" s="1" t="s">
        <v>457</v>
      </c>
      <c r="Z7" s="1" t="s">
        <v>91</v>
      </c>
      <c r="AA7" s="1" t="s">
        <v>458</v>
      </c>
    </row>
    <row r="8" customFormat="false" ht="15" hidden="false" customHeight="true" outlineLevel="0" collapsed="false">
      <c r="A8" s="31" t="s">
        <v>256</v>
      </c>
      <c r="B8" s="31" t="s">
        <v>476</v>
      </c>
      <c r="C8" s="31" t="s">
        <v>444</v>
      </c>
      <c r="D8" s="31" t="s">
        <v>445</v>
      </c>
      <c r="E8" s="31" t="s">
        <v>446</v>
      </c>
      <c r="F8" s="31" t="n">
        <v>13</v>
      </c>
      <c r="G8" s="31" t="n">
        <v>663</v>
      </c>
      <c r="H8" s="32" t="n">
        <f aca="false">IF(AND(F8&lt;&gt;"",G8&lt;&gt;"",F8&lt;&gt;0),(G8-F8)/F8,"")</f>
        <v>50</v>
      </c>
      <c r="I8" s="31" t="s">
        <v>447</v>
      </c>
      <c r="J8" s="31" t="s">
        <v>77</v>
      </c>
      <c r="K8" s="31" t="s">
        <v>448</v>
      </c>
      <c r="L8" s="31" t="s">
        <v>449</v>
      </c>
      <c r="M8" s="31" t="s">
        <v>461</v>
      </c>
      <c r="N8" s="31" t="s">
        <v>77</v>
      </c>
      <c r="O8" s="31" t="s">
        <v>477</v>
      </c>
      <c r="P8" s="31" t="s">
        <v>63</v>
      </c>
      <c r="Q8" s="31" t="s">
        <v>451</v>
      </c>
      <c r="R8" s="31" t="s">
        <v>451</v>
      </c>
      <c r="S8" s="31" t="s">
        <v>69</v>
      </c>
      <c r="T8" s="31" t="s">
        <v>452</v>
      </c>
      <c r="U8" s="31" t="s">
        <v>453</v>
      </c>
      <c r="V8" s="31" t="s">
        <v>462</v>
      </c>
      <c r="W8" s="31" t="s">
        <v>455</v>
      </c>
      <c r="X8" s="31" t="s">
        <v>456</v>
      </c>
      <c r="Y8" s="1" t="s">
        <v>457</v>
      </c>
      <c r="Z8" s="1" t="s">
        <v>91</v>
      </c>
      <c r="AA8" s="1" t="s">
        <v>458</v>
      </c>
    </row>
    <row r="9" customFormat="false" ht="21.75" hidden="false" customHeight="true" outlineLevel="0" collapsed="false">
      <c r="A9" s="29" t="s">
        <v>256</v>
      </c>
      <c r="B9" s="29" t="s">
        <v>478</v>
      </c>
      <c r="C9" s="29" t="s">
        <v>444</v>
      </c>
      <c r="D9" s="29" t="s">
        <v>445</v>
      </c>
      <c r="E9" s="29" t="s">
        <v>446</v>
      </c>
      <c r="F9" s="29" t="n">
        <v>301</v>
      </c>
      <c r="G9" s="29" t="n">
        <v>498</v>
      </c>
      <c r="H9" s="30" t="n">
        <f aca="false">IF(AND(F9&lt;&gt;"",G9&lt;&gt;"",F9&lt;&gt;0),(G9-F9)/F9,"")</f>
        <v>0.654485049833887</v>
      </c>
      <c r="I9" s="29" t="s">
        <v>464</v>
      </c>
      <c r="J9" s="29" t="s">
        <v>66</v>
      </c>
      <c r="K9" s="29" t="s">
        <v>464</v>
      </c>
      <c r="L9" s="29" t="s">
        <v>460</v>
      </c>
      <c r="M9" s="29" t="s">
        <v>461</v>
      </c>
      <c r="N9" s="29" t="s">
        <v>66</v>
      </c>
      <c r="O9" s="29" t="s">
        <v>63</v>
      </c>
      <c r="P9" s="29" t="s">
        <v>63</v>
      </c>
      <c r="Q9" s="29" t="s">
        <v>451</v>
      </c>
      <c r="R9" s="29" t="s">
        <v>451</v>
      </c>
      <c r="S9" s="29" t="s">
        <v>91</v>
      </c>
      <c r="T9" s="29" t="s">
        <v>452</v>
      </c>
      <c r="U9" s="29" t="s">
        <v>453</v>
      </c>
      <c r="V9" s="29" t="s">
        <v>479</v>
      </c>
      <c r="W9" s="29" t="s">
        <v>455</v>
      </c>
      <c r="X9" s="29" t="s">
        <v>456</v>
      </c>
      <c r="Y9" s="1" t="s">
        <v>457</v>
      </c>
      <c r="Z9" s="1" t="s">
        <v>91</v>
      </c>
      <c r="AA9" s="1" t="s">
        <v>458</v>
      </c>
    </row>
    <row r="10" customFormat="false" ht="15" hidden="false" customHeight="true" outlineLevel="0" collapsed="false">
      <c r="A10" s="31" t="s">
        <v>256</v>
      </c>
      <c r="B10" s="31" t="s">
        <v>480</v>
      </c>
      <c r="C10" s="31" t="s">
        <v>444</v>
      </c>
      <c r="D10" s="31" t="s">
        <v>445</v>
      </c>
      <c r="E10" s="31" t="s">
        <v>446</v>
      </c>
      <c r="F10" s="31" t="n">
        <v>203</v>
      </c>
      <c r="G10" s="31" t="n">
        <v>387</v>
      </c>
      <c r="H10" s="32" t="n">
        <f aca="false">IF(AND(F10&lt;&gt;"",G10&lt;&gt;"",F10&lt;&gt;0),(G10-F10)/F10,"")</f>
        <v>0.9064039408867</v>
      </c>
      <c r="I10" s="31" t="s">
        <v>447</v>
      </c>
      <c r="J10" s="31" t="s">
        <v>77</v>
      </c>
      <c r="K10" s="31" t="s">
        <v>448</v>
      </c>
      <c r="L10" s="31" t="s">
        <v>460</v>
      </c>
      <c r="M10" s="31" t="s">
        <v>461</v>
      </c>
      <c r="N10" s="31" t="s">
        <v>66</v>
      </c>
      <c r="O10" s="31" t="s">
        <v>63</v>
      </c>
      <c r="P10" s="31" t="s">
        <v>63</v>
      </c>
      <c r="Q10" s="31" t="s">
        <v>451</v>
      </c>
      <c r="R10" s="31" t="s">
        <v>451</v>
      </c>
      <c r="S10" s="31" t="s">
        <v>91</v>
      </c>
      <c r="T10" s="31" t="s">
        <v>452</v>
      </c>
      <c r="U10" s="31" t="s">
        <v>453</v>
      </c>
      <c r="V10" s="31" t="s">
        <v>462</v>
      </c>
      <c r="W10" s="31" t="s">
        <v>455</v>
      </c>
      <c r="X10" s="31" t="s">
        <v>456</v>
      </c>
      <c r="Y10" s="1" t="s">
        <v>457</v>
      </c>
      <c r="Z10" s="1" t="s">
        <v>91</v>
      </c>
      <c r="AA10" s="1" t="s">
        <v>458</v>
      </c>
    </row>
    <row r="11" customFormat="false" ht="15" hidden="false" customHeight="true" outlineLevel="0" collapsed="false">
      <c r="A11" s="29" t="s">
        <v>256</v>
      </c>
      <c r="B11" s="29" t="s">
        <v>481</v>
      </c>
      <c r="C11" s="29" t="s">
        <v>444</v>
      </c>
      <c r="D11" s="29" t="s">
        <v>445</v>
      </c>
      <c r="E11" s="29" t="s">
        <v>446</v>
      </c>
      <c r="F11" s="29" t="n">
        <v>89</v>
      </c>
      <c r="G11" s="29" t="n">
        <v>367</v>
      </c>
      <c r="H11" s="30" t="n">
        <f aca="false">IF(AND(F11&lt;&gt;"",G11&lt;&gt;"",F11&lt;&gt;0),(G11-F11)/F11,"")</f>
        <v>3.12359550561798</v>
      </c>
      <c r="I11" s="29" t="s">
        <v>98</v>
      </c>
      <c r="J11" s="29" t="s">
        <v>77</v>
      </c>
      <c r="K11" s="29" t="s">
        <v>469</v>
      </c>
      <c r="L11" s="29" t="s">
        <v>449</v>
      </c>
      <c r="M11" s="29" t="s">
        <v>482</v>
      </c>
      <c r="N11" s="29" t="s">
        <v>77</v>
      </c>
      <c r="O11" s="29" t="s">
        <v>63</v>
      </c>
      <c r="P11" s="29" t="s">
        <v>63</v>
      </c>
      <c r="Q11" s="29" t="s">
        <v>451</v>
      </c>
      <c r="R11" s="29" t="s">
        <v>451</v>
      </c>
      <c r="S11" s="29" t="s">
        <v>91</v>
      </c>
      <c r="T11" s="29" t="s">
        <v>452</v>
      </c>
      <c r="U11" s="29" t="s">
        <v>453</v>
      </c>
      <c r="V11" s="29" t="s">
        <v>472</v>
      </c>
      <c r="W11" s="29" t="s">
        <v>455</v>
      </c>
      <c r="X11" s="29" t="s">
        <v>456</v>
      </c>
      <c r="Y11" s="1" t="s">
        <v>457</v>
      </c>
      <c r="Z11" s="1" t="s">
        <v>91</v>
      </c>
      <c r="AA11" s="1" t="s">
        <v>458</v>
      </c>
    </row>
    <row r="12" customFormat="false" ht="15" hidden="false" customHeight="true" outlineLevel="0" collapsed="false">
      <c r="A12" s="31" t="s">
        <v>256</v>
      </c>
      <c r="B12" s="31" t="s">
        <v>483</v>
      </c>
      <c r="C12" s="31" t="s">
        <v>444</v>
      </c>
      <c r="D12" s="31" t="s">
        <v>445</v>
      </c>
      <c r="E12" s="31" t="s">
        <v>446</v>
      </c>
      <c r="F12" s="31" t="n">
        <v>150</v>
      </c>
      <c r="G12" s="31" t="n">
        <v>352</v>
      </c>
      <c r="H12" s="32" t="n">
        <f aca="false">IF(AND(F12&lt;&gt;"",G12&lt;&gt;"",F12&lt;&gt;0),(G12-F12)/F12,"")</f>
        <v>1.34666666666667</v>
      </c>
      <c r="I12" s="31" t="s">
        <v>447</v>
      </c>
      <c r="J12" s="31" t="s">
        <v>77</v>
      </c>
      <c r="K12" s="31" t="s">
        <v>448</v>
      </c>
      <c r="L12" s="31" t="s">
        <v>460</v>
      </c>
      <c r="M12" s="31" t="s">
        <v>461</v>
      </c>
      <c r="N12" s="31" t="s">
        <v>66</v>
      </c>
      <c r="O12" s="31" t="s">
        <v>63</v>
      </c>
      <c r="P12" s="31" t="s">
        <v>63</v>
      </c>
      <c r="Q12" s="31" t="s">
        <v>451</v>
      </c>
      <c r="R12" s="31" t="s">
        <v>451</v>
      </c>
      <c r="S12" s="31" t="s">
        <v>91</v>
      </c>
      <c r="T12" s="31" t="s">
        <v>452</v>
      </c>
      <c r="U12" s="31" t="s">
        <v>453</v>
      </c>
      <c r="V12" s="31" t="s">
        <v>462</v>
      </c>
      <c r="W12" s="31" t="s">
        <v>455</v>
      </c>
      <c r="X12" s="31" t="s">
        <v>456</v>
      </c>
      <c r="Y12" s="1" t="s">
        <v>457</v>
      </c>
      <c r="Z12" s="1" t="s">
        <v>91</v>
      </c>
      <c r="AA12" s="1" t="s">
        <v>458</v>
      </c>
    </row>
    <row r="13" customFormat="false" ht="15" hidden="false" customHeight="true" outlineLevel="0" collapsed="false">
      <c r="A13" s="29" t="s">
        <v>256</v>
      </c>
      <c r="B13" s="29" t="s">
        <v>484</v>
      </c>
      <c r="C13" s="29" t="s">
        <v>444</v>
      </c>
      <c r="D13" s="29" t="s">
        <v>445</v>
      </c>
      <c r="E13" s="29" t="s">
        <v>446</v>
      </c>
      <c r="F13" s="29" t="n">
        <v>53</v>
      </c>
      <c r="G13" s="29" t="n">
        <v>345</v>
      </c>
      <c r="H13" s="30" t="n">
        <f aca="false">IF(AND(F13&lt;&gt;"",G13&lt;&gt;"",F13&lt;&gt;0),(G13-F13)/F13,"")</f>
        <v>5.50943396226415</v>
      </c>
      <c r="I13" s="29" t="s">
        <v>447</v>
      </c>
      <c r="J13" s="29" t="s">
        <v>77</v>
      </c>
      <c r="K13" s="29" t="s">
        <v>448</v>
      </c>
      <c r="L13" s="29" t="s">
        <v>449</v>
      </c>
      <c r="M13" s="29" t="s">
        <v>461</v>
      </c>
      <c r="N13" s="29" t="s">
        <v>66</v>
      </c>
      <c r="O13" s="29" t="s">
        <v>63</v>
      </c>
      <c r="P13" s="29" t="s">
        <v>63</v>
      </c>
      <c r="Q13" s="29" t="s">
        <v>451</v>
      </c>
      <c r="R13" s="29" t="s">
        <v>451</v>
      </c>
      <c r="S13" s="29" t="s">
        <v>91</v>
      </c>
      <c r="T13" s="29" t="s">
        <v>452</v>
      </c>
      <c r="U13" s="29" t="s">
        <v>453</v>
      </c>
      <c r="V13" s="29" t="s">
        <v>462</v>
      </c>
      <c r="W13" s="29" t="s">
        <v>455</v>
      </c>
      <c r="X13" s="29" t="s">
        <v>456</v>
      </c>
      <c r="Y13" s="1" t="s">
        <v>457</v>
      </c>
      <c r="Z13" s="1" t="s">
        <v>91</v>
      </c>
      <c r="AA13" s="1" t="s">
        <v>458</v>
      </c>
    </row>
    <row r="14" customFormat="false" ht="15" hidden="false" customHeight="true" outlineLevel="0" collapsed="false">
      <c r="A14" s="31" t="s">
        <v>256</v>
      </c>
      <c r="B14" s="31" t="s">
        <v>485</v>
      </c>
      <c r="C14" s="31" t="s">
        <v>444</v>
      </c>
      <c r="D14" s="31" t="s">
        <v>445</v>
      </c>
      <c r="E14" s="31" t="s">
        <v>446</v>
      </c>
      <c r="F14" s="31" t="n">
        <v>1</v>
      </c>
      <c r="G14" s="31" t="n">
        <v>348</v>
      </c>
      <c r="H14" s="32" t="n">
        <f aca="false">IF(AND(F14&lt;&gt;"",G14&lt;&gt;"",F14&lt;&gt;0),(G14-F14)/F14,"")</f>
        <v>347</v>
      </c>
      <c r="I14" s="31" t="s">
        <v>464</v>
      </c>
      <c r="J14" s="31" t="s">
        <v>66</v>
      </c>
      <c r="K14" s="31" t="s">
        <v>464</v>
      </c>
      <c r="L14" s="31" t="s">
        <v>449</v>
      </c>
      <c r="M14" s="31" t="s">
        <v>461</v>
      </c>
      <c r="N14" s="31" t="s">
        <v>77</v>
      </c>
      <c r="O14" s="31" t="s">
        <v>63</v>
      </c>
      <c r="P14" s="31" t="s">
        <v>63</v>
      </c>
      <c r="Q14" s="31" t="s">
        <v>451</v>
      </c>
      <c r="R14" s="31" t="s">
        <v>451</v>
      </c>
      <c r="S14" s="31" t="s">
        <v>91</v>
      </c>
      <c r="T14" s="31" t="s">
        <v>452</v>
      </c>
      <c r="U14" s="31" t="s">
        <v>453</v>
      </c>
      <c r="V14" s="31" t="s">
        <v>486</v>
      </c>
      <c r="W14" s="31" t="s">
        <v>455</v>
      </c>
      <c r="X14" s="31" t="s">
        <v>456</v>
      </c>
      <c r="Y14" s="1" t="s">
        <v>457</v>
      </c>
      <c r="Z14" s="1" t="s">
        <v>91</v>
      </c>
      <c r="AA14" s="1" t="s">
        <v>458</v>
      </c>
    </row>
    <row r="15" customFormat="false" ht="15" hidden="false" customHeight="true" outlineLevel="0" collapsed="false">
      <c r="A15" s="29" t="s">
        <v>256</v>
      </c>
      <c r="B15" s="29" t="s">
        <v>487</v>
      </c>
      <c r="C15" s="29" t="s">
        <v>444</v>
      </c>
      <c r="D15" s="29" t="s">
        <v>445</v>
      </c>
      <c r="E15" s="29" t="s">
        <v>446</v>
      </c>
      <c r="F15" s="29" t="n">
        <v>23</v>
      </c>
      <c r="G15" s="29" t="n">
        <v>198</v>
      </c>
      <c r="H15" s="30" t="n">
        <f aca="false">IF(AND(F15&lt;&gt;"",G15&lt;&gt;"",F15&lt;&gt;0),(G15-F15)/F15,"")</f>
        <v>7.60869565217391</v>
      </c>
      <c r="I15" s="29" t="s">
        <v>464</v>
      </c>
      <c r="J15" s="29" t="s">
        <v>66</v>
      </c>
      <c r="K15" s="29" t="s">
        <v>464</v>
      </c>
      <c r="L15" s="29" t="s">
        <v>449</v>
      </c>
      <c r="M15" s="29" t="s">
        <v>461</v>
      </c>
      <c r="N15" s="29" t="s">
        <v>66</v>
      </c>
      <c r="O15" s="29" t="s">
        <v>63</v>
      </c>
      <c r="P15" s="29" t="s">
        <v>63</v>
      </c>
      <c r="Q15" s="29" t="s">
        <v>451</v>
      </c>
      <c r="R15" s="29" t="s">
        <v>451</v>
      </c>
      <c r="S15" s="29" t="s">
        <v>91</v>
      </c>
      <c r="T15" s="29" t="s">
        <v>452</v>
      </c>
      <c r="U15" s="29" t="s">
        <v>453</v>
      </c>
      <c r="V15" s="29" t="s">
        <v>475</v>
      </c>
      <c r="W15" s="29" t="s">
        <v>455</v>
      </c>
      <c r="X15" s="29" t="s">
        <v>456</v>
      </c>
      <c r="Y15" s="1" t="s">
        <v>457</v>
      </c>
      <c r="Z15" s="1" t="s">
        <v>91</v>
      </c>
      <c r="AA15" s="1" t="s">
        <v>458</v>
      </c>
    </row>
    <row r="16" customFormat="false" ht="15" hidden="false" customHeight="true" outlineLevel="0" collapsed="false">
      <c r="A16" s="31" t="s">
        <v>256</v>
      </c>
      <c r="B16" s="31" t="s">
        <v>488</v>
      </c>
      <c r="C16" s="31" t="s">
        <v>444</v>
      </c>
      <c r="D16" s="31" t="s">
        <v>445</v>
      </c>
      <c r="E16" s="31" t="s">
        <v>446</v>
      </c>
      <c r="F16" s="31" t="n">
        <v>112</v>
      </c>
      <c r="G16" s="31" t="n">
        <v>199</v>
      </c>
      <c r="H16" s="32" t="n">
        <f aca="false">IF(AND(F16&lt;&gt;"",G16&lt;&gt;"",F16&lt;&gt;0),(G16-F16)/F16,"")</f>
        <v>0.776785714285714</v>
      </c>
      <c r="I16" s="31" t="s">
        <v>447</v>
      </c>
      <c r="J16" s="31" t="s">
        <v>77</v>
      </c>
      <c r="K16" s="31" t="s">
        <v>448</v>
      </c>
      <c r="L16" s="31" t="s">
        <v>460</v>
      </c>
      <c r="M16" s="31" t="s">
        <v>461</v>
      </c>
      <c r="N16" s="31" t="s">
        <v>66</v>
      </c>
      <c r="O16" s="31" t="s">
        <v>63</v>
      </c>
      <c r="P16" s="31" t="s">
        <v>63</v>
      </c>
      <c r="Q16" s="31" t="s">
        <v>451</v>
      </c>
      <c r="R16" s="31" t="s">
        <v>451</v>
      </c>
      <c r="S16" s="31" t="s">
        <v>91</v>
      </c>
      <c r="T16" s="31" t="s">
        <v>452</v>
      </c>
      <c r="U16" s="31" t="s">
        <v>453</v>
      </c>
      <c r="V16" s="31" t="s">
        <v>462</v>
      </c>
      <c r="W16" s="31" t="s">
        <v>455</v>
      </c>
      <c r="X16" s="31" t="s">
        <v>456</v>
      </c>
      <c r="Y16" s="1" t="s">
        <v>457</v>
      </c>
      <c r="Z16" s="1" t="s">
        <v>91</v>
      </c>
      <c r="AA16" s="1" t="s">
        <v>458</v>
      </c>
    </row>
    <row r="17" customFormat="false" ht="15" hidden="false" customHeight="true" outlineLevel="0" collapsed="false">
      <c r="A17" s="29" t="s">
        <v>256</v>
      </c>
      <c r="B17" s="29" t="s">
        <v>489</v>
      </c>
      <c r="C17" s="29" t="s">
        <v>444</v>
      </c>
      <c r="D17" s="29" t="s">
        <v>445</v>
      </c>
      <c r="E17" s="29" t="s">
        <v>446</v>
      </c>
      <c r="F17" s="29" t="n">
        <v>15</v>
      </c>
      <c r="G17" s="29" t="n">
        <v>166</v>
      </c>
      <c r="H17" s="30" t="n">
        <f aca="false">IF(AND(F17&lt;&gt;"",G17&lt;&gt;"",F17&lt;&gt;0),(G17-F17)/F17,"")</f>
        <v>10.0666666666667</v>
      </c>
      <c r="I17" s="29" t="s">
        <v>464</v>
      </c>
      <c r="J17" s="29" t="s">
        <v>66</v>
      </c>
      <c r="K17" s="29" t="s">
        <v>464</v>
      </c>
      <c r="L17" s="29" t="s">
        <v>449</v>
      </c>
      <c r="M17" s="29" t="s">
        <v>461</v>
      </c>
      <c r="N17" s="29" t="s">
        <v>66</v>
      </c>
      <c r="O17" s="29" t="s">
        <v>63</v>
      </c>
      <c r="P17" s="29" t="s">
        <v>63</v>
      </c>
      <c r="Q17" s="29" t="s">
        <v>451</v>
      </c>
      <c r="R17" s="29" t="s">
        <v>451</v>
      </c>
      <c r="S17" s="29" t="s">
        <v>91</v>
      </c>
      <c r="T17" s="29" t="s">
        <v>452</v>
      </c>
      <c r="U17" s="29" t="s">
        <v>453</v>
      </c>
      <c r="V17" s="29" t="s">
        <v>486</v>
      </c>
      <c r="W17" s="29" t="s">
        <v>455</v>
      </c>
      <c r="X17" s="29" t="s">
        <v>456</v>
      </c>
      <c r="Y17" s="1" t="s">
        <v>457</v>
      </c>
      <c r="Z17" s="1" t="s">
        <v>91</v>
      </c>
      <c r="AA17" s="1" t="s">
        <v>458</v>
      </c>
    </row>
    <row r="18" customFormat="false" ht="21.75" hidden="false" customHeight="true" outlineLevel="0" collapsed="false">
      <c r="A18" s="31" t="s">
        <v>256</v>
      </c>
      <c r="B18" s="31" t="s">
        <v>490</v>
      </c>
      <c r="C18" s="31" t="s">
        <v>444</v>
      </c>
      <c r="D18" s="31" t="s">
        <v>445</v>
      </c>
      <c r="E18" s="31" t="s">
        <v>491</v>
      </c>
      <c r="F18" s="31" t="n">
        <v>1226</v>
      </c>
      <c r="G18" s="31" t="n">
        <v>644</v>
      </c>
      <c r="H18" s="32" t="n">
        <f aca="false">IF(AND(F18&lt;&gt;"",G18&lt;&gt;"",F18&lt;&gt;0),(G18-F18)/F18,"")</f>
        <v>-0.474714518760196</v>
      </c>
      <c r="I18" s="31" t="s">
        <v>447</v>
      </c>
      <c r="J18" s="31" t="s">
        <v>66</v>
      </c>
      <c r="K18" s="31" t="s">
        <v>448</v>
      </c>
      <c r="L18" s="31" t="s">
        <v>492</v>
      </c>
      <c r="M18" s="31" t="s">
        <v>493</v>
      </c>
      <c r="N18" s="31" t="s">
        <v>66</v>
      </c>
      <c r="O18" s="31" t="s">
        <v>63</v>
      </c>
      <c r="P18" s="31" t="s">
        <v>63</v>
      </c>
      <c r="Q18" s="31" t="s">
        <v>494</v>
      </c>
      <c r="R18" s="31" t="s">
        <v>70</v>
      </c>
      <c r="S18" s="31" t="s">
        <v>91</v>
      </c>
      <c r="T18" s="31" t="s">
        <v>495</v>
      </c>
      <c r="U18" s="31" t="s">
        <v>77</v>
      </c>
      <c r="V18" s="31" t="s">
        <v>496</v>
      </c>
      <c r="W18" s="31" t="s">
        <v>455</v>
      </c>
      <c r="X18" s="31" t="s">
        <v>456</v>
      </c>
      <c r="Y18" s="1" t="s">
        <v>457</v>
      </c>
      <c r="Z18" s="1" t="s">
        <v>91</v>
      </c>
      <c r="AA18" s="1" t="s">
        <v>497</v>
      </c>
    </row>
    <row r="19" customFormat="false" ht="15" hidden="false" customHeight="true" outlineLevel="0" collapsed="false">
      <c r="A19" s="29" t="s">
        <v>256</v>
      </c>
      <c r="B19" s="29" t="s">
        <v>498</v>
      </c>
      <c r="C19" s="29" t="s">
        <v>444</v>
      </c>
      <c r="D19" s="29" t="s">
        <v>445</v>
      </c>
      <c r="E19" s="29" t="s">
        <v>491</v>
      </c>
      <c r="F19" s="29" t="n">
        <v>879</v>
      </c>
      <c r="G19" s="29" t="n">
        <v>674</v>
      </c>
      <c r="H19" s="30" t="n">
        <f aca="false">IF(AND(F19&lt;&gt;"",G19&lt;&gt;"",F19&lt;&gt;0),(G19-F19)/F19,"")</f>
        <v>-0.233219567690557</v>
      </c>
      <c r="I19" s="29" t="s">
        <v>499</v>
      </c>
      <c r="J19" s="29" t="s">
        <v>77</v>
      </c>
      <c r="K19" s="29" t="s">
        <v>500</v>
      </c>
      <c r="L19" s="29" t="s">
        <v>501</v>
      </c>
      <c r="M19" s="29" t="s">
        <v>502</v>
      </c>
      <c r="N19" s="29" t="s">
        <v>66</v>
      </c>
      <c r="O19" s="29" t="s">
        <v>63</v>
      </c>
      <c r="P19" s="29" t="s">
        <v>63</v>
      </c>
      <c r="Q19" s="29" t="s">
        <v>451</v>
      </c>
      <c r="R19" s="29" t="s">
        <v>451</v>
      </c>
      <c r="S19" s="29" t="s">
        <v>91</v>
      </c>
      <c r="T19" s="29" t="s">
        <v>495</v>
      </c>
      <c r="U19" s="29" t="s">
        <v>63</v>
      </c>
      <c r="V19" s="29" t="s">
        <v>503</v>
      </c>
      <c r="W19" s="29" t="s">
        <v>455</v>
      </c>
      <c r="X19" s="29" t="s">
        <v>456</v>
      </c>
      <c r="Y19" s="1" t="s">
        <v>457</v>
      </c>
      <c r="Z19" s="1" t="s">
        <v>91</v>
      </c>
      <c r="AA19" s="1" t="s">
        <v>497</v>
      </c>
    </row>
    <row r="20" customFormat="false" ht="15" hidden="false" customHeight="true" outlineLevel="0" collapsed="false">
      <c r="A20" s="31" t="s">
        <v>256</v>
      </c>
      <c r="B20" s="31" t="s">
        <v>504</v>
      </c>
      <c r="C20" s="31" t="s">
        <v>444</v>
      </c>
      <c r="D20" s="31" t="s">
        <v>445</v>
      </c>
      <c r="E20" s="31" t="s">
        <v>491</v>
      </c>
      <c r="F20" s="31" t="n">
        <v>780</v>
      </c>
      <c r="G20" s="31" t="n">
        <v>58</v>
      </c>
      <c r="H20" s="32" t="n">
        <f aca="false">IF(AND(F20&lt;&gt;"",G20&lt;&gt;"",F20&lt;&gt;0),(G20-F20)/F20,"")</f>
        <v>-0.925641025641026</v>
      </c>
      <c r="I20" s="31" t="s">
        <v>52</v>
      </c>
      <c r="J20" s="31" t="s">
        <v>68</v>
      </c>
      <c r="K20" s="31" t="s">
        <v>505</v>
      </c>
      <c r="L20" s="31" t="s">
        <v>492</v>
      </c>
      <c r="M20" s="31" t="s">
        <v>506</v>
      </c>
      <c r="N20" s="31" t="s">
        <v>66</v>
      </c>
      <c r="O20" s="31" t="s">
        <v>63</v>
      </c>
      <c r="P20" s="31" t="s">
        <v>63</v>
      </c>
      <c r="Q20" s="31" t="s">
        <v>451</v>
      </c>
      <c r="R20" s="31" t="s">
        <v>451</v>
      </c>
      <c r="S20" s="31" t="s">
        <v>91</v>
      </c>
      <c r="T20" s="31" t="s">
        <v>495</v>
      </c>
      <c r="U20" s="31" t="s">
        <v>77</v>
      </c>
      <c r="V20" s="31" t="s">
        <v>503</v>
      </c>
      <c r="W20" s="31" t="s">
        <v>455</v>
      </c>
      <c r="X20" s="31" t="s">
        <v>456</v>
      </c>
      <c r="Y20" s="1" t="s">
        <v>507</v>
      </c>
      <c r="Z20" s="1" t="s">
        <v>91</v>
      </c>
      <c r="AA20" s="1" t="s">
        <v>508</v>
      </c>
    </row>
    <row r="21" customFormat="false" ht="15" hidden="false" customHeight="true" outlineLevel="0" collapsed="false">
      <c r="A21" s="29" t="s">
        <v>256</v>
      </c>
      <c r="B21" s="29" t="s">
        <v>509</v>
      </c>
      <c r="C21" s="29" t="s">
        <v>444</v>
      </c>
      <c r="D21" s="29" t="s">
        <v>445</v>
      </c>
      <c r="E21" s="29" t="s">
        <v>491</v>
      </c>
      <c r="F21" s="29" t="n">
        <v>523</v>
      </c>
      <c r="G21" s="29" t="n">
        <v>282</v>
      </c>
      <c r="H21" s="30" t="n">
        <f aca="false">IF(AND(F21&lt;&gt;"",G21&lt;&gt;"",F21&lt;&gt;0),(G21-F21)/F21,"")</f>
        <v>-0.460803059273423</v>
      </c>
      <c r="I21" s="29" t="s">
        <v>510</v>
      </c>
      <c r="J21" s="29" t="s">
        <v>68</v>
      </c>
      <c r="K21" s="29" t="s">
        <v>511</v>
      </c>
      <c r="L21" s="29" t="s">
        <v>492</v>
      </c>
      <c r="M21" s="29" t="s">
        <v>512</v>
      </c>
      <c r="N21" s="29" t="s">
        <v>66</v>
      </c>
      <c r="O21" s="29" t="s">
        <v>63</v>
      </c>
      <c r="P21" s="29" t="s">
        <v>63</v>
      </c>
      <c r="Q21" s="29" t="s">
        <v>494</v>
      </c>
      <c r="R21" s="29" t="s">
        <v>103</v>
      </c>
      <c r="S21" s="29" t="s">
        <v>91</v>
      </c>
      <c r="T21" s="29" t="s">
        <v>495</v>
      </c>
      <c r="U21" s="29" t="s">
        <v>77</v>
      </c>
      <c r="V21" s="29" t="s">
        <v>513</v>
      </c>
      <c r="W21" s="29" t="s">
        <v>455</v>
      </c>
      <c r="X21" s="29" t="s">
        <v>456</v>
      </c>
      <c r="Y21" s="1" t="s">
        <v>457</v>
      </c>
      <c r="Z21" s="1" t="s">
        <v>91</v>
      </c>
      <c r="AA21" s="1" t="s">
        <v>497</v>
      </c>
    </row>
    <row r="22" customFormat="false" ht="15" hidden="false" customHeight="true" outlineLevel="0" collapsed="false">
      <c r="A22" s="31" t="s">
        <v>256</v>
      </c>
      <c r="B22" s="31" t="s">
        <v>514</v>
      </c>
      <c r="C22" s="31" t="s">
        <v>444</v>
      </c>
      <c r="D22" s="31" t="s">
        <v>445</v>
      </c>
      <c r="E22" s="31" t="s">
        <v>491</v>
      </c>
      <c r="F22" s="31" t="n">
        <v>312</v>
      </c>
      <c r="G22" s="31" t="n">
        <v>59</v>
      </c>
      <c r="H22" s="32" t="n">
        <f aca="false">IF(AND(F22&lt;&gt;"",G22&lt;&gt;"",F22&lt;&gt;0),(G22-F22)/F22,"")</f>
        <v>-0.810897435897436</v>
      </c>
      <c r="I22" s="31" t="s">
        <v>510</v>
      </c>
      <c r="J22" s="31" t="s">
        <v>68</v>
      </c>
      <c r="K22" s="31" t="s">
        <v>511</v>
      </c>
      <c r="L22" s="31" t="s">
        <v>492</v>
      </c>
      <c r="M22" s="31" t="s">
        <v>512</v>
      </c>
      <c r="N22" s="31" t="s">
        <v>68</v>
      </c>
      <c r="O22" s="31" t="s">
        <v>63</v>
      </c>
      <c r="P22" s="31" t="s">
        <v>63</v>
      </c>
      <c r="Q22" s="31" t="s">
        <v>494</v>
      </c>
      <c r="R22" s="31" t="s">
        <v>103</v>
      </c>
      <c r="S22" s="31" t="s">
        <v>91</v>
      </c>
      <c r="T22" s="31" t="s">
        <v>495</v>
      </c>
      <c r="U22" s="31" t="s">
        <v>77</v>
      </c>
      <c r="V22" s="31" t="s">
        <v>513</v>
      </c>
      <c r="W22" s="31" t="s">
        <v>455</v>
      </c>
      <c r="X22" s="31" t="s">
        <v>456</v>
      </c>
      <c r="Y22" s="1" t="s">
        <v>457</v>
      </c>
      <c r="Z22" s="1" t="s">
        <v>91</v>
      </c>
      <c r="AA22" s="1" t="s">
        <v>497</v>
      </c>
    </row>
    <row r="23" customFormat="false" ht="15" hidden="false" customHeight="true" outlineLevel="0" collapsed="false">
      <c r="A23" s="29" t="s">
        <v>256</v>
      </c>
      <c r="B23" s="29" t="s">
        <v>515</v>
      </c>
      <c r="C23" s="29" t="s">
        <v>444</v>
      </c>
      <c r="D23" s="29" t="s">
        <v>445</v>
      </c>
      <c r="E23" s="29" t="s">
        <v>491</v>
      </c>
      <c r="F23" s="29" t="n">
        <v>270</v>
      </c>
      <c r="G23" s="29" t="n">
        <v>67</v>
      </c>
      <c r="H23" s="30" t="n">
        <f aca="false">IF(AND(F23&lt;&gt;"",G23&lt;&gt;"",F23&lt;&gt;0),(G23-F23)/F23,"")</f>
        <v>-0.751851851851852</v>
      </c>
      <c r="I23" s="29" t="s">
        <v>510</v>
      </c>
      <c r="J23" s="29" t="s">
        <v>68</v>
      </c>
      <c r="K23" s="29" t="s">
        <v>511</v>
      </c>
      <c r="L23" s="29" t="s">
        <v>492</v>
      </c>
      <c r="M23" s="29" t="s">
        <v>512</v>
      </c>
      <c r="N23" s="29" t="s">
        <v>68</v>
      </c>
      <c r="O23" s="29" t="s">
        <v>63</v>
      </c>
      <c r="P23" s="29" t="s">
        <v>63</v>
      </c>
      <c r="Q23" s="29" t="s">
        <v>494</v>
      </c>
      <c r="R23" s="29" t="s">
        <v>103</v>
      </c>
      <c r="S23" s="29" t="s">
        <v>91</v>
      </c>
      <c r="T23" s="29" t="s">
        <v>495</v>
      </c>
      <c r="U23" s="29" t="s">
        <v>77</v>
      </c>
      <c r="V23" s="29" t="s">
        <v>513</v>
      </c>
      <c r="W23" s="29" t="s">
        <v>455</v>
      </c>
      <c r="X23" s="29" t="s">
        <v>456</v>
      </c>
      <c r="Y23" s="1" t="s">
        <v>457</v>
      </c>
      <c r="Z23" s="1" t="s">
        <v>91</v>
      </c>
      <c r="AA23" s="1" t="s">
        <v>497</v>
      </c>
    </row>
    <row r="24" customFormat="false" ht="15" hidden="false" customHeight="true" outlineLevel="0" collapsed="false">
      <c r="A24" s="31" t="s">
        <v>256</v>
      </c>
      <c r="B24" s="31" t="s">
        <v>516</v>
      </c>
      <c r="C24" s="31" t="s">
        <v>444</v>
      </c>
      <c r="D24" s="31" t="s">
        <v>445</v>
      </c>
      <c r="E24" s="31" t="s">
        <v>491</v>
      </c>
      <c r="F24" s="31" t="n">
        <v>270</v>
      </c>
      <c r="G24" s="31" t="n">
        <v>108</v>
      </c>
      <c r="H24" s="32" t="n">
        <f aca="false">IF(AND(F24&lt;&gt;"",G24&lt;&gt;"",F24&lt;&gt;0),(G24-F24)/F24,"")</f>
        <v>-0.6</v>
      </c>
      <c r="I24" s="31" t="s">
        <v>510</v>
      </c>
      <c r="J24" s="31" t="s">
        <v>68</v>
      </c>
      <c r="K24" s="31" t="s">
        <v>511</v>
      </c>
      <c r="L24" s="31" t="s">
        <v>492</v>
      </c>
      <c r="M24" s="31" t="s">
        <v>512</v>
      </c>
      <c r="N24" s="31" t="s">
        <v>68</v>
      </c>
      <c r="O24" s="31" t="s">
        <v>63</v>
      </c>
      <c r="P24" s="31" t="s">
        <v>63</v>
      </c>
      <c r="Q24" s="31" t="s">
        <v>494</v>
      </c>
      <c r="R24" s="31" t="s">
        <v>103</v>
      </c>
      <c r="S24" s="31" t="s">
        <v>91</v>
      </c>
      <c r="T24" s="31" t="s">
        <v>495</v>
      </c>
      <c r="U24" s="31" t="s">
        <v>77</v>
      </c>
      <c r="V24" s="31" t="s">
        <v>513</v>
      </c>
      <c r="W24" s="31" t="s">
        <v>455</v>
      </c>
      <c r="X24" s="31" t="s">
        <v>456</v>
      </c>
      <c r="Y24" s="1" t="s">
        <v>457</v>
      </c>
      <c r="Z24" s="1" t="s">
        <v>91</v>
      </c>
      <c r="AA24" s="1" t="s">
        <v>497</v>
      </c>
    </row>
    <row r="25" customFormat="false" ht="15" hidden="false" customHeight="true" outlineLevel="0" collapsed="false">
      <c r="A25" s="29" t="s">
        <v>256</v>
      </c>
      <c r="B25" s="29" t="s">
        <v>517</v>
      </c>
      <c r="C25" s="29" t="s">
        <v>444</v>
      </c>
      <c r="D25" s="29" t="s">
        <v>445</v>
      </c>
      <c r="E25" s="29" t="s">
        <v>491</v>
      </c>
      <c r="F25" s="29" t="n">
        <v>641</v>
      </c>
      <c r="G25" s="29" t="n">
        <v>125</v>
      </c>
      <c r="H25" s="30" t="n">
        <f aca="false">IF(AND(F25&lt;&gt;"",G25&lt;&gt;"",F25&lt;&gt;0),(G25-F25)/F25,"")</f>
        <v>-0.804992199687988</v>
      </c>
      <c r="I25" s="29" t="s">
        <v>52</v>
      </c>
      <c r="J25" s="29" t="s">
        <v>68</v>
      </c>
      <c r="K25" s="29" t="s">
        <v>505</v>
      </c>
      <c r="L25" s="29" t="s">
        <v>492</v>
      </c>
      <c r="M25" s="29" t="s">
        <v>506</v>
      </c>
      <c r="N25" s="29" t="s">
        <v>66</v>
      </c>
      <c r="O25" s="29" t="s">
        <v>63</v>
      </c>
      <c r="P25" s="29" t="s">
        <v>63</v>
      </c>
      <c r="Q25" s="29" t="s">
        <v>451</v>
      </c>
      <c r="R25" s="29" t="s">
        <v>451</v>
      </c>
      <c r="S25" s="29" t="s">
        <v>91</v>
      </c>
      <c r="T25" s="29" t="s">
        <v>495</v>
      </c>
      <c r="U25" s="29" t="s">
        <v>77</v>
      </c>
      <c r="V25" s="29" t="s">
        <v>503</v>
      </c>
      <c r="W25" s="29" t="s">
        <v>455</v>
      </c>
      <c r="X25" s="29" t="s">
        <v>456</v>
      </c>
      <c r="Y25" s="1" t="s">
        <v>507</v>
      </c>
      <c r="Z25" s="1" t="s">
        <v>91</v>
      </c>
      <c r="AA25" s="1" t="s">
        <v>508</v>
      </c>
    </row>
    <row r="26" customFormat="false" ht="15" hidden="false" customHeight="true" outlineLevel="0" collapsed="false">
      <c r="A26" s="31" t="s">
        <v>256</v>
      </c>
      <c r="B26" s="31" t="s">
        <v>518</v>
      </c>
      <c r="C26" s="31" t="s">
        <v>444</v>
      </c>
      <c r="D26" s="31" t="s">
        <v>445</v>
      </c>
      <c r="E26" s="31" t="s">
        <v>491</v>
      </c>
      <c r="F26" s="31" t="n">
        <v>207</v>
      </c>
      <c r="G26" s="31" t="n">
        <v>30</v>
      </c>
      <c r="H26" s="32" t="n">
        <f aca="false">IF(AND(F26&lt;&gt;"",G26&lt;&gt;"",F26&lt;&gt;0),(G26-F26)/F26,"")</f>
        <v>-0.855072463768116</v>
      </c>
      <c r="I26" s="31" t="s">
        <v>510</v>
      </c>
      <c r="J26" s="31" t="s">
        <v>68</v>
      </c>
      <c r="K26" s="31" t="s">
        <v>511</v>
      </c>
      <c r="L26" s="31" t="s">
        <v>492</v>
      </c>
      <c r="M26" s="31" t="s">
        <v>512</v>
      </c>
      <c r="N26" s="31" t="s">
        <v>68</v>
      </c>
      <c r="O26" s="31" t="s">
        <v>63</v>
      </c>
      <c r="P26" s="31" t="s">
        <v>63</v>
      </c>
      <c r="Q26" s="31" t="s">
        <v>494</v>
      </c>
      <c r="R26" s="31" t="s">
        <v>103</v>
      </c>
      <c r="S26" s="31" t="s">
        <v>91</v>
      </c>
      <c r="T26" s="31" t="s">
        <v>495</v>
      </c>
      <c r="U26" s="31" t="s">
        <v>77</v>
      </c>
      <c r="V26" s="31" t="s">
        <v>513</v>
      </c>
      <c r="W26" s="31" t="s">
        <v>455</v>
      </c>
      <c r="X26" s="31" t="s">
        <v>456</v>
      </c>
      <c r="Y26" s="1" t="s">
        <v>457</v>
      </c>
      <c r="Z26" s="1" t="s">
        <v>91</v>
      </c>
      <c r="AA26" s="1" t="s">
        <v>497</v>
      </c>
    </row>
    <row r="27" customFormat="false" ht="15" hidden="false" customHeight="true" outlineLevel="0" collapsed="false">
      <c r="A27" s="29" t="s">
        <v>256</v>
      </c>
      <c r="B27" s="29" t="s">
        <v>519</v>
      </c>
      <c r="C27" s="29" t="s">
        <v>444</v>
      </c>
      <c r="D27" s="29" t="s">
        <v>445</v>
      </c>
      <c r="E27" s="29" t="s">
        <v>491</v>
      </c>
      <c r="F27" s="29" t="n">
        <v>232</v>
      </c>
      <c r="G27" s="29" t="n">
        <v>146</v>
      </c>
      <c r="H27" s="30" t="n">
        <f aca="false">IF(AND(F27&lt;&gt;"",G27&lt;&gt;"",F27&lt;&gt;0),(G27-F27)/F27,"")</f>
        <v>-0.370689655172414</v>
      </c>
      <c r="I27" s="29" t="s">
        <v>510</v>
      </c>
      <c r="J27" s="29" t="s">
        <v>68</v>
      </c>
      <c r="K27" s="29" t="s">
        <v>511</v>
      </c>
      <c r="L27" s="29" t="s">
        <v>492</v>
      </c>
      <c r="M27" s="29" t="s">
        <v>512</v>
      </c>
      <c r="N27" s="29" t="s">
        <v>66</v>
      </c>
      <c r="O27" s="29" t="s">
        <v>63</v>
      </c>
      <c r="P27" s="29" t="s">
        <v>63</v>
      </c>
      <c r="Q27" s="29" t="s">
        <v>494</v>
      </c>
      <c r="R27" s="29" t="s">
        <v>103</v>
      </c>
      <c r="S27" s="29" t="s">
        <v>91</v>
      </c>
      <c r="T27" s="29" t="s">
        <v>495</v>
      </c>
      <c r="U27" s="29" t="s">
        <v>77</v>
      </c>
      <c r="V27" s="29" t="s">
        <v>513</v>
      </c>
      <c r="W27" s="29" t="s">
        <v>455</v>
      </c>
      <c r="X27" s="29" t="s">
        <v>456</v>
      </c>
      <c r="Y27" s="1" t="s">
        <v>457</v>
      </c>
      <c r="Z27" s="1" t="s">
        <v>91</v>
      </c>
      <c r="AA27" s="1" t="s">
        <v>497</v>
      </c>
    </row>
    <row r="28" customFormat="false" ht="15" hidden="false" customHeight="true" outlineLevel="0" collapsed="false">
      <c r="A28" s="31" t="s">
        <v>256</v>
      </c>
      <c r="B28" s="31" t="s">
        <v>520</v>
      </c>
      <c r="C28" s="31" t="s">
        <v>444</v>
      </c>
      <c r="D28" s="31" t="s">
        <v>445</v>
      </c>
      <c r="E28" s="31" t="s">
        <v>491</v>
      </c>
      <c r="F28" s="31" t="n">
        <v>177</v>
      </c>
      <c r="G28" s="31" t="n">
        <v>134</v>
      </c>
      <c r="H28" s="32" t="n">
        <f aca="false">IF(AND(F28&lt;&gt;"",G28&lt;&gt;"",F28&lt;&gt;0),(G28-F28)/F28,"")</f>
        <v>-0.242937853107345</v>
      </c>
      <c r="I28" s="31" t="s">
        <v>510</v>
      </c>
      <c r="J28" s="31" t="s">
        <v>68</v>
      </c>
      <c r="K28" s="31" t="s">
        <v>511</v>
      </c>
      <c r="L28" s="31" t="s">
        <v>501</v>
      </c>
      <c r="M28" s="31" t="s">
        <v>512</v>
      </c>
      <c r="N28" s="31" t="s">
        <v>66</v>
      </c>
      <c r="O28" s="31" t="s">
        <v>63</v>
      </c>
      <c r="P28" s="31" t="s">
        <v>63</v>
      </c>
      <c r="Q28" s="31" t="s">
        <v>494</v>
      </c>
      <c r="R28" s="31" t="s">
        <v>103</v>
      </c>
      <c r="S28" s="31" t="s">
        <v>91</v>
      </c>
      <c r="T28" s="31" t="s">
        <v>495</v>
      </c>
      <c r="U28" s="31" t="s">
        <v>77</v>
      </c>
      <c r="V28" s="31" t="s">
        <v>513</v>
      </c>
      <c r="W28" s="31" t="s">
        <v>455</v>
      </c>
      <c r="X28" s="31" t="s">
        <v>456</v>
      </c>
      <c r="Y28" s="1" t="s">
        <v>457</v>
      </c>
      <c r="Z28" s="1" t="s">
        <v>91</v>
      </c>
      <c r="AA28" s="1" t="s">
        <v>497</v>
      </c>
    </row>
    <row r="29" customFormat="false" ht="15" hidden="false" customHeight="true" outlineLevel="0" collapsed="false">
      <c r="A29" s="29" t="s">
        <v>256</v>
      </c>
      <c r="B29" s="29" t="s">
        <v>521</v>
      </c>
      <c r="C29" s="29" t="s">
        <v>444</v>
      </c>
      <c r="D29" s="29" t="s">
        <v>445</v>
      </c>
      <c r="E29" s="29" t="s">
        <v>491</v>
      </c>
      <c r="F29" s="29" t="n">
        <v>116</v>
      </c>
      <c r="G29" s="29" t="n">
        <v>4</v>
      </c>
      <c r="H29" s="30" t="n">
        <f aca="false">IF(AND(F29&lt;&gt;"",G29&lt;&gt;"",F29&lt;&gt;0),(G29-F29)/F29,"")</f>
        <v>-0.96551724137931</v>
      </c>
      <c r="I29" s="29" t="s">
        <v>510</v>
      </c>
      <c r="J29" s="29" t="s">
        <v>68</v>
      </c>
      <c r="K29" s="29" t="s">
        <v>511</v>
      </c>
      <c r="L29" s="29" t="s">
        <v>492</v>
      </c>
      <c r="M29" s="29" t="s">
        <v>512</v>
      </c>
      <c r="N29" s="29" t="s">
        <v>68</v>
      </c>
      <c r="O29" s="29" t="s">
        <v>63</v>
      </c>
      <c r="P29" s="29" t="s">
        <v>63</v>
      </c>
      <c r="Q29" s="29" t="s">
        <v>494</v>
      </c>
      <c r="R29" s="29" t="s">
        <v>103</v>
      </c>
      <c r="S29" s="29" t="s">
        <v>91</v>
      </c>
      <c r="T29" s="29" t="s">
        <v>495</v>
      </c>
      <c r="U29" s="29" t="s">
        <v>77</v>
      </c>
      <c r="V29" s="29" t="s">
        <v>513</v>
      </c>
      <c r="W29" s="29" t="s">
        <v>455</v>
      </c>
      <c r="X29" s="29" t="s">
        <v>456</v>
      </c>
      <c r="Y29" s="1" t="s">
        <v>457</v>
      </c>
      <c r="Z29" s="1" t="s">
        <v>91</v>
      </c>
      <c r="AA29" s="1" t="s">
        <v>497</v>
      </c>
    </row>
    <row r="30" customFormat="false" ht="15" hidden="false" customHeight="true" outlineLevel="0" collapsed="false">
      <c r="A30" s="31" t="s">
        <v>256</v>
      </c>
      <c r="B30" s="31" t="s">
        <v>522</v>
      </c>
      <c r="C30" s="31" t="s">
        <v>444</v>
      </c>
      <c r="D30" s="31" t="s">
        <v>445</v>
      </c>
      <c r="E30" s="31" t="s">
        <v>491</v>
      </c>
      <c r="F30" s="31" t="n">
        <v>133</v>
      </c>
      <c r="G30" s="31" t="n">
        <v>2</v>
      </c>
      <c r="H30" s="32" t="n">
        <f aca="false">IF(AND(F30&lt;&gt;"",G30&lt;&gt;"",F30&lt;&gt;0),(G30-F30)/F30,"")</f>
        <v>-0.984962406015038</v>
      </c>
      <c r="I30" s="31" t="s">
        <v>510</v>
      </c>
      <c r="J30" s="31" t="s">
        <v>68</v>
      </c>
      <c r="K30" s="31" t="s">
        <v>511</v>
      </c>
      <c r="L30" s="31" t="s">
        <v>492</v>
      </c>
      <c r="M30" s="31" t="s">
        <v>512</v>
      </c>
      <c r="N30" s="31" t="s">
        <v>68</v>
      </c>
      <c r="O30" s="31" t="s">
        <v>63</v>
      </c>
      <c r="P30" s="31" t="s">
        <v>63</v>
      </c>
      <c r="Q30" s="31" t="s">
        <v>494</v>
      </c>
      <c r="R30" s="31" t="s">
        <v>103</v>
      </c>
      <c r="S30" s="31" t="s">
        <v>91</v>
      </c>
      <c r="T30" s="31" t="s">
        <v>495</v>
      </c>
      <c r="U30" s="31" t="s">
        <v>77</v>
      </c>
      <c r="V30" s="31" t="s">
        <v>513</v>
      </c>
      <c r="W30" s="31" t="s">
        <v>455</v>
      </c>
      <c r="X30" s="31" t="s">
        <v>456</v>
      </c>
      <c r="Y30" s="1" t="s">
        <v>457</v>
      </c>
      <c r="Z30" s="1" t="s">
        <v>91</v>
      </c>
      <c r="AA30" s="1" t="s">
        <v>497</v>
      </c>
    </row>
    <row r="31" customFormat="false" ht="15" hidden="false" customHeight="true" outlineLevel="0" collapsed="false">
      <c r="A31" s="29" t="s">
        <v>256</v>
      </c>
      <c r="B31" s="29" t="s">
        <v>523</v>
      </c>
      <c r="C31" s="29" t="s">
        <v>444</v>
      </c>
      <c r="D31" s="29" t="s">
        <v>445</v>
      </c>
      <c r="E31" s="29" t="s">
        <v>491</v>
      </c>
      <c r="F31" s="29" t="n">
        <v>253</v>
      </c>
      <c r="G31" s="29" t="n">
        <v>50</v>
      </c>
      <c r="H31" s="30" t="n">
        <f aca="false">IF(AND(F31&lt;&gt;"",G31&lt;&gt;"",F31&lt;&gt;0),(G31-F31)/F31,"")</f>
        <v>-0.802371541501976</v>
      </c>
      <c r="I31" s="29" t="s">
        <v>499</v>
      </c>
      <c r="J31" s="29" t="s">
        <v>77</v>
      </c>
      <c r="K31" s="29" t="s">
        <v>500</v>
      </c>
      <c r="L31" s="29" t="s">
        <v>492</v>
      </c>
      <c r="M31" s="29" t="s">
        <v>524</v>
      </c>
      <c r="N31" s="29" t="s">
        <v>68</v>
      </c>
      <c r="O31" s="29" t="s">
        <v>63</v>
      </c>
      <c r="P31" s="29" t="s">
        <v>63</v>
      </c>
      <c r="Q31" s="29" t="s">
        <v>453</v>
      </c>
      <c r="R31" s="29" t="s">
        <v>453</v>
      </c>
      <c r="S31" s="29" t="s">
        <v>453</v>
      </c>
      <c r="T31" s="29" t="s">
        <v>495</v>
      </c>
      <c r="U31" s="29" t="s">
        <v>77</v>
      </c>
      <c r="V31" s="29" t="s">
        <v>503</v>
      </c>
      <c r="W31" s="29" t="s">
        <v>455</v>
      </c>
      <c r="X31" s="29" t="s">
        <v>456</v>
      </c>
      <c r="Y31" s="1" t="s">
        <v>457</v>
      </c>
      <c r="Z31" s="1" t="s">
        <v>91</v>
      </c>
      <c r="AA31" s="1" t="s">
        <v>497</v>
      </c>
    </row>
    <row r="32" customFormat="false" ht="21.75" hidden="false" customHeight="true" outlineLevel="0" collapsed="false">
      <c r="A32" s="31" t="s">
        <v>256</v>
      </c>
      <c r="B32" s="31" t="s">
        <v>525</v>
      </c>
      <c r="C32" s="31" t="s">
        <v>444</v>
      </c>
      <c r="D32" s="31" t="s">
        <v>445</v>
      </c>
      <c r="E32" s="31" t="s">
        <v>491</v>
      </c>
      <c r="F32" s="31" t="n">
        <v>167</v>
      </c>
      <c r="G32" s="31" t="n">
        <v>66</v>
      </c>
      <c r="H32" s="32" t="n">
        <f aca="false">IF(AND(F32&lt;&gt;"",G32&lt;&gt;"",F32&lt;&gt;0),(G32-F32)/F32,"")</f>
        <v>-0.604790419161677</v>
      </c>
      <c r="I32" s="31" t="s">
        <v>447</v>
      </c>
      <c r="J32" s="31" t="s">
        <v>66</v>
      </c>
      <c r="K32" s="31" t="s">
        <v>448</v>
      </c>
      <c r="L32" s="31" t="s">
        <v>492</v>
      </c>
      <c r="M32" s="31" t="s">
        <v>526</v>
      </c>
      <c r="N32" s="31" t="s">
        <v>66</v>
      </c>
      <c r="O32" s="31" t="s">
        <v>63</v>
      </c>
      <c r="P32" s="31" t="s">
        <v>63</v>
      </c>
      <c r="Q32" s="31" t="s">
        <v>451</v>
      </c>
      <c r="R32" s="31" t="s">
        <v>451</v>
      </c>
      <c r="S32" s="31" t="s">
        <v>91</v>
      </c>
      <c r="T32" s="31" t="s">
        <v>495</v>
      </c>
      <c r="U32" s="31" t="s">
        <v>63</v>
      </c>
      <c r="V32" s="31" t="s">
        <v>496</v>
      </c>
      <c r="W32" s="31" t="s">
        <v>455</v>
      </c>
      <c r="X32" s="31" t="s">
        <v>456</v>
      </c>
      <c r="Y32" s="1" t="s">
        <v>457</v>
      </c>
      <c r="Z32" s="1" t="s">
        <v>91</v>
      </c>
      <c r="AA32" s="1" t="s">
        <v>497</v>
      </c>
    </row>
    <row r="33" customFormat="false" ht="15" hidden="false" customHeight="true" outlineLevel="0" collapsed="false">
      <c r="A33" s="29" t="s">
        <v>256</v>
      </c>
      <c r="B33" s="29" t="s">
        <v>527</v>
      </c>
      <c r="C33" s="29" t="s">
        <v>444</v>
      </c>
      <c r="D33" s="29" t="s">
        <v>445</v>
      </c>
      <c r="E33" s="29" t="s">
        <v>528</v>
      </c>
      <c r="F33" s="29" t="n">
        <v>30621</v>
      </c>
      <c r="G33" s="29" t="n">
        <v>29621</v>
      </c>
      <c r="H33" s="30" t="n">
        <f aca="false">IF(AND(F33&lt;&gt;"",G33&lt;&gt;"",F33&lt;&gt;0),(G33-F33)/F33,"")</f>
        <v>-0.0326573266712387</v>
      </c>
      <c r="I33" s="29" t="s">
        <v>468</v>
      </c>
      <c r="J33" s="29" t="s">
        <v>77</v>
      </c>
      <c r="K33" s="29" t="s">
        <v>469</v>
      </c>
      <c r="L33" s="29" t="s">
        <v>470</v>
      </c>
      <c r="M33" s="29" t="s">
        <v>63</v>
      </c>
      <c r="N33" s="29" t="s">
        <v>63</v>
      </c>
      <c r="O33" s="29" t="s">
        <v>63</v>
      </c>
      <c r="P33" s="29" t="s">
        <v>63</v>
      </c>
      <c r="Q33" s="29" t="s">
        <v>453</v>
      </c>
      <c r="R33" s="29" t="s">
        <v>453</v>
      </c>
      <c r="S33" s="29" t="s">
        <v>91</v>
      </c>
      <c r="T33" s="29" t="s">
        <v>529</v>
      </c>
      <c r="U33" s="29" t="s">
        <v>453</v>
      </c>
      <c r="V33" s="29" t="s">
        <v>472</v>
      </c>
      <c r="W33" s="29" t="s">
        <v>455</v>
      </c>
      <c r="X33" s="29" t="s">
        <v>456</v>
      </c>
      <c r="Y33" s="1" t="s">
        <v>457</v>
      </c>
      <c r="Z33" s="1" t="s">
        <v>91</v>
      </c>
      <c r="AA33" s="1" t="s">
        <v>530</v>
      </c>
    </row>
    <row r="34" customFormat="false" ht="21.75" hidden="false" customHeight="true" outlineLevel="0" collapsed="false">
      <c r="A34" s="31" t="s">
        <v>256</v>
      </c>
      <c r="B34" s="31" t="s">
        <v>531</v>
      </c>
      <c r="C34" s="31" t="s">
        <v>444</v>
      </c>
      <c r="D34" s="31" t="s">
        <v>445</v>
      </c>
      <c r="E34" s="31" t="s">
        <v>528</v>
      </c>
      <c r="F34" s="31" t="n">
        <v>3066</v>
      </c>
      <c r="G34" s="31" t="n">
        <v>3409</v>
      </c>
      <c r="H34" s="32" t="n">
        <f aca="false">IF(AND(F34&lt;&gt;"",G34&lt;&gt;"",F34&lt;&gt;0),(G34-F34)/F34,"")</f>
        <v>0.111872146118721</v>
      </c>
      <c r="I34" s="31" t="s">
        <v>464</v>
      </c>
      <c r="J34" s="31" t="s">
        <v>66</v>
      </c>
      <c r="K34" s="31" t="s">
        <v>464</v>
      </c>
      <c r="L34" s="31" t="s">
        <v>470</v>
      </c>
      <c r="M34" s="31" t="s">
        <v>63</v>
      </c>
      <c r="N34" s="31" t="s">
        <v>63</v>
      </c>
      <c r="O34" s="31" t="s">
        <v>63</v>
      </c>
      <c r="P34" s="31" t="s">
        <v>63</v>
      </c>
      <c r="Q34" s="31" t="s">
        <v>451</v>
      </c>
      <c r="R34" s="31" t="s">
        <v>451</v>
      </c>
      <c r="S34" s="31" t="s">
        <v>91</v>
      </c>
      <c r="T34" s="31" t="s">
        <v>529</v>
      </c>
      <c r="U34" s="31" t="s">
        <v>453</v>
      </c>
      <c r="V34" s="31" t="s">
        <v>532</v>
      </c>
      <c r="W34" s="31" t="s">
        <v>455</v>
      </c>
      <c r="X34" s="31" t="s">
        <v>456</v>
      </c>
      <c r="Y34" s="1" t="s">
        <v>457</v>
      </c>
      <c r="Z34" s="1" t="s">
        <v>91</v>
      </c>
      <c r="AA34" s="1" t="s">
        <v>530</v>
      </c>
    </row>
    <row r="35" customFormat="false" ht="15" hidden="false" customHeight="true" outlineLevel="0" collapsed="false">
      <c r="A35" s="29" t="s">
        <v>256</v>
      </c>
      <c r="B35" s="29" t="s">
        <v>533</v>
      </c>
      <c r="C35" s="29" t="s">
        <v>444</v>
      </c>
      <c r="D35" s="29" t="s">
        <v>445</v>
      </c>
      <c r="E35" s="29" t="s">
        <v>528</v>
      </c>
      <c r="F35" s="29" t="n">
        <v>996</v>
      </c>
      <c r="G35" s="29" t="n">
        <v>926</v>
      </c>
      <c r="H35" s="30" t="n">
        <f aca="false">IF(AND(F35&lt;&gt;"",G35&lt;&gt;"",F35&lt;&gt;0),(G35-F35)/F35,"")</f>
        <v>-0.070281124497992</v>
      </c>
      <c r="I35" s="29" t="s">
        <v>447</v>
      </c>
      <c r="J35" s="29" t="s">
        <v>77</v>
      </c>
      <c r="K35" s="29" t="s">
        <v>448</v>
      </c>
      <c r="L35" s="29" t="s">
        <v>470</v>
      </c>
      <c r="M35" s="29" t="s">
        <v>63</v>
      </c>
      <c r="N35" s="29" t="s">
        <v>63</v>
      </c>
      <c r="O35" s="29" t="s">
        <v>63</v>
      </c>
      <c r="P35" s="29" t="s">
        <v>63</v>
      </c>
      <c r="Q35" s="29" t="s">
        <v>451</v>
      </c>
      <c r="R35" s="29" t="s">
        <v>451</v>
      </c>
      <c r="S35" s="29" t="s">
        <v>91</v>
      </c>
      <c r="T35" s="29" t="s">
        <v>529</v>
      </c>
      <c r="U35" s="29" t="s">
        <v>453</v>
      </c>
      <c r="V35" s="29" t="s">
        <v>496</v>
      </c>
      <c r="W35" s="29" t="s">
        <v>455</v>
      </c>
      <c r="X35" s="29" t="s">
        <v>456</v>
      </c>
      <c r="Y35" s="1" t="s">
        <v>457</v>
      </c>
      <c r="Z35" s="1" t="s">
        <v>91</v>
      </c>
      <c r="AA35" s="1" t="s">
        <v>530</v>
      </c>
    </row>
    <row r="36" customFormat="false" ht="15" hidden="false" customHeight="true" outlineLevel="0" collapsed="false">
      <c r="A36" s="31" t="s">
        <v>256</v>
      </c>
      <c r="B36" s="31" t="s">
        <v>534</v>
      </c>
      <c r="C36" s="31" t="s">
        <v>444</v>
      </c>
      <c r="D36" s="31" t="s">
        <v>445</v>
      </c>
      <c r="E36" s="31" t="s">
        <v>528</v>
      </c>
      <c r="F36" s="31" t="n">
        <v>199</v>
      </c>
      <c r="G36" s="31" t="n">
        <v>238</v>
      </c>
      <c r="H36" s="32" t="n">
        <f aca="false">IF(AND(F36&lt;&gt;"",G36&lt;&gt;"",F36&lt;&gt;0),(G36-F36)/F36,"")</f>
        <v>0.195979899497487</v>
      </c>
      <c r="I36" s="31" t="s">
        <v>464</v>
      </c>
      <c r="J36" s="31" t="s">
        <v>66</v>
      </c>
      <c r="K36" s="31" t="s">
        <v>464</v>
      </c>
      <c r="L36" s="31" t="s">
        <v>470</v>
      </c>
      <c r="M36" s="31" t="s">
        <v>63</v>
      </c>
      <c r="N36" s="31" t="s">
        <v>63</v>
      </c>
      <c r="O36" s="31" t="s">
        <v>63</v>
      </c>
      <c r="P36" s="31" t="s">
        <v>63</v>
      </c>
      <c r="Q36" s="31" t="s">
        <v>451</v>
      </c>
      <c r="R36" s="31" t="s">
        <v>451</v>
      </c>
      <c r="S36" s="31" t="s">
        <v>91</v>
      </c>
      <c r="T36" s="31" t="s">
        <v>529</v>
      </c>
      <c r="U36" s="31" t="s">
        <v>453</v>
      </c>
      <c r="V36" s="31" t="s">
        <v>535</v>
      </c>
      <c r="W36" s="31" t="s">
        <v>455</v>
      </c>
      <c r="X36" s="31" t="s">
        <v>456</v>
      </c>
      <c r="Y36" s="1" t="s">
        <v>457</v>
      </c>
      <c r="Z36" s="1" t="s">
        <v>91</v>
      </c>
      <c r="AA36" s="1" t="s">
        <v>530</v>
      </c>
    </row>
    <row r="37" customFormat="false" ht="15" hidden="false" customHeight="true" outlineLevel="0" collapsed="false">
      <c r="A37" s="29" t="s">
        <v>256</v>
      </c>
      <c r="B37" s="29" t="s">
        <v>536</v>
      </c>
      <c r="C37" s="29" t="s">
        <v>444</v>
      </c>
      <c r="D37" s="29" t="s">
        <v>445</v>
      </c>
      <c r="E37" s="29" t="s">
        <v>528</v>
      </c>
      <c r="F37" s="29" t="n">
        <v>220</v>
      </c>
      <c r="G37" s="29" t="n">
        <v>216</v>
      </c>
      <c r="H37" s="30" t="n">
        <f aca="false">IF(AND(F37&lt;&gt;"",G37&lt;&gt;"",F37&lt;&gt;0),(G37-F37)/F37,"")</f>
        <v>-0.0181818181818182</v>
      </c>
      <c r="I37" s="29" t="s">
        <v>447</v>
      </c>
      <c r="J37" s="29" t="s">
        <v>77</v>
      </c>
      <c r="K37" s="29" t="s">
        <v>448</v>
      </c>
      <c r="L37" s="29" t="s">
        <v>470</v>
      </c>
      <c r="M37" s="29" t="s">
        <v>63</v>
      </c>
      <c r="N37" s="29" t="s">
        <v>63</v>
      </c>
      <c r="O37" s="29" t="s">
        <v>63</v>
      </c>
      <c r="P37" s="29" t="s">
        <v>63</v>
      </c>
      <c r="Q37" s="29" t="s">
        <v>451</v>
      </c>
      <c r="R37" s="29" t="s">
        <v>451</v>
      </c>
      <c r="S37" s="29" t="s">
        <v>91</v>
      </c>
      <c r="T37" s="29" t="s">
        <v>529</v>
      </c>
      <c r="U37" s="29" t="s">
        <v>453</v>
      </c>
      <c r="V37" s="29" t="s">
        <v>462</v>
      </c>
      <c r="W37" s="29" t="s">
        <v>455</v>
      </c>
      <c r="X37" s="29" t="s">
        <v>456</v>
      </c>
      <c r="Y37" s="1" t="s">
        <v>457</v>
      </c>
      <c r="Z37" s="1" t="s">
        <v>91</v>
      </c>
      <c r="AA37" s="1" t="s">
        <v>530</v>
      </c>
    </row>
    <row r="38" customFormat="false" ht="21.75" hidden="false" customHeight="true" outlineLevel="0" collapsed="false">
      <c r="A38" s="31" t="s">
        <v>270</v>
      </c>
      <c r="B38" s="31" t="s">
        <v>537</v>
      </c>
      <c r="C38" s="31" t="s">
        <v>444</v>
      </c>
      <c r="D38" s="31" t="s">
        <v>538</v>
      </c>
      <c r="E38" s="31" t="s">
        <v>446</v>
      </c>
      <c r="F38" s="31" t="n">
        <v>15</v>
      </c>
      <c r="G38" s="31" t="n">
        <v>31049</v>
      </c>
      <c r="H38" s="32" t="n">
        <f aca="false">IF(AND(F38&lt;&gt;"",G38&lt;&gt;"",F38&lt;&gt;0),(G38-F38)/F38,"")</f>
        <v>2068.93333333333</v>
      </c>
      <c r="I38" s="31" t="s">
        <v>464</v>
      </c>
      <c r="J38" s="31" t="s">
        <v>66</v>
      </c>
      <c r="K38" s="31" t="s">
        <v>464</v>
      </c>
      <c r="L38" s="31" t="s">
        <v>470</v>
      </c>
      <c r="M38" s="31" t="s">
        <v>471</v>
      </c>
      <c r="N38" s="31" t="s">
        <v>68</v>
      </c>
      <c r="O38" s="31" t="s">
        <v>474</v>
      </c>
      <c r="P38" s="31" t="s">
        <v>269</v>
      </c>
      <c r="Q38" s="31" t="s">
        <v>69</v>
      </c>
      <c r="R38" s="31" t="s">
        <v>263</v>
      </c>
      <c r="S38" s="31" t="s">
        <v>69</v>
      </c>
      <c r="T38" s="31" t="s">
        <v>452</v>
      </c>
      <c r="U38" s="31" t="s">
        <v>453</v>
      </c>
      <c r="V38" s="31" t="s">
        <v>539</v>
      </c>
      <c r="W38" s="31" t="s">
        <v>540</v>
      </c>
      <c r="X38" s="31" t="s">
        <v>541</v>
      </c>
      <c r="Y38" s="1" t="s">
        <v>457</v>
      </c>
      <c r="Z38" s="1" t="s">
        <v>91</v>
      </c>
      <c r="AA38" s="1" t="s">
        <v>542</v>
      </c>
    </row>
    <row r="39" customFormat="false" ht="15" hidden="false" customHeight="true" outlineLevel="0" collapsed="false">
      <c r="A39" s="29" t="s">
        <v>270</v>
      </c>
      <c r="B39" s="29" t="s">
        <v>527</v>
      </c>
      <c r="C39" s="29" t="s">
        <v>444</v>
      </c>
      <c r="D39" s="29" t="s">
        <v>538</v>
      </c>
      <c r="E39" s="29" t="s">
        <v>446</v>
      </c>
      <c r="F39" s="29"/>
      <c r="G39" s="29" t="n">
        <v>35436</v>
      </c>
      <c r="H39" s="30" t="str">
        <f aca="false">IF(AND(F39&lt;&gt;"",G39&lt;&gt;"",F39&lt;&gt;0),(G39-F39)/F39,"")</f>
        <v/>
      </c>
      <c r="I39" s="29" t="s">
        <v>468</v>
      </c>
      <c r="J39" s="29" t="s">
        <v>77</v>
      </c>
      <c r="K39" s="29" t="s">
        <v>543</v>
      </c>
      <c r="L39" s="29" t="s">
        <v>470</v>
      </c>
      <c r="M39" s="29" t="s">
        <v>471</v>
      </c>
      <c r="N39" s="29" t="s">
        <v>68</v>
      </c>
      <c r="O39" s="29" t="s">
        <v>63</v>
      </c>
      <c r="P39" s="29" t="s">
        <v>269</v>
      </c>
      <c r="Q39" s="29" t="s">
        <v>453</v>
      </c>
      <c r="R39" s="29" t="s">
        <v>453</v>
      </c>
      <c r="S39" s="29" t="s">
        <v>453</v>
      </c>
      <c r="T39" s="29" t="s">
        <v>452</v>
      </c>
      <c r="U39" s="29" t="s">
        <v>453</v>
      </c>
      <c r="V39" s="29" t="s">
        <v>472</v>
      </c>
      <c r="W39" s="29" t="s">
        <v>540</v>
      </c>
      <c r="X39" s="29" t="s">
        <v>541</v>
      </c>
      <c r="Y39" s="1" t="s">
        <v>457</v>
      </c>
      <c r="Z39" s="1" t="s">
        <v>91</v>
      </c>
      <c r="AA39" s="1" t="s">
        <v>542</v>
      </c>
    </row>
    <row r="40" customFormat="false" ht="15" hidden="false" customHeight="true" outlineLevel="0" collapsed="false">
      <c r="A40" s="31" t="s">
        <v>270</v>
      </c>
      <c r="B40" s="31" t="s">
        <v>544</v>
      </c>
      <c r="C40" s="31" t="s">
        <v>444</v>
      </c>
      <c r="D40" s="31" t="s">
        <v>538</v>
      </c>
      <c r="E40" s="31" t="s">
        <v>491</v>
      </c>
      <c r="F40" s="31"/>
      <c r="G40" s="31"/>
      <c r="H40" s="32" t="str">
        <f aca="false">IF(AND(F40&lt;&gt;"",G40&lt;&gt;"",F40&lt;&gt;0),(G40-F40)/F40,"")</f>
        <v/>
      </c>
      <c r="I40" s="31" t="s">
        <v>499</v>
      </c>
      <c r="J40" s="31" t="s">
        <v>66</v>
      </c>
      <c r="K40" s="31" t="s">
        <v>545</v>
      </c>
      <c r="L40" s="31" t="s">
        <v>546</v>
      </c>
      <c r="M40" s="31" t="s">
        <v>547</v>
      </c>
      <c r="N40" s="31" t="s">
        <v>66</v>
      </c>
      <c r="O40" s="31" t="s">
        <v>63</v>
      </c>
      <c r="P40" s="31" t="s">
        <v>548</v>
      </c>
      <c r="Q40" s="31" t="s">
        <v>451</v>
      </c>
      <c r="R40" s="31" t="s">
        <v>451</v>
      </c>
      <c r="S40" s="31" t="s">
        <v>91</v>
      </c>
      <c r="T40" s="31" t="s">
        <v>495</v>
      </c>
      <c r="U40" s="31" t="s">
        <v>77</v>
      </c>
      <c r="V40" s="31" t="s">
        <v>503</v>
      </c>
      <c r="W40" s="31" t="s">
        <v>540</v>
      </c>
      <c r="X40" s="31" t="s">
        <v>541</v>
      </c>
      <c r="Y40" s="1" t="s">
        <v>507</v>
      </c>
      <c r="Z40" s="1" t="s">
        <v>91</v>
      </c>
      <c r="AA40" s="1" t="s">
        <v>549</v>
      </c>
    </row>
    <row r="41" customFormat="false" ht="15" hidden="false" customHeight="true" outlineLevel="0" collapsed="false">
      <c r="A41" s="29" t="s">
        <v>270</v>
      </c>
      <c r="B41" s="29" t="s">
        <v>550</v>
      </c>
      <c r="C41" s="29" t="s">
        <v>444</v>
      </c>
      <c r="D41" s="29" t="s">
        <v>538</v>
      </c>
      <c r="E41" s="29" t="s">
        <v>491</v>
      </c>
      <c r="F41" s="29"/>
      <c r="G41" s="29"/>
      <c r="H41" s="30" t="str">
        <f aca="false">IF(AND(F41&lt;&gt;"",G41&lt;&gt;"",F41&lt;&gt;0),(G41-F41)/F41,"")</f>
        <v/>
      </c>
      <c r="I41" s="29" t="s">
        <v>499</v>
      </c>
      <c r="J41" s="29" t="s">
        <v>66</v>
      </c>
      <c r="K41" s="29" t="s">
        <v>545</v>
      </c>
      <c r="L41" s="29" t="s">
        <v>546</v>
      </c>
      <c r="M41" s="29" t="s">
        <v>547</v>
      </c>
      <c r="N41" s="29" t="s">
        <v>66</v>
      </c>
      <c r="O41" s="29" t="s">
        <v>63</v>
      </c>
      <c r="P41" s="29" t="s">
        <v>548</v>
      </c>
      <c r="Q41" s="29" t="s">
        <v>451</v>
      </c>
      <c r="R41" s="29" t="s">
        <v>451</v>
      </c>
      <c r="S41" s="29" t="s">
        <v>91</v>
      </c>
      <c r="T41" s="29" t="s">
        <v>495</v>
      </c>
      <c r="U41" s="29" t="s">
        <v>77</v>
      </c>
      <c r="V41" s="29" t="s">
        <v>503</v>
      </c>
      <c r="W41" s="29" t="s">
        <v>540</v>
      </c>
      <c r="X41" s="29" t="s">
        <v>541</v>
      </c>
      <c r="Y41" s="1" t="s">
        <v>507</v>
      </c>
      <c r="Z41" s="1" t="s">
        <v>91</v>
      </c>
      <c r="AA41" s="1" t="s">
        <v>549</v>
      </c>
    </row>
    <row r="42" customFormat="false" ht="15" hidden="false" customHeight="true" outlineLevel="0" collapsed="false">
      <c r="A42" s="31" t="s">
        <v>270</v>
      </c>
      <c r="B42" s="31" t="s">
        <v>551</v>
      </c>
      <c r="C42" s="31" t="s">
        <v>444</v>
      </c>
      <c r="D42" s="31" t="s">
        <v>538</v>
      </c>
      <c r="E42" s="31" t="s">
        <v>491</v>
      </c>
      <c r="F42" s="31"/>
      <c r="G42" s="31"/>
      <c r="H42" s="32" t="str">
        <f aca="false">IF(AND(F42&lt;&gt;"",G42&lt;&gt;"",F42&lt;&gt;0),(G42-F42)/F42,"")</f>
        <v/>
      </c>
      <c r="I42" s="31" t="s">
        <v>464</v>
      </c>
      <c r="J42" s="31" t="s">
        <v>66</v>
      </c>
      <c r="K42" s="31" t="s">
        <v>552</v>
      </c>
      <c r="L42" s="31" t="s">
        <v>546</v>
      </c>
      <c r="M42" s="31" t="s">
        <v>547</v>
      </c>
      <c r="N42" s="31" t="s">
        <v>66</v>
      </c>
      <c r="O42" s="31" t="s">
        <v>63</v>
      </c>
      <c r="P42" s="31" t="s">
        <v>548</v>
      </c>
      <c r="Q42" s="31" t="s">
        <v>451</v>
      </c>
      <c r="R42" s="31" t="s">
        <v>451</v>
      </c>
      <c r="S42" s="31" t="s">
        <v>91</v>
      </c>
      <c r="T42" s="31" t="s">
        <v>495</v>
      </c>
      <c r="U42" s="31" t="s">
        <v>77</v>
      </c>
      <c r="V42" s="31" t="s">
        <v>503</v>
      </c>
      <c r="W42" s="31" t="s">
        <v>540</v>
      </c>
      <c r="X42" s="31" t="s">
        <v>541</v>
      </c>
      <c r="Y42" s="1" t="s">
        <v>507</v>
      </c>
      <c r="Z42" s="1" t="s">
        <v>91</v>
      </c>
      <c r="AA42" s="1" t="s">
        <v>549</v>
      </c>
    </row>
    <row r="43" customFormat="false" ht="15" hidden="false" customHeight="true" outlineLevel="0" collapsed="false">
      <c r="A43" s="29" t="s">
        <v>270</v>
      </c>
      <c r="B43" s="29" t="s">
        <v>553</v>
      </c>
      <c r="C43" s="29" t="s">
        <v>444</v>
      </c>
      <c r="D43" s="29" t="s">
        <v>538</v>
      </c>
      <c r="E43" s="29" t="s">
        <v>491</v>
      </c>
      <c r="F43" s="29"/>
      <c r="G43" s="29"/>
      <c r="H43" s="30" t="str">
        <f aca="false">IF(AND(F43&lt;&gt;"",G43&lt;&gt;"",F43&lt;&gt;0),(G43-F43)/F43,"")</f>
        <v/>
      </c>
      <c r="I43" s="29" t="s">
        <v>464</v>
      </c>
      <c r="J43" s="29" t="s">
        <v>66</v>
      </c>
      <c r="K43" s="29" t="s">
        <v>464</v>
      </c>
      <c r="L43" s="29" t="s">
        <v>546</v>
      </c>
      <c r="M43" s="29" t="s">
        <v>554</v>
      </c>
      <c r="N43" s="29" t="s">
        <v>66</v>
      </c>
      <c r="O43" s="29" t="s">
        <v>63</v>
      </c>
      <c r="P43" s="29" t="s">
        <v>548</v>
      </c>
      <c r="Q43" s="29" t="s">
        <v>451</v>
      </c>
      <c r="R43" s="29" t="s">
        <v>451</v>
      </c>
      <c r="S43" s="29" t="s">
        <v>91</v>
      </c>
      <c r="T43" s="29" t="s">
        <v>495</v>
      </c>
      <c r="U43" s="29" t="s">
        <v>77</v>
      </c>
      <c r="V43" s="29" t="s">
        <v>503</v>
      </c>
      <c r="W43" s="29" t="s">
        <v>540</v>
      </c>
      <c r="X43" s="29" t="s">
        <v>541</v>
      </c>
      <c r="Y43" s="1" t="s">
        <v>507</v>
      </c>
      <c r="Z43" s="1" t="s">
        <v>91</v>
      </c>
      <c r="AA43" s="1" t="s">
        <v>549</v>
      </c>
    </row>
    <row r="44" customFormat="false" ht="21.75" hidden="false" customHeight="true" outlineLevel="0" collapsed="false">
      <c r="A44" s="31" t="s">
        <v>300</v>
      </c>
      <c r="B44" s="31" t="s">
        <v>555</v>
      </c>
      <c r="C44" s="31" t="s">
        <v>444</v>
      </c>
      <c r="D44" s="31" t="s">
        <v>445</v>
      </c>
      <c r="E44" s="31" t="s">
        <v>446</v>
      </c>
      <c r="F44" s="31"/>
      <c r="G44" s="31"/>
      <c r="H44" s="32" t="str">
        <f aca="false">IF(AND(F44&lt;&gt;"",G44&lt;&gt;"",F44&lt;&gt;0),(G44-F44)/F44,"")</f>
        <v/>
      </c>
      <c r="I44" s="31" t="s">
        <v>510</v>
      </c>
      <c r="J44" s="31" t="s">
        <v>77</v>
      </c>
      <c r="K44" s="31" t="s">
        <v>511</v>
      </c>
      <c r="L44" s="31" t="s">
        <v>449</v>
      </c>
      <c r="M44" s="31" t="s">
        <v>556</v>
      </c>
      <c r="N44" s="31" t="s">
        <v>66</v>
      </c>
      <c r="O44" s="31" t="s">
        <v>557</v>
      </c>
      <c r="P44" s="31" t="s">
        <v>457</v>
      </c>
      <c r="Q44" s="31" t="s">
        <v>69</v>
      </c>
      <c r="R44" s="31" t="s">
        <v>263</v>
      </c>
      <c r="S44" s="31" t="s">
        <v>69</v>
      </c>
      <c r="T44" s="31" t="s">
        <v>452</v>
      </c>
      <c r="U44" s="31" t="s">
        <v>453</v>
      </c>
      <c r="V44" s="31" t="s">
        <v>558</v>
      </c>
      <c r="W44" s="31" t="s">
        <v>559</v>
      </c>
      <c r="X44" s="31" t="s">
        <v>456</v>
      </c>
      <c r="Y44" s="1" t="s">
        <v>457</v>
      </c>
      <c r="Z44" s="1" t="s">
        <v>91</v>
      </c>
      <c r="AA44" s="1" t="s">
        <v>560</v>
      </c>
    </row>
    <row r="45" customFormat="false" ht="15" hidden="false" customHeight="true" outlineLevel="0" collapsed="false">
      <c r="A45" s="29" t="s">
        <v>300</v>
      </c>
      <c r="B45" s="29" t="s">
        <v>561</v>
      </c>
      <c r="C45" s="29" t="s">
        <v>444</v>
      </c>
      <c r="D45" s="29" t="s">
        <v>445</v>
      </c>
      <c r="E45" s="29" t="s">
        <v>446</v>
      </c>
      <c r="F45" s="29"/>
      <c r="G45" s="29"/>
      <c r="H45" s="30" t="str">
        <f aca="false">IF(AND(F45&lt;&gt;"",G45&lt;&gt;"",F45&lt;&gt;0),(G45-F45)/F45,"")</f>
        <v/>
      </c>
      <c r="I45" s="29" t="s">
        <v>499</v>
      </c>
      <c r="J45" s="29" t="s">
        <v>77</v>
      </c>
      <c r="K45" s="29" t="s">
        <v>562</v>
      </c>
      <c r="L45" s="29" t="s">
        <v>563</v>
      </c>
      <c r="M45" s="29" t="s">
        <v>564</v>
      </c>
      <c r="N45" s="29" t="s">
        <v>77</v>
      </c>
      <c r="O45" s="29" t="s">
        <v>63</v>
      </c>
      <c r="P45" s="29" t="s">
        <v>63</v>
      </c>
      <c r="Q45" s="29" t="s">
        <v>451</v>
      </c>
      <c r="R45" s="29" t="s">
        <v>451</v>
      </c>
      <c r="S45" s="29" t="s">
        <v>91</v>
      </c>
      <c r="T45" s="29" t="s">
        <v>452</v>
      </c>
      <c r="U45" s="29" t="s">
        <v>453</v>
      </c>
      <c r="V45" s="29" t="s">
        <v>565</v>
      </c>
      <c r="W45" s="29" t="s">
        <v>559</v>
      </c>
      <c r="X45" s="29" t="s">
        <v>456</v>
      </c>
      <c r="Y45" s="1" t="s">
        <v>457</v>
      </c>
      <c r="Z45" s="1" t="s">
        <v>91</v>
      </c>
      <c r="AA45" s="1" t="s">
        <v>560</v>
      </c>
    </row>
    <row r="46" customFormat="false" ht="15" hidden="false" customHeight="true" outlineLevel="0" collapsed="false">
      <c r="A46" s="31" t="s">
        <v>300</v>
      </c>
      <c r="B46" s="31" t="s">
        <v>566</v>
      </c>
      <c r="C46" s="31" t="s">
        <v>444</v>
      </c>
      <c r="D46" s="31" t="s">
        <v>445</v>
      </c>
      <c r="E46" s="31" t="s">
        <v>446</v>
      </c>
      <c r="F46" s="31"/>
      <c r="G46" s="31"/>
      <c r="H46" s="32" t="str">
        <f aca="false">IF(AND(F46&lt;&gt;"",G46&lt;&gt;"",F46&lt;&gt;0),(G46-F46)/F46,"")</f>
        <v/>
      </c>
      <c r="I46" s="31" t="s">
        <v>52</v>
      </c>
      <c r="J46" s="31" t="s">
        <v>66</v>
      </c>
      <c r="K46" s="31" t="s">
        <v>505</v>
      </c>
      <c r="L46" s="31" t="s">
        <v>563</v>
      </c>
      <c r="M46" s="31" t="s">
        <v>63</v>
      </c>
      <c r="N46" s="31" t="s">
        <v>77</v>
      </c>
      <c r="O46" s="31" t="s">
        <v>63</v>
      </c>
      <c r="P46" s="31" t="s">
        <v>63</v>
      </c>
      <c r="Q46" s="31" t="s">
        <v>451</v>
      </c>
      <c r="R46" s="31" t="s">
        <v>451</v>
      </c>
      <c r="S46" s="31" t="s">
        <v>91</v>
      </c>
      <c r="T46" s="31" t="s">
        <v>452</v>
      </c>
      <c r="U46" s="31" t="s">
        <v>453</v>
      </c>
      <c r="V46" s="31" t="s">
        <v>503</v>
      </c>
      <c r="W46" s="31" t="s">
        <v>559</v>
      </c>
      <c r="X46" s="31" t="s">
        <v>456</v>
      </c>
      <c r="Y46" s="1" t="s">
        <v>507</v>
      </c>
      <c r="Z46" s="1" t="s">
        <v>91</v>
      </c>
      <c r="AA46" s="1" t="s">
        <v>567</v>
      </c>
    </row>
    <row r="47" customFormat="false" ht="15" hidden="false" customHeight="true" outlineLevel="0" collapsed="false">
      <c r="A47" s="29" t="s">
        <v>300</v>
      </c>
      <c r="B47" s="29" t="s">
        <v>568</v>
      </c>
      <c r="C47" s="29" t="s">
        <v>444</v>
      </c>
      <c r="D47" s="29" t="s">
        <v>445</v>
      </c>
      <c r="E47" s="29" t="s">
        <v>446</v>
      </c>
      <c r="F47" s="29"/>
      <c r="G47" s="29"/>
      <c r="H47" s="30" t="str">
        <f aca="false">IF(AND(F47&lt;&gt;"",G47&lt;&gt;"",F47&lt;&gt;0),(G47-F47)/F47,"")</f>
        <v/>
      </c>
      <c r="I47" s="29" t="s">
        <v>98</v>
      </c>
      <c r="J47" s="29" t="s">
        <v>66</v>
      </c>
      <c r="K47" s="29" t="s">
        <v>569</v>
      </c>
      <c r="L47" s="29" t="s">
        <v>449</v>
      </c>
      <c r="M47" s="29" t="s">
        <v>63</v>
      </c>
      <c r="N47" s="29" t="s">
        <v>77</v>
      </c>
      <c r="O47" s="29" t="s">
        <v>63</v>
      </c>
      <c r="P47" s="29" t="s">
        <v>63</v>
      </c>
      <c r="Q47" s="29" t="s">
        <v>451</v>
      </c>
      <c r="R47" s="29" t="s">
        <v>451</v>
      </c>
      <c r="S47" s="29" t="s">
        <v>91</v>
      </c>
      <c r="T47" s="29" t="s">
        <v>452</v>
      </c>
      <c r="U47" s="29" t="s">
        <v>453</v>
      </c>
      <c r="V47" s="29" t="s">
        <v>570</v>
      </c>
      <c r="W47" s="29" t="s">
        <v>559</v>
      </c>
      <c r="X47" s="29" t="s">
        <v>456</v>
      </c>
      <c r="Y47" s="1" t="s">
        <v>457</v>
      </c>
      <c r="Z47" s="1" t="s">
        <v>91</v>
      </c>
      <c r="AA47" s="1" t="s">
        <v>560</v>
      </c>
    </row>
    <row r="48" customFormat="false" ht="15" hidden="false" customHeight="true" outlineLevel="0" collapsed="false">
      <c r="A48" s="31" t="s">
        <v>300</v>
      </c>
      <c r="B48" s="31" t="s">
        <v>571</v>
      </c>
      <c r="C48" s="31" t="s">
        <v>444</v>
      </c>
      <c r="D48" s="31" t="s">
        <v>445</v>
      </c>
      <c r="E48" s="31" t="s">
        <v>446</v>
      </c>
      <c r="F48" s="31"/>
      <c r="G48" s="31"/>
      <c r="H48" s="32" t="str">
        <f aca="false">IF(AND(F48&lt;&gt;"",G48&lt;&gt;"",F48&lt;&gt;0),(G48-F48)/F48,"")</f>
        <v/>
      </c>
      <c r="I48" s="31" t="s">
        <v>510</v>
      </c>
      <c r="J48" s="31" t="s">
        <v>66</v>
      </c>
      <c r="K48" s="31" t="s">
        <v>511</v>
      </c>
      <c r="L48" s="31" t="s">
        <v>460</v>
      </c>
      <c r="M48" s="31" t="s">
        <v>572</v>
      </c>
      <c r="N48" s="31" t="s">
        <v>77</v>
      </c>
      <c r="O48" s="31" t="s">
        <v>63</v>
      </c>
      <c r="P48" s="31" t="s">
        <v>63</v>
      </c>
      <c r="Q48" s="31" t="s">
        <v>451</v>
      </c>
      <c r="R48" s="31" t="s">
        <v>451</v>
      </c>
      <c r="S48" s="31" t="s">
        <v>91</v>
      </c>
      <c r="T48" s="31" t="s">
        <v>452</v>
      </c>
      <c r="U48" s="31" t="s">
        <v>453</v>
      </c>
      <c r="V48" s="31" t="s">
        <v>573</v>
      </c>
      <c r="W48" s="31" t="s">
        <v>559</v>
      </c>
      <c r="X48" s="31" t="s">
        <v>456</v>
      </c>
      <c r="Y48" s="1" t="s">
        <v>457</v>
      </c>
      <c r="Z48" s="1" t="s">
        <v>91</v>
      </c>
      <c r="AA48" s="1" t="s">
        <v>560</v>
      </c>
    </row>
    <row r="49" customFormat="false" ht="21.75" hidden="false" customHeight="true" outlineLevel="0" collapsed="false">
      <c r="A49" s="29" t="s">
        <v>300</v>
      </c>
      <c r="B49" s="29" t="s">
        <v>527</v>
      </c>
      <c r="C49" s="29" t="s">
        <v>444</v>
      </c>
      <c r="D49" s="29" t="s">
        <v>445</v>
      </c>
      <c r="E49" s="29" t="s">
        <v>491</v>
      </c>
      <c r="F49" s="29" t="n">
        <v>136261</v>
      </c>
      <c r="G49" s="29" t="n">
        <v>121236</v>
      </c>
      <c r="H49" s="30" t="n">
        <f aca="false">IF(AND(F49&lt;&gt;"",G49&lt;&gt;"",F49&lt;&gt;0),(G49-F49)/F49,"")</f>
        <v>-0.110266327122214</v>
      </c>
      <c r="I49" s="29" t="s">
        <v>468</v>
      </c>
      <c r="J49" s="29" t="s">
        <v>77</v>
      </c>
      <c r="K49" s="29" t="s">
        <v>469</v>
      </c>
      <c r="L49" s="29" t="s">
        <v>501</v>
      </c>
      <c r="M49" s="29" t="s">
        <v>574</v>
      </c>
      <c r="N49" s="29" t="s">
        <v>66</v>
      </c>
      <c r="O49" s="29" t="s">
        <v>63</v>
      </c>
      <c r="P49" s="29" t="s">
        <v>63</v>
      </c>
      <c r="Q49" s="29" t="s">
        <v>453</v>
      </c>
      <c r="R49" s="29" t="s">
        <v>453</v>
      </c>
      <c r="S49" s="29" t="s">
        <v>91</v>
      </c>
      <c r="T49" s="29" t="s">
        <v>495</v>
      </c>
      <c r="U49" s="29" t="s">
        <v>68</v>
      </c>
      <c r="V49" s="29" t="s">
        <v>472</v>
      </c>
      <c r="W49" s="29" t="s">
        <v>559</v>
      </c>
      <c r="X49" s="29" t="s">
        <v>456</v>
      </c>
      <c r="Y49" s="1" t="s">
        <v>457</v>
      </c>
      <c r="Z49" s="1" t="s">
        <v>91</v>
      </c>
      <c r="AA49" s="1" t="s">
        <v>575</v>
      </c>
    </row>
    <row r="50" customFormat="false" ht="21.75" hidden="false" customHeight="true" outlineLevel="0" collapsed="false">
      <c r="A50" s="31" t="s">
        <v>300</v>
      </c>
      <c r="B50" s="31" t="s">
        <v>576</v>
      </c>
      <c r="C50" s="31" t="s">
        <v>444</v>
      </c>
      <c r="D50" s="31" t="s">
        <v>445</v>
      </c>
      <c r="E50" s="31" t="s">
        <v>491</v>
      </c>
      <c r="F50" s="31" t="n">
        <v>2198</v>
      </c>
      <c r="G50" s="31" t="n">
        <v>7</v>
      </c>
      <c r="H50" s="32" t="n">
        <f aca="false">IF(AND(F50&lt;&gt;"",G50&lt;&gt;"",F50&lt;&gt;0),(G50-F50)/F50,"")</f>
        <v>-0.996815286624204</v>
      </c>
      <c r="I50" s="31" t="s">
        <v>510</v>
      </c>
      <c r="J50" s="31" t="s">
        <v>68</v>
      </c>
      <c r="K50" s="31" t="s">
        <v>511</v>
      </c>
      <c r="L50" s="31" t="s">
        <v>546</v>
      </c>
      <c r="M50" s="31" t="s">
        <v>577</v>
      </c>
      <c r="N50" s="31" t="s">
        <v>66</v>
      </c>
      <c r="O50" s="31" t="s">
        <v>63</v>
      </c>
      <c r="P50" s="31" t="s">
        <v>63</v>
      </c>
      <c r="Q50" s="31" t="s">
        <v>451</v>
      </c>
      <c r="R50" s="31" t="s">
        <v>451</v>
      </c>
      <c r="S50" s="31" t="s">
        <v>91</v>
      </c>
      <c r="T50" s="31" t="s">
        <v>495</v>
      </c>
      <c r="U50" s="31" t="s">
        <v>77</v>
      </c>
      <c r="V50" s="31" t="s">
        <v>513</v>
      </c>
      <c r="W50" s="31" t="s">
        <v>559</v>
      </c>
      <c r="X50" s="31" t="s">
        <v>456</v>
      </c>
      <c r="Y50" s="1" t="s">
        <v>457</v>
      </c>
      <c r="Z50" s="1" t="s">
        <v>91</v>
      </c>
      <c r="AA50" s="1" t="s">
        <v>575</v>
      </c>
    </row>
    <row r="51" customFormat="false" ht="21.75" hidden="false" customHeight="true" outlineLevel="0" collapsed="false">
      <c r="A51" s="29" t="s">
        <v>300</v>
      </c>
      <c r="B51" s="29" t="s">
        <v>533</v>
      </c>
      <c r="C51" s="29" t="s">
        <v>444</v>
      </c>
      <c r="D51" s="29" t="s">
        <v>445</v>
      </c>
      <c r="E51" s="29" t="s">
        <v>491</v>
      </c>
      <c r="F51" s="29"/>
      <c r="G51" s="29"/>
      <c r="H51" s="30" t="str">
        <f aca="false">IF(AND(F51&lt;&gt;"",G51&lt;&gt;"",F51&lt;&gt;0),(G51-F51)/F51,"")</f>
        <v/>
      </c>
      <c r="I51" s="29" t="s">
        <v>447</v>
      </c>
      <c r="J51" s="29" t="s">
        <v>77</v>
      </c>
      <c r="K51" s="29" t="s">
        <v>448</v>
      </c>
      <c r="L51" s="29" t="s">
        <v>578</v>
      </c>
      <c r="M51" s="29" t="s">
        <v>579</v>
      </c>
      <c r="N51" s="29" t="s">
        <v>66</v>
      </c>
      <c r="O51" s="29" t="s">
        <v>63</v>
      </c>
      <c r="P51" s="29" t="s">
        <v>63</v>
      </c>
      <c r="Q51" s="29" t="s">
        <v>69</v>
      </c>
      <c r="R51" s="29" t="s">
        <v>103</v>
      </c>
      <c r="S51" s="29" t="s">
        <v>91</v>
      </c>
      <c r="T51" s="29" t="s">
        <v>495</v>
      </c>
      <c r="U51" s="29" t="s">
        <v>66</v>
      </c>
      <c r="V51" s="29" t="s">
        <v>580</v>
      </c>
      <c r="W51" s="29" t="s">
        <v>559</v>
      </c>
      <c r="X51" s="29" t="s">
        <v>456</v>
      </c>
      <c r="Y51" s="1" t="s">
        <v>457</v>
      </c>
      <c r="Z51" s="1" t="s">
        <v>91</v>
      </c>
      <c r="AA51" s="1" t="s">
        <v>575</v>
      </c>
    </row>
    <row r="52" customFormat="false" ht="21.75" hidden="false" customHeight="true" outlineLevel="0" collapsed="false">
      <c r="A52" s="31" t="s">
        <v>300</v>
      </c>
      <c r="B52" s="31" t="s">
        <v>581</v>
      </c>
      <c r="C52" s="31" t="s">
        <v>444</v>
      </c>
      <c r="D52" s="31" t="s">
        <v>445</v>
      </c>
      <c r="E52" s="31" t="s">
        <v>491</v>
      </c>
      <c r="F52" s="31" t="n">
        <v>2169</v>
      </c>
      <c r="G52" s="31" t="n">
        <v>0</v>
      </c>
      <c r="H52" s="32" t="n">
        <f aca="false">IF(AND(F52&lt;&gt;"",G52&lt;&gt;"",F52&lt;&gt;0),(G52-F52)/F52,"")</f>
        <v>-1</v>
      </c>
      <c r="I52" s="31" t="s">
        <v>499</v>
      </c>
      <c r="J52" s="31" t="s">
        <v>66</v>
      </c>
      <c r="K52" s="31" t="s">
        <v>562</v>
      </c>
      <c r="L52" s="31" t="s">
        <v>492</v>
      </c>
      <c r="M52" s="31" t="s">
        <v>582</v>
      </c>
      <c r="N52" s="31" t="s">
        <v>68</v>
      </c>
      <c r="O52" s="31" t="s">
        <v>583</v>
      </c>
      <c r="P52" s="31" t="s">
        <v>548</v>
      </c>
      <c r="Q52" s="31" t="s">
        <v>451</v>
      </c>
      <c r="R52" s="31" t="s">
        <v>451</v>
      </c>
      <c r="S52" s="31" t="s">
        <v>91</v>
      </c>
      <c r="T52" s="31" t="s">
        <v>495</v>
      </c>
      <c r="U52" s="31" t="s">
        <v>77</v>
      </c>
      <c r="V52" s="31" t="s">
        <v>584</v>
      </c>
      <c r="W52" s="31" t="s">
        <v>559</v>
      </c>
      <c r="X52" s="31" t="s">
        <v>456</v>
      </c>
      <c r="Y52" s="1" t="s">
        <v>457</v>
      </c>
      <c r="Z52" s="1" t="s">
        <v>91</v>
      </c>
      <c r="AA52" s="1" t="s">
        <v>575</v>
      </c>
    </row>
    <row r="53" customFormat="false" ht="21.75" hidden="false" customHeight="true" outlineLevel="0" collapsed="false">
      <c r="A53" s="29" t="s">
        <v>300</v>
      </c>
      <c r="B53" s="29" t="s">
        <v>585</v>
      </c>
      <c r="C53" s="29" t="s">
        <v>444</v>
      </c>
      <c r="D53" s="29" t="s">
        <v>445</v>
      </c>
      <c r="E53" s="29" t="s">
        <v>491</v>
      </c>
      <c r="F53" s="29"/>
      <c r="G53" s="29"/>
      <c r="H53" s="30" t="str">
        <f aca="false">IF(AND(F53&lt;&gt;"",G53&lt;&gt;"",F53&lt;&gt;0),(G53-F53)/F53,"")</f>
        <v/>
      </c>
      <c r="I53" s="29" t="s">
        <v>586</v>
      </c>
      <c r="J53" s="29" t="s">
        <v>66</v>
      </c>
      <c r="K53" s="29" t="s">
        <v>511</v>
      </c>
      <c r="L53" s="29" t="s">
        <v>587</v>
      </c>
      <c r="M53" s="29" t="s">
        <v>588</v>
      </c>
      <c r="N53" s="29" t="s">
        <v>66</v>
      </c>
      <c r="O53" s="29" t="s">
        <v>63</v>
      </c>
      <c r="P53" s="29" t="s">
        <v>63</v>
      </c>
      <c r="Q53" s="29" t="s">
        <v>451</v>
      </c>
      <c r="R53" s="29" t="s">
        <v>451</v>
      </c>
      <c r="S53" s="29" t="s">
        <v>91</v>
      </c>
      <c r="T53" s="29" t="s">
        <v>495</v>
      </c>
      <c r="U53" s="29" t="s">
        <v>77</v>
      </c>
      <c r="V53" s="29" t="s">
        <v>513</v>
      </c>
      <c r="W53" s="29" t="s">
        <v>559</v>
      </c>
      <c r="X53" s="29" t="s">
        <v>456</v>
      </c>
      <c r="Y53" s="1" t="s">
        <v>507</v>
      </c>
      <c r="Z53" s="1" t="s">
        <v>91</v>
      </c>
      <c r="AA53" s="1" t="s">
        <v>589</v>
      </c>
    </row>
    <row r="54" customFormat="false" ht="15" hidden="false" customHeight="true" outlineLevel="0" collapsed="false">
      <c r="A54" s="31" t="s">
        <v>300</v>
      </c>
      <c r="B54" s="31" t="s">
        <v>590</v>
      </c>
      <c r="C54" s="31" t="s">
        <v>444</v>
      </c>
      <c r="D54" s="31" t="s">
        <v>445</v>
      </c>
      <c r="E54" s="31" t="s">
        <v>528</v>
      </c>
      <c r="F54" s="31"/>
      <c r="G54" s="31"/>
      <c r="H54" s="32" t="str">
        <f aca="false">IF(AND(F54&lt;&gt;"",G54&lt;&gt;"",F54&lt;&gt;0),(G54-F54)/F54,"")</f>
        <v/>
      </c>
      <c r="I54" s="31" t="s">
        <v>447</v>
      </c>
      <c r="J54" s="31" t="s">
        <v>77</v>
      </c>
      <c r="K54" s="31" t="s">
        <v>448</v>
      </c>
      <c r="L54" s="31" t="s">
        <v>470</v>
      </c>
      <c r="M54" s="31" t="s">
        <v>63</v>
      </c>
      <c r="N54" s="31" t="s">
        <v>63</v>
      </c>
      <c r="O54" s="31" t="s">
        <v>63</v>
      </c>
      <c r="P54" s="31" t="s">
        <v>63</v>
      </c>
      <c r="Q54" s="31" t="s">
        <v>69</v>
      </c>
      <c r="R54" s="31" t="s">
        <v>263</v>
      </c>
      <c r="S54" s="31" t="s">
        <v>91</v>
      </c>
      <c r="T54" s="31" t="s">
        <v>529</v>
      </c>
      <c r="U54" s="31" t="s">
        <v>453</v>
      </c>
      <c r="V54" s="31" t="s">
        <v>462</v>
      </c>
      <c r="W54" s="31" t="s">
        <v>559</v>
      </c>
      <c r="X54" s="31" t="s">
        <v>456</v>
      </c>
      <c r="Y54" s="1" t="s">
        <v>457</v>
      </c>
      <c r="Z54" s="1" t="s">
        <v>91</v>
      </c>
      <c r="AA54" s="1" t="s">
        <v>591</v>
      </c>
    </row>
    <row r="55" customFormat="false" ht="15" hidden="false" customHeight="true" outlineLevel="0" collapsed="false">
      <c r="A55" s="29" t="s">
        <v>300</v>
      </c>
      <c r="B55" s="29" t="s">
        <v>592</v>
      </c>
      <c r="C55" s="29" t="s">
        <v>444</v>
      </c>
      <c r="D55" s="29" t="s">
        <v>445</v>
      </c>
      <c r="E55" s="29" t="s">
        <v>84</v>
      </c>
      <c r="F55" s="29"/>
      <c r="G55" s="29"/>
      <c r="H55" s="30" t="str">
        <f aca="false">IF(AND(F55&lt;&gt;"",G55&lt;&gt;"",F55&lt;&gt;0),(G55-F55)/F55,"")</f>
        <v/>
      </c>
      <c r="I55" s="29" t="s">
        <v>98</v>
      </c>
      <c r="J55" s="29" t="s">
        <v>66</v>
      </c>
      <c r="K55" s="29" t="s">
        <v>505</v>
      </c>
      <c r="L55" s="29" t="s">
        <v>84</v>
      </c>
      <c r="M55" s="29" t="s">
        <v>63</v>
      </c>
      <c r="N55" s="29" t="s">
        <v>63</v>
      </c>
      <c r="O55" s="29" t="s">
        <v>63</v>
      </c>
      <c r="P55" s="29" t="s">
        <v>63</v>
      </c>
      <c r="Q55" s="29" t="s">
        <v>451</v>
      </c>
      <c r="R55" s="29" t="s">
        <v>451</v>
      </c>
      <c r="S55" s="29" t="s">
        <v>91</v>
      </c>
      <c r="T55" s="29" t="s">
        <v>529</v>
      </c>
      <c r="U55" s="29" t="s">
        <v>453</v>
      </c>
      <c r="V55" s="29" t="s">
        <v>503</v>
      </c>
      <c r="W55" s="29" t="s">
        <v>559</v>
      </c>
      <c r="X55" s="29" t="s">
        <v>456</v>
      </c>
      <c r="Y55" s="1" t="s">
        <v>457</v>
      </c>
      <c r="Z55" s="1" t="s">
        <v>91</v>
      </c>
      <c r="AA55" s="1" t="s">
        <v>593</v>
      </c>
    </row>
  </sheetData>
  <mergeCells count="1">
    <mergeCell ref="A1:X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2026-07-11T19:13:41Z</dcterms:created>
  <dc:creator>openpyxl</dc:creator>
  <dc:description/>
  <dc:language>en-US</dc:language>
  <cp:lastModifiedBy/>
  <dcterms:modified xsi:type="dcterms:W3CDTF">2026-08-12T18:52:44Z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