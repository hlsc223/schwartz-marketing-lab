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dex" sheetId="1" state="visible" r:id="rId1"/>
    <sheet xmlns:r="http://schemas.openxmlformats.org/officeDocument/2006/relationships" name="Legend" sheetId="2" state="visible" r:id="rId2"/>
    <sheet xmlns:r="http://schemas.openxmlformats.org/officeDocument/2006/relationships" name="Trajectory Reference" sheetId="3" state="visible" r:id="rId3"/>
  </sheets>
  <definedNames>
    <definedName name="_xlnm._FilterDatabase" localSheetId="0" hidden="1">'Index'!$A$2:$AM$2</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yyyy\-mm"/>
    <numFmt numFmtId="165" formatCode="0.0%"/>
    <numFmt numFmtId="166" formatCode="yyyy\-mm\-dd\ h:mm:ss"/>
  </numFmts>
  <fonts count="10">
    <font>
      <name val="Calibri"/>
      <charset val="1"/>
      <family val="2"/>
      <color theme="1"/>
      <sz val="11"/>
    </font>
    <font>
      <name val="Arial"/>
      <family val="0"/>
      <sz val="10"/>
    </font>
    <font>
      <name val="Arial"/>
      <family val="0"/>
      <sz val="10"/>
    </font>
    <font>
      <name val="Arial"/>
      <family val="0"/>
      <sz val="10"/>
    </font>
    <font>
      <name val="Arial"/>
      <charset val="1"/>
      <family val="0"/>
      <i val="1"/>
      <color rgb="FF333333"/>
      <sz val="10"/>
    </font>
    <font>
      <name val="Arial"/>
      <charset val="1"/>
      <family val="0"/>
      <b val="1"/>
      <color rgb="FFFFFFFF"/>
      <sz val="10"/>
    </font>
    <font>
      <name val="Arial"/>
      <charset val="1"/>
      <family val="0"/>
      <i val="1"/>
      <color rgb="FF555555"/>
      <sz val="10"/>
    </font>
    <font>
      <name val="Arial"/>
      <charset val="1"/>
      <family val="0"/>
      <sz val="10"/>
    </font>
    <font>
      <name val="Arial"/>
      <charset val="1"/>
      <family val="0"/>
      <b val="1"/>
      <color rgb="FF162040"/>
      <sz val="13"/>
    </font>
    <font>
      <name val="Arial"/>
      <charset val="1"/>
      <family val="0"/>
      <b val="1"/>
      <sz val="10"/>
    </font>
  </fonts>
  <fills count="7">
    <fill>
      <patternFill/>
    </fill>
    <fill>
      <patternFill patternType="gray125"/>
    </fill>
    <fill>
      <patternFill patternType="solid">
        <fgColor rgb="FFF0F4FF"/>
        <bgColor rgb="FFF5F5F5"/>
      </patternFill>
    </fill>
    <fill>
      <patternFill patternType="solid">
        <fgColor rgb="FF162040"/>
        <bgColor rgb="FF333333"/>
      </patternFill>
    </fill>
    <fill>
      <patternFill patternType="solid">
        <fgColor rgb="FFFFF9E6"/>
        <bgColor rgb="FFF5F5F5"/>
      </patternFill>
    </fill>
    <fill>
      <patternFill patternType="solid">
        <fgColor rgb="FFFFFFFF"/>
        <bgColor rgb="FFFFF9E6"/>
      </patternFill>
    </fill>
    <fill>
      <patternFill patternType="solid">
        <fgColor rgb="FFF5F5F5"/>
        <bgColor rgb="FFF0F4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wrapText="1"/>
    </xf>
    <xf numFmtId="0" fontId="5" fillId="3" borderId="0" applyAlignment="1" pivotButton="0" quotePrefix="0" xfId="0">
      <alignment horizontal="center" vertical="center" wrapText="1"/>
    </xf>
    <xf numFmtId="0" fontId="6" fillId="4" borderId="0" applyAlignment="1" pivotButton="0" quotePrefix="0" xfId="0">
      <alignment horizontal="general" vertical="center" wrapText="1"/>
    </xf>
    <xf numFmtId="164" fontId="6" fillId="4" borderId="0" applyAlignment="1" pivotButton="0" quotePrefix="0" xfId="0">
      <alignment horizontal="general" vertical="center" wrapText="1"/>
    </xf>
    <xf numFmtId="165" fontId="6" fillId="4" borderId="0" applyAlignment="1" pivotButton="0" quotePrefix="0" xfId="0">
      <alignment horizontal="general" vertical="center" wrapText="1"/>
    </xf>
    <xf numFmtId="0" fontId="6" fillId="5" borderId="0" applyAlignment="1" pivotButton="0" quotePrefix="0" xfId="0">
      <alignment horizontal="general" vertical="center" wrapText="1"/>
    </xf>
    <xf numFmtId="164" fontId="7" fillId="5" borderId="0" applyAlignment="1" pivotButton="0" quotePrefix="0" xfId="0">
      <alignment horizontal="general" vertical="center" wrapText="1"/>
    </xf>
    <xf numFmtId="0" fontId="7" fillId="6" borderId="0" applyAlignment="1" pivotButton="0" quotePrefix="0" xfId="0">
      <alignment horizontal="general" vertical="center" wrapText="1"/>
    </xf>
    <xf numFmtId="165" fontId="7" fillId="5" borderId="0" applyAlignment="1" pivotButton="0" quotePrefix="0" xfId="0">
      <alignment horizontal="general" vertical="center" wrapText="1"/>
    </xf>
    <xf numFmtId="165" fontId="6" fillId="5" borderId="0" applyAlignment="1" pivotButton="0" quotePrefix="0" xfId="0">
      <alignment horizontal="general" vertical="center" wrapText="1"/>
    </xf>
    <xf numFmtId="0" fontId="6" fillId="0" borderId="0" applyAlignment="1" pivotButton="0" quotePrefix="0" xfId="0">
      <alignment horizontal="general" vertical="center" wrapText="1"/>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166" fontId="0" fillId="0" borderId="0" applyAlignment="1" pivotButton="0" quotePrefix="0" xfId="0">
      <alignment horizontal="general" vertical="bottom"/>
    </xf>
    <xf numFmtId="0" fontId="8" fillId="0" borderId="0" applyAlignment="1" pivotButton="0" quotePrefix="0" xfId="0">
      <alignment horizontal="general" vertical="bottom"/>
    </xf>
    <xf numFmtId="0" fontId="5" fillId="3" borderId="0" applyAlignment="1" pivotButton="0" quotePrefix="0" xfId="0">
      <alignment horizontal="general" vertical="top"/>
    </xf>
    <xf numFmtId="0" fontId="5" fillId="3" borderId="0" applyAlignment="1" pivotButton="0" quotePrefix="0" xfId="0">
      <alignment horizontal="general" vertical="top" wrapText="1"/>
    </xf>
    <xf numFmtId="0" fontId="9" fillId="0" borderId="0" applyAlignment="1" pivotButton="0" quotePrefix="0" xfId="0">
      <alignment horizontal="general" vertical="top"/>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wrapText="1"/>
    </xf>
    <xf numFmtId="0" fontId="5" fillId="3" borderId="0" applyAlignment="1" pivotButton="0" quotePrefix="0" xfId="0">
      <alignment horizontal="center" vertical="center" wrapText="1"/>
    </xf>
    <xf numFmtId="0" fontId="6" fillId="4" borderId="0" applyAlignment="1" pivotButton="0" quotePrefix="0" xfId="0">
      <alignment horizontal="general" vertical="center" wrapText="1"/>
    </xf>
    <xf numFmtId="164" fontId="6" fillId="4" borderId="0" applyAlignment="1" pivotButton="0" quotePrefix="0" xfId="0">
      <alignment horizontal="general" vertical="center" wrapText="1"/>
    </xf>
    <xf numFmtId="165" fontId="6" fillId="4" borderId="0" applyAlignment="1" pivotButton="0" quotePrefix="0" xfId="0">
      <alignment horizontal="general" vertical="center" wrapText="1"/>
    </xf>
    <xf numFmtId="0" fontId="6" fillId="5" borderId="0" applyAlignment="1" pivotButton="0" quotePrefix="0" xfId="0">
      <alignment horizontal="general" vertical="center" wrapText="1"/>
    </xf>
    <xf numFmtId="164" fontId="7" fillId="5" borderId="0" applyAlignment="1" pivotButton="0" quotePrefix="0" xfId="0">
      <alignment horizontal="general" vertical="center" wrapText="1"/>
    </xf>
    <xf numFmtId="0" fontId="7" fillId="6" borderId="0" applyAlignment="1" pivotButton="0" quotePrefix="0" xfId="0">
      <alignment horizontal="general" vertical="center" wrapText="1"/>
    </xf>
    <xf numFmtId="165" fontId="7" fillId="5" borderId="0" applyAlignment="1" pivotButton="0" quotePrefix="0" xfId="0">
      <alignment horizontal="general" vertical="center" wrapText="1"/>
    </xf>
    <xf numFmtId="165" fontId="6" fillId="5" borderId="0" applyAlignment="1" pivotButton="0" quotePrefix="0" xfId="0">
      <alignment horizontal="general" vertical="center" wrapText="1"/>
    </xf>
    <xf numFmtId="0" fontId="6" fillId="0" borderId="0" applyAlignment="1" pivotButton="0" quotePrefix="0" xfId="0">
      <alignment horizontal="general" vertical="center" wrapText="1"/>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166" fontId="0" fillId="0" borderId="0" applyAlignment="1" pivotButton="0" quotePrefix="0" xfId="0">
      <alignment horizontal="general" vertical="bottom"/>
    </xf>
    <xf numFmtId="166" fontId="0" fillId="0" borderId="0" pivotButton="0" quotePrefix="0" xfId="0"/>
    <xf numFmtId="165" fontId="0" fillId="0" borderId="0" pivotButton="0" quotePrefix="0" xfId="0"/>
    <xf numFmtId="0" fontId="8" fillId="0" borderId="0" applyAlignment="1" pivotButton="0" quotePrefix="0" xfId="0">
      <alignment horizontal="general" vertical="bottom"/>
    </xf>
    <xf numFmtId="0" fontId="5" fillId="3" borderId="0" applyAlignment="1" pivotButton="0" quotePrefix="0" xfId="0">
      <alignment horizontal="general" vertical="top"/>
    </xf>
    <xf numFmtId="0" fontId="5" fillId="3" borderId="0" applyAlignment="1" pivotButton="0" quotePrefix="0" xfId="0">
      <alignment horizontal="general" vertical="top" wrapText="1"/>
    </xf>
    <xf numFmtId="0" fontId="9" fillId="0" borderId="0" applyAlignment="1" pivotButton="0" quotePrefix="0" xfId="0">
      <alignment horizontal="general" vertical="top"/>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patternType="solid">
          <fgColor rgb="FF162040"/>
          <bgColor rgb="FF000000"/>
        </patternFill>
      </fill>
    </dxf>
    <dxf>
      <fill>
        <patternFill patternType="solid">
          <fgColor rgb="FFF0F4F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E6"/>
      <rgbColor rgb="FFF0F4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62040"/>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Q20"/>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8" customWidth="1" style="21" min="1" max="1"/>
    <col width="22" customWidth="1" style="21" min="2" max="3"/>
    <col width="20" customWidth="1" style="21" min="4" max="4"/>
    <col width="24" customWidth="1" style="21" min="5" max="5"/>
    <col width="14" customWidth="1" style="21" min="6" max="6"/>
    <col width="16" customWidth="1" style="21" min="7" max="8"/>
    <col width="18" customWidth="1" style="21" min="9" max="9"/>
    <col width="14" customWidth="1" style="21" min="10" max="10"/>
    <col width="16" customWidth="1" style="21" min="11" max="12"/>
    <col width="18" customWidth="1" style="21" min="13" max="13"/>
    <col width="24" customWidth="1" style="21" min="14" max="14"/>
    <col width="22" customWidth="1" style="21" min="15" max="15"/>
    <col width="15" customWidth="1" style="21" min="16" max="16"/>
    <col width="20" customWidth="1" style="21" min="17" max="17"/>
    <col width="12" customWidth="1" style="21" min="18" max="18"/>
    <col width="24" customWidth="1" style="21" min="19" max="19"/>
    <col width="16" customWidth="1" style="21" min="20" max="20"/>
    <col width="20" customWidth="1" style="21" min="21" max="21"/>
    <col width="22" customWidth="1" style="21" min="22" max="22"/>
    <col width="24" customWidth="1" style="21" min="23" max="23"/>
    <col width="18" customWidth="1" style="21" min="24" max="25"/>
    <col width="20" customWidth="1" style="21" min="26" max="28"/>
    <col width="28" customWidth="1" style="21" min="29" max="29"/>
    <col width="20" customWidth="1" style="21" min="30" max="31"/>
    <col width="18" customWidth="1" style="21" min="32" max="32"/>
    <col width="22" customWidth="1" style="21" min="33" max="34"/>
    <col width="18" customWidth="1" style="21" min="35" max="35"/>
    <col width="28" customWidth="1" style="21" min="36" max="36"/>
    <col width="30" customWidth="1" style="21" min="37" max="37"/>
    <col width="40" customWidth="1" style="21" min="38" max="38"/>
    <col width="36" customWidth="1" style="21" min="39" max="39"/>
    <col width="28" customWidth="1" style="21" min="40" max="40"/>
  </cols>
  <sheetData>
    <row r="1" ht="43.5" customHeight="1" s="22">
      <c r="A1" s="23" t="inlineStr">
        <is>
          <t>HOW TO USE: Filter by Outcome, Primary Mechanism, Traffic Trajectory, AIO Portfolio Susceptibility, Dominant Content Model, Commercial Alignment, or AI Discoverability columns to find comps. Open Record File for full narrative and Calculation Log. Yellow = example row (delete before sharing with clients). Gray = formula-derived — do not edit manually. Source of truth: the markdown record. Correct the index from the record when they disagree.</t>
        </is>
      </c>
    </row>
    <row r="2" ht="43.5" customHeight="1" s="22">
      <c r="A2" s="24" t="inlineStr">
        <is>
          <t>Company</t>
        </is>
      </c>
      <c r="B2" s="24" t="inlineStr">
        <is>
          <t>Website</t>
        </is>
      </c>
      <c r="C2" s="24" t="inlineStr">
        <is>
          <t>Category</t>
        </is>
      </c>
      <c r="D2" s="24" t="inlineStr">
        <is>
          <t>Business Model</t>
        </is>
      </c>
      <c r="E2" s="24" t="inlineStr">
        <is>
          <t>Dominant Content Model</t>
        </is>
      </c>
      <c r="F2" s="24" t="inlineStr">
        <is>
          <t>Company Size</t>
        </is>
      </c>
      <c r="G2" s="24" t="inlineStr">
        <is>
          <t>Study Window Start</t>
        </is>
      </c>
      <c r="H2" s="24" t="inlineStr">
        <is>
          <t>Study Window End</t>
        </is>
      </c>
      <c r="I2" s="24" t="inlineStr">
        <is>
          <t>Study Duration (Months)</t>
        </is>
      </c>
      <c r="J2" s="24" t="inlineStr">
        <is>
          <t>Analysis Date</t>
        </is>
      </c>
      <c r="K2" s="24" t="inlineStr">
        <is>
          <t>Last Verified Date</t>
        </is>
      </c>
      <c r="L2" s="24" t="inlineStr">
        <is>
          <t>Methodology Version</t>
        </is>
      </c>
      <c r="M2" s="24" t="inlineStr">
        <is>
          <t>Record Status</t>
        </is>
      </c>
      <c r="N2" s="24" t="inlineStr">
        <is>
          <t>Migration Validation Stage</t>
        </is>
      </c>
      <c r="O2" s="24" t="inlineStr">
        <is>
          <t>External Use Status</t>
        </is>
      </c>
      <c r="P2" s="24" t="inlineStr">
        <is>
          <t>Traffic Change %</t>
        </is>
      </c>
      <c r="Q2" s="24" t="inlineStr">
        <is>
          <t>Decline/Growth Band</t>
        </is>
      </c>
      <c r="R2" s="24" t="inlineStr">
        <is>
          <t>Outcome</t>
        </is>
      </c>
      <c r="S2" s="24" t="inlineStr">
        <is>
          <t>Traffic Trajectory</t>
        </is>
      </c>
      <c r="T2" s="24" t="inlineStr">
        <is>
          <t>Current Direction</t>
        </is>
      </c>
      <c r="U2" s="24" t="inlineStr">
        <is>
          <t>Recovery Status</t>
        </is>
      </c>
      <c r="V2" s="24" t="inlineStr">
        <is>
          <t>Primary Mechanism</t>
        </is>
      </c>
      <c r="W2" s="24" t="inlineStr">
        <is>
          <t>Contributing Mechanisms</t>
        </is>
      </c>
      <c r="X2" s="24" t="inlineStr">
        <is>
          <t>Mechanism Confidence</t>
        </is>
      </c>
      <c r="Y2" s="24" t="inlineStr">
        <is>
          <t>Algorithm Alignment</t>
        </is>
      </c>
      <c r="Z2" s="24" t="inlineStr">
        <is>
          <t>AIO Portfolio Susceptibility</t>
        </is>
      </c>
      <c r="AA2" s="24" t="inlineStr">
        <is>
          <t>AIO Presence Observed</t>
        </is>
      </c>
      <c r="AB2" s="24" t="inlineStr">
        <is>
          <t>AIO Observed Effect</t>
        </is>
      </c>
      <c r="AC2" s="24" t="inlineStr">
        <is>
          <t>Gross-Loss Offset Rate</t>
        </is>
      </c>
      <c r="AD2" s="24" t="inlineStr">
        <is>
          <t>Top 5 Traffic Share</t>
        </is>
      </c>
      <c r="AE2" s="24" t="inlineStr">
        <is>
          <t>Risk Flags</t>
        </is>
      </c>
      <c r="AF2" s="24" t="inlineStr">
        <is>
          <t>AI Discoverability Measured</t>
        </is>
      </c>
      <c r="AG2" s="24" t="inlineStr">
        <is>
          <t>AI Discoverability Trend</t>
        </is>
      </c>
      <c r="AH2" s="24" t="inlineStr">
        <is>
          <t>AI Visibility Strength</t>
        </is>
      </c>
      <c r="AI2" s="24" t="inlineStr">
        <is>
          <t>AI Data Source</t>
        </is>
      </c>
      <c r="AJ2" s="24" t="inlineStr">
        <is>
          <t>Data Provenance</t>
        </is>
      </c>
      <c r="AK2" s="24" t="inlineStr">
        <is>
          <t>Calculation Verified</t>
        </is>
      </c>
      <c r="AL2" s="24" t="inlineStr">
        <is>
          <t>Record File</t>
        </is>
      </c>
      <c r="AM2" s="24" t="inlineStr">
        <is>
          <t>Related Documents</t>
        </is>
      </c>
      <c r="AN2" s="24" t="inlineStr">
        <is>
          <t>Commercial Alignment</t>
        </is>
      </c>
      <c r="AO2" s="24" t="inlineStr">
        <is>
          <t>Comp Summary</t>
        </is>
      </c>
      <c r="AP2" s="24" t="inlineStr">
        <is>
          <t>Comparison Limitations</t>
        </is>
      </c>
      <c r="AQ2" s="24" t="inlineStr">
        <is>
          <t>Measurement Reliability</t>
        </is>
      </c>
    </row>
    <row r="3" ht="31.5" customHeight="1" s="22">
      <c r="A3" s="25" t="inlineStr">
        <is>
          <t>GitHub</t>
        </is>
      </c>
      <c r="B3" s="25" t="inlineStr">
        <is>
          <t>github.com</t>
        </is>
      </c>
      <c r="C3" s="25" t="inlineStr">
        <is>
          <t>Developer Tools</t>
        </is>
      </c>
      <c r="D3" s="25" t="inlineStr">
        <is>
          <t>Developer Ecosystem</t>
        </is>
      </c>
      <c r="E3" s="25" t="inlineStr">
        <is>
          <t>Programmatic</t>
        </is>
      </c>
      <c r="F3" s="25" t="inlineStr">
        <is>
          <t>Enterprise</t>
        </is>
      </c>
      <c r="G3" s="26" t="n">
        <v>45658</v>
      </c>
      <c r="H3" s="26" t="n">
        <v>46174</v>
      </c>
      <c r="I3" s="25">
        <f>IF(AND(G3&lt;&gt;"",H3&lt;&gt;""),(YEAR(H3)-YEAR(G3))*12+(MONTH(H3)-MONTH(G3)),"")</f>
        <v/>
      </c>
      <c r="J3" s="26" t="n">
        <v>46202</v>
      </c>
      <c r="K3" s="26" t="n"/>
      <c r="L3" s="25" t="inlineStr">
        <is>
          <t>V2.3</t>
        </is>
      </c>
      <c r="M3" s="25" t="inlineStr">
        <is>
          <t>Draft</t>
        </is>
      </c>
      <c r="N3" s="25" t="inlineStr">
        <is>
          <t>Migrated — not revalidated</t>
        </is>
      </c>
      <c r="O3" s="25" t="inlineStr">
        <is>
          <t>Internal only</t>
        </is>
      </c>
      <c r="P3" s="27" t="n">
        <v>-0.72</v>
      </c>
      <c r="Q3" s="25">
        <f>IF(P3="","",IF(P3&gt;0.5,"Growth &gt;50%",IF(P3&gt;0.1,"Growth 10-50%",IF(P3&gt;=-0.1,"Flat",IF(P3&gt;=-0.25,"Decline 10-25%",IF(P3&gt;=-0.5,"Decline 25-50%",IF(P3&gt;=-0.75,"Decline 50-75%","Decline &gt;75%")))))))</f>
        <v/>
      </c>
      <c r="R3" s="25" t="inlineStr">
        <is>
          <t>Declined</t>
        </is>
      </c>
      <c r="S3" s="25" t="inlineStr">
        <is>
          <t>Early Peak then Decline</t>
        </is>
      </c>
      <c r="T3" s="25" t="inlineStr">
        <is>
          <t>Declining</t>
        </is>
      </c>
      <c r="U3" s="25" t="inlineStr">
        <is>
          <t>None</t>
        </is>
      </c>
      <c r="V3" s="25" t="inlineStr">
        <is>
          <t>AI-mediated informational demand erosion</t>
        </is>
      </c>
      <c r="W3" s="25" t="inlineStr">
        <is>
          <t>Search Demand Shift</t>
        </is>
      </c>
      <c r="X3" s="25" t="inlineStr">
        <is>
          <t>Medium</t>
        </is>
      </c>
      <c r="Y3" s="25" t="inlineStr">
        <is>
          <t>Weak</t>
        </is>
      </c>
      <c r="Z3" s="25" t="inlineStr">
        <is>
          <t>High</t>
        </is>
      </c>
      <c r="AA3" s="21" t="inlineStr">
        <is>
          <t>Not tested</t>
        </is>
      </c>
      <c r="AB3" s="21" t="inlineStr">
        <is>
          <t>No conclusion</t>
        </is>
      </c>
      <c r="AC3" s="27" t="n"/>
      <c r="AD3" s="27" t="n"/>
      <c r="AE3" s="25" t="inlineStr">
        <is>
          <t>Export window mismatch (Top Pages Jun 2024-Jun 2026, not study window); Referring Domains unusable at this scale; ~75% of top traffic from third-party repos; business-metric decoupling (platform at all-time high while traffic -72%)</t>
        </is>
      </c>
      <c r="AF3" s="25" t="inlineStr">
        <is>
          <t>No</t>
        </is>
      </c>
      <c r="AG3" s="25" t="inlineStr">
        <is>
          <t>Unknown</t>
        </is>
      </c>
      <c r="AH3" s="25" t="inlineStr">
        <is>
          <t>Unknown</t>
        </is>
      </c>
      <c r="AI3" s="25" t="n"/>
      <c r="AJ3" s="25" t="inlineStr">
        <is>
          <t>Ahrefs Export</t>
        </is>
      </c>
      <c r="AK3" s="25" t="inlineStr">
        <is>
          <t>Partial</t>
        </is>
      </c>
      <c r="AL3" s="25" t="inlineStr">
        <is>
          <t>company-records/github.md</t>
        </is>
      </c>
      <c r="AM3" s="25" t="inlineStr">
        <is>
          <t>comparison-briefs/github-circleci-harness-cloudbees.md</t>
        </is>
      </c>
      <c r="AN3" s="21" t="inlineStr">
        <is>
          <t>Low</t>
        </is>
      </c>
      <c r="AO3" s="25" t="inlineStr">
        <is>
          <t>-72.0% decline while platform usage at all-time high (1B commits/2025); traffic-value divergence (-72.0% traffic vs -43.6% TV) consistent with AI-mediated demand erosion but mechanism not isolated (AIO interception vs. upstream demand shift); ~75% of top traffic from third-party repos; limited owned-content recovery levers given third-party repo dominance</t>
        </is>
      </c>
      <c r="AP3" s="25" t="inlineStr">
        <is>
          <t>Scale unique to major DevOps platforms; third-party repo content not owned or controllable; Referring Domains unavailable; cannot be benchmarked for standard B2B SaaS content programs</t>
        </is>
      </c>
      <c r="AQ3" s="25" t="inlineStr">
        <is>
          <t>Medium</t>
        </is>
      </c>
    </row>
    <row r="4" ht="24" customHeight="1" s="22">
      <c r="A4" s="28" t="inlineStr">
        <is>
          <t>Gainsight</t>
        </is>
      </c>
      <c r="B4" s="28" t="inlineStr">
        <is>
          <t>gainsight.com</t>
        </is>
      </c>
      <c r="C4" s="28" t="inlineStr">
        <is>
          <t>Customer Success</t>
        </is>
      </c>
      <c r="D4" s="28" t="inlineStr">
        <is>
          <t>B2B SaaS</t>
        </is>
      </c>
      <c r="E4" s="28" t="inlineStr">
        <is>
          <t>Mixed</t>
        </is>
      </c>
      <c r="F4" s="28" t="inlineStr">
        <is>
          <t>Enterprise</t>
        </is>
      </c>
      <c r="G4" s="29" t="n">
        <v>45658</v>
      </c>
      <c r="H4" s="29" t="n">
        <v>46174</v>
      </c>
      <c r="I4" s="30">
        <f>IF(AND(G4&lt;&gt;"",H4&lt;&gt;""),(YEAR(H4)-YEAR(G4))*12+(MONTH(H4)-MONTH(G4)),"")</f>
        <v/>
      </c>
      <c r="J4" s="29" t="n">
        <v>46202</v>
      </c>
      <c r="K4" s="29" t="n"/>
      <c r="L4" s="28" t="inlineStr">
        <is>
          <t>V2.3</t>
        </is>
      </c>
      <c r="M4" s="28" t="inlineStr">
        <is>
          <t>Draft</t>
        </is>
      </c>
      <c r="N4" s="28" t="inlineStr">
        <is>
          <t>Migrated — not revalidated</t>
        </is>
      </c>
      <c r="O4" s="28" t="inlineStr">
        <is>
          <t>Internal only</t>
        </is>
      </c>
      <c r="P4" s="31" t="n">
        <v>2.531</v>
      </c>
      <c r="Q4" s="30">
        <f>IF(P4="","",IF(P4&gt;0.5,"Growth &gt;50%",IF(P4&gt;0.1,"Growth 10-50%",IF(P4&gt;=-0.1,"Flat",IF(P4&gt;=-0.25,"Decline 10-25%",IF(P4&gt;=-0.5,"Decline 25-50%",IF(P4&gt;=-0.75,"Decline 50-75%","Decline &gt;75%")))))))</f>
        <v/>
      </c>
      <c r="R4" s="28" t="inlineStr">
        <is>
          <t>Grew</t>
        </is>
      </c>
      <c r="S4" s="28" t="inlineStr">
        <is>
          <t>Continuous Acceleration</t>
        </is>
      </c>
      <c r="T4" s="28" t="inlineStr">
        <is>
          <t>Growing</t>
        </is>
      </c>
      <c r="U4" s="28" t="inlineStr">
        <is>
          <t>Not applicable — grew throughout</t>
        </is>
      </c>
      <c r="V4" s="28" t="inlineStr">
        <is>
          <t>Demand Expansion</t>
        </is>
      </c>
      <c r="W4" s="28" t="n"/>
      <c r="X4" s="28" t="inlineStr">
        <is>
          <t>Medium</t>
        </is>
      </c>
      <c r="Y4" s="28" t="inlineStr">
        <is>
          <t>Weak</t>
        </is>
      </c>
      <c r="Z4" s="28" t="inlineStr">
        <is>
          <t>Medium</t>
        </is>
      </c>
      <c r="AA4" s="21" t="inlineStr">
        <is>
          <t>Not tested</t>
        </is>
      </c>
      <c r="AB4" s="21" t="inlineStr">
        <is>
          <t>Not tested</t>
        </is>
      </c>
      <c r="AC4" s="31" t="n"/>
      <c r="AD4" s="32" t="n"/>
      <c r="AE4" s="28" t="inlineStr">
        <is>
          <t>Brand-keyword anomaly (Brazil ~600x, headline +253.1% not defensible); keyword sample cap; no AI spot-check; education.gainsight.com partial reconciliation</t>
        </is>
      </c>
      <c r="AF4" s="28" t="inlineStr">
        <is>
          <t>No</t>
        </is>
      </c>
      <c r="AG4" s="28" t="inlineStr">
        <is>
          <t>Unknown</t>
        </is>
      </c>
      <c r="AH4" s="28" t="inlineStr">
        <is>
          <t>Unknown</t>
        </is>
      </c>
      <c r="AI4" s="28" t="n"/>
      <c r="AJ4" s="28" t="inlineStr">
        <is>
          <t>Ahrefs Export</t>
        </is>
      </c>
      <c r="AK4" s="28" t="inlineStr">
        <is>
          <t>No</t>
        </is>
      </c>
      <c r="AL4" s="28" t="inlineStr">
        <is>
          <t>company-records/gainsight.md</t>
        </is>
      </c>
      <c r="AM4" s="28" t="inlineStr">
        <is>
          <t>None</t>
        </is>
      </c>
      <c r="AN4" s="21" t="inlineStr">
        <is>
          <t>High</t>
        </is>
      </c>
      <c r="AO4" s="28" t="inlineStr">
        <is>
          <t>Acquisition-driven growth case: Skilljar integration page launched day after acquisition closed (2,303 referring domains), with direct keyword-level evidence of demand transfer; broad-based non-brand traffic +174.5%. Headline +253.1% has unresolved geographic anomaly — use defensible figure.</t>
        </is>
      </c>
      <c r="AP4" s="28" t="inlineStr">
        <is>
          <t>Less comparable for companies without a recent acquisition; headline traffic figure should not be cited externally without flagging the brand-keyword anomaly</t>
        </is>
      </c>
      <c r="AQ4" s="28" t="inlineStr">
        <is>
          <t>Medium</t>
        </is>
      </c>
    </row>
    <row r="5" ht="90.75" customHeight="1" s="22">
      <c r="A5" s="33" t="inlineStr">
        <is>
          <t>Aha!</t>
        </is>
      </c>
      <c r="B5" s="33" t="inlineStr">
        <is>
          <t>aha.io</t>
        </is>
      </c>
      <c r="C5" s="33" t="inlineStr">
        <is>
          <t>Product Analytics</t>
        </is>
      </c>
      <c r="D5" s="33" t="inlineStr">
        <is>
          <t>B2B SaaS</t>
        </is>
      </c>
      <c r="E5" s="33" t="inlineStr">
        <is>
          <t>Editorial-blog-led</t>
        </is>
      </c>
      <c r="F5" s="33" t="inlineStr">
        <is>
          <t>Mid-Market</t>
        </is>
      </c>
      <c r="G5" s="34" t="n">
        <v>45658</v>
      </c>
      <c r="H5" s="34" t="n">
        <v>46174</v>
      </c>
      <c r="I5" s="21">
        <f>IF(AND(G5&lt;&gt;"",H5&lt;&gt;""),(YEAR(H5)-YEAR(G5))*12+(MONTH(H5)-MONTH(G5)),"")</f>
        <v/>
      </c>
      <c r="J5" s="34" t="n">
        <v>46203</v>
      </c>
      <c r="K5" s="34" t="n"/>
      <c r="L5" s="33" t="inlineStr">
        <is>
          <t>V2.3</t>
        </is>
      </c>
      <c r="M5" s="33" t="inlineStr">
        <is>
          <t>Draft</t>
        </is>
      </c>
      <c r="N5" s="33" t="inlineStr">
        <is>
          <t>Migrated — not revalidated</t>
        </is>
      </c>
      <c r="O5" s="33" t="inlineStr">
        <is>
          <t>Internal only</t>
        </is>
      </c>
      <c r="P5" s="35" t="n">
        <v>-0.424</v>
      </c>
      <c r="Q5" s="21">
        <f>IF(P5="","",IF(P5&gt;0.5,"Growth &gt;50%",IF(P5&gt;0.1,"Growth 10-50%",IF(P5&gt;=-0.1,"Flat",IF(P5&gt;=-0.25,"Decline 10-25%",IF(P5&gt;=-0.5,"Decline 25-50%",IF(P5&gt;=-0.75,"Decline 50-75%","Decline &gt;75%")))))))</f>
        <v/>
      </c>
      <c r="R5" s="33" t="inlineStr">
        <is>
          <t>Declined</t>
        </is>
      </c>
      <c r="S5" s="33" t="inlineStr">
        <is>
          <t>Steady Decline</t>
        </is>
      </c>
      <c r="T5" s="33" t="inlineStr">
        <is>
          <t>Declining</t>
        </is>
      </c>
      <c r="U5" s="33" t="inlineStr">
        <is>
          <t>None</t>
        </is>
      </c>
      <c r="V5" s="33" t="inlineStr">
        <is>
          <t>AI Overview</t>
        </is>
      </c>
      <c r="W5" s="33" t="inlineStr">
        <is>
          <t>Search Demand Shift, Competition</t>
        </is>
      </c>
      <c r="X5" s="33" t="inlineStr">
        <is>
          <t>Medium</t>
        </is>
      </c>
      <c r="Y5" s="33" t="inlineStr">
        <is>
          <t>Moderate</t>
        </is>
      </c>
      <c r="Z5" s="33" t="inlineStr">
        <is>
          <t>High</t>
        </is>
      </c>
      <c r="AA5" s="21" t="inlineStr">
        <is>
          <t>Yes</t>
        </is>
      </c>
      <c r="AB5" s="21" t="inlineStr">
        <is>
          <t>Intercepted</t>
        </is>
      </c>
      <c r="AC5" s="35" t="n">
        <v>2.866</v>
      </c>
      <c r="AD5" s="33" t="n"/>
      <c r="AE5" s="33" t="inlineStr">
        <is>
          <t>Brand-naming vulnerability (aha disambiguation); template format structural exposure (154 pages, -60.3%); starting/ending traffic estimates unavailable; TV and RD unavailable; keyword export cap hit; branded decline faster than non-branded</t>
        </is>
      </c>
      <c r="AF5" s="33" t="inlineStr">
        <is>
          <t>No</t>
        </is>
      </c>
      <c r="AG5" s="33" t="inlineStr">
        <is>
          <t>Unknown</t>
        </is>
      </c>
      <c r="AH5" s="33" t="inlineStr">
        <is>
          <t>Unknown</t>
        </is>
      </c>
      <c r="AI5" s="33" t="n"/>
      <c r="AJ5" s="33" t="inlineStr">
        <is>
          <t>Ahrefs Export</t>
        </is>
      </c>
      <c r="AK5" s="33" t="inlineStr">
        <is>
          <t>No</t>
        </is>
      </c>
      <c r="AL5" s="33" t="inlineStr">
        <is>
          <t>company-records/aha.md</t>
        </is>
      </c>
      <c r="AM5" s="33" t="inlineStr">
        <is>
          <t>None</t>
        </is>
      </c>
      <c r="AN5" s="21" t="inlineStr">
        <is>
          <t>Mixed</t>
        </is>
      </c>
      <c r="AO5" s="33" t="inlineStr">
        <is>
          <t>AIO click interception evidence: same-position 80–99% estimated traffic drops on role/list/template queries (3 cases where estimated position improved while estimated traffic dropped 79–93%) — strongly consistent with AIO click-through interception; GSC click data would confirm. Gross-Loss Offset Rate 286.6% — Extreme zone; highest in V1.7 cohort among records with computed Top Pages rates. Definitional content held −13.9% vs −42.4% overall. Template format structurally vulnerable. TV/RD and starting/ending traffic estimates unavailable.</t>
        </is>
      </c>
      <c r="AP5" s="33" t="inlineStr">
        <is>
          <t>Bootstrapped funding structure not representative; brand-naming vulnerability unique to aha as common English word; template-heavy content library larger than most mid-market clients; TV/RD figures and starting/ending traffic estimates unavailable in source</t>
        </is>
      </c>
      <c r="AQ5" s="33" t="inlineStr">
        <is>
          <t>Medium</t>
        </is>
      </c>
    </row>
    <row r="6" ht="15" customHeight="1" s="22">
      <c r="A6" s="21" t="inlineStr">
        <is>
          <t>CircleCI</t>
        </is>
      </c>
      <c r="B6" s="21" t="inlineStr">
        <is>
          <t>circleci.com</t>
        </is>
      </c>
      <c r="C6" s="21" t="inlineStr">
        <is>
          <t>Developer Tools</t>
        </is>
      </c>
      <c r="D6" s="21" t="inlineStr">
        <is>
          <t>B2B SaaS</t>
        </is>
      </c>
      <c r="E6" s="21" t="inlineStr">
        <is>
          <t>Editorial-blog-led</t>
        </is>
      </c>
      <c r="F6" s="21" t="inlineStr">
        <is>
          <t>Mid-Market</t>
        </is>
      </c>
      <c r="G6" s="36" t="n">
        <v>45658</v>
      </c>
      <c r="H6" s="36" t="n">
        <v>46174</v>
      </c>
      <c r="I6" s="21">
        <f>IF(AND(G6&lt;&gt;"",H6&lt;&gt;""),(YEAR(H6)-YEAR(G6))*12+(MONTH(H6)-MONTH(G6)),"")</f>
        <v/>
      </c>
      <c r="J6" s="36" t="n">
        <v>46202</v>
      </c>
      <c r="L6" s="21" t="inlineStr">
        <is>
          <t>V2.3</t>
        </is>
      </c>
      <c r="M6" s="21" t="inlineStr">
        <is>
          <t>Draft</t>
        </is>
      </c>
      <c r="N6" s="21" t="inlineStr">
        <is>
          <t>Migrated — not revalidated</t>
        </is>
      </c>
      <c r="O6" s="21" t="inlineStr">
        <is>
          <t>Internal only</t>
        </is>
      </c>
      <c r="P6" s="21" t="n">
        <v>0.373</v>
      </c>
      <c r="Q6" s="21">
        <f>IF(P6="","",IF(P6&gt;0.5,"Growth &gt;50%",IF(P6&gt;0.1,"Growth 10-50%",IF(P6&gt;=-0.1,"Flat",IF(P6&gt;=-0.25,"Decline 10-25%",IF(P6&gt;=-0.5,"Decline 25-50%",IF(P6&gt;=-0.75,"Decline 50-75%","Decline &gt;75%")))))))</f>
        <v/>
      </c>
      <c r="R6" s="21" t="inlineStr">
        <is>
          <t>Grew</t>
        </is>
      </c>
      <c r="S6" s="21" t="inlineStr">
        <is>
          <t>Decline then Recovery</t>
        </is>
      </c>
      <c r="T6" s="21" t="inlineStr">
        <is>
          <t>Growing</t>
        </is>
      </c>
      <c r="U6" s="21" t="inlineStr">
        <is>
          <t>Full</t>
        </is>
      </c>
      <c r="V6" s="21" t="inlineStr">
        <is>
          <t>Content Quality</t>
        </is>
      </c>
      <c r="W6" s="21" t="inlineStr">
        <is>
          <t>Algorithm Update</t>
        </is>
      </c>
      <c r="X6" s="21" t="inlineStr">
        <is>
          <t>Medium</t>
        </is>
      </c>
      <c r="Y6" s="21" t="inlineStr">
        <is>
          <t>Moderate</t>
        </is>
      </c>
      <c r="Z6" s="21" t="inlineStr">
        <is>
          <t>Medium</t>
        </is>
      </c>
      <c r="AA6" s="21" t="inlineStr">
        <is>
          <t>Not tested</t>
        </is>
      </c>
      <c r="AB6" s="21" t="inlineStr">
        <is>
          <t>No conclusion</t>
        </is>
      </c>
      <c r="AD6" s="21" t="n">
        <v>0.5679999999999999</v>
      </c>
      <c r="AE6" s="21" t="inlineStr">
        <is>
          <t>High single-page concentration (top post = 31.5%, top 5 = 56.8%); export date range inferred not confirmed; organizational instability context (3 rounds of layoffs); no AI spot-check on top post</t>
        </is>
      </c>
      <c r="AF6" s="21" t="inlineStr">
        <is>
          <t>No</t>
        </is>
      </c>
      <c r="AG6" s="21" t="inlineStr">
        <is>
          <t>Unknown</t>
        </is>
      </c>
      <c r="AH6" s="21" t="inlineStr">
        <is>
          <t>Unknown</t>
        </is>
      </c>
      <c r="AJ6" s="21" t="inlineStr">
        <is>
          <t>Ahrefs Export</t>
        </is>
      </c>
      <c r="AK6" s="21" t="inlineStr">
        <is>
          <t>Partial</t>
        </is>
      </c>
      <c r="AL6" s="21" t="inlineStr">
        <is>
          <t>company-records/circleci.md</t>
        </is>
      </c>
      <c r="AM6" s="21" t="inlineStr">
        <is>
          <t>comparison-briefs/github-circleci-harness-cloudbees.md</t>
        </is>
      </c>
      <c r="AN6" s="21" t="inlineStr">
        <is>
          <t>High</t>
        </is>
      </c>
      <c r="AO6" s="21" t="inlineStr">
        <is>
          <t>Content cluster breakthrough recovery archetype: top post (0 → 59,353 traffic) on 5 referring domains, first backlink March 2026 — ranking preceded link acquisition; recovery to new all-time high (+121.7% from trough); non-branded +119%, branded +5%</t>
        </is>
      </c>
      <c r="AP6" s="21" t="inlineStr">
        <is>
          <t>High concentration risk (single post = 31.5% of top-page traffic with 5 RDs — fragile); export date range inferred; decline-phase mechanism Low confidence; organizational instability context not typical for most clients</t>
        </is>
      </c>
      <c r="AQ6" s="21" t="inlineStr">
        <is>
          <t>Medium</t>
        </is>
      </c>
    </row>
    <row r="7" ht="15" customHeight="1" s="22">
      <c r="A7" s="21" t="inlineStr">
        <is>
          <t>Harness</t>
        </is>
      </c>
      <c r="B7" s="21" t="inlineStr">
        <is>
          <t>harness.io</t>
        </is>
      </c>
      <c r="C7" s="21" t="inlineStr">
        <is>
          <t>Developer Tools</t>
        </is>
      </c>
      <c r="D7" s="21" t="inlineStr">
        <is>
          <t>B2B SaaS</t>
        </is>
      </c>
      <c r="E7" s="21" t="inlineStr">
        <is>
          <t>Editorial-blog-led</t>
        </is>
      </c>
      <c r="F7" s="21" t="inlineStr">
        <is>
          <t>Mid-Market</t>
        </is>
      </c>
      <c r="G7" s="36" t="n">
        <v>45658</v>
      </c>
      <c r="H7" s="36" t="n">
        <v>46174</v>
      </c>
      <c r="I7" s="21">
        <f>IF(AND(G7&lt;&gt;"",H7&lt;&gt;""),(YEAR(H7)-YEAR(G7))*12+(MONTH(H7)-MONTH(G7)),"")</f>
        <v/>
      </c>
      <c r="J7" s="36" t="n">
        <v>46202</v>
      </c>
      <c r="L7" s="21" t="inlineStr">
        <is>
          <t>V2.3</t>
        </is>
      </c>
      <c r="M7" s="21" t="inlineStr">
        <is>
          <t>Draft</t>
        </is>
      </c>
      <c r="N7" s="21" t="inlineStr">
        <is>
          <t>Migrated — not revalidated</t>
        </is>
      </c>
      <c r="O7" s="21" t="inlineStr">
        <is>
          <t>Internal only</t>
        </is>
      </c>
      <c r="P7" s="21" t="n">
        <v>1.058</v>
      </c>
      <c r="Q7" s="21">
        <f>IF(P7="","",IF(P7&gt;0.5,"Growth &gt;50%",IF(P7&gt;0.1,"Growth 10-50%",IF(P7&gt;=-0.1,"Flat",IF(P7&gt;=-0.25,"Decline 10-25%",IF(P7&gt;=-0.5,"Decline 25-50%",IF(P7&gt;=-0.75,"Decline 50-75%","Decline &gt;75%")))))))</f>
        <v/>
      </c>
      <c r="R7" s="21" t="inlineStr">
        <is>
          <t>Grew</t>
        </is>
      </c>
      <c r="S7" s="21" t="inlineStr">
        <is>
          <t>Continuous Acceleration</t>
        </is>
      </c>
      <c r="T7" s="21" t="inlineStr">
        <is>
          <t>Growing</t>
        </is>
      </c>
      <c r="U7" s="21" t="inlineStr">
        <is>
          <t>Not applicable — grew throughout</t>
        </is>
      </c>
      <c r="V7" s="21" t="inlineStr">
        <is>
          <t>Content Quality</t>
        </is>
      </c>
      <c r="W7" s="21" t="inlineStr">
        <is>
          <t>Algorithm Update</t>
        </is>
      </c>
      <c r="X7" s="21" t="inlineStr">
        <is>
          <t>Medium</t>
        </is>
      </c>
      <c r="Y7" s="21" t="inlineStr">
        <is>
          <t>Moderate</t>
        </is>
      </c>
      <c r="Z7" s="21" t="inlineStr">
        <is>
          <t>High</t>
        </is>
      </c>
      <c r="AA7" s="21" t="inlineStr">
        <is>
          <t>Yes</t>
        </is>
      </c>
      <c r="AB7" s="21" t="inlineStr">
        <is>
          <t>Resistant</t>
        </is>
      </c>
      <c r="AE7" s="21" t="inlineStr">
        <is>
          <t>Interior Nov 2025 dip (-17% from Jul 2025 peak, position-bucket collapse) obscured by Continuous Acceleration label; Dec 2025 acceleration timing entangled with $240M Series E announcement same day; Split.io acquisition demand transfer negligible; no cannibalization computed</t>
        </is>
      </c>
      <c r="AF7" s="21" t="inlineStr">
        <is>
          <t>No</t>
        </is>
      </c>
      <c r="AG7" s="21" t="inlineStr">
        <is>
          <t>Unknown</t>
        </is>
      </c>
      <c r="AH7" s="21" t="inlineStr">
        <is>
          <t>Unknown</t>
        </is>
      </c>
      <c r="AJ7" s="21" t="inlineStr">
        <is>
          <t>Ahrefs Export</t>
        </is>
      </c>
      <c r="AK7" s="21" t="inlineStr">
        <is>
          <t>Partial</t>
        </is>
      </c>
      <c r="AL7" s="21" t="inlineStr">
        <is>
          <t>company-records/harness.md</t>
        </is>
      </c>
      <c r="AM7" s="21" t="inlineStr">
        <is>
          <t>comparison-briefs/github-circleci-harness-cloudbees.md</t>
        </is>
      </c>
      <c r="AN7" s="21" t="inlineStr">
        <is>
          <t>High</t>
        </is>
      </c>
      <c r="AO7" s="21" t="inlineStr">
        <is>
          <t>+105.8% non-branded-led growth; top page holds #1 for "what is a devops pipeline" with AI Overview displayed — strongest keyword-level AIO resistance evidence in cohort; non-branded +137%, branded flat; RD distribution broadest in Dev Tools batch (top page = 4.7% of site RDs)</t>
        </is>
      </c>
      <c r="AP7" s="21" t="inlineStr">
        <is>
          <t>Interior Nov 2025 trough (-17%) and position-bucket collapse not visible in headline; Dec 2025 acceleration entangled with $240M Series E; Split.io demand transfer negligible despite named acquisition; most clients lack equivalent funding event</t>
        </is>
      </c>
      <c r="AQ7" s="21" t="inlineStr">
        <is>
          <t>Medium</t>
        </is>
      </c>
    </row>
    <row r="8" ht="15" customHeight="1" s="22">
      <c r="A8" s="21" t="inlineStr">
        <is>
          <t>CloudBees</t>
        </is>
      </c>
      <c r="B8" s="21" t="inlineStr">
        <is>
          <t>cloudbees.com</t>
        </is>
      </c>
      <c r="C8" s="21" t="inlineStr">
        <is>
          <t>Developer Tools</t>
        </is>
      </c>
      <c r="D8" s="21" t="inlineStr">
        <is>
          <t>B2B SaaS</t>
        </is>
      </c>
      <c r="E8" s="21" t="inlineStr">
        <is>
          <t>Editorial-blog-led</t>
        </is>
      </c>
      <c r="F8" s="21" t="inlineStr">
        <is>
          <t>Mid-Market</t>
        </is>
      </c>
      <c r="G8" s="36" t="n">
        <v>45658</v>
      </c>
      <c r="H8" s="36" t="n">
        <v>46174</v>
      </c>
      <c r="I8" s="21">
        <f>IF(AND(G8&lt;&gt;"",H8&lt;&gt;""),(YEAR(H8)-YEAR(G8))*12+(MONTH(H8)-MONTH(G8)),"")</f>
        <v/>
      </c>
      <c r="J8" s="36" t="n">
        <v>46202</v>
      </c>
      <c r="L8" s="21" t="inlineStr">
        <is>
          <t>V2.3</t>
        </is>
      </c>
      <c r="M8" s="21" t="inlineStr">
        <is>
          <t>Draft</t>
        </is>
      </c>
      <c r="N8" s="21" t="inlineStr">
        <is>
          <t>Migrated — not revalidated</t>
        </is>
      </c>
      <c r="O8" s="21" t="inlineStr">
        <is>
          <t>Internal only</t>
        </is>
      </c>
      <c r="P8" s="21" t="n">
        <v>0.719</v>
      </c>
      <c r="Q8" s="21">
        <f>IF(P8="","",IF(P8&gt;0.5,"Growth &gt;50%",IF(P8&gt;0.1,"Growth 10-50%",IF(P8&gt;=-0.1,"Flat",IF(P8&gt;=-0.25,"Decline 10-25%",IF(P8&gt;=-0.5,"Decline 25-50%",IF(P8&gt;=-0.75,"Decline 50-75%","Decline &gt;75%")))))))</f>
        <v/>
      </c>
      <c r="R8" s="21" t="inlineStr">
        <is>
          <t>Grew</t>
        </is>
      </c>
      <c r="S8" s="21" t="inlineStr">
        <is>
          <t>Continuous Acceleration</t>
        </is>
      </c>
      <c r="T8" s="21" t="inlineStr">
        <is>
          <t>Growing</t>
        </is>
      </c>
      <c r="U8" s="21" t="inlineStr">
        <is>
          <t>Full</t>
        </is>
      </c>
      <c r="V8" s="21" t="inlineStr">
        <is>
          <t>Mixed (Phase-dependent)</t>
        </is>
      </c>
      <c r="W8" s="21" t="inlineStr">
        <is>
          <t>Algorithm Update</t>
        </is>
      </c>
      <c r="X8" s="21" t="inlineStr">
        <is>
          <t>Medium</t>
        </is>
      </c>
      <c r="Y8" s="21" t="inlineStr">
        <is>
          <t>Moderate</t>
        </is>
      </c>
      <c r="Z8" s="21" t="inlineStr">
        <is>
          <t>High</t>
        </is>
      </c>
      <c r="AA8" s="21" t="inlineStr">
        <is>
          <t>Not tested</t>
        </is>
      </c>
      <c r="AB8" s="21" t="inlineStr">
        <is>
          <t>No conclusion</t>
        </is>
      </c>
      <c r="AE8" s="21" t="inlineStr">
        <is>
          <t>Pass 2 column-shift data correction (all figures corrected); no domain-level RD data available; commercial page erosion concurrent with traffic growth; brand traffic -16.6% while non-branded +107%; two-phase story requires careful reading; still 40.7% below Apr 2022 all-time high</t>
        </is>
      </c>
      <c r="AF8" s="21" t="inlineStr">
        <is>
          <t>No</t>
        </is>
      </c>
      <c r="AG8" s="21" t="inlineStr">
        <is>
          <t>Unknown</t>
        </is>
      </c>
      <c r="AH8" s="21" t="inlineStr">
        <is>
          <t>Unknown</t>
        </is>
      </c>
      <c r="AJ8" s="21" t="inlineStr">
        <is>
          <t>Ahrefs Export</t>
        </is>
      </c>
      <c r="AK8" s="21" t="inlineStr">
        <is>
          <t>Partial</t>
        </is>
      </c>
      <c r="AL8" s="21" t="inlineStr">
        <is>
          <t>company-records/cloudbees.md</t>
        </is>
      </c>
      <c r="AM8" s="21" t="inlineStr">
        <is>
          <t>comparison-briefs/github-circleci-harness-cloudbees.md</t>
        </is>
      </c>
      <c r="AN8" s="21" t="inlineStr">
        <is>
          <t>Mixed</t>
        </is>
      </c>
      <c r="AO8" s="21" t="inlineStr">
        <is>
          <t>+71.9% two-phase story: Aug 2025 spam update collapsed 60-75% of long-tail positions (Phase 1); ranking breakthrough on existing 3yr-old git tutorial page drove Phase 2; brand traffic -16.6% while non-branded +107%; CI/CD and Jenkins commercial pages lost ground simultaneously</t>
        </is>
      </c>
      <c r="AP8" s="21" t="inlineStr">
        <is>
          <t>Two-phase story requires careful reading (headline simplifies real interior collapse); commercial page erosion happened concurrent with traffic growth; Referring Domains unavailable; Pass 2 data correction means prior comparisons using old figures should be re-checked</t>
        </is>
      </c>
      <c r="AQ8" s="21" t="inlineStr">
        <is>
          <t>Low</t>
        </is>
      </c>
    </row>
    <row r="9" ht="15" customHeight="1" s="22">
      <c r="A9" s="21" t="inlineStr">
        <is>
          <t>Braze</t>
        </is>
      </c>
      <c r="B9" s="21" t="inlineStr">
        <is>
          <t>braze.com</t>
        </is>
      </c>
      <c r="C9" s="21" t="inlineStr">
        <is>
          <t>Marketing Automation</t>
        </is>
      </c>
      <c r="D9" s="21" t="inlineStr">
        <is>
          <t>B2B SaaS</t>
        </is>
      </c>
      <c r="E9" s="21" t="inlineStr">
        <is>
          <t>Editorial-blog-led</t>
        </is>
      </c>
      <c r="F9" s="21" t="inlineStr">
        <is>
          <t>Enterprise</t>
        </is>
      </c>
      <c r="G9" s="36" t="n">
        <v>45658</v>
      </c>
      <c r="H9" s="36" t="n">
        <v>46174</v>
      </c>
      <c r="I9" s="21">
        <f>IF(AND(G9&lt;&gt;"",H9&lt;&gt;""),(YEAR(H9)-YEAR(G9))*12+(MONTH(H9)-MONTH(G9)),"")</f>
        <v/>
      </c>
      <c r="J9" s="36" t="n">
        <v>46202</v>
      </c>
      <c r="L9" s="21" t="inlineStr">
        <is>
          <t>V2.3</t>
        </is>
      </c>
      <c r="M9" s="21" t="inlineStr">
        <is>
          <t>Draft</t>
        </is>
      </c>
      <c r="N9" s="21" t="inlineStr">
        <is>
          <t>Migrated — not revalidated</t>
        </is>
      </c>
      <c r="O9" s="21" t="inlineStr">
        <is>
          <t>Internal only</t>
        </is>
      </c>
      <c r="P9" s="35" t="n">
        <v>0.599</v>
      </c>
      <c r="Q9" s="21">
        <f>IF(P9="","",IF(P9&gt;0.5,"Growth &gt;50%",IF(P9&gt;0.1,"Growth 10-50%",IF(P9&gt;=-0.1,"Flat",IF(P9&gt;=-0.25,"Decline 10-25%",IF(P9&gt;=-0.5,"Decline 25-50%",IF(P9&gt;=-0.75,"Decline 50-75%","Decline &gt;75%")))))))</f>
        <v/>
      </c>
      <c r="R9" s="21" t="inlineStr">
        <is>
          <t>Grew</t>
        </is>
      </c>
      <c r="S9" s="21" t="inlineStr">
        <is>
          <t>Continuous Acceleration</t>
        </is>
      </c>
      <c r="T9" s="21" t="inlineStr">
        <is>
          <t>Growing</t>
        </is>
      </c>
      <c r="U9" s="21" t="inlineStr">
        <is>
          <t>Not applicable — grew throughout</t>
        </is>
      </c>
      <c r="V9" s="21" t="inlineStr">
        <is>
          <t>Content Quality</t>
        </is>
      </c>
      <c r="W9" s="21" t="inlineStr">
        <is>
          <t>Demand Expansion (OfferFit acquisition)</t>
        </is>
      </c>
      <c r="X9" s="21" t="inlineStr">
        <is>
          <t>High</t>
        </is>
      </c>
      <c r="Y9" s="21" t="inlineStr">
        <is>
          <t>None</t>
        </is>
      </c>
      <c r="Z9" s="21" t="inlineStr">
        <is>
          <t>Medium</t>
        </is>
      </c>
      <c r="AA9" s="21" t="inlineStr">
        <is>
          <t>Not tested</t>
        </is>
      </c>
      <c r="AB9" s="21" t="inlineStr">
        <is>
          <t>Not tested</t>
        </is>
      </c>
      <c r="AE9" s="21" t="inlineStr">
        <is>
          <t>sms-vs-mms-vs-rcs has 1,488 RDs (~14% of site total) with only 192 traffic — unexplained outlier; OfferFit acquisition complicates non-branded demand interpretation</t>
        </is>
      </c>
      <c r="AF9" s="21" t="inlineStr">
        <is>
          <t>No</t>
        </is>
      </c>
      <c r="AG9" s="21" t="inlineStr">
        <is>
          <t>Unknown</t>
        </is>
      </c>
      <c r="AH9" s="21" t="inlineStr">
        <is>
          <t>Unknown</t>
        </is>
      </c>
      <c r="AJ9" s="21" t="inlineStr">
        <is>
          <t>Ahrefs Export</t>
        </is>
      </c>
      <c r="AK9" s="21" t="inlineStr">
        <is>
          <t>Partial</t>
        </is>
      </c>
      <c r="AL9" s="21" t="inlineStr">
        <is>
          <t>company-records/braze.md</t>
        </is>
      </c>
      <c r="AM9" s="21" t="inlineStr">
        <is>
          <t>comparison-briefs/activecampaign-braze.md</t>
        </is>
      </c>
      <c r="AN9" s="21" t="inlineStr">
        <is>
          <t>High</t>
        </is>
      </c>
      <c r="AO9" s="21" t="inlineStr">
        <is>
          <t>Cleanest broad-based non-branded growth in cohort; +510.3% non-branded (7,216→44,038), 80.2% of net gain across 20+ /resources/articles/ pages; 87.9-100.8% reconciliation; grows while 7/10 Marketing Automation peers declined; OfferFit acquisition adds demand transfer signal</t>
        </is>
      </c>
      <c r="AP9" s="21" t="inlineStr">
        <is>
          <t>Marketing Automation category; OfferFit demand transfer complicates mechanism isolation; editorial/blog model may not transfer to integration-led or programmatic content models; cannibalization zone not formally computed</t>
        </is>
      </c>
      <c r="AQ9" s="21" t="inlineStr">
        <is>
          <t>Medium</t>
        </is>
      </c>
    </row>
    <row r="10" ht="15" customHeight="1" s="22">
      <c r="A10" s="21" t="inlineStr">
        <is>
          <t>Rippling</t>
        </is>
      </c>
      <c r="B10" s="21" t="inlineStr">
        <is>
          <t>rippling.com</t>
        </is>
      </c>
      <c r="C10" s="21" t="inlineStr">
        <is>
          <t>HR / People Operations</t>
        </is>
      </c>
      <c r="D10" s="21" t="inlineStr">
        <is>
          <t>B2B SaaS</t>
        </is>
      </c>
      <c r="E10" s="21" t="inlineStr">
        <is>
          <t>Mixed</t>
        </is>
      </c>
      <c r="F10" s="21" t="inlineStr">
        <is>
          <t>Enterprise</t>
        </is>
      </c>
      <c r="G10" s="36" t="n">
        <v>45658</v>
      </c>
      <c r="H10" s="36" t="n">
        <v>46174</v>
      </c>
      <c r="I10" s="21">
        <f>IF(AND(G10&lt;&gt;"",H10&lt;&gt;""),(YEAR(H10)-YEAR(G10))*12+(MONTH(H10)-MONTH(G10)),"")</f>
        <v/>
      </c>
      <c r="J10" s="36" t="n">
        <v>46202</v>
      </c>
      <c r="L10" s="21" t="inlineStr">
        <is>
          <t>V2.3</t>
        </is>
      </c>
      <c r="M10" s="21" t="inlineStr">
        <is>
          <t>Draft</t>
        </is>
      </c>
      <c r="N10" s="21" t="inlineStr">
        <is>
          <t>Migrated — not revalidated</t>
        </is>
      </c>
      <c r="O10" s="21" t="inlineStr">
        <is>
          <t>Internal only</t>
        </is>
      </c>
      <c r="P10" s="35" t="n">
        <v>0.28</v>
      </c>
      <c r="Q10" s="21">
        <f>IF(P10="","",IF(P10&gt;0.5,"Growth &gt;50%",IF(P10&gt;0.1,"Growth 10-50%",IF(P10&gt;=-0.1,"Flat",IF(P10&gt;=-0.25,"Decline 10-25%",IF(P10&gt;=-0.5,"Decline 25-50%",IF(P10&gt;=-0.75,"Decline 50-75%","Decline &gt;75%")))))))</f>
        <v/>
      </c>
      <c r="R10" s="21" t="inlineStr">
        <is>
          <t>Grew</t>
        </is>
      </c>
      <c r="S10" s="21" t="inlineStr">
        <is>
          <t>Growth then Pullback</t>
        </is>
      </c>
      <c r="T10" s="21" t="inlineStr">
        <is>
          <t>Growing</t>
        </is>
      </c>
      <c r="U10" s="21" t="inlineStr">
        <is>
          <t>Partial</t>
        </is>
      </c>
      <c r="V10" s="21" t="inlineStr">
        <is>
          <t>Content Quality</t>
        </is>
      </c>
      <c r="W10" s="21" t="inlineStr">
        <is>
          <t>Algorithm Update</t>
        </is>
      </c>
      <c r="X10" s="21" t="inlineStr">
        <is>
          <t>Medium</t>
        </is>
      </c>
      <c r="Y10" s="21" t="inlineStr">
        <is>
          <t>Moderate</t>
        </is>
      </c>
      <c r="Z10" s="21" t="inlineStr">
        <is>
          <t>High</t>
        </is>
      </c>
      <c r="AA10" s="21" t="inlineStr">
        <is>
          <t>Not tested</t>
        </is>
      </c>
      <c r="AB10" s="21" t="inlineStr">
        <is>
          <t>No conclusion</t>
        </is>
      </c>
      <c r="AE10" s="21" t="inlineStr">
        <is>
          <t>Traffic/value divergence (+28.0% traffic vs +3.6% TV); branded/non-branded direction contested (perf file: non-branded -9.4%; Keywords sample: non-branded +34.8%); homepage = 68.5% of sampled net gain; long-tail blog ranking losses root cause unidentified; RD growth (+146.7%) disproportionate to traffic growth</t>
        </is>
      </c>
      <c r="AF10" s="21" t="inlineStr">
        <is>
          <t>No</t>
        </is>
      </c>
      <c r="AG10" s="21" t="inlineStr">
        <is>
          <t>Unknown</t>
        </is>
      </c>
      <c r="AH10" s="21" t="inlineStr">
        <is>
          <t>Unknown</t>
        </is>
      </c>
      <c r="AJ10" s="21" t="inlineStr">
        <is>
          <t>Ahrefs Export</t>
        </is>
      </c>
      <c r="AK10" s="21" t="inlineStr">
        <is>
          <t>Partial</t>
        </is>
      </c>
      <c r="AL10" s="21" t="inlineStr">
        <is>
          <t>company-records/rippling.md</t>
        </is>
      </c>
      <c r="AM10" s="21" t="inlineStr">
        <is>
          <t>comparison-briefs/paylocity-rippling.md</t>
        </is>
      </c>
      <c r="AN10" s="21" t="inlineStr">
        <is>
          <t>Medium</t>
        </is>
      </c>
      <c r="AO10" s="21" t="inlineStr">
        <is>
          <t>+28.0% traffic / +3.6% TV — sharpest traffic-value gap in growth cohort; homepage (+121,012) = 68.5% of sampled net gain; long-tail blog posts losing 85-99% concurrent with glossary-cluster growth; grows while 7/10 HR peers declined; branded/non-branded composition direction contested between two data sources</t>
        </is>
      </c>
      <c r="AP10" s="21" t="inlineStr">
        <is>
          <t>Homepage concentration not replicable through content investment alone; branded/non-branded direction contested; cannibalization not formally computed; root cause of long-tail losses unidentified; portfolio-reshaping mechanism harder to translate into client tactic than clean editorial-growth story</t>
        </is>
      </c>
      <c r="AQ10" s="21" t="inlineStr">
        <is>
          <t>High</t>
        </is>
      </c>
    </row>
    <row r="11" ht="15" customHeight="1" s="22">
      <c r="A11" s="21" t="inlineStr">
        <is>
          <t>Navan</t>
        </is>
      </c>
      <c r="B11" s="21" t="inlineStr">
        <is>
          <t>navan.com</t>
        </is>
      </c>
      <c r="C11" s="21" t="inlineStr">
        <is>
          <t>Finance / Spend Management</t>
        </is>
      </c>
      <c r="D11" s="21" t="inlineStr">
        <is>
          <t>B2B SaaS</t>
        </is>
      </c>
      <c r="E11" s="21" t="inlineStr">
        <is>
          <t>Glossary-led</t>
        </is>
      </c>
      <c r="F11" s="21" t="inlineStr">
        <is>
          <t>Enterprise</t>
        </is>
      </c>
      <c r="G11" s="36" t="n">
        <v>45658</v>
      </c>
      <c r="H11" s="36" t="n">
        <v>46174</v>
      </c>
      <c r="I11" s="21">
        <f>IF(AND(G11&lt;&gt;"",H11&lt;&gt;""),(YEAR(H11)-YEAR(G11))*12+(MONTH(H11)-MONTH(G11)),"")</f>
        <v/>
      </c>
      <c r="J11" s="36" t="n">
        <v>46202</v>
      </c>
      <c r="L11" s="21" t="inlineStr">
        <is>
          <t>V2.3</t>
        </is>
      </c>
      <c r="M11" s="21" t="inlineStr">
        <is>
          <t>Draft</t>
        </is>
      </c>
      <c r="N11" s="21" t="inlineStr">
        <is>
          <t>Migrated — not revalidated</t>
        </is>
      </c>
      <c r="O11" s="21" t="inlineStr">
        <is>
          <t>Internal only</t>
        </is>
      </c>
      <c r="P11" s="35" t="n">
        <v>0.36</v>
      </c>
      <c r="Q11" s="21">
        <f>IF(P11="","",IF(P11&gt;0.5,"Growth &gt;50%",IF(P11&gt;0.1,"Growth 10-50%",IF(P11&gt;=-0.1,"Flat",IF(P11&gt;=-0.25,"Decline 10-25%",IF(P11&gt;=-0.5,"Decline 25-50%",IF(P11&gt;=-0.75,"Decline 50-75%","Decline &gt;75%")))))))</f>
        <v/>
      </c>
      <c r="R11" s="21" t="inlineStr">
        <is>
          <t>Grew</t>
        </is>
      </c>
      <c r="S11" s="21" t="inlineStr">
        <is>
          <t>Steady Growth</t>
        </is>
      </c>
      <c r="T11" s="21" t="inlineStr">
        <is>
          <t>Declining</t>
        </is>
      </c>
      <c r="U11" s="21" t="inlineStr">
        <is>
          <t>Not applicable — grew throughout</t>
        </is>
      </c>
      <c r="V11" s="21" t="inlineStr">
        <is>
          <t>Content Quality</t>
        </is>
      </c>
      <c r="W11" s="21" t="inlineStr">
        <is>
          <t>None identified</t>
        </is>
      </c>
      <c r="X11" s="21" t="inlineStr">
        <is>
          <t>High</t>
        </is>
      </c>
      <c r="Y11" s="21" t="inlineStr">
        <is>
          <t>None</t>
        </is>
      </c>
      <c r="Z11" s="21" t="inlineStr">
        <is>
          <t>High</t>
        </is>
      </c>
      <c r="AA11" s="21" t="inlineStr">
        <is>
          <t>Not tested</t>
        </is>
      </c>
      <c r="AB11" s="21" t="inlineStr">
        <is>
          <t>No conclusion</t>
        </is>
      </c>
      <c r="AE11" s="21" t="inlineStr">
        <is>
          <t>TV/traffic divergence (+36.0% traffic vs +0.3% TV) — most extreme in growth cohort at time of analysis; RD concentration in 3 pages (80.3% of site total) with suspicious first-seen-date clustering; no AI spot-check; legacy TripActions brand traffic in decline throughout window</t>
        </is>
      </c>
      <c r="AF11" s="21" t="inlineStr">
        <is>
          <t>No</t>
        </is>
      </c>
      <c r="AG11" s="21" t="inlineStr">
        <is>
          <t>Unknown</t>
        </is>
      </c>
      <c r="AH11" s="21" t="inlineStr">
        <is>
          <t>Unknown</t>
        </is>
      </c>
      <c r="AJ11" s="21" t="inlineStr">
        <is>
          <t>Ahrefs Export</t>
        </is>
      </c>
      <c r="AK11" s="21" t="inlineStr">
        <is>
          <t>Partial</t>
        </is>
      </c>
      <c r="AL11" s="21" t="inlineStr">
        <is>
          <t>company-records/navan.md</t>
        </is>
      </c>
      <c r="AM11" s="21" t="inlineStr">
        <is>
          <t>comparison-briefs/navan-ramp.md</t>
        </is>
      </c>
      <c r="AN11" s="21" t="inlineStr">
        <is>
          <t>Low</t>
        </is>
      </c>
      <c r="AO11" s="21" t="inlineStr">
        <is>
          <t>Third and cleanest-reconciled case of broad-based minimal-cannibalization content growth (after Gainsight, Braze); independently corroborated by Concurate; 96% of net sampled gain is non-branded; no page above 7% of net gain; second AIO-resistance case for glossary/definitional content; most extreme TV/traffic gap in growth cohort (+36.0% traffic / +0.3% TV)</t>
        </is>
      </c>
      <c r="AP11" s="21" t="inlineStr">
        <is>
          <t>Mixed (not heavily-declining) category tempers "swim-against-the-tide" framing; TV/traffic gap makes commercial-value argument harder than for Braze or Harness; cannibalization not formally computed; legacy TripActions brand decay not formally excluded from headline; RD concentration first-seen-date anomaly unresolved</t>
        </is>
      </c>
      <c r="AQ11" s="21" t="inlineStr">
        <is>
          <t>Medium</t>
        </is>
      </c>
    </row>
    <row r="12" ht="15" customHeight="1" s="22">
      <c r="A12" s="21" t="inlineStr">
        <is>
          <t>Ramp</t>
        </is>
      </c>
      <c r="B12" s="21" t="inlineStr">
        <is>
          <t>ramp.com</t>
        </is>
      </c>
      <c r="C12" s="21" t="inlineStr">
        <is>
          <t>Finance / Spend Management</t>
        </is>
      </c>
      <c r="D12" s="21" t="inlineStr">
        <is>
          <t>B2B SaaS</t>
        </is>
      </c>
      <c r="E12" s="21" t="inlineStr">
        <is>
          <t>Glossary-and-tools-led</t>
        </is>
      </c>
      <c r="F12" s="21" t="inlineStr">
        <is>
          <t>Enterprise</t>
        </is>
      </c>
      <c r="G12" s="36" t="n">
        <v>45658</v>
      </c>
      <c r="H12" s="36" t="n">
        <v>46174</v>
      </c>
      <c r="I12" s="21">
        <f>IF(AND(G12&lt;&gt;"",H12&lt;&gt;""),(YEAR(H12)-YEAR(G12))*12+(MONTH(H12)-MONTH(G12)),"")</f>
        <v/>
      </c>
      <c r="J12" s="36" t="n">
        <v>46202</v>
      </c>
      <c r="L12" s="21" t="inlineStr">
        <is>
          <t>V2.3</t>
        </is>
      </c>
      <c r="M12" s="21" t="inlineStr">
        <is>
          <t>Draft</t>
        </is>
      </c>
      <c r="N12" s="21" t="inlineStr">
        <is>
          <t>Migrated — not revalidated</t>
        </is>
      </c>
      <c r="O12" s="21" t="inlineStr">
        <is>
          <t>Internal only</t>
        </is>
      </c>
      <c r="P12" s="35" t="n">
        <v>1.125</v>
      </c>
      <c r="Q12" s="21">
        <f>IF(P12="","",IF(P12&gt;0.5,"Growth &gt;50%",IF(P12&gt;0.1,"Growth 10-50%",IF(P12&gt;=-0.1,"Flat",IF(P12&gt;=-0.25,"Decline 10-25%",IF(P12&gt;=-0.5,"Decline 25-50%",IF(P12&gt;=-0.75,"Decline 50-75%","Decline &gt;75%")))))))</f>
        <v/>
      </c>
      <c r="R12" s="21" t="inlineStr">
        <is>
          <t>Grew</t>
        </is>
      </c>
      <c r="S12" s="21" t="inlineStr">
        <is>
          <t>Continuous Acceleration</t>
        </is>
      </c>
      <c r="T12" s="21" t="inlineStr">
        <is>
          <t>Growing</t>
        </is>
      </c>
      <c r="U12" s="21" t="inlineStr">
        <is>
          <t>Not applicable — grew throughout</t>
        </is>
      </c>
      <c r="V12" s="21" t="inlineStr">
        <is>
          <t>Content Quality</t>
        </is>
      </c>
      <c r="W12" s="21" t="inlineStr">
        <is>
          <t>Algorithm Update</t>
        </is>
      </c>
      <c r="X12" s="21" t="inlineStr">
        <is>
          <t>High</t>
        </is>
      </c>
      <c r="Y12" s="21" t="inlineStr">
        <is>
          <t>Strong</t>
        </is>
      </c>
      <c r="Z12" s="21" t="inlineStr">
        <is>
          <t>High</t>
        </is>
      </c>
      <c r="AA12" s="21" t="inlineStr">
        <is>
          <t>Not tested</t>
        </is>
      </c>
      <c r="AB12" s="21" t="inlineStr">
        <is>
          <t>No conclusion</t>
        </is>
      </c>
      <c r="AE12" s="21" t="inlineStr">
        <is>
          <t>Position-bucket/headline reconciliation gap (bucket figures directional only); Aug-Nov 2025 90% long-tail collapse nearly invisible in headline — cleanest masked-collapse case in cohort; cannibalization rate discrepancy (computed 28% vs. original "22%"); funding cadence PR noise vs. data story; free-tool traffic durability unassessed (18,439 traffic / 29 RDs); no AI spot-check</t>
        </is>
      </c>
      <c r="AF12" s="21" t="inlineStr">
        <is>
          <t>No</t>
        </is>
      </c>
      <c r="AG12" s="21" t="inlineStr">
        <is>
          <t>Unknown</t>
        </is>
      </c>
      <c r="AH12" s="21" t="inlineStr">
        <is>
          <t>Unknown</t>
        </is>
      </c>
      <c r="AJ12" s="21" t="inlineStr">
        <is>
          <t>Ahrefs Export</t>
        </is>
      </c>
      <c r="AK12" s="21" t="inlineStr">
        <is>
          <t>Partial</t>
        </is>
      </c>
      <c r="AL12" s="21" t="inlineStr">
        <is>
          <t>company-records/ramp.md</t>
        </is>
      </c>
      <c r="AM12" s="21" t="inlineStr">
        <is>
          <t>comparison-briefs/navan-ramp.md</t>
        </is>
      </c>
      <c r="AN12" s="21" t="inlineStr">
        <is>
          <t>Medium</t>
        </is>
      </c>
      <c r="AO12" s="21" t="inlineStr">
        <is>
          <t>+112.5% traffic; 81.4% non-branded (exact, perf file); 4th broad-content-growth case (after Gainsight, Braze, Navan) at much larger scale; cleanest masked algorithm-update case in cohort (90% long-tail collapse invisible in headline); 5 funding rounds in 17 months demonstrably not the primary growth driver; 3rd AIO-resistance case for definitional content</t>
        </is>
      </c>
      <c r="AP12" s="21" t="inlineStr">
        <is>
          <t>Cannibalization rate discrepancy (22% vs. 28%) unresolved; position-bucket/headline reconciliation gap limits precision of collapse quantification; free-tool growth not cleanly separable from glossary growth in attribution; long-tail ranking losses permanent — durable content model requires top-position consolidation without long-tail coverage</t>
        </is>
      </c>
      <c r="AQ12" s="21" t="inlineStr">
        <is>
          <t>Medium</t>
        </is>
      </c>
    </row>
    <row r="13" ht="15" customHeight="1" s="22">
      <c r="A13" s="21" t="inlineStr">
        <is>
          <t>Hyperproof</t>
        </is>
      </c>
      <c r="B13" s="21" t="inlineStr">
        <is>
          <t>hyperproof.io</t>
        </is>
      </c>
      <c r="C13" s="21" t="inlineStr">
        <is>
          <t>Security / Compliance</t>
        </is>
      </c>
      <c r="D13" s="21" t="inlineStr">
        <is>
          <t>B2B SaaS</t>
        </is>
      </c>
      <c r="E13" s="21" t="inlineStr">
        <is>
          <t>Editorial/content-led (GRC resource library)</t>
        </is>
      </c>
      <c r="F13" s="21" t="inlineStr">
        <is>
          <t>Mid-market (~200 employees)</t>
        </is>
      </c>
      <c r="G13" s="36" t="n">
        <v>45658</v>
      </c>
      <c r="H13" s="36" t="n">
        <v>46174</v>
      </c>
      <c r="I13" s="21">
        <f>IF(AND(G13&lt;&gt;"",H13&lt;&gt;""),(YEAR(H13)-YEAR(G13))*12+(MONTH(H13)-MONTH(G13)),"")</f>
        <v/>
      </c>
      <c r="J13" s="36" t="n">
        <v>46202</v>
      </c>
      <c r="L13" s="21" t="inlineStr">
        <is>
          <t>V2.3</t>
        </is>
      </c>
      <c r="M13" s="21" t="inlineStr">
        <is>
          <t>Draft</t>
        </is>
      </c>
      <c r="N13" s="21" t="inlineStr">
        <is>
          <t>Migrated — not revalidated</t>
        </is>
      </c>
      <c r="O13" s="21" t="inlineStr">
        <is>
          <t>Internal only</t>
        </is>
      </c>
      <c r="P13" s="35" t="n">
        <v>0.2678</v>
      </c>
      <c r="Q13" s="21">
        <f>IF(P13="","",IF(P13&gt;0.5,"Growth &gt;50%",IF(P13&gt;0.1,"Growth 10-50%",IF(P13&gt;=-0.1,"Flat",IF(P13&gt;=-0.25,"Decline 10-25%",IF(P13&gt;=-0.5,"Decline 25-50%",IF(P13&gt;=-0.75,"Decline 50-75%","Decline &gt;75%")))))))</f>
        <v/>
      </c>
      <c r="R13" s="21" t="inlineStr">
        <is>
          <t>Grew</t>
        </is>
      </c>
      <c r="S13" s="21" t="inlineStr">
        <is>
          <t>Decline then Recovery</t>
        </is>
      </c>
      <c r="T13" s="21" t="inlineStr">
        <is>
          <t>Declining</t>
        </is>
      </c>
      <c r="U13" s="21" t="inlineStr">
        <is>
          <t>Full</t>
        </is>
      </c>
      <c r="V13" s="21" t="inlineStr">
        <is>
          <t>Content Quality</t>
        </is>
      </c>
      <c r="W13" s="21" t="inlineStr">
        <is>
          <t>Algorithm Update</t>
        </is>
      </c>
      <c r="X13" s="21" t="inlineStr">
        <is>
          <t>High</t>
        </is>
      </c>
      <c r="Y13" s="21" t="inlineStr">
        <is>
          <t>Moderate</t>
        </is>
      </c>
      <c r="Z13" s="21" t="inlineStr">
        <is>
          <t>Medium</t>
        </is>
      </c>
      <c r="AA13" s="21" t="inlineStr">
        <is>
          <t>Yes</t>
        </is>
      </c>
      <c r="AB13" s="21" t="inlineStr">
        <is>
          <t>Resistant</t>
        </is>
      </c>
      <c r="AC13" s="21" t="n">
        <v>0.523</v>
      </c>
      <c r="AE13" s="21" t="inlineStr">
        <is>
          <t>No monthly Search Console data; branded/non-branded split from intent data only (keyword export showed 0 branded — filter/config issue); 'risk management frameworks' breakthrough mechanism unconfirmed; AI Observation Protocol not run; specific algorithm update not definitively identified (Aug 2025 spam update tail vs. Oct 2025 core update)</t>
        </is>
      </c>
      <c r="AF13" s="21" t="inlineStr">
        <is>
          <t>No</t>
        </is>
      </c>
      <c r="AG13" s="21" t="inlineStr">
        <is>
          <t>Unknown</t>
        </is>
      </c>
      <c r="AH13" s="21" t="inlineStr">
        <is>
          <t>Unknown</t>
        </is>
      </c>
      <c r="AJ13" s="21" t="inlineStr">
        <is>
          <t>Ahrefs Export</t>
        </is>
      </c>
      <c r="AK13" s="21" t="inlineStr">
        <is>
          <t>Partial</t>
        </is>
      </c>
      <c r="AL13" s="21" t="inlineStr">
        <is>
          <t>company-records/hyperproof.md</t>
        </is>
      </c>
      <c r="AM13" s="21" t="inlineStr">
        <is>
          <t>comparison-briefs/secureframe-vanta.md; comparison-briefs/sprinto-secureframe.md</t>
        </is>
      </c>
      <c r="AN13" s="21" t="inlineStr">
        <is>
          <t>High</t>
        </is>
      </c>
      <c r="AO13" s="21" t="inlineStr">
        <is>
          <t>+26.78% Decline then Recovery; Oct-Nov 2025 position-bucket collapse (11-50+ down 60-72%) followed by all-time traffic high (50,450, Mar 2026); top positions (1-3) grew uninterrupted throughout; first AIO Presence Observed = Yes (confirmed via SERP features column) with Resistant effect; cannibalization 52.3% Moderate; primary lesson: where losses are concentrated determines recoverability (foundational GRC content held; peripheral/topical content collapsed — opposite of Secureframe/Sprinto)</t>
        </is>
      </c>
      <c r="AP13" s="21" t="inlineStr">
        <is>
          <t>No monthly perf file for position-bucket timing confirmation; branded/non-branded split unreliable (keyword export issue); specific algorithm update not definitively identified; single AIO confirmation on one query only (not portfolio-wide CTR); historical peak not the worst case in category</t>
        </is>
      </c>
      <c r="AQ13" s="21" t="inlineStr">
        <is>
          <t>Low</t>
        </is>
      </c>
    </row>
    <row r="14" ht="15" customHeight="1" s="22">
      <c r="A14" s="21" t="inlineStr">
        <is>
          <t>LogRocket</t>
        </is>
      </c>
      <c r="B14" s="21" t="inlineStr">
        <is>
          <t>blog.logrocket.com / logrocket.com</t>
        </is>
      </c>
      <c r="C14" s="21" t="inlineStr">
        <is>
          <t>Product Analytics / Product Management</t>
        </is>
      </c>
      <c r="D14" s="21" t="inlineStr">
        <is>
          <t>B2B SaaS</t>
        </is>
      </c>
      <c r="E14" s="21" t="inlineStr">
        <is>
          <t>Developer blog-led</t>
        </is>
      </c>
      <c r="F14" s="21" t="inlineStr">
        <is>
          <t>Mid-market (~512 employees)</t>
        </is>
      </c>
      <c r="G14" s="36" t="n">
        <v>45658</v>
      </c>
      <c r="H14" s="36" t="n">
        <v>46174</v>
      </c>
      <c r="I14" s="21">
        <f>IF(AND(G14&lt;&gt;"",H14&lt;&gt;""),(YEAR(H14)-YEAR(G14))*12+(MONTH(H14)-MONTH(G14)),"")</f>
        <v/>
      </c>
      <c r="J14" s="36" t="n">
        <v>46202</v>
      </c>
      <c r="L14" s="21" t="inlineStr">
        <is>
          <t>V2.3</t>
        </is>
      </c>
      <c r="M14" s="21" t="inlineStr">
        <is>
          <t>Draft</t>
        </is>
      </c>
      <c r="N14" s="21" t="inlineStr">
        <is>
          <t>Migrated — not revalidated</t>
        </is>
      </c>
      <c r="O14" s="21" t="inlineStr">
        <is>
          <t>Internal only</t>
        </is>
      </c>
      <c r="P14" s="35" t="n">
        <v>0.1985</v>
      </c>
      <c r="Q14" s="21">
        <f>IF(P14="","",IF(P14&gt;0.5,"Growth &gt;50%",IF(P14&gt;0.1,"Growth 10-50%",IF(P14&gt;=-0.1,"Flat",IF(P14&gt;=-0.25,"Decline 10-25%",IF(P14&gt;=-0.5,"Decline 25-50%",IF(P14&gt;=-0.75,"Decline 50-75%","Decline &gt;75%")))))))</f>
        <v/>
      </c>
      <c r="R14" s="21" t="inlineStr">
        <is>
          <t>Grew</t>
        </is>
      </c>
      <c r="S14" s="21" t="inlineStr">
        <is>
          <t>Decline then Recovery</t>
        </is>
      </c>
      <c r="T14" s="21" t="inlineStr">
        <is>
          <t>Growing</t>
        </is>
      </c>
      <c r="U14" s="21" t="inlineStr">
        <is>
          <t>Partial</t>
        </is>
      </c>
      <c r="V14" s="21" t="inlineStr">
        <is>
          <t>Mixed (Phase-dependent)</t>
        </is>
      </c>
      <c r="W14" s="21" t="inlineStr">
        <is>
          <t>Algorithm Update (Phase 1); Search Demand Shift (Phase 1); Content Quality (Phase 2)</t>
        </is>
      </c>
      <c r="X14" s="21" t="inlineStr">
        <is>
          <t>Medium</t>
        </is>
      </c>
      <c r="Y14" s="21" t="inlineStr">
        <is>
          <t>Moderate</t>
        </is>
      </c>
      <c r="Z14" s="21" t="inlineStr">
        <is>
          <t>High</t>
        </is>
      </c>
      <c r="AA14" s="21" t="inlineStr">
        <is>
          <t>No</t>
        </is>
      </c>
      <c r="AB14" s="21" t="inlineStr">
        <is>
          <t>No conclusion</t>
        </is>
      </c>
      <c r="AC14" s="21" t="n">
        <v>0.756</v>
      </c>
      <c r="AE14" s="21" t="inlineStr">
        <is>
          <t>⚠ No monthly performance file — most significant data gap in record; branded/non-branded split unreliable (Ahrefs labeled library names as branded); Phase 1 decline mechanism not separable without monthly data; window opens 71.9% below Aug 2023 historical peak — within-window +19.85% is a partial recovery; revenue-traffic decoupling causal mechanism unresolved; AI Observation Protocol not run (different protocol needed: AI coding tool citation check)</t>
        </is>
      </c>
      <c r="AF14" s="21" t="inlineStr">
        <is>
          <t>No</t>
        </is>
      </c>
      <c r="AG14" s="21" t="inlineStr">
        <is>
          <t>Unknown</t>
        </is>
      </c>
      <c r="AH14" s="21" t="inlineStr">
        <is>
          <t>Unknown</t>
        </is>
      </c>
      <c r="AJ14" s="21" t="inlineStr">
        <is>
          <t>Ahrefs Export</t>
        </is>
      </c>
      <c r="AK14" s="21" t="inlineStr">
        <is>
          <t>Partial</t>
        </is>
      </c>
      <c r="AL14" s="21" t="inlineStr">
        <is>
          <t>company-records/logrocket.md</t>
        </is>
      </c>
      <c r="AM14" s="21" t="inlineStr">
        <is>
          <t>comparison-briefs/userpilot-posthog.md</t>
        </is>
      </c>
      <c r="AN14" s="21" t="inlineStr">
        <is>
          <t>Low</t>
        </is>
      </c>
      <c r="AO14" s="21" t="inlineStr">
        <is>
          <t>+19.85% net (window opens 71.9% below Aug 2023 peak); Decline then Recovery — Phase 1 -37.2% (Jan-Nov 2025), Phase 2 +90.9% (Nov 2025-Jun 2026); recovery: branded/geographic expansion (+191% 'logrocket' keyword; homepage +179%) + niche/emerging library blog content; 75.6% cannibalization — highest in study (3,150 pages to zero); AI-substitution segmentation: mature library tutorials at high substitution risk; niche/emerging library content resilient; revenue-traffic decoupling ($111M ARR +22% YoY during structural traffic decline)</t>
        </is>
      </c>
      <c r="AP14" s="21" t="inlineStr">
        <is>
          <t>No monthly perf file — largest data gap in study; window start already -71.9% below historical peak (within-window net misleading without this context); branded/non-branded split unreliable; AI displacement is Search Demand Shift via coding tools (not standard AIO pattern — not comparable for AIO analysis); revenue decoupling makes traffic-to-commercial-value inference unreliable</t>
        </is>
      </c>
      <c r="AQ14" s="21" t="inlineStr">
        <is>
          <t>Medium</t>
        </is>
      </c>
    </row>
    <row r="15" ht="15" customHeight="1" s="22">
      <c r="A15" s="21" t="inlineStr">
        <is>
          <t>Freshworks</t>
        </is>
      </c>
      <c r="B15" s="21" t="inlineStr">
        <is>
          <t>freshworks.com</t>
        </is>
      </c>
      <c r="C15" s="21" t="inlineStr">
        <is>
          <t>Customer Support / Help Desk</t>
        </is>
      </c>
      <c r="D15" s="21" t="inlineStr">
        <is>
          <t>B2B SaaS (public company, NASDAQ: FRSH)</t>
        </is>
      </c>
      <c r="E15" s="21" t="inlineStr">
        <is>
          <t>Product-page + support content-led</t>
        </is>
      </c>
      <c r="F15" s="21" t="inlineStr">
        <is>
          <t>Enterprise (~7,500 employees, 2025)</t>
        </is>
      </c>
      <c r="G15" s="36" t="n">
        <v>45658</v>
      </c>
      <c r="H15" s="36" t="n">
        <v>46174</v>
      </c>
      <c r="I15" s="21">
        <f>IF(AND(G15&lt;&gt;"",H15&lt;&gt;""),(YEAR(H15)-YEAR(G15))*12+(MONTH(H15)-MONTH(G15)),"")</f>
        <v/>
      </c>
      <c r="J15" s="36" t="n">
        <v>46202</v>
      </c>
      <c r="L15" s="21" t="inlineStr">
        <is>
          <t>V2.3</t>
        </is>
      </c>
      <c r="M15" s="21" t="inlineStr">
        <is>
          <t>Draft</t>
        </is>
      </c>
      <c r="N15" s="21" t="inlineStr">
        <is>
          <t>Migrated — not revalidated</t>
        </is>
      </c>
      <c r="O15" s="21" t="inlineStr">
        <is>
          <t>Internal only</t>
        </is>
      </c>
      <c r="P15" s="35" t="n">
        <v>-0.4</v>
      </c>
      <c r="Q15" s="21">
        <f>IF(P15="","",IF(P15&gt;0.5,"Growth &gt;50%",IF(P15&gt;0.1,"Growth 10-50%",IF(P15&gt;=-0.1,"Flat",IF(P15&gt;=-0.25,"Decline 10-25%",IF(P15&gt;=-0.5,"Decline 25-50%",IF(P15&gt;=-0.75,"Decline 50-75%","Decline &gt;75%")))))))</f>
        <v/>
      </c>
      <c r="R15" s="21" t="inlineStr">
        <is>
          <t>Declined</t>
        </is>
      </c>
      <c r="S15" s="21" t="inlineStr">
        <is>
          <t>Steady Decline</t>
        </is>
      </c>
      <c r="T15" s="21" t="inlineStr">
        <is>
          <t>Declining</t>
        </is>
      </c>
      <c r="U15" s="21" t="inlineStr">
        <is>
          <t>None</t>
        </is>
      </c>
      <c r="V15" s="21" t="inlineStr">
        <is>
          <t>Content Quality</t>
        </is>
      </c>
      <c r="W15" s="21" t="inlineStr">
        <is>
          <t>Category-wide AI-interception pressure (Low confidence; partial — is-it-down cluster only; 13.6% of noise-adjusted lost-ranking bucket)</t>
        </is>
      </c>
      <c r="X15" s="21" t="inlineStr">
        <is>
          <t>Medium</t>
        </is>
      </c>
      <c r="Y15" s="21" t="inlineStr">
        <is>
          <t>Weak</t>
        </is>
      </c>
      <c r="Z15" s="21" t="inlineStr">
        <is>
          <t>Medium</t>
        </is>
      </c>
      <c r="AA15" s="21" t="inlineStr">
        <is>
          <t>Not tested</t>
        </is>
      </c>
      <c r="AB15" s="21" t="inlineStr">
        <is>
          <t>No conclusion</t>
        </is>
      </c>
      <c r="AE15" s="21" t="inlineStr">
        <is>
          <t>Unexplained ~9% current-side gap between Ahrefs export and Pass 2 figures; branded/non-branded composition not computed (open item); exact month of decline acceleration unknown (two-point data only); category-wide AI-interception not cleanly separated from company-specific redesign effect; AI Observation Protocol not run (is-it-down cluster specifically warrants AIO spot-check); ~4.1% SERP noise estimate in lost-ranking bucket based on top-30 spot check only</t>
        </is>
      </c>
      <c r="AF15" s="21" t="inlineStr">
        <is>
          <t>No</t>
        </is>
      </c>
      <c r="AG15" s="21" t="inlineStr">
        <is>
          <t>Unknown</t>
        </is>
      </c>
      <c r="AH15" s="21" t="inlineStr">
        <is>
          <t>Unknown</t>
        </is>
      </c>
      <c r="AJ15" s="21" t="inlineStr">
        <is>
          <t>Ahrefs Export</t>
        </is>
      </c>
      <c r="AK15" s="21" t="inlineStr">
        <is>
          <t>Partial</t>
        </is>
      </c>
      <c r="AL15" s="21" t="inlineStr">
        <is>
          <t>company-records/freshworks.md</t>
        </is>
      </c>
      <c r="AN15" s="21" t="inlineStr">
        <is>
          <t>High</t>
        </is>
      </c>
      <c r="AO15" s="21" t="inlineStr">
        <is>
          <t>-40.0% Steady Decline; window opens at peak (410,262, Jan 2025) and closes at trough (245,955, Jun 2026); 18,656 of 30,000 sampled keyword rows disappeared from rankings entirely (not eroded, not URL-migrated — wholesale loss); losses span Freshdesk, Freshservice, CRM, 4+ locales; legacy URLs still live with intact backlinks (best falsification of authority-decay explanation: RDs +30.3% while traffic -40.0%); Dew design system launch Dec 1, 2025 externally confirmed; new platform URL paths absorbed tiny fraction of lost traffic; business-strategy deprioritization hypothesis explicitly tested and rejected (Freshdesk lost least despite being slower-growth segment)</t>
        </is>
      </c>
      <c r="AP15" s="21" t="inlineStr">
        <is>
          <t>~9% current-side export gap means current-traffic figure should be cited with caveat; branded/non-branded split not computed; exact redesign rollout timing not confirmed at monthly granularity; category-wide AI-interception contribution cannot be cleanly isolated from redesign effect; URL-bucket methodology not directly comparable to standard Top Pages cannibalization rates in other records</t>
        </is>
      </c>
      <c r="AQ15" s="21" t="inlineStr">
        <is>
          <t>Medium</t>
        </is>
      </c>
    </row>
    <row r="16" ht="15" customHeight="1" s="22">
      <c r="A16" s="21" t="inlineStr">
        <is>
          <t>Vanta</t>
        </is>
      </c>
      <c r="B16" s="21" t="inlineStr">
        <is>
          <t>vanta.com</t>
        </is>
      </c>
      <c r="C16" s="21" t="inlineStr">
        <is>
          <t>Security / Compliance</t>
        </is>
      </c>
      <c r="D16" s="21" t="inlineStr">
        <is>
          <t>B2B SaaS</t>
        </is>
      </c>
      <c r="E16" s="21" t="inlineStr">
        <is>
          <t>Editorial/content-led (compliance framework + GRC resource library)</t>
        </is>
      </c>
      <c r="F16" s="21" t="inlineStr">
        <is>
          <t>Enterprise (~1,000 employees, Apr 2026; $300M ARR)</t>
        </is>
      </c>
      <c r="G16" s="36" t="n">
        <v>45658</v>
      </c>
      <c r="H16" s="36" t="n">
        <v>46174</v>
      </c>
      <c r="I16" s="21">
        <f>IF(AND(G16&lt;&gt;"",H16&lt;&gt;""),(YEAR(H16)-YEAR(G16))*12+(MONTH(H16)-MONTH(G16)),"")</f>
        <v/>
      </c>
      <c r="J16" s="36" t="n">
        <v>46202</v>
      </c>
      <c r="L16" s="21" t="inlineStr">
        <is>
          <t>V2.3</t>
        </is>
      </c>
      <c r="M16" s="21" t="inlineStr">
        <is>
          <t>Draft</t>
        </is>
      </c>
      <c r="N16" s="21" t="inlineStr">
        <is>
          <t>Migrated — not revalidated</t>
        </is>
      </c>
      <c r="O16" s="21" t="inlineStr">
        <is>
          <t>Internal only</t>
        </is>
      </c>
      <c r="P16" s="35" t="n">
        <v>0.603</v>
      </c>
      <c r="Q16" s="21">
        <f>IF(P16="","",IF(P16&gt;0.5,"Growth &gt;50%",IF(P16&gt;0.1,"Growth 10-50%",IF(P16&gt;=-0.1,"Flat",IF(P16&gt;=-0.25,"Decline 10-25%",IF(P16&gt;=-0.5,"Decline 25-50%",IF(P16&gt;=-0.75,"Decline 50-75%","Decline &gt;75%")))))))</f>
        <v/>
      </c>
      <c r="R16" s="21" t="inlineStr">
        <is>
          <t>Grew</t>
        </is>
      </c>
      <c r="S16" s="21" t="inlineStr">
        <is>
          <t>Continuous Acceleration</t>
        </is>
      </c>
      <c r="T16" s="21" t="inlineStr">
        <is>
          <t>Declining</t>
        </is>
      </c>
      <c r="U16" s="21" t="inlineStr">
        <is>
          <t>Not applicable — grew throughout</t>
        </is>
      </c>
      <c r="V16" s="21" t="inlineStr">
        <is>
          <t>Content Quality</t>
        </is>
      </c>
      <c r="W16" s="21" t="inlineStr">
        <is>
          <t>None independent — branded traffic growth (+38.1%) is a secondary aspect of the same product-launch mechanism, not an independent driver</t>
        </is>
      </c>
      <c r="X16" s="21" t="inlineStr">
        <is>
          <t>High</t>
        </is>
      </c>
      <c r="Y16" s="21" t="inlineStr">
        <is>
          <t>Weak</t>
        </is>
      </c>
      <c r="Z16" s="21" t="inlineStr">
        <is>
          <t>Medium</t>
        </is>
      </c>
      <c r="AA16" s="21" t="inlineStr">
        <is>
          <t>Yes</t>
        </is>
      </c>
      <c r="AB16" s="21" t="inlineStr">
        <is>
          <t>Resistant</t>
        </is>
      </c>
      <c r="AE16" s="21" t="inlineStr">
        <is>
          <t>Causal link is timing-and-pattern correlation (no internal publish-date log confirmed); two-page concentration risk (~68% of net from GRC page + homepage); 'soc2' keyword position-2-to-30 collapse trigger unidentified; 'Other brands' composition column volatility unresolved (7,778 Jan 2025 → 29,190 May 2026 → 11,134 Jun 2026); cannibalization rate not formally computed; AI Observation Protocol not run; no Search Console data</t>
        </is>
      </c>
      <c r="AF16" s="21" t="inlineStr">
        <is>
          <t>No</t>
        </is>
      </c>
      <c r="AG16" s="21" t="inlineStr">
        <is>
          <t>Unknown</t>
        </is>
      </c>
      <c r="AH16" s="21" t="inlineStr">
        <is>
          <t>Unknown</t>
        </is>
      </c>
      <c r="AJ16" s="21" t="inlineStr">
        <is>
          <t>Ahrefs Export</t>
        </is>
      </c>
      <c r="AK16" s="21" t="inlineStr">
        <is>
          <t>Partial</t>
        </is>
      </c>
      <c r="AL16" s="21" t="inlineStr">
        <is>
          <t>company-records/vanta.md</t>
        </is>
      </c>
      <c r="AM16" s="21" t="inlineStr">
        <is>
          <t>comparison-briefs/secureframe-vanta.md; comparison-briefs/sprinto-secureframe.md</t>
        </is>
      </c>
      <c r="AN16" s="21" t="inlineStr">
        <is>
          <t>High</t>
        </is>
      </c>
      <c r="AO16" s="21" t="inlineStr">
        <is>
          <t>+60.3% Continuous Acceleration; 'flat, then accelerate' shape with ~1-2 month lag from Agentic Trust Platform launch (Nov 18, 2025 — best-corroborated off-content event in the study); both branded (+38.1%) and non-branded (+159.3%) growing simultaneously (third traffic-composition shape in study's taxonomy); GRC/risk-frameworks page +20,982 (~45% of net); largest loser (what-is-soc-2) fully offset by that one gainer; position-bucket collapse at long-tail (21-50 → 337; 51+ → 7) precedes the acceleration (fourth independent case, third distinct temporal pattern); RDs +192.5% vs. traffic +60.3% — largest RD/traffic % divergence in study; competitors split: Drata +24.1%, Secureframe -35.2% (same category, same window)</t>
        </is>
      </c>
      <c r="AP16" s="21" t="inlineStr">
        <is>
          <t>Causal link is correlation not confirmed mechanism (no internal page-publish-date log); two-page concentration risk — ~68% of net from two pages; 'soc2' head-keyword collapse trigger unresolved; cannibalization not formally computed; AIO resistance is directional only (scattered positions 1-9, not clean position-1 confirmation); company-specific mechanism (product launch) requires similar conditions to generalize (new product with content-addressable expansion + press coverage + existing brand authority)</t>
        </is>
      </c>
      <c r="AQ16" s="21" t="inlineStr">
        <is>
          <t>High</t>
        </is>
      </c>
    </row>
    <row r="17" ht="15" customHeight="1" s="22">
      <c r="A17" s="21" t="inlineStr">
        <is>
          <t>PostHog</t>
        </is>
      </c>
      <c r="B17" s="21" t="inlineStr">
        <is>
          <t>posthog.com</t>
        </is>
      </c>
      <c r="C17" s="21" t="inlineStr">
        <is>
          <t>Product Analytics / Product Management</t>
        </is>
      </c>
      <c r="D17" s="21" t="inlineStr">
        <is>
          <t>B2B SaaS (open source / product-led growth)</t>
        </is>
      </c>
      <c r="E17" s="21" t="inlineStr">
        <is>
          <t>Brand/homepage-led with secondary developer-targeted persona content ("product-engineers" cluster)</t>
        </is>
      </c>
      <c r="F17" s="21" t="inlineStr">
        <is>
          <t>~202 employees (May 2026); $1.4B valuation (unicorn, Oct 2025); ~$57.5M ARR (Feb 2026, +99% YoY)</t>
        </is>
      </c>
      <c r="G17" s="36" t="n">
        <v>45658</v>
      </c>
      <c r="H17" s="36" t="n">
        <v>46174</v>
      </c>
      <c r="I17" s="21">
        <f>IF(AND(G17&lt;&gt;"",H17&lt;&gt;""),(YEAR(H17)-YEAR(G17))*12+(MONTH(H17)-MONTH(G17)),"")</f>
        <v/>
      </c>
      <c r="J17" s="36" t="n">
        <v>46202</v>
      </c>
      <c r="L17" s="21" t="inlineStr">
        <is>
          <t>V2.3</t>
        </is>
      </c>
      <c r="M17" s="21" t="inlineStr">
        <is>
          <t>Draft</t>
        </is>
      </c>
      <c r="N17" s="21" t="inlineStr">
        <is>
          <t>Migrated — not revalidated</t>
        </is>
      </c>
      <c r="O17" s="21" t="inlineStr">
        <is>
          <t>Internal only</t>
        </is>
      </c>
      <c r="P17" s="35" t="n">
        <v>1.314</v>
      </c>
      <c r="Q17" s="21">
        <f>IF(P17="","",IF(P17&gt;0.5,"Growth &gt;50%",IF(P17&gt;0.1,"Growth 10-50%",IF(P17&gt;=-0.1,"Flat",IF(P17&gt;=-0.25,"Decline 10-25%",IF(P17&gt;=-0.5,"Decline 25-50%",IF(P17&gt;=-0.75,"Decline 50-75%","Decline &gt;75%")))))))</f>
        <v/>
      </c>
      <c r="R17" s="21" t="inlineStr">
        <is>
          <t>Grew</t>
        </is>
      </c>
      <c r="S17" s="21" t="inlineStr">
        <is>
          <t>Continuous Acceleration</t>
        </is>
      </c>
      <c r="T17" s="21" t="inlineStr">
        <is>
          <t>Growing</t>
        </is>
      </c>
      <c r="U17" s="21" t="inlineStr">
        <is>
          <t>Not applicable — grew throughout</t>
        </is>
      </c>
      <c r="V17" s="21" t="inlineStr">
        <is>
          <t>Demand Expansion</t>
        </is>
      </c>
      <c r="W17" s="21" t="inlineStr">
        <is>
          <t>Content Quality (secondary, small — "product-engineers" persona content cluster; minor navigational-page gains)</t>
        </is>
      </c>
      <c r="X17" s="21" t="inlineStr">
        <is>
          <t>High</t>
        </is>
      </c>
      <c r="Y17" s="21" t="inlineStr">
        <is>
          <t>None</t>
        </is>
      </c>
      <c r="Z17" s="21" t="inlineStr">
        <is>
          <t>Low</t>
        </is>
      </c>
      <c r="AA17" s="21" t="inlineStr">
        <is>
          <t>Not tested</t>
        </is>
      </c>
      <c r="AB17" s="21" t="inlineStr">
        <is>
          <t>Not tested</t>
        </is>
      </c>
      <c r="AE17" s="21" t="inlineStr">
        <is>
          <t>Search-volume growth inferred from traffic-at-constant-position (no "previous volume" field in keyword export — core limitation); no discrete dateable triggering event identified (unlike Vanta's product-launch case); cross-export "Previous" snapshot gap (~17% below Pass 2 Jan 2025 figure — largest in batch); cannibalization not formally computed; AI Observation Protocol not run; no Search Console data</t>
        </is>
      </c>
      <c r="AF17" s="21" t="inlineStr">
        <is>
          <t>No</t>
        </is>
      </c>
      <c r="AG17" s="21" t="inlineStr">
        <is>
          <t>Unknown</t>
        </is>
      </c>
      <c r="AH17" s="21" t="inlineStr">
        <is>
          <t>Unknown</t>
        </is>
      </c>
      <c r="AJ17" s="21" t="inlineStr">
        <is>
          <t>Ahrefs Export</t>
        </is>
      </c>
      <c r="AK17" s="21" t="inlineStr">
        <is>
          <t>Partial</t>
        </is>
      </c>
      <c r="AL17" s="21" t="inlineStr">
        <is>
          <t>company-records/posthog.md</t>
        </is>
      </c>
      <c r="AM17" s="21" t="inlineStr">
        <is>
          <t>comparison-briefs/userpilot-posthog.md</t>
        </is>
      </c>
      <c r="AN17" s="21" t="inlineStr">
        <is>
          <t>High</t>
        </is>
      </c>
      <c r="AO17" s="21" t="inlineStr">
        <is>
          <t>+131.4% Continuous Acceleration; single-keyword brand concentration ("posthog" keyword, 54 country variants, position 1 constant in both snapshots) = ~95% of net keyword-level gain; homepage = 87% of net page-level gain; branded traffic +186.9% = ~97% of net keyword gain; most lopsided branded/non-branded split in study; first case where dominant explanation is company becoming better known rather than SEO/content execution; ARR +99% YoY + two funding rounds (Series D $70M Jun 2025; Series E $75M Oct 2025) corroborate business-momentum reading; AIO Susceptibility Low; cautionary case: large traffic growth numbers can be passive brand-demand mirrors, not SEO achievements; category tailwind (Mixpanel +84.8%) real but insufficient to explain 1.5x outperformance</t>
        </is>
      </c>
      <c r="AP17" s="21" t="inlineStr">
        <is>
          <t>"Posthog" keyword search-volume growth is inferred, not directly observed (no previous-volume field in export); no discrete triggering event with tight timing evidence (unlike Vanta); cross-export "Previous" snapshot gap largest in this batch; position-bucket-collapse pattern NOT corroborated (minor/absent — consistent with brand-demand-led rather than content-led growth); on-page content change cannot be extracted as a replicable lesson</t>
        </is>
      </c>
      <c r="AQ17" s="21" t="inlineStr">
        <is>
          <t>Medium</t>
        </is>
      </c>
    </row>
    <row r="18" ht="15" customHeight="1" s="22">
      <c r="A18" s="21" t="inlineStr">
        <is>
          <t>Akita</t>
        </is>
      </c>
      <c r="B18" s="21" t="inlineStr">
        <is>
          <t>akitaapp.com</t>
        </is>
      </c>
      <c r="C18" s="21" t="inlineStr">
        <is>
          <t>Customer Success</t>
        </is>
      </c>
      <c r="D18" s="21" t="inlineStr">
        <is>
          <t>B2B SaaS (small; CS health scoring / churn and retention tooling for SaaS companies)</t>
        </is>
      </c>
      <c r="E18" s="21" t="inlineStr">
        <is>
          <t>Blog-led (small site; two blog posts account for ~73% of organic gain)</t>
        </is>
      </c>
      <c r="F18" s="21" t="inlineStr">
        <is>
          <t>Small — negligible disclosed funding (PitchBook: tens of thousands of dollars, likely early seed/incubator)</t>
        </is>
      </c>
      <c r="G18" s="36" t="n">
        <v>45658</v>
      </c>
      <c r="H18" s="36" t="n">
        <v>46174</v>
      </c>
      <c r="I18" s="21">
        <f>IF(AND(G18&lt;&gt;"",H18&lt;&gt;""),(YEAR(H18)-YEAR(G18))*12+(MONTH(H18)-MONTH(G18)),"")</f>
        <v/>
      </c>
      <c r="J18" s="36" t="n">
        <v>46202</v>
      </c>
      <c r="L18" s="21" t="inlineStr">
        <is>
          <t>V2.3</t>
        </is>
      </c>
      <c r="M18" s="21" t="inlineStr">
        <is>
          <t>Draft</t>
        </is>
      </c>
      <c r="N18" s="21" t="inlineStr">
        <is>
          <t>Migrated — not revalidated</t>
        </is>
      </c>
      <c r="O18" s="21" t="inlineStr">
        <is>
          <t>Internal only</t>
        </is>
      </c>
      <c r="P18" s="35" t="n">
        <v>1.858</v>
      </c>
      <c r="Q18" s="21">
        <f>IF(P18="","",IF(P18&gt;0.5,"Growth &gt;50%",IF(P18&gt;0.1,"Growth 10-50%",IF(P18&gt;=-0.1,"Flat",IF(P18&gt;=-0.25,"Decline 10-25%",IF(P18&gt;=-0.5,"Decline 25-50%",IF(P18&gt;=-0.75,"Decline 50-75%","Decline &gt;75%")))))))</f>
        <v/>
      </c>
      <c r="R18" s="21" t="inlineStr">
        <is>
          <t>Grew</t>
        </is>
      </c>
      <c r="S18" s="21" t="inlineStr">
        <is>
          <t>Continuous Acceleration</t>
        </is>
      </c>
      <c r="T18" s="21" t="inlineStr">
        <is>
          <t>Growing</t>
        </is>
      </c>
      <c r="U18" s="21" t="inlineStr">
        <is>
          <t>Not applicable — grew throughout</t>
        </is>
      </c>
      <c r="V18" s="21" t="inlineStr">
        <is>
          <t>Content Quality</t>
        </is>
      </c>
      <c r="W18" s="21" t="inlineStr">
        <is>
          <t>None independent — brand traffic (+31 net) and other pages account for remaining ~27% of net gain</t>
        </is>
      </c>
      <c r="X18" s="21" t="inlineStr">
        <is>
          <t>Medium</t>
        </is>
      </c>
      <c r="Y18" s="21" t="inlineStr">
        <is>
          <t>Weak</t>
        </is>
      </c>
      <c r="Z18" s="21" t="inlineStr">
        <is>
          <t>Medium</t>
        </is>
      </c>
      <c r="AA18" s="21" t="inlineStr">
        <is>
          <t>Not tested</t>
        </is>
      </c>
      <c r="AB18" s="21" t="inlineStr">
        <is>
          <t>Not tested</t>
        </is>
      </c>
      <c r="AE18" s="21" t="inlineStr">
        <is>
          <t>No monthly perf/trend CSV exists (first case in study without one — shape inferred from Pass 2 summary + keyword date stamps; re-check if file becomes available); on-page content change inference not confirmed (no Wayback Machine comparison run); algorithm-update timing overlap not fully ruled out; position-bucket snapshot-size asymmetry (2,480 previous vs. 210 current rows — not a clean corroborating case for the Validated pattern); absolute traffic very small (666 total — use percentage framing only); cannibalization not formally computed; AI Observation Protocol not run; no Search Console data</t>
        </is>
      </c>
      <c r="AF18" s="21" t="inlineStr">
        <is>
          <t>No</t>
        </is>
      </c>
      <c r="AG18" s="21" t="inlineStr">
        <is>
          <t>Unknown</t>
        </is>
      </c>
      <c r="AH18" s="21" t="inlineStr">
        <is>
          <t>Unknown</t>
        </is>
      </c>
      <c r="AJ18" s="21" t="inlineStr">
        <is>
          <t>Ahrefs Export</t>
        </is>
      </c>
      <c r="AK18" s="21" t="inlineStr">
        <is>
          <t>Partial</t>
        </is>
      </c>
      <c r="AL18" s="21" t="inlineStr">
        <is>
          <t>company-records/akita.md</t>
        </is>
      </c>
      <c r="AN18" s="21" t="inlineStr">
        <is>
          <t>Medium</t>
        </is>
      </c>
      <c r="AO18" s="21" t="inlineStr">
        <is>
          <t>+185.8% Continuous Acceleration; two-post concentration (steps-to-successful-customer-onboarding +223 = 39% of net; customer-churn-analysis +193 = 34% of net; together 73%); zero backlinks on both driving posts — cleanest "backlinks did not cause this" finding in study (flat zero on the specific pages, not a disproportionate ratio); two distinct mechanisms co-existing: ranking breakthrough (pos ~70-100 → 1-3 on onboarding post) and breadth-of-moderate-position capture (pos 22-36 across many high-vol variants on churn post); non-branded ~94.5% of net gain (content-driven shape); no off-content events found; second-highest growth rate in Customer Success vertical; no category-wide tailwind (5/13 grew, 4 declined); useful counterpoint to PostHog (brand-demand passive mirror vs. identifiable on-page mechanism)</t>
        </is>
      </c>
      <c r="AP18" s="21" t="inlineStr">
        <is>
          <t>No monthly perf/trend CSV — within-window shape inferred from Pass 2 summary and keyword date stamps only; on-page content change not directly confirmed (no content-version comparison run; Ahrefs tracks rankings, not content history); algorithm-update timing overlap not fully ruled out; position-bucket comparison not a clean fifth corroborating case (snapshot-size asymmetry); absolute figures very small (666 total traffic) — percentage-based framing required in any client use</t>
        </is>
      </c>
      <c r="AQ18" s="21" t="inlineStr">
        <is>
          <t>Low</t>
        </is>
      </c>
    </row>
    <row r="19" ht="15" customHeight="1" s="22">
      <c r="A19" s="21" t="inlineStr">
        <is>
          <t>Gladly</t>
        </is>
      </c>
      <c r="B19" s="21" t="inlineStr">
        <is>
          <t>gladly.ai</t>
        </is>
      </c>
      <c r="C19" s="21" t="inlineStr">
        <is>
          <t>Customer Support / Help Desk</t>
        </is>
      </c>
      <c r="D19" s="21" t="inlineStr">
        <is>
          <t>B2B SaaS</t>
        </is>
      </c>
      <c r="E19" s="21" t="inlineStr">
        <is>
          <t>Tool-template-led</t>
        </is>
      </c>
      <c r="F19" s="21" t="inlineStr">
        <is>
          <t>Mid-Market (~230–240 employees, Series E)</t>
        </is>
      </c>
      <c r="G19" s="36" t="n">
        <v>45778</v>
      </c>
      <c r="H19" s="36" t="n">
        <v>46174</v>
      </c>
      <c r="I19" s="21">
        <f>IF(AND(G19&lt;&gt;"",H19&lt;&gt;""),(YEAR(H19)-YEAR(G19))*12+(MONTH(H19)-MONTH(G19)),"")</f>
        <v/>
      </c>
      <c r="J19" s="36" t="n">
        <v>46234</v>
      </c>
      <c r="K19" s="36" t="n">
        <v>46234</v>
      </c>
      <c r="L19" s="21" t="inlineStr">
        <is>
          <t>V2.0</t>
        </is>
      </c>
      <c r="M19" s="21" t="inlineStr">
        <is>
          <t>Final</t>
        </is>
      </c>
      <c r="N19" s="21" t="inlineStr">
        <is>
          <t>N/A — new record</t>
        </is>
      </c>
      <c r="O19" s="21" t="inlineStr">
        <is>
          <t>Internal only</t>
        </is>
      </c>
      <c r="P19" s="21" t="inlineStr">
        <is>
          <t>-41.4%</t>
        </is>
      </c>
      <c r="Q19" s="21" t="inlineStr">
        <is>
          <t>Moderate Decline (30–60%)</t>
        </is>
      </c>
      <c r="R19" s="21" t="inlineStr">
        <is>
          <t>Declined</t>
        </is>
      </c>
      <c r="S19" s="21" t="inlineStr">
        <is>
          <t>2026-07-31</t>
        </is>
      </c>
      <c r="T19" s="21" t="inlineStr">
        <is>
          <t>Declining</t>
        </is>
      </c>
      <c r="U19" s="21" t="inlineStr">
        <is>
          <t>None</t>
        </is>
      </c>
      <c r="V19" s="21" t="inlineStr">
        <is>
          <t>AI-mediated informational demand erosion</t>
        </is>
      </c>
      <c r="W19" s="21" t="inlineStr">
        <is>
          <t>Domain Migration (constrains baseline; not causal for post-peak decline)</t>
        </is>
      </c>
      <c r="X19" s="21" t="inlineStr">
        <is>
          <t>Medium</t>
        </is>
      </c>
      <c r="Y19" s="21" t="inlineStr">
        <is>
          <t>Moderate</t>
        </is>
      </c>
      <c r="Z19" s="21" t="inlineStr">
        <is>
          <t>High</t>
        </is>
      </c>
      <c r="AA19" s="21" t="inlineStr">
        <is>
          <t>Not tested</t>
        </is>
      </c>
      <c r="AB19" s="21" t="inlineStr">
        <is>
          <t>Not tested</t>
        </is>
      </c>
      <c r="AC19" s="21" t="inlineStr">
        <is>
          <t>N/A — domain migration (no Ahrefs comparison data)</t>
        </is>
      </c>
      <c r="AD19" s="21" t="inlineStr">
        <is>
          <t>46.7%</t>
        </is>
      </c>
      <c r="AE19" s="21" t="inlineStr">
        <is>
          <t>Domain migration (gladly.com → gladly.ai ~May 2025; pre-migration baseline unknown); Brand dependence (68.2% of GSC clicks branded); Commercial misalignment (template/script content disconnected from platform buyers); Organic minority channel (~13.9% of sessions); Single-page impression concentration</t>
        </is>
      </c>
      <c r="AF19" s="21" t="inlineStr">
        <is>
          <t>No</t>
        </is>
      </c>
      <c r="AG19" s="21" t="inlineStr">
        <is>
          <t>Unknown</t>
        </is>
      </c>
      <c r="AH19" s="21" t="inlineStr">
        <is>
          <t>Unknown</t>
        </is>
      </c>
      <c r="AI19" s="21" t="inlineStr">
        <is>
          <t>N/A</t>
        </is>
      </c>
      <c r="AJ19" s="21" t="inlineStr">
        <is>
          <t>Full: +GSC+GA4</t>
        </is>
      </c>
      <c r="AK19" s="21" t="inlineStr">
        <is>
          <t>Partial — GSC Chart.csv metrics recomputed; Pages.csv totals corrected; Gross-Loss Offset N/A (domain migration)</t>
        </is>
      </c>
      <c r="AL19" s="21" t="inlineStr">
        <is>
          <t>company-records/gladly.md</t>
        </is>
      </c>
      <c r="AM19" s="21" t="inlineStr">
        <is>
          <t>None</t>
        </is>
      </c>
      <c r="AN19" s="21" t="inlineStr">
        <is>
          <t>Low</t>
        </is>
      </c>
      <c r="AO19" s="21" t="inlineStr">
        <is>
          <t>From Oct 2025 to Jun 2026, property-level impressions grew 47.7% and avg position improved slightly while clicks fell 41.4% — visibility–click divergence consistent with AI-mediated demand erosion on high-susceptibility content; AIO interception is the leading hypothesis, not yet directly tested.</t>
        </is>
      </c>
      <c r="AP19" s="21" t="inlineStr">
        <is>
          <t>Study window constrained by domain migration (gladly.ai launched May 2025); no pre-migration baseline; Ahrefs comparison blank; AIO Observed Effect not tested; Pages.csv vs Chart.csv totals discrepancy documented; key-event type breakdown unavailable</t>
        </is>
      </c>
      <c r="AQ19" s="21" t="inlineStr">
        <is>
          <t>Medium</t>
        </is>
      </c>
    </row>
    <row r="20">
      <c r="A20" s="21" t="inlineStr">
        <is>
          <t>Apollo.io</t>
        </is>
      </c>
      <c r="B20" s="21" t="inlineStr">
        <is>
          <t>apollo.io</t>
        </is>
      </c>
      <c r="C20" s="21" t="inlineStr">
        <is>
          <t>Sales Engagement</t>
        </is>
      </c>
      <c r="D20" s="21" t="inlineStr">
        <is>
          <t>B2B SaaS</t>
        </is>
      </c>
      <c r="E20" s="21" t="inlineStr">
        <is>
          <t>Programmatic</t>
        </is>
      </c>
      <c r="F20" s="21" t="inlineStr">
        <is>
          <t>Mid-Market</t>
        </is>
      </c>
      <c r="G20" s="37" t="n">
        <v>45658</v>
      </c>
      <c r="H20" s="37" t="n">
        <v>46174</v>
      </c>
      <c r="I20" s="21">
        <f>IF(AND(G20&lt;&gt;"",H20&lt;&gt;""),(YEAR(H20)-YEAR(G20))*12+(MONTH(H20)-MONTH(G20)),"")</f>
        <v/>
      </c>
      <c r="J20" s="37" t="n">
        <v>46237</v>
      </c>
      <c r="K20" s="37" t="n">
        <v>46237</v>
      </c>
      <c r="L20" s="21" t="inlineStr">
        <is>
          <t>V2.3</t>
        </is>
      </c>
      <c r="M20" s="21" t="inlineStr">
        <is>
          <t>Draft</t>
        </is>
      </c>
      <c r="N20" s="21" t="inlineStr">
        <is>
          <t>N/A — new record</t>
        </is>
      </c>
      <c r="O20" s="21" t="inlineStr">
        <is>
          <t>Internal only</t>
        </is>
      </c>
      <c r="P20" s="38" t="n">
        <v>0.357</v>
      </c>
      <c r="Q20" s="21">
        <f>IF(P20="","",IF(P20&gt;0.5,"Growth &gt;50%",IF(P20&gt;0.1,"Growth 10-50%",IF(P20&gt;=-0.1,"Flat",IF(P20&gt;=-0.25,"Decline 10-25%",IF(P20&gt;=-0.5,"Decline 25-50%",IF(P20&gt;=-0.75,"Decline 50-75%","Decline &gt;75%")))))))</f>
        <v/>
      </c>
      <c r="R20" s="21" t="inlineStr">
        <is>
          <t>Grew</t>
        </is>
      </c>
      <c r="S20" s="21" t="inlineStr">
        <is>
          <t>Decline then Recovery</t>
        </is>
      </c>
      <c r="T20" s="21" t="inlineStr">
        <is>
          <t>Declining</t>
        </is>
      </c>
      <c r="U20" s="21" t="inlineStr">
        <is>
          <t>Partial</t>
        </is>
      </c>
      <c r="V20" s="21" t="inlineStr">
        <is>
          <t>Algorithmic Reassessment</t>
        </is>
      </c>
      <c r="W20" s="21" t="inlineStr">
        <is>
          <t>Content Quality</t>
        </is>
      </c>
      <c r="X20" s="21" t="inlineStr">
        <is>
          <t>Medium</t>
        </is>
      </c>
      <c r="Y20" s="21" t="inlineStr">
        <is>
          <t>Moderate</t>
        </is>
      </c>
      <c r="Z20" s="21" t="inlineStr">
        <is>
          <t>Medium</t>
        </is>
      </c>
      <c r="AA20" s="21" t="inlineStr">
        <is>
          <t>Not tested</t>
        </is>
      </c>
      <c r="AB20" s="21" t="inlineStr">
        <is>
          <t>Not tested</t>
        </is>
      </c>
      <c r="AC20" s="38" t="n">
        <v>1.286</v>
      </c>
      <c r="AD20" s="38" t="n">
        <v>0.76</v>
      </c>
      <c r="AE20" s="21" t="inlineStr">
        <is>
          <t>Programmatic page collapse (29,339+ URLs lost; floor estimate); extreme homepage dependence (59.2% single URL); brand-dependent keyword portfolio (76% branded in export); non-branded spike (May 2026) unresolved; recovery direction unclear (3-month pullback insufficient to classify); international traffic uncharacterized in US-scoped competitor comparison</t>
        </is>
      </c>
      <c r="AF20" s="21" t="inlineStr">
        <is>
          <t>No</t>
        </is>
      </c>
      <c r="AG20" s="21" t="inlineStr">
        <is>
          <t>Unknown</t>
        </is>
      </c>
      <c r="AH20" s="21" t="inlineStr">
        <is>
          <t>Unknown</t>
        </is>
      </c>
      <c r="AJ20" s="21" t="inlineStr">
        <is>
          <t>Ahrefs Export</t>
        </is>
      </c>
      <c r="AK20" s="21" t="inlineStr">
        <is>
          <t>Yes</t>
        </is>
      </c>
      <c r="AL20" s="21" t="inlineStr">
        <is>
          <t>company-records/apollo-io.md</t>
        </is>
      </c>
      <c r="AN20" s="21" t="inlineStr">
        <is>
          <t>Mixed</t>
        </is>
      </c>
      <c r="AO20" s="21" t="inlineStr">
        <is>
          <t>Grew +35.7% during cohort window (Jan 2025–Jun 2026), which opened near the trough of a prior programmatic visibility collapse. 85.5% of observed gross loss concentrated in /companies/ (23,925 URLs) and /people/ (5,283 URLs) programmatic pages; RDs grew +141.2% over historical window — broad link loss weighs against this pattern; recovery via 51.8% new URLs + 48.2% improving continuing URLs; lost programmatic population did not recover; traffic pulled back 20.9% from May 2026 peak by Aug 2026; cohort outcome accurate but window-sensitive</t>
        </is>
      </c>
      <c r="AP20" s="21" t="inlineStr">
        <is>
          <t>Cohort window (Jan 2025–Jun 2026) opened near trough — Grew classification describes recovery phase, not full historical arc; historical window (Jul 2024–Aug 2026) shows −16.5% net decline; Gross Loss is floor estimate (30K row cap); no GSC/GA4; Organic Competitors US-scoped only; "Other brands" includes Apollo own branded traffic (brand terms not configured in Ahrefs)</t>
        </is>
      </c>
      <c r="AQ20" s="21" t="inlineStr">
        <is>
          <t>Medium — direction and composition of losses credible across multiple corroborating exports; Gross Loss is floor estimate; absence of GSC/GA4 caps mechanism confidence</t>
        </is>
      </c>
    </row>
  </sheetData>
  <autoFilter ref="A2:AM2"/>
  <mergeCells count="1">
    <mergeCell ref="A1:AM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6" customWidth="1" style="21" min="1" max="1"/>
    <col width="90" customWidth="1" style="21" min="2" max="2"/>
  </cols>
  <sheetData>
    <row r="1" ht="30" customHeight="1" s="22">
      <c r="A1" s="39" t="inlineStr">
        <is>
          <t>Field Reference — Controlled Vocabulary</t>
        </is>
      </c>
    </row>
    <row r="2" ht="36" customHeight="1" s="22">
      <c r="A2" s="40" t="inlineStr">
        <is>
          <t>Field</t>
        </is>
      </c>
      <c r="B2" s="41" t="inlineStr">
        <is>
          <t>Allowed Values / Notes</t>
        </is>
      </c>
    </row>
    <row r="3" ht="36" customHeight="1" s="22">
      <c r="A3" s="42" t="inlineStr">
        <is>
          <t>Category</t>
        </is>
      </c>
      <c r="B3" s="43" t="inlineStr">
        <is>
          <t>Developer Tools / Fintech / HR Tech / Security / Product Analytics / Marketing Automation / Sales Engagement / Customer Success / Customer Support / Project Management / Other. Note: B2B SaaS is a Business Model, not a Category.</t>
        </is>
      </c>
    </row>
    <row r="4" ht="36" customHeight="1" s="22">
      <c r="A4" s="42" t="inlineStr">
        <is>
          <t>Business Model</t>
        </is>
      </c>
      <c r="B4" s="43" t="inlineStr">
        <is>
          <t>B2B SaaS / Developer Ecosystem / Fintech / eCommerce / Media-Publisher / Services / Other</t>
        </is>
      </c>
    </row>
    <row r="5" ht="36" customHeight="1" s="22">
      <c r="A5" s="42" t="inlineStr">
        <is>
          <t>Dominant Content Model</t>
        </is>
      </c>
      <c r="B5" s="43" t="inlineStr">
        <is>
          <t>Describes the site's overall organic strategy: Editorial-blog-led / Programmatic / Glossary-definition-led / Integration-led / Comparison-alternative-led / Product-category-led / Tool-template-led / Mixed. Distinct from Dominant Content Type (which page category dominates traffic) — see record.</t>
        </is>
      </c>
    </row>
    <row r="6" ht="36" customHeight="1" s="22">
      <c r="A6" s="42" t="inlineStr">
        <is>
          <t>Company Size</t>
        </is>
      </c>
      <c r="B6" s="43" t="inlineStr">
        <is>
          <t>SMB / Mid-Market / Enterprise / Unknown</t>
        </is>
      </c>
    </row>
    <row r="7" ht="36" customHeight="1" s="22">
      <c r="A7" s="42" t="inlineStr">
        <is>
          <t>Study Duration</t>
        </is>
      </c>
      <c r="B7" s="43" t="inlineStr">
        <is>
          <t>Elapsed months between Study Window Start and End. Formula: (YEAR(end)−YEAR(start))×12+(MONTH(end)−MONTH(start)). Point-to-point elapsed count, not inclusive. Jan 2025 to Jun 2026 = 17. Formula-derived — do not edit manually.</t>
        </is>
      </c>
    </row>
    <row r="8" ht="36" customHeight="1" s="22">
      <c r="A8" s="42" t="inlineStr">
        <is>
          <t>Record Status</t>
        </is>
      </c>
      <c r="B8" s="43" t="inlineStr">
        <is>
          <t>Draft / Verified / Final / Needs Revalidation — reflects publication readiness.</t>
        </is>
      </c>
    </row>
    <row r="9" ht="36" customHeight="1" s="22">
      <c r="A9" s="42" t="inlineStr">
        <is>
          <t>Migration Validation Stage</t>
        </is>
      </c>
      <c r="B9" s="43" t="inlineStr">
        <is>
          <t>N/A — new record / Migrated — not revalidated / Metrics revalidated / Narrative revalidated / Fully revalidated</t>
        </is>
      </c>
    </row>
    <row r="10" ht="36" customHeight="1" s="22">
      <c r="A10" s="42" t="inlineStr">
        <is>
          <t>External Use Status</t>
        </is>
      </c>
      <c r="B10" s="43" t="inlineStr">
        <is>
          <t>Internal only / Client conversations / Client deliverable / Public evidence library. Final Record Status does not imply permission to publish externally.</t>
        </is>
      </c>
    </row>
    <row r="11" ht="36" customHeight="1" s="22">
      <c r="A11" s="42" t="inlineStr">
        <is>
          <t>Traffic Change %</t>
        </is>
      </c>
      <c r="B11" s="43" t="inlineStr">
        <is>
          <t>Stored as decimal (e.g., -0.34 = -34%). Source: Calculation Log.</t>
        </is>
      </c>
    </row>
    <row r="12" ht="36" customHeight="1" s="22">
      <c r="A12" s="42" t="inlineStr">
        <is>
          <t>Decline/Growth Band</t>
        </is>
      </c>
      <c r="B12" s="43" t="inlineStr">
        <is>
          <t>Formula-derived: Growth &gt;50% / Growth 10-50% / Flat / Decline 10-25% / Decline 25-50% / Decline 50-75% / Decline &gt;75%. Do not edit manually.</t>
        </is>
      </c>
    </row>
    <row r="13" ht="36" customHeight="1" s="22">
      <c r="A13" s="42" t="inlineStr">
        <is>
          <t>Outcome</t>
        </is>
      </c>
      <c r="B13" s="43" t="inlineStr">
        <is>
          <t>Grew (&gt;+10%) / Flat (-10% to +10%) / Declined (&lt;-10%)</t>
        </is>
      </c>
    </row>
    <row r="14" ht="36" customHeight="1" s="22">
      <c r="A14" s="42" t="inlineStr">
        <is>
          <t>Traffic Trajectory</t>
        </is>
      </c>
      <c r="B14" s="43" t="inlineStr">
        <is>
          <t>Continuous Acceleration / Steady Growth / Growth then Pullback / Early Peak then Plateau / Early Peak then Decline / Decline then Recovery / Flat / Steady Decline / Volatile. See Trajectory Reference tab.</t>
        </is>
      </c>
    </row>
    <row r="15" ht="36" customHeight="1" s="22">
      <c r="A15" s="42" t="inlineStr">
        <is>
          <t>Current Direction</t>
        </is>
      </c>
      <c r="B15" s="43" t="inlineStr">
        <is>
          <t>Growing / Stable / Declining</t>
        </is>
      </c>
    </row>
    <row r="16" ht="36" customHeight="1" s="22">
      <c r="A16" s="42" t="inlineStr">
        <is>
          <t>Recovery Status</t>
        </is>
      </c>
      <c r="B16" s="43" t="inlineStr">
        <is>
          <t>Full / Partial / None / Not applicable — grew throughout / Too early to assess</t>
        </is>
      </c>
    </row>
    <row r="17" ht="36" customHeight="1" s="22">
      <c r="A17" s="42" t="inlineStr">
        <is>
          <t>Primary Mechanism</t>
        </is>
      </c>
      <c r="B17" s="43" t="inlineStr">
        <is>
          <t>Algorithm Update / AI Overview / AI-mediated informational demand erosion / Cannibalization / Technical / Competition / Content Quality / Demand Expansion / Search Demand Shift / Mixed (Phase-dependent) / Unknown — Mixed (Phase-dependent) used when distinct phases within the study window are better explained by different mechanisms. Full definitions in README.md.</t>
        </is>
      </c>
    </row>
    <row r="18" ht="36" customHeight="1" s="22">
      <c r="A18" s="42" t="inlineStr">
        <is>
          <t>Contributing Mechanisms</t>
        </is>
      </c>
      <c r="B18" s="43" t="inlineStr">
        <is>
          <t>Comma-separated from same list as Primary Mechanism. Blank if none.</t>
        </is>
      </c>
    </row>
    <row r="19" ht="36" customHeight="1" s="22">
      <c r="A19" s="42" t="inlineStr">
        <is>
          <t>Mechanism Confidence</t>
        </is>
      </c>
      <c r="B19" s="43" t="inlineStr">
        <is>
          <t>High / Medium / Low</t>
        </is>
      </c>
    </row>
    <row r="20" ht="36" customHeight="1" s="22">
      <c r="A20" s="42" t="inlineStr">
        <is>
          <t>Algorithm Alignment</t>
        </is>
      </c>
      <c r="B20" s="43" t="inlineStr">
        <is>
          <t>Strong / Moderate / Weak / None / Not assessed — timing between inflection and documented algo update</t>
        </is>
      </c>
    </row>
    <row r="21" ht="36" customHeight="1" s="22">
      <c r="A21" s="42" t="inlineStr">
        <is>
          <t>AIO Portfolio Susceptibility</t>
        </is>
      </c>
      <c r="B21" s="43" t="inlineStr">
        <is>
          <t>High / Medium / Low / Unknown — structural exposure of the query/page portfolio to AI Overview interception; assessed at the portfolio level regardless of observed traffic effects</t>
        </is>
      </c>
    </row>
    <row r="22" ht="36" customHeight="1" s="22">
      <c r="A22" s="21" t="inlineStr">
        <is>
          <t>AIO Presence Observed</t>
        </is>
      </c>
      <c r="B22" s="21" t="inlineStr">
        <is>
          <t>Yes / No / Not tested — whether an AI Overview was directly confirmed on one or more key queries</t>
        </is>
      </c>
    </row>
    <row r="23" ht="36" customHeight="1" s="22">
      <c r="A23" s="21" t="inlineStr">
        <is>
          <t>AIO Observed Effect</t>
        </is>
      </c>
      <c r="B23" s="21" t="inlineStr">
        <is>
          <t>Intercepted / Resistant / Mixed / No conclusion / Not tested — observed traffic response consistent with AI Overview interception or resistance</t>
        </is>
      </c>
    </row>
    <row r="24" ht="36" customHeight="1" s="22">
      <c r="A24" s="42" t="inlineStr">
        <is>
          <t>Gross-Loss Offset Rate</t>
        </is>
      </c>
      <c r="B24" s="43" t="inlineStr">
        <is>
          <t>Gross Loss ÷ Gross Gain from Top Pages export. Decimal. N/A if Gross Gain = 0. Offset Zones: Healthy &lt;30% / Moderate 30–60% / High 60–100% / Extreme &gt;100%.</t>
        </is>
      </c>
    </row>
    <row r="25" ht="36" customHeight="1" s="22">
      <c r="A25" s="42" t="inlineStr">
        <is>
          <t>Top 5 Traffic Share</t>
        </is>
      </c>
      <c r="B25" s="43" t="inlineStr">
        <is>
          <t>Top 5 pages' share of ending-period organic traffic. Decimal. Blank if not computed.</t>
        </is>
      </c>
    </row>
    <row r="26" ht="36" customHeight="1" s="22">
      <c r="A26" s="42" t="inlineStr">
        <is>
          <t>Risk Flags</t>
        </is>
      </c>
      <c r="B26" s="43" t="inlineStr">
        <is>
          <t>Long-tail observations only: Single-page risk / Brand-dependent / International subfolder issue / Migration-related / Programmatic sprawl / Intent mismatch / Index bloat / Successful content replacement / Legacy-content dependence / Homepage dependence</t>
        </is>
      </c>
    </row>
    <row r="27" ht="36" customHeight="1" s="22">
      <c r="A27" s="42" t="inlineStr">
        <is>
          <t>AI Discoverability Measured</t>
        </is>
      </c>
      <c r="B27" s="43" t="inlineStr">
        <is>
          <t>Yes / No</t>
        </is>
      </c>
    </row>
    <row r="28" ht="36" customHeight="1" s="22">
      <c r="A28" s="42" t="inlineStr">
        <is>
          <t>AI Discoverability Trend</t>
        </is>
      </c>
      <c r="B28" s="43" t="inlineStr">
        <is>
          <t>Improving / Stable / Declining / Unknown. Must be paired with 'Trend Compared To' in the record (Initial measurement / Previous quarterly assessment / Previous annual assessment / Other). 'Improving' without a reference period is not interpretable.</t>
        </is>
      </c>
    </row>
    <row r="29" ht="36" customHeight="1" s="22">
      <c r="A29" s="42" t="inlineStr">
        <is>
          <t>Trend Compared To</t>
        </is>
      </c>
      <c r="B29" s="43" t="inlineStr">
        <is>
          <t>Initial measurement / Previous quarterly assessment / Previous annual assessment / Other — specify. Required whenever AI Discoverability Trend is not Unknown.</t>
        </is>
      </c>
    </row>
    <row r="30" ht="36" customHeight="1" s="22">
      <c r="A30" s="42" t="inlineStr">
        <is>
          <t>AI Visibility Strength</t>
        </is>
      </c>
      <c r="B30" s="43" t="inlineStr">
        <is>
          <t>High / Medium / Low / Unknown — classify per current thresholds in _ai-discoverability-methodology.md. Thresholds may evolve; the methodology doc carries the changelog. Always document prompt set scope in the record's Coverage section.</t>
        </is>
      </c>
    </row>
    <row r="31" ht="36" customHeight="1" s="22">
      <c r="A31" s="42" t="inlineStr">
        <is>
          <t>AI Data Source</t>
        </is>
      </c>
      <c r="B31" s="43" t="inlineStr">
        <is>
          <t>Profound / Scrunch / Internal prompt library / Manual testing / Mixed</t>
        </is>
      </c>
    </row>
    <row r="32" ht="36" customHeight="1" s="22">
      <c r="A32" s="42" t="inlineStr">
        <is>
          <t>Data Provenance</t>
        </is>
      </c>
      <c r="B32" s="43" t="inlineStr">
        <is>
          <t>Ahrefs Export / Ahrefs Dashboard / Ahrefs Export + Semrush / Ahrefs Export + Similarweb / Full: +GSC+GA4 / Mixed</t>
        </is>
      </c>
    </row>
    <row r="33" ht="36" customHeight="1" s="22">
      <c r="A33" s="42" t="inlineStr">
        <is>
          <t>Calculation Verified</t>
        </is>
      </c>
      <c r="B33" s="43" t="inlineStr">
        <is>
          <t>Yes = all key metrics recomputed and passed reconciliation / Partial = some metrics reproduced / No = figures carried without recomputation</t>
        </is>
      </c>
    </row>
    <row r="34" ht="36" customHeight="1" s="22">
      <c r="A34" s="21" t="inlineStr">
        <is>
          <t>Measurement Reliability</t>
        </is>
      </c>
      <c r="B34" s="21" t="inlineStr">
        <is>
          <t>High / Medium / Low / Unverified — reliability of the underlying traffic observation itself, separate from mechanism confidence. High: multiple exports reconcile at sufficient scale and coverage. Medium: direction credible but magnitude or coverage has limitations. Low: small base, missing trend data, asymmetric samples, or major vendor limitations. Unverified: migrated figures not recomputed from source exports.</t>
        </is>
      </c>
    </row>
    <row r="35" ht="23.25" customHeight="1" s="22">
      <c r="A35" s="42" t="inlineStr">
        <is>
          <t>Related Documents</t>
        </is>
      </c>
      <c r="B35" s="43" t="inlineStr">
        <is>
          <t>Filenames of comparison briefs, synthesis docs, studies, or report references. Comma-separated. None if not applicable.</t>
        </is>
      </c>
    </row>
    <row r="36" ht="15" customHeight="1" s="22">
      <c r="A36" s="21" t="inlineStr">
        <is>
          <t>Commercial Alignment</t>
        </is>
      </c>
      <c r="B36" s="21" t="inlineStr">
        <is>
          <t>High / Medium / Low / Mixed / Unknown — degree to which the site's organic search footprint is topically connected to the company's commercial positioning. High: traffic is predominantly from queries directly relevant to the product's buyers. Mixed: meaningful share of traffic is from tangentially related content. Low: most traffic comes from content unrelated to the commercial proposition.</t>
        </is>
      </c>
    </row>
    <row r="37" ht="23.25" customHeight="1" s="22">
      <c r="A37" s="42" t="inlineStr">
        <is>
          <t>Comp Summary</t>
        </is>
      </c>
      <c r="B37" s="43" t="inlineStr">
        <is>
          <t>One sentence: observable pattern and why this record is useful as a comp. Client-readable. No settled causal claims for medium/low-confidence attributions.</t>
        </is>
      </c>
    </row>
    <row r="38" ht="15" customHeight="1" s="22">
      <c r="A38" s="42" t="inlineStr">
        <is>
          <t>Comparison Limitations</t>
        </is>
      </c>
      <c r="B38" s="43" t="inlineStr">
        <is>
          <t>One sentence: where the analogy breaks. Essential for client-facing use.</t>
        </is>
      </c>
    </row>
    <row r="39" ht="23.25" customHeight="1" s="22">
      <c r="A39" s="42" t="inlineStr">
        <is>
          <t>Source of Truth</t>
        </is>
      </c>
      <c r="B39" s="43" t="inlineStr">
        <is>
          <t>The markdown record is authoritative. The index is a retrieval layer. Correct the index from the record when they disagree.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6" customWidth="1" style="21" min="1" max="1"/>
    <col width="62" customWidth="1" style="21" min="2" max="2"/>
    <col width="28" customWidth="1" style="21" min="3" max="3"/>
  </cols>
  <sheetData>
    <row r="1" ht="30" customHeight="1" s="22">
      <c r="A1" s="39" t="inlineStr">
        <is>
          <t>Official Traffic Trajectory Taxonomy — 9 Approved Values</t>
        </is>
      </c>
    </row>
    <row r="2" ht="51.75" customHeight="1" s="22">
      <c r="A2" s="41" t="inlineStr">
        <is>
          <t>Label</t>
        </is>
      </c>
      <c r="B2" s="41" t="inlineStr">
        <is>
          <t>Definition</t>
        </is>
      </c>
      <c r="C2" s="41" t="inlineStr">
        <is>
          <t>Example Companies</t>
        </is>
      </c>
    </row>
    <row r="3" ht="51.75" customHeight="1" s="22">
      <c r="A3" s="43" t="inlineStr">
        <is>
          <t>Continuous Acceleration</t>
        </is>
      </c>
      <c r="B3" s="43" t="inlineStr">
        <is>
          <t>Study-window peak is the most recent month (or within 1–2 months of window end), with no meaningful pullback.</t>
        </is>
      </c>
      <c r="C3" s="43" t="inlineStr">
        <is>
          <t>Gainsight, Apollo, ZoomInfo</t>
        </is>
      </c>
    </row>
    <row r="4" ht="51.75" customHeight="1" s="22">
      <c r="A4" s="43" t="inlineStr">
        <is>
          <t>Steady Growth</t>
        </is>
      </c>
      <c r="B4" s="43" t="inlineStr">
        <is>
          <t>Consistent upward movement without a sharp early spike. More gradual and linear than Continuous Acceleration.</t>
        </is>
      </c>
      <c r="C4" s="43" t="n"/>
    </row>
    <row r="5" ht="51.75" customHeight="1" s="22">
      <c r="A5" s="43" t="inlineStr">
        <is>
          <t>Growth then Pullback</t>
        </is>
      </c>
      <c r="B5" s="43" t="inlineStr">
        <is>
          <t>Growth followed by a meaningful pullback — but still nets Grew (&gt;+10%) at window end.</t>
        </is>
      </c>
      <c r="C5" s="43" t="n"/>
    </row>
    <row r="6" ht="51.75" customHeight="1" s="22">
      <c r="A6" s="43" t="inlineStr">
        <is>
          <t>Early Peak then Plateau</t>
        </is>
      </c>
      <c r="B6" s="43" t="inlineStr">
        <is>
          <t>Peak occurs early (months 1–4 of 18), followed by flattening rather than sustained decline.</t>
        </is>
      </c>
      <c r="C6" s="43" t="n"/>
    </row>
    <row r="7" ht="51.75" customHeight="1" s="22">
      <c r="A7" s="43" t="inlineStr">
        <is>
          <t>Early Peak then Decline</t>
        </is>
      </c>
      <c r="B7" s="43" t="inlineStr">
        <is>
          <t>Peak early in window, followed by sustained decline. Nets Flat or Declined. Also use when company recovers some ground but still nets Declined.</t>
        </is>
      </c>
      <c r="C7" s="43" t="n"/>
    </row>
    <row r="8" ht="51.75" customHeight="1" s="22">
      <c r="A8" s="43" t="inlineStr">
        <is>
          <t>Decline then Recovery</t>
        </is>
      </c>
      <c r="B8" s="43" t="inlineStr">
        <is>
          <t>Late-window recovery brings company back to Flat-range (±10% start-to-end). If still net Declined, use Early Peak then Decline.</t>
        </is>
      </c>
      <c r="C8" s="43" t="inlineStr">
        <is>
          <t>Planhat, ClientSuccess, Rocketlane, EverAfter</t>
        </is>
      </c>
    </row>
    <row r="9" ht="51.75" customHeight="1" s="22">
      <c r="A9" s="43" t="inlineStr">
        <is>
          <t>Flat</t>
        </is>
      </c>
      <c r="B9" s="43" t="inlineStr">
        <is>
          <t>Net classification Flat (±10%), no oscillating pattern of Volatile.</t>
        </is>
      </c>
      <c r="C9" s="43" t="n"/>
    </row>
    <row r="10" ht="51.75" customHeight="1" s="22">
      <c r="A10" s="43" t="inlineStr">
        <is>
          <t>Steady Decline</t>
        </is>
      </c>
      <c r="B10" s="43" t="inlineStr">
        <is>
          <t>Gradual, fairly linear downward trend without a sharp early high point.</t>
        </is>
      </c>
      <c r="C10" s="43" t="n"/>
    </row>
    <row r="11" ht="51.75" customHeight="1" s="22">
      <c r="A11" s="43" t="inlineStr">
        <is>
          <t>Volatile</t>
        </is>
      </c>
      <c r="B11" s="43" t="inlineStr">
        <is>
          <t>Oscillates with no clear sustained directional trend, regardless of net classification.</t>
        </is>
      </c>
      <c r="C11" s="43" t="inlineStr">
        <is>
          <t>Klaviyo, ContactPigeon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2026-07-11T19:13:41Z</dcterms:created>
  <dcterms:modified xmlns:dcterms="http://purl.org/dc/terms/" xmlns:xsi="http://www.w3.org/2001/XMLSchema-instance" xsi:type="dcterms:W3CDTF">2026-08-03T14:46:06Z</dcterms:modified>
  <cp:revision>0</cp:revision>
</cp:coreProperties>
</file>