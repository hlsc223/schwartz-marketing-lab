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Field Reference" sheetId="2" state="visible" r:id="rId4"/>
    <sheet name="Pass 2" sheetId="3" state="visible" r:id="rId5"/>
    <sheet name="Pass 1 Archive" sheetId="4" state="visible" r:id="rId6"/>
    <sheet name="Deep Dive Database" sheetId="5" state="visible" r:id="rId7"/>
    <sheet name="Comparison Group Database" sheetId="6" state="visible" r:id="rId8"/>
    <sheet name="Research Log" sheetId="7" state="visible" r:id="rId9"/>
    <sheet name="Pattern Tracker" sheetId="8" state="visible" r:id="rId10"/>
    <sheet name="Lists" sheetId="9" state="hidden"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<sst xmlns="http://schemas.openxmlformats.org/spreadsheetml/2006/main" count="4446" uniqueCount="1463">
  <si>
    <t xml:space="preserve">S.LAB Research Project #1 — Dashboard</t>
  </si>
  <si>
    <t xml:space="preserve">Pulls live from Candidate Companies / Deep Dive Database / Comparison Group Database. Do not type values into column B below row 5 except where noted.</t>
  </si>
  <si>
    <t xml:space="preserve">Metric</t>
  </si>
  <si>
    <t xml:space="preserve">Count</t>
  </si>
  <si>
    <t xml:space="preserve">Companies screened</t>
  </si>
  <si>
    <t xml:space="preserve">Companies included</t>
  </si>
  <si>
    <t xml:space="preserve">Companies excluded</t>
  </si>
  <si>
    <t xml:space="preserve">Companies pending decision</t>
  </si>
  <si>
    <t xml:space="preserve">Traffic classifications complete</t>
  </si>
  <si>
    <t xml:space="preserve">  — Grew</t>
  </si>
  <si>
    <t xml:space="preserve">  — Flat</t>
  </si>
  <si>
    <t xml:space="preserve">  — Declined</t>
  </si>
  <si>
    <t xml:space="preserve">Deep dives selected</t>
  </si>
  <si>
    <t xml:space="preserve">Deep dives complete</t>
  </si>
  <si>
    <t xml:space="preserve">Comparison reviews selected</t>
  </si>
  <si>
    <t xml:space="preserve">Comparison reviews complete</t>
  </si>
  <si>
    <t xml:space="preserve">Patterns logged</t>
  </si>
  <si>
    <t xml:space="preserve">Research log entries</t>
  </si>
  <si>
    <t xml:space="preserve">Companies included by category (target 10 each)</t>
  </si>
  <si>
    <t xml:space="preserve">Category</t>
  </si>
  <si>
    <t xml:space="preserve">Included</t>
  </si>
  <si>
    <t xml:space="preserve">Target</t>
  </si>
  <si>
    <t xml:space="preserve">Sales Engagement / Sales Intelligence</t>
  </si>
  <si>
    <t xml:space="preserve">Marketing Automation</t>
  </si>
  <si>
    <t xml:space="preserve">Customer Support / Help Desk</t>
  </si>
  <si>
    <t xml:space="preserve">Customer Success</t>
  </si>
  <si>
    <t xml:space="preserve">HR / People Operations</t>
  </si>
  <si>
    <t xml:space="preserve">Finance / Spend Management</t>
  </si>
  <si>
    <t xml:space="preserve">Project Management / Collaboration</t>
  </si>
  <si>
    <t xml:space="preserve">Developer Tools / DevOps</t>
  </si>
  <si>
    <t xml:space="preserve">Security / Compliance</t>
  </si>
  <si>
    <t xml:space="preserve">Product Analytics / Product Management</t>
  </si>
  <si>
    <t xml:space="preserve">Total</t>
  </si>
  <si>
    <t xml:space="preserve">Field Reference — schema documentation for every tab in this workbook</t>
  </si>
  <si>
    <t xml:space="preserve">Read this before entering data. Each row documents one column: what it is, its data type, and its dropdown values (if any). Column order here matches the actual workflow order in each tab — it is not alphabetical.</t>
  </si>
  <si>
    <t xml:space="preserve">Tab</t>
  </si>
  <si>
    <t xml:space="preserve">Column</t>
  </si>
  <si>
    <t xml:space="preserve">Description</t>
  </si>
  <si>
    <t xml:space="preserve">Data Type</t>
  </si>
  <si>
    <t xml:space="preserve">Dropdown Values / Notes</t>
  </si>
  <si>
    <t xml:space="preserve">Company Tracker</t>
  </si>
  <si>
    <t xml:space="preserve">Company Name</t>
  </si>
  <si>
    <t xml:space="preserve">Locked/included company. Join key used across Pass 1 Archive, Deep Dive Database, and Comparison Group Database — must match exactly across all four sheets.</t>
  </si>
  <si>
    <t xml:space="preserve">Text</t>
  </si>
  <si>
    <t xml:space="preserve">Sourcing category carried over from Pass 1 Archive at lock time.</t>
  </si>
  <si>
    <t xml:space="preserve">Dropdown</t>
  </si>
  <si>
    <t xml:space="preserve">10 locked categories (see Lists tab)</t>
  </si>
  <si>
    <t xml:space="preserve">Jan 2025 Traffic</t>
  </si>
  <si>
    <t xml:space="preserve">Organic traffic at study window start. From Ahrefs Performance report export.</t>
  </si>
  <si>
    <t xml:space="preserve">Number</t>
  </si>
  <si>
    <t xml:space="preserve">Jun 2026 Traffic</t>
  </si>
  <si>
    <t xml:space="preserve">Organic traffic at study window end.</t>
  </si>
  <si>
    <t xml:space="preserve">Traffic % Change</t>
  </si>
  <si>
    <t xml:space="preserve">Auto-calculated. Do not type into this column.</t>
  </si>
  <si>
    <t xml:space="preserve">Formula</t>
  </si>
  <si>
    <t xml:space="preserve">Jan 2025 Traffic Value</t>
  </si>
  <si>
    <t xml:space="preserve">Ahrefs Organic Traffic Value at study window start.</t>
  </si>
  <si>
    <t xml:space="preserve">Jun 2026 Traffic Value</t>
  </si>
  <si>
    <t xml:space="preserve">Ahrefs Organic Traffic Value at study window end.</t>
  </si>
  <si>
    <t xml:space="preserve">Traffic Value % Change</t>
  </si>
  <si>
    <t xml:space="preserve">Jan 2025 Referring Domains</t>
  </si>
  <si>
    <t xml:space="preserve">Ahrefs Referring Domains at study window start.</t>
  </si>
  <si>
    <t xml:space="preserve">Jun 2026 Referring Domains</t>
  </si>
  <si>
    <t xml:space="preserve">Ahrefs Referring Domains at study window end.</t>
  </si>
  <si>
    <t xml:space="preserve">Referring Domains % Change</t>
  </si>
  <si>
    <t xml:space="preserve">Study Window Peak Traffic</t>
  </si>
  <si>
    <t xml:space="preserve">Highest monthly organic traffic observed WITHIN the study window (Jan 2025-June 2026) only.</t>
  </si>
  <si>
    <t xml:space="preserve">Study Window Peak Month</t>
  </si>
  <si>
    <t xml:space="preserve">Month the within-window peak occurred (e.g., "March 2026"). Pairs with Study Window Peak Traffic.</t>
  </si>
  <si>
    <t xml:space="preserve">Historical Peak Traffic</t>
  </si>
  <si>
    <t xml:space="preserve">All-time peak monthly organic traffic, including before the study window (expanded to all 100 companies as of V1.2 - previously Pass-3-only). Pairs with Historical Peak Month.</t>
  </si>
  <si>
    <t xml:space="preserve">Historical Peak Month</t>
  </si>
  <si>
    <t xml:space="preserve">Month the all-time historical peak occurred. May fall before or during the study window.</t>
  </si>
  <si>
    <t xml:space="preserve">Distance from Historical Peak %</t>
  </si>
  <si>
    <t xml:space="preserve">Auto-calculated: how current (Jun 2026) traffic compares to the company's all-time historical peak. Negative = still below all-time peak; positive = has exceeded it.</t>
  </si>
  <si>
    <t xml:space="preserve">Traffic Trajectory</t>
  </si>
  <si>
    <t xml:space="preserve">Describes how the company arrived at its Classification using the within-study-window time series only - shape, not outcome. Official 9-value taxonomy - choose closest match rather than inventing a new label.</t>
  </si>
  <si>
    <t xml:space="preserve">Continuous Acceleration, Steady Growth, Growth then Pullback, Early Peak then Plateau, Early Peak then Decline, Decline then Recovery, Flat, Steady Decline, Volatile</t>
  </si>
  <si>
    <t xml:space="preserve">Classification</t>
  </si>
  <si>
    <t xml:space="preserve">Pass 2 outcome, determined from the study window only.</t>
  </si>
  <si>
    <t xml:space="preserve">Grew, Flat, Declined</t>
  </si>
  <si>
    <t xml:space="preserve">Notes</t>
  </si>
  <si>
    <t xml:space="preserve">Freeform.</t>
  </si>
  <si>
    <t xml:space="preserve">Pass 1 Archive</t>
  </si>
  <si>
    <t xml:space="preserve">Join key. Every candidate ever screened gets a row here, regardless of Inclusion Decision.</t>
  </si>
  <si>
    <t xml:space="preserve">Website/Domain</t>
  </si>
  <si>
    <t xml:space="preserve">Primary domain used for Ahrefs lookups.</t>
  </si>
  <si>
    <t xml:space="preserve">Text (URL)</t>
  </si>
  <si>
    <t xml:space="preserve">Sourcing category from the locked 10-category list (Section 3 of operating manual). Source of truth for the Category field carried over to Company Tracker at lock time.</t>
  </si>
  <si>
    <t xml:space="preserve">Date Added</t>
  </si>
  <si>
    <t xml:space="preserve">Date the candidate was first logged.</t>
  </si>
  <si>
    <t xml:space="preserve">Date</t>
  </si>
  <si>
    <t xml:space="preserve">Source List</t>
  </si>
  <si>
    <t xml:space="preserve">Where the candidate was discovered.</t>
  </si>
  <si>
    <t xml:space="preserve">G2, Crozdesk, GetApp, Capterra, Other</t>
  </si>
  <si>
    <t xml:space="preserve">Source URL</t>
  </si>
  <si>
    <t xml:space="preserve">Link to the specific G2/directory page the candidate was pulled from.</t>
  </si>
  <si>
    <t xml:space="preserve">Screened By</t>
  </si>
  <si>
    <t xml:space="preserve">Who ran the inclusion screen.</t>
  </si>
  <si>
    <t xml:space="preserve">Screening Date</t>
  </si>
  <si>
    <t xml:space="preserve">Date the inclusion screen was run.</t>
  </si>
  <si>
    <t xml:space="preserve">B2B SaaS Confirmed?</t>
  </si>
  <si>
    <t xml:space="preserve">Gate 1 - quick judgment call from the company's own homepage.</t>
  </si>
  <si>
    <t xml:space="preserve">Yes, No</t>
  </si>
  <si>
    <t xml:space="preserve">One-Line Description</t>
  </si>
  <si>
    <t xml:space="preserve">What the company sells, in plain language.</t>
  </si>
  <si>
    <t xml:space="preserve">Founded Year</t>
  </si>
  <si>
    <t xml:space="preserve">From Crunchbase or company site.</t>
  </si>
  <si>
    <t xml:space="preserve">Public/Private</t>
  </si>
  <si>
    <t xml:space="preserve">From Crunchbase.</t>
  </si>
  <si>
    <t xml:space="preserve">Public, Private</t>
  </si>
  <si>
    <t xml:space="preserve">LinkedIn Employee Count</t>
  </si>
  <si>
    <t xml:space="preserve">Descriptive metadata only (V1.1) - not a screening gate. Standardized single source; do not average across conflicting sources.</t>
  </si>
  <si>
    <t xml:space="preserve">Employee Count Source/Date</t>
  </si>
  <si>
    <t xml:space="preserve">E.g. 'LinkedIn, 2026-07-01' - keeps the standardization auditable.</t>
  </si>
  <si>
    <t xml:space="preserve">Funding Status / Total Raised</t>
  </si>
  <si>
    <t xml:space="preserve">M&amp;A Status</t>
  </si>
  <si>
    <t xml:space="preserve">Gate 2 - exclude if the M&amp;A/rebrand was recent or disruptive enough to break continuous attributable history; include-with-flag if clean. Requires a documented treatment decision, not just a status label.</t>
  </si>
  <si>
    <t xml:space="preserve">Independent, Acquired, Merged, Rebranded</t>
  </si>
  <si>
    <t xml:space="preserve">M&amp;A Notes</t>
  </si>
  <si>
    <t xml:space="preserve">Date, acquirer, and the treatment decision reasoning.</t>
  </si>
  <si>
    <t xml:space="preserve">Domain Stable During Window?</t>
  </si>
  <si>
    <t xml:space="preserve">Gate 3 - No = exclude (breaks Ahrefs trend continuity).</t>
  </si>
  <si>
    <t xml:space="preserve">Primary ICP</t>
  </si>
  <si>
    <t xml:space="preserve">Company's own stated target customer - not G2's segment grid.</t>
  </si>
  <si>
    <t xml:space="preserve">SMB, Mid-Market, Enterprise</t>
  </si>
  <si>
    <t xml:space="preserve">Buying Motion</t>
  </si>
  <si>
    <t xml:space="preserve">Metadata only, not a selection criterion.</t>
  </si>
  <si>
    <t xml:space="preserve">PLG, Sales-led, Hybrid</t>
  </si>
  <si>
    <t xml:space="preserve">Primary Buyer</t>
  </si>
  <si>
    <t xml:space="preserve">Technical, Non-technical</t>
  </si>
  <si>
    <t xml:space="preserve">Non-Core Asset Flag</t>
  </si>
  <si>
    <t xml:space="preserve">Yes if a free tool/calculator/template library/content hub drives a meaningful share of traffic. A flag, not an exclusion.</t>
  </si>
  <si>
    <t xml:space="preserve">Non-Core Asset Notes</t>
  </si>
  <si>
    <t xml:space="preserve">What the non-core asset is, if flagged.</t>
  </si>
  <si>
    <t xml:space="preserve">Inclusion Decision</t>
  </si>
  <si>
    <t xml:space="preserve">Final screening outcome across all 5 gates. Keep excluded rows - don't delete them. Include = company is also added to Company Tracker.</t>
  </si>
  <si>
    <t xml:space="preserve">Include, Exclude, Pending</t>
  </si>
  <si>
    <t xml:space="preserve">Exclusion Reason</t>
  </si>
  <si>
    <t xml:space="preserve">Required if Inclusion Decision = Exclude. 'Looked fine' is not an acceptable reason.</t>
  </si>
  <si>
    <t xml:space="preserve">Selected for Deep Dive?</t>
  </si>
  <si>
    <t xml:space="preserve">Top 8-10 growth winners, selected after Pass 2 classification.</t>
  </si>
  <si>
    <t xml:space="preserve">Selected for Comparison Group?</t>
  </si>
  <si>
    <t xml:space="preserve">~8 decliners, selected after Pass 2 classification.</t>
  </si>
  <si>
    <t xml:space="preserve">Research Status</t>
  </si>
  <si>
    <t xml:space="preserve">Overall review progress for this company.</t>
  </si>
  <si>
    <t xml:space="preserve">Not Started, In Progress, Complete</t>
  </si>
  <si>
    <t xml:space="preserve">Tags</t>
  </si>
  <si>
    <t xml:space="preserve">Freeform, comma-separated (e.g. 'PLG, comparison-pages-heavy').</t>
  </si>
  <si>
    <t xml:space="preserve">Last Updated</t>
  </si>
  <si>
    <t xml:space="preserve">Bump whenever the row changes.</t>
  </si>
  <si>
    <t xml:space="preserve">Deep Dive Database</t>
  </si>
  <si>
    <t xml:space="preserve">Typed key - must match a Company Name in Company Tracker exactly.</t>
  </si>
  <si>
    <t xml:space="preserve">Category / Traffic Start/End / % Change / Ref. Domains Start/End</t>
  </si>
  <si>
    <t xml:space="preserve">Auto-pulled via VLOOKUP from Company Tracker. Do not type.</t>
  </si>
  <si>
    <t xml:space="preserve">Employees</t>
  </si>
  <si>
    <t xml:space="preserve">Auto-pulled via VLOOKUP from Pass 1 Archive. Do not type.</t>
  </si>
  <si>
    <t xml:space="preserve">Reviewed Date</t>
  </si>
  <si>
    <t xml:space="preserve">Date the deep dive was conducted.</t>
  </si>
  <si>
    <t xml:space="preserve">Time Spent (min)</t>
  </si>
  <si>
    <t xml:space="preserve">Time-box target: 60-90 minutes.</t>
  </si>
  <si>
    <t xml:space="preserve">Reviewer</t>
  </si>
  <si>
    <t xml:space="preserve">Who did the review.</t>
  </si>
  <si>
    <t xml:space="preserve">Growth URL 1-5 (URL / Content Type / Est. Traffic Change)</t>
  </si>
  <si>
    <t xml:space="preserve">The core of the deep dive - required. If fewer than 5 pages account for the bulk of growth, leave remaining rows blank; that concentration is itself a finding.</t>
  </si>
  <si>
    <t xml:space="preserve">Text/Dropdown/Number</t>
  </si>
  <si>
    <t xml:space="preserve">Content Type = see Content Type list</t>
  </si>
  <si>
    <t xml:space="preserve">Growth Concentration</t>
  </si>
  <si>
    <t xml:space="preserve">Concentrated = a few pages did most of the work.</t>
  </si>
  <si>
    <t xml:space="preserve">Concentrated, Distributed</t>
  </si>
  <si>
    <t xml:space="preserve">Content Origin</t>
  </si>
  <si>
    <t xml:space="preserve">Net-new vs. refreshed existing content.</t>
  </si>
  <si>
    <t xml:space="preserve">Net-new, Refreshed, Both</t>
  </si>
  <si>
    <t xml:space="preserve">Growth Timing</t>
  </si>
  <si>
    <t xml:space="preserve">Gradual climb vs. step-changes tied to specific publishes.</t>
  </si>
  <si>
    <t xml:space="preserve">Gradual, Step-change</t>
  </si>
  <si>
    <t xml:space="preserve">Referring Domain Notes</t>
  </si>
  <si>
    <t xml:space="preserve">Notable new referring domains and any pattern in them.</t>
  </si>
  <si>
    <t xml:space="preserve">Internal Linking Observations</t>
  </si>
  <si>
    <t xml:space="preserve">Any visible internal-linking pattern connecting growth pages to core product pages.</t>
  </si>
  <si>
    <t xml:space="preserve">AI Visibility Spot-Check Notes</t>
  </si>
  <si>
    <t xml:space="preserve">Manual ChatGPT/Perplexity prompt checks, if time allows.</t>
  </si>
  <si>
    <t xml:space="preserve">Anything Surprising</t>
  </si>
  <si>
    <t xml:space="preserve">Required field - name at least one thing.</t>
  </si>
  <si>
    <t xml:space="preserve">Anything Contradicting Hypotheses</t>
  </si>
  <si>
    <t xml:space="preserve">Required field - if nothing contradicts, say so explicitly.</t>
  </si>
  <si>
    <t xml:space="preserve">Quotable Pattern Candidates</t>
  </si>
  <si>
    <t xml:space="preserve">Exact phrasing/numbers that could become a line in the report.</t>
  </si>
  <si>
    <t xml:space="preserve">Primary Growth Driver (confirmed)</t>
  </si>
  <si>
    <t xml:space="preserve">Post-deep-dive confirmed value - may differ from the original hypothesis.</t>
  </si>
  <si>
    <t xml:space="preserve">See Growth Driver list</t>
  </si>
  <si>
    <t xml:space="preserve">Review Status</t>
  </si>
  <si>
    <t xml:space="preserve">Notes/Follow-ups</t>
  </si>
  <si>
    <t xml:space="preserve">Review Complete</t>
  </si>
  <si>
    <t xml:space="preserve">Simple completion flag for filtering as the project scales. Complements Review Status; does not replace it.</t>
  </si>
  <si>
    <t xml:space="preserve">Long-Term Traffic Story</t>
  </si>
  <si>
    <t xml:space="preserve">1-3 sentence narrative of the company's overall long-term traffic pattern (e.g., large historical peak, long decline, recovery beginning mid-window). Interpretation, not measurement - never changes Pass 2 Classification.</t>
  </si>
  <si>
    <t xml:space="preserve">Major Inflection Points</t>
  </si>
  <si>
    <t xml:space="preserve">Notable dates/events where the traffic trend visibly changed direction, pre- or post-window.</t>
  </si>
  <si>
    <t xml:space="preserve">Acquisitions / Mergers</t>
  </si>
  <si>
    <t xml:space="preserve">Any M&amp;A history, including pre-window, relevant to interpreting the company's trajectory. Does not retroactively change the Pass 1 Include/Exclude decision.</t>
  </si>
  <si>
    <t xml:space="preserve">Rebrands</t>
  </si>
  <si>
    <t xml:space="preserve">Any rebrand history relevant to interpreting the traffic story.</t>
  </si>
  <si>
    <t xml:space="preserve">Domain Migrations</t>
  </si>
  <si>
    <t xml:space="preserve">Any domain migration history relevant to interpreting the traffic story.</t>
  </si>
  <si>
    <t xml:space="preserve">Product Launches / Notable Events</t>
  </si>
  <si>
    <t xml:space="preserve">Other notable events (product launches, funding events, major press) useful for interpreting the trajectory, when discoverable.</t>
  </si>
  <si>
    <t xml:space="preserve">Comparison Group Database</t>
  </si>
  <si>
    <t xml:space="preserve">Category / Employees / Traffic &amp; Referring Domain trend</t>
  </si>
  <si>
    <t xml:space="preserve">Auto-pulled via VLOOKUP from Company Tracker / Pass 1 Archive.</t>
  </si>
  <si>
    <t xml:space="preserve">Time-box target: 20-30 minutes.</t>
  </si>
  <si>
    <t xml:space="preserve">Publishing Activity</t>
  </si>
  <si>
    <t xml:space="preserve">Visible publishing activity during the window, or largely static.</t>
  </si>
  <si>
    <t xml:space="preserve">Active, Minimal, Static</t>
  </si>
  <si>
    <t xml:space="preserve">Growth-Associated Content Types Present?</t>
  </si>
  <si>
    <t xml:space="preserve">Are the content types associated with winners present but underperforming, or genuinely absent?</t>
  </si>
  <si>
    <t xml:space="preserve">Present-underperforming, Absent, Unclear</t>
  </si>
  <si>
    <t xml:space="preserve">Content Types Notes</t>
  </si>
  <si>
    <t xml:space="preserve">Likely Decline Explanation</t>
  </si>
  <si>
    <t xml:space="preserve">Most likely plain-language explanation.</t>
  </si>
  <si>
    <t xml:space="preserve">Algorithm change, Lack of publishing, Competitive displacement, Product/market issue, Other, Unclear</t>
  </si>
  <si>
    <t xml:space="preserve">One-Line Takeaway</t>
  </si>
  <si>
    <t xml:space="preserve">Confidence</t>
  </si>
  <si>
    <t xml:space="preserve">High, Medium, Low, Unclear</t>
  </si>
  <si>
    <t xml:space="preserve">Research Log</t>
  </si>
  <si>
    <t xml:space="preserve">Log ID</t>
  </si>
  <si>
    <t xml:space="preserve">Format LOG-001, increments.</t>
  </si>
  <si>
    <t xml:space="preserve">Related Company</t>
  </si>
  <si>
    <t xml:space="preserve">Optional - not every entry ties to one company.</t>
  </si>
  <si>
    <t xml:space="preserve">Category Tag</t>
  </si>
  <si>
    <t xml:space="preserve">Finding, Surprise, Question, Future-research, LinkedIn-post, Newsletter, Methodology-note</t>
  </si>
  <si>
    <t xml:space="preserve">Observation</t>
  </si>
  <si>
    <t xml:space="preserve">Why It's Interesting</t>
  </si>
  <si>
    <t xml:space="preserve">Action Needed</t>
  </si>
  <si>
    <t xml:space="preserve">Status</t>
  </si>
  <si>
    <t xml:space="preserve">Open, Actioned, Archived</t>
  </si>
  <si>
    <t xml:space="preserve">Pattern Tracker</t>
  </si>
  <si>
    <t xml:space="preserve">Pattern ID</t>
  </si>
  <si>
    <t xml:space="preserve">Format PAT-001.</t>
  </si>
  <si>
    <t xml:space="preserve">Pattern</t>
  </si>
  <si>
    <t xml:space="preserve">Stated as a claim, e.g. 'Winners concentrate growth in comparison pages.'</t>
  </si>
  <si>
    <t xml:space="preserve">Supporting Companies</t>
  </si>
  <si>
    <t xml:space="preserve">Comma-separated company names.</t>
  </si>
  <si>
    <t xml:space="preserve">Contradicting Companies</t>
  </si>
  <si>
    <t xml:space="preserve">Evidence</t>
  </si>
  <si>
    <t xml:space="preserve">Specific URLs/numbers backing the pattern.</t>
  </si>
  <si>
    <t xml:space="preserve">High, Medium, Low</t>
  </si>
  <si>
    <t xml:space="preserve">Candidate, Confirmed, Rejected, Needs More Evidence</t>
  </si>
  <si>
    <t xml:space="preserve">Potential Report Section</t>
  </si>
  <si>
    <t xml:space="preserve">Maps to the Report Outline in the operating manual.</t>
  </si>
  <si>
    <t xml:space="preserve">Headline Finding, Pattern Section, What Didn't Hold Up, What Surprised Us, Practical Takeaways, Other</t>
  </si>
  <si>
    <t xml:space="preserve">Cross-Cut Notes</t>
  </si>
  <si>
    <t xml:space="preserve">Does this pattern correlate more with Buying Motion / Primary Buyer than with Category? Operationalizes the 'category is sourcing, not explanation' principle.</t>
  </si>
  <si>
    <t xml:space="preserve">Gainsight</t>
  </si>
  <si>
    <t xml:space="preserve">Jun 2026</t>
  </si>
  <si>
    <t xml:space="preserve">Continuous Acceleration</t>
  </si>
  <si>
    <t xml:space="preserve">Winner</t>
  </si>
  <si>
    <t xml:space="preserve">Traffic, traffic value, and referring domains all increased consistently throughout the study window with no meaningful pullback. The historical peak occurred at the end of the study window, indicating sustained momentum.</t>
  </si>
  <si>
    <t xml:space="preserve">Planhat</t>
  </si>
  <si>
    <t xml:space="preserve">Mar 2025</t>
  </si>
  <si>
    <t xml:space="preserve">Flat</t>
  </si>
  <si>
    <t xml:space="preserve">Traffic peaked early in the study window before settling into a relatively stable range. Traffic value and referring domains continued to grow despite minimal net traffic growth. The historical peak occurred during the study window.</t>
  </si>
  <si>
    <t xml:space="preserve">ClientSuccess</t>
  </si>
  <si>
    <t xml:space="preserve">Apr 2025</t>
  </si>
  <si>
    <t xml:space="preserve">Jun 2024</t>
  </si>
  <si>
    <t xml:space="preserve">Traffic peaked early in the study window before gradually returning to approximately its January 2025 level. Traffic value and referring domains continued to increase despite essentially flat organic traffic. The historical peak occurred before the study window.</t>
  </si>
  <si>
    <t xml:space="preserve">Vitally</t>
  </si>
  <si>
    <t xml:space="preserve">Sep 2025</t>
  </si>
  <si>
    <t xml:space="preserve">Growth then Pullback</t>
  </si>
  <si>
    <t xml:space="preserve">Decline</t>
  </si>
  <si>
    <t xml:space="preserve">Traffic grew steadily through September 2025 before reversing and finishing well below its January 2025 level. Traffic value also declined, while referring domains continued to grow significantly. The historical peak occurred during the study window.</t>
  </si>
  <si>
    <t xml:space="preserve">Custify</t>
  </si>
  <si>
    <t xml:space="preserve">Oct 2025</t>
  </si>
  <si>
    <t xml:space="preserve">Traffic increased through October 2025 before declining steadily through the remainder of the study window. Traffic value declined alongside traffic, while referring domains continued to grow substantially. The historical peak occurred during the study window.</t>
  </si>
  <si>
    <t xml:space="preserve">Akita</t>
  </si>
  <si>
    <t xml:space="preserve">Organic traffic, traffic value, and referring domains increased consistently throughout the study window with no meaningful pullback. The historical peak occurred at the end of the study window, indicating continued upward momentum.</t>
  </si>
  <si>
    <t xml:space="preserve">Kapta</t>
  </si>
  <si>
    <t xml:space="preserve">Early Peak then Decline</t>
  </si>
  <si>
    <t xml:space="preserve">Traffic surged to its highest level early in the study window (March 2025) before entering a sustained decline through June 2026. Traffic value fell alongside traffic, while referring domains continued to grow. The historical peak occurred during the study window.</t>
  </si>
  <si>
    <t xml:space="preserve">ChurnZero</t>
  </si>
  <si>
    <t xml:space="preserve">Mar 2026</t>
  </si>
  <si>
    <t xml:space="preserve">Traffic accelerated to an all-time high in March 2026 before pulling back, but still finished above its January 2025 level. Traffic value declined despite overall traffic growth, while referring domains nearly doubled. The historical peak occurred during the study window.</t>
  </si>
  <si>
    <t xml:space="preserve">UserGuiding</t>
  </si>
  <si>
    <t xml:space="preserve">Aug 2025</t>
  </si>
  <si>
    <t xml:space="preserve">Apr 2023</t>
  </si>
  <si>
    <t xml:space="preserve">Steady Decline</t>
  </si>
  <si>
    <t xml:space="preserve">Traffic reached its study-window peak in August 2025 before entering a sustained decline through June 2026. Traffic value also declined substantially, while referring domains continued to grow. The historical peak occurred well before the study window (April 2023).</t>
  </si>
  <si>
    <t xml:space="preserve">Velaris</t>
  </si>
  <si>
    <t xml:space="preserve">Apr 2026</t>
  </si>
  <si>
    <t xml:space="preserve">Traffic grew rapidly throughout the study window, reaching an all-time high in April 2026 before pulling back modestly by June 2026. Traffic value and referring domains also increased substantially. The historical peak occurred during the study window.</t>
  </si>
  <si>
    <t xml:space="preserve">Rocketlane</t>
  </si>
  <si>
    <t xml:space="preserve">Feb 2026</t>
  </si>
  <si>
    <t xml:space="preserve">Sep 2024</t>
  </si>
  <si>
    <t xml:space="preserve">Traffic remained relatively stable throughout the study window, reaching a modest peak in February 2026 before ending slightly above its January 2025 level. Traffic value and referring domains increased substantially. The historical peak occurred before the study window (September 2024).</t>
  </si>
  <si>
    <t xml:space="preserve">Higher Logic</t>
  </si>
  <si>
    <t xml:space="preserve">Dec 2021</t>
  </si>
  <si>
    <t xml:space="preserve">Traffic grew steadily through the study window, reaching a peak in April 2026 before pulling back modestly by June 2026. Traffic value and referring domains also increased. The historical peak occurred before the study window (December 2021).</t>
  </si>
  <si>
    <t xml:space="preserve">EverAfter</t>
  </si>
  <si>
    <t xml:space="preserve">Jan 2025</t>
  </si>
  <si>
    <t xml:space="preserve">May 2024</t>
  </si>
  <si>
    <t xml:space="preserve">Organic traffic declined gradually throughout the study window after entering at its highest study-window level. Despite the modest traffic decline, traffic value more than doubled and referring domains increased steadily. The historical peak occurred before the study window (May 2024).</t>
  </si>
  <si>
    <t xml:space="preserve">Apollo.io</t>
  </si>
  <si>
    <t xml:space="preserve">apollo.io</t>
  </si>
  <si>
    <t xml:space="preserve">2026-06-26</t>
  </si>
  <si>
    <t xml:space="preserve">G2</t>
  </si>
  <si>
    <t xml:space="preserve">https://www.g2.com/categories/sales-engagement</t>
  </si>
  <si>
    <t xml:space="preserve">Claude (S.LAB Research)</t>
  </si>
  <si>
    <t xml:space="preserve">Yes</t>
  </si>
  <si>
    <t xml:space="preserve">AI-powered sales engagement and intelligence platform (sequencing, dialer, contact database).</t>
  </si>
  <si>
    <t xml:space="preserve">2015</t>
  </si>
  <si>
    <t xml:space="preserve">Private</t>
  </si>
  <si>
    <t xml:space="preserve">1,431</t>
  </si>
  <si>
    <t xml:space="preserve">LinkedIn (cross-checked via job postings/RocketReach), 2026-06-26 — G2 page field showed placeholder '1 employee' DataOps artifact; verified independently</t>
  </si>
  <si>
    <t xml:space="preserve">Independent</t>
  </si>
  <si>
    <t xml:space="preserve">Include</t>
  </si>
  <si>
    <t xml:space="preserve">In Progress</t>
  </si>
  <si>
    <t xml:space="preserve">Sourced from both SE and SI G2 category pages. G2 LinkedIn-employee field is a known data artifact for this company; real figure verified independently.</t>
  </si>
  <si>
    <t xml:space="preserve">Outreach</t>
  </si>
  <si>
    <t xml:space="preserve">outreach.io</t>
  </si>
  <si>
    <t xml:space="preserve">Sales engagement platform: multichannel sequencing, dialer, conversation intelligence.</t>
  </si>
  <si>
    <t xml:space="preserve">Founded year/employee count/M&amp;A status not yet verified this session — flagged for follow-up before Pass 3.</t>
  </si>
  <si>
    <t xml:space="preserve">Salesloft</t>
  </si>
  <si>
    <t xml:space="preserve">salesloft.com</t>
  </si>
  <si>
    <t xml:space="preserve">Sales engagement platform: cadences, dialer, deal/revenue orchestration.</t>
  </si>
  <si>
    <t xml:space="preserve">Merged with Clari, Dec 2025 (inside study window). Clari's revenue-intelligence/forecasting capability was absorbed into Salesloft; Clari ceases to exist as a standalone entity. Per 2026-06-26 decision, documented here only — no separate Clari row created.</t>
  </si>
  <si>
    <t xml:space="preserve">Close</t>
  </si>
  <si>
    <t xml:space="preserve">close.com</t>
  </si>
  <si>
    <t xml:space="preserve">CRM with built-in calling/email sales engagement, aimed at SMB sales teams.</t>
  </si>
  <si>
    <t xml:space="preserve">Amplemarket</t>
  </si>
  <si>
    <t xml:space="preserve">amplemarket.com</t>
  </si>
  <si>
    <t xml:space="preserve">AI sales platform combining lead sourcing, intelligence, and multichannel outreach.</t>
  </si>
  <si>
    <t xml:space="preserve">2019</t>
  </si>
  <si>
    <t xml:space="preserve">40</t>
  </si>
  <si>
    <t xml:space="preserve">LinkedIn (cross-checked via RocketReach), 2026-06-26 — G2 page field showed placeholder '1 employee' DataOps artifact; verified independently</t>
  </si>
  <si>
    <t xml:space="preserve">G2 LinkedIn-employee field is a known data artifact for this company; real figure verified independently.</t>
  </si>
  <si>
    <t xml:space="preserve">lemlist</t>
  </si>
  <si>
    <t xml:space="preserve">lemlist.com</t>
  </si>
  <si>
    <t xml:space="preserve">Cold email and multichannel sales engagement / outreach automation tool.</t>
  </si>
  <si>
    <t xml:space="preserve">Instantly</t>
  </si>
  <si>
    <t xml:space="preserve">instantly.ai</t>
  </si>
  <si>
    <t xml:space="preserve">https://www.g2.com/categories/sales-intelligence</t>
  </si>
  <si>
    <t xml:space="preserve">Cold email outreach and deliverability platform for sales engagement.</t>
  </si>
  <si>
    <t xml:space="preserve">2021</t>
  </si>
  <si>
    <t xml:space="preserve">275</t>
  </si>
  <si>
    <t xml:space="preserve">LinkedIn (per G2), 2026-06-26</t>
  </si>
  <si>
    <t xml:space="preserve">G2's structured 'Year Founded' field showed 2001 (data-entry error); body text and independent search confirm 2021. Confirmed 'Instantly' and 'Instantly.ai' are the same company.</t>
  </si>
  <si>
    <t xml:space="preserve">GetAccept</t>
  </si>
  <si>
    <t xml:space="preserve">getaccept.com</t>
  </si>
  <si>
    <t xml:space="preserve">Sales engagement, digital sales room, and e-signature platform.</t>
  </si>
  <si>
    <t xml:space="preserve">Mixmax</t>
  </si>
  <si>
    <t xml:space="preserve">mixmax.com</t>
  </si>
  <si>
    <t xml:space="preserve">Sales engagement and email productivity platform.</t>
  </si>
  <si>
    <t xml:space="preserve">Reply.io</t>
  </si>
  <si>
    <t xml:space="preserve">reply.io</t>
  </si>
  <si>
    <t xml:space="preserve">Multichannel sales engagement and outreach automation platform.</t>
  </si>
  <si>
    <t xml:space="preserve">ZoomInfo (GTM Workspace)</t>
  </si>
  <si>
    <t xml:space="preserve">zoominfo.com</t>
  </si>
  <si>
    <t xml:space="preserve">Go-to-market intelligence platform: contact/company data, intent signals.</t>
  </si>
  <si>
    <t xml:space="preserve">2000</t>
  </si>
  <si>
    <t xml:space="preserve">Public</t>
  </si>
  <si>
    <t xml:space="preserve">4,221</t>
  </si>
  <si>
    <t xml:space="preserve">Listed on G2 under rebranded product name 'GTM Workspace'; parent company is ZoomInfo Technologies (NASDAQ: ZI).</t>
  </si>
  <si>
    <t xml:space="preserve">Cognism</t>
  </si>
  <si>
    <t xml:space="preserve">cognism.com</t>
  </si>
  <si>
    <t xml:space="preserve">B2B sales intelligence platform: contact data, intent signals, compliance-focused (EU/UK).</t>
  </si>
  <si>
    <t xml:space="preserve">451</t>
  </si>
  <si>
    <t xml:space="preserve">Seamless.AI</t>
  </si>
  <si>
    <t xml:space="preserve">seamless.ai</t>
  </si>
  <si>
    <t xml:space="preserve">Real-time sales lead/contact database and prospecting intelligence platform.</t>
  </si>
  <si>
    <t xml:space="preserve">Listed on G2 as 'Seamless' (Seamless.AI). Employee count not shown in captured G2 excerpt — flagged for follow-up.</t>
  </si>
  <si>
    <t xml:space="preserve">Lusha</t>
  </si>
  <si>
    <t xml:space="preserve">lusha.com</t>
  </si>
  <si>
    <t xml:space="preserve">B2B contact and company data / sales intelligence platform.</t>
  </si>
  <si>
    <t xml:space="preserve">2016</t>
  </si>
  <si>
    <t xml:space="preserve">359-370</t>
  </si>
  <si>
    <t xml:space="preserve">LinkedIn (per G2), 2026-06-26 — range reflects minor source discrepancy</t>
  </si>
  <si>
    <t xml:space="preserve">RocketReach</t>
  </si>
  <si>
    <t xml:space="preserve">rocketreach.co</t>
  </si>
  <si>
    <t xml:space="preserve">Contact-finding and sales intelligence / prospecting database platform.</t>
  </si>
  <si>
    <t xml:space="preserve">95</t>
  </si>
  <si>
    <t xml:space="preserve">Mailshake</t>
  </si>
  <si>
    <t xml:space="preserve">mailshake.com</t>
  </si>
  <si>
    <t xml:space="preserve">Cold email outreach and sales engagement automation tool for SMB sales teams.</t>
  </si>
  <si>
    <t xml:space="preserve">Pending</t>
  </si>
  <si>
    <t xml:space="preserve">Founded year/employee count/M&amp;A status not yet verified this session — flagged for follow-up before Pass 3. Passed all Pass 1 gates; not selected for this round's top 15. Marked Pending — available for future rounds or swaps, per 2026-06-26 decision.</t>
  </si>
  <si>
    <t xml:space="preserve">Saleshandy</t>
  </si>
  <si>
    <t xml:space="preserve">saleshandy.com</t>
  </si>
  <si>
    <t xml:space="preserve">Cold email outreach and sales engagement platform with deliverability tooling.</t>
  </si>
  <si>
    <t xml:space="preserve">Wiza</t>
  </si>
  <si>
    <t xml:space="preserve">wiza.co</t>
  </si>
  <si>
    <t xml:space="preserve">LinkedIn-based contact/lead extraction and sales intelligence tool.</t>
  </si>
  <si>
    <t xml:space="preserve">53</t>
  </si>
  <si>
    <t xml:space="preserve">Passed all Pass 1 gates; not selected for this round's top 15. Marked Pending — available for future rounds or swaps, per 2026-06-26 decision.</t>
  </si>
  <si>
    <t xml:space="preserve">Skrapp.io</t>
  </si>
  <si>
    <t xml:space="preserve">skrapp.io</t>
  </si>
  <si>
    <t xml:space="preserve">Email-finding and B2B lead intelligence tool.</t>
  </si>
  <si>
    <t xml:space="preserve">14</t>
  </si>
  <si>
    <t xml:space="preserve">Prospeo.io</t>
  </si>
  <si>
    <t xml:space="preserve">prospeo.io</t>
  </si>
  <si>
    <t xml:space="preserve">Email/phone finding and verification tool for sales prospecting.</t>
  </si>
  <si>
    <t xml:space="preserve">31</t>
  </si>
  <si>
    <t xml:space="preserve">BookYourData</t>
  </si>
  <si>
    <t xml:space="preserve">bookyourdata.com</t>
  </si>
  <si>
    <t xml:space="preserve">B2B contact list and data provider for sales prospecting.</t>
  </si>
  <si>
    <t xml:space="preserve">7</t>
  </si>
  <si>
    <t xml:space="preserve">Mr. E by EasyLeadz</t>
  </si>
  <si>
    <t xml:space="preserve">easyleadz.com</t>
  </si>
  <si>
    <t xml:space="preserve">Direct-dial / contact-finding sales intelligence tool.</t>
  </si>
  <si>
    <t xml:space="preserve">33</t>
  </si>
  <si>
    <t xml:space="preserve">Revenue Grid</t>
  </si>
  <si>
    <t xml:space="preserve">revenuegrid.com</t>
  </si>
  <si>
    <t xml:space="preserve">Sales engagement and revenue intelligence / guided-selling platform.</t>
  </si>
  <si>
    <t xml:space="preserve">6sense (Sales Intelligence)</t>
  </si>
  <si>
    <t xml:space="preserve">6sense.com</t>
  </si>
  <si>
    <t xml:space="preserve">Account-based intent and sales intelligence platform.</t>
  </si>
  <si>
    <t xml:space="preserve">2013</t>
  </si>
  <si>
    <t xml:space="preserve">1,576</t>
  </si>
  <si>
    <t xml:space="preserve">Gong</t>
  </si>
  <si>
    <t xml:space="preserve">gong.io</t>
  </si>
  <si>
    <t xml:space="preserve">Revenue / conversation intelligence platform (call recording, deal insights).</t>
  </si>
  <si>
    <t xml:space="preserve">Founded year/employee count/M&amp;A status not yet verified this session — flagged for follow-up before Pass 3. Category fit borderline — conversation/revenue intelligence, adjacent to but distinct from contact-data sales intelligence (ZoomInfo/Apollo/Cognism style). Passed all Pass 1 gates; not selected for this round's top 15. Marked Pending — available for future rounds or swaps, per 2026-06-26 decision.</t>
  </si>
  <si>
    <t xml:space="preserve">Nooks</t>
  </si>
  <si>
    <t xml:space="preserve">nooks.ai</t>
  </si>
  <si>
    <t xml:space="preserve">AI-powered sales engagement: parallel dialer and virtual sales floor platform.</t>
  </si>
  <si>
    <t xml:space="preserve">Founded year/employee count/M&amp;A status not yet verified this session — flagged for follow-up before Pass 3. CONFLICT OF INTEREST FLAG: Nooks is an existing S.LAB client (case study at /case-studies/nooks-aeo). Passed all Pass 1 screening gates on the merits. Marked Pending rather than Include/Exclude per 2026-06-26 decision — requires explicit go/no-go before any use in deep-dive or comparison work.</t>
  </si>
  <si>
    <t xml:space="preserve">Agentforce Sales (Salesforce)</t>
  </si>
  <si>
    <t xml:space="preserve">salesforce.com</t>
  </si>
  <si>
    <t xml:space="preserve">AI sales agent / Sales Cloud module within the broader Salesforce CRM platform.</t>
  </si>
  <si>
    <t xml:space="preserve">Exclude</t>
  </si>
  <si>
    <t xml:space="preserve">Gate 4 fail — category fit weak. Core product is a module within Salesforce's broader CRM platform, not a standalone sales engagement product (cf. Outreach/Salesloft).</t>
  </si>
  <si>
    <t xml:space="preserve">Complete</t>
  </si>
  <si>
    <t xml:space="preserve">HubSpot Sales Hub</t>
  </si>
  <si>
    <t xml:space="preserve">hubspot.com</t>
  </si>
  <si>
    <t xml:space="preserve">Sales engagement module within HubSpot's broader marketing/sales/service suite.</t>
  </si>
  <si>
    <t xml:space="preserve">Gate 4 fail — category fit weak. Sales Hub is one module within HubSpot's broader platform, not a standalone sales engagement product.</t>
  </si>
  <si>
    <t xml:space="preserve">Zoho CRM</t>
  </si>
  <si>
    <t xml:space="preserve">zoho.com/crm</t>
  </si>
  <si>
    <t xml:space="preserve">Horizontal CRM product within the broader Zoho One business suite.</t>
  </si>
  <si>
    <t xml:space="preserve">Gate 4 fail — category fit weak. Core product is a horizontal CRM within the broader Zoho suite, not a standalone sales engagement/intelligence product.</t>
  </si>
  <si>
    <t xml:space="preserve">Bigin by Zoho CRM</t>
  </si>
  <si>
    <t xml:space="preserve">zoho.com/bigin</t>
  </si>
  <si>
    <t xml:space="preserve">Lightweight CRM product within the broader Zoho suite, aimed at small businesses.</t>
  </si>
  <si>
    <t xml:space="preserve">Gate 4 fail — category fit weak. Lightweight CRM module of the Zoho suite, not a standalone sales engagement product.</t>
  </si>
  <si>
    <t xml:space="preserve">ActiveCampaign</t>
  </si>
  <si>
    <t xml:space="preserve">activecampaign.com</t>
  </si>
  <si>
    <t xml:space="preserve">Email marketing automation platform with bundled CRM/sales features.</t>
  </si>
  <si>
    <t xml:space="preserve">Gate 4 fail — category fit weak. Core product is email marketing automation; sales/CRM features are a bundled add-on, not the core product.</t>
  </si>
  <si>
    <t xml:space="preserve">LinkedIn Sales Navigator</t>
  </si>
  <si>
    <t xml:space="preserve">linkedin.com</t>
  </si>
  <si>
    <t xml:space="preserve">Prospecting and sales intelligence tool bundled into the LinkedIn platform.</t>
  </si>
  <si>
    <t xml:space="preserve">2003</t>
  </si>
  <si>
    <t xml:space="preserve">Private (Microsoft-owned)</t>
  </si>
  <si>
    <t xml:space="preserve">23,847</t>
  </si>
  <si>
    <t xml:space="preserve">Acquired</t>
  </si>
  <si>
    <t xml:space="preserve">Owned by Microsoft since 2016 acquisition of LinkedIn.</t>
  </si>
  <si>
    <t xml:space="preserve">Gate 1 fail — primary business is not B2B SaaS. LinkedIn's primary business is a professional social network; Sales Navigator is one product line within a company owned by Microsoft, not a standalone B2B SaaS company.</t>
  </si>
  <si>
    <t xml:space="preserve">Microsoft Relationship Sales</t>
  </si>
  <si>
    <t xml:space="preserve">microsoft.com</t>
  </si>
  <si>
    <t xml:space="preserve">Bundled LinkedIn Sales Navigator + Dynamics 365 sales product line.</t>
  </si>
  <si>
    <t xml:space="preserve">1975</t>
  </si>
  <si>
    <t xml:space="preserve">231,632</t>
  </si>
  <si>
    <t xml:space="preserve">Gate 1 fail — primary business is not B2B SaaS. Microsoft is a diversified technology conglomerate (OS, cloud infrastructure, hardware, gaming, productivity); Relationship Sales is a bundled product line, not the company's core/primary business.</t>
  </si>
  <si>
    <t xml:space="preserve">LinkedIn Sales Insights</t>
  </si>
  <si>
    <t xml:space="preserve">Sales analytics product bundled into the LinkedIn platform; discontinued Dec 31, 2024.</t>
  </si>
  <si>
    <t xml:space="preserve">Gate 1 and Gate 3 fail — primary business not B2B SaaS (see LinkedIn Sales Navigator), and product was discontinued Dec 31, 2024, before the study window (Jan 2025–Jun 2026) began — fully inactive for the entire window.</t>
  </si>
  <si>
    <t xml:space="preserve">Per G2's own page text, product was discontinued Dec 31, 2024.</t>
  </si>
  <si>
    <t xml:space="preserve">DealHub</t>
  </si>
  <si>
    <t xml:space="preserve">dealhub.io</t>
  </si>
  <si>
    <t xml:space="preserve">CPQ (configure-price-quote) and deal management platform.</t>
  </si>
  <si>
    <t xml:space="preserve">Gate 4 fail — category fit weak. Core product is CPQ/deal management, not sales engagement or sales intelligence.</t>
  </si>
  <si>
    <t xml:space="preserve">Seismic Enablement Cloud</t>
  </si>
  <si>
    <t xml:space="preserve">seismic.com</t>
  </si>
  <si>
    <t xml:space="preserve">Sales enablement and content management platform.</t>
  </si>
  <si>
    <t xml:space="preserve">Gate 4 fail — category fit weak. Core product is sales enablement/content management, a distinct category from sales engagement (cadence/sequencing) or sales intelligence (contact/intent data).</t>
  </si>
  <si>
    <t xml:space="preserve">CaptivateIQ</t>
  </si>
  <si>
    <t xml:space="preserve">captivateiq.com</t>
  </si>
  <si>
    <t xml:space="preserve">Sales compensation / SPM (commission management) platform.</t>
  </si>
  <si>
    <t xml:space="preserve">2017</t>
  </si>
  <si>
    <t xml:space="preserve">271</t>
  </si>
  <si>
    <t xml:space="preserve">Gate 4 fail — wrong category entirely. Core product is sales compensation/SPM (commission management), not sales engagement or sales intelligence.</t>
  </si>
  <si>
    <t xml:space="preserve">D&amp;B Hoovers</t>
  </si>
  <si>
    <t xml:space="preserve">dnb.com</t>
  </si>
  <si>
    <t xml:space="preserve">Sales intelligence and business data platform (Dun &amp; Bradstreet).</t>
  </si>
  <si>
    <t xml:space="preserve">Private (post take-private)</t>
  </si>
  <si>
    <t xml:space="preserve">5,747</t>
  </si>
  <si>
    <t xml:space="preserve">Parent company Dun &amp; Bradstreet taken private by Clearlake Capital, $7.7B, deal closed Aug 26, 2025 (inside study window: Jan 2025–Jun 2026); NYSE delisting.</t>
  </si>
  <si>
    <t xml:space="preserve">Gate 2/3 fail — recent, disruptive M&amp;A event inside the study window per manual's M&amp;A treatment rule; no clean continuous ownership/attribution story available.</t>
  </si>
  <si>
    <t xml:space="preserve">G2 page lists 'Ownership: NYSE: DNB' — outdated as of Aug 2025 take-private. Verify independently if revisited.</t>
  </si>
  <si>
    <t xml:space="preserve">Klaviyo</t>
  </si>
  <si>
    <t xml:space="preserve">klaviyo.com</t>
  </si>
  <si>
    <t xml:space="preserve">https://www.g2.com/categories/marketing-automation</t>
  </si>
  <si>
    <t xml:space="preserve">Email/SMS marketing automation and customer data platform built for ecommerce brands.</t>
  </si>
  <si>
    <t xml:space="preserve">Public (NYSE: KVYO)</t>
  </si>
  <si>
    <t xml:space="preserve">Public company; IPO Sept 2023</t>
  </si>
  <si>
    <t xml:space="preserve">Acquired Gatsby (social automation), Aug 14, 2025 — Klaviyo as acquirer; not disruptive to Klaviyo itself.</t>
  </si>
  <si>
    <t xml:space="preserve">LOCKED — Marketing Automation vertical (15). Founded year and employee count not verified this session — flag for follow-up before Pass 2.</t>
  </si>
  <si>
    <t xml:space="preserve">Braze</t>
  </si>
  <si>
    <t xml:space="preserve">braze.com</t>
  </si>
  <si>
    <t xml:space="preserve">Cross-channel customer engagement platform (push, email, SMS, in-app) for marketing automation.</t>
  </si>
  <si>
    <t xml:space="preserve">Public (NASDAQ: BRZE)</t>
  </si>
  <si>
    <t xml:space="preserve">Public company</t>
  </si>
  <si>
    <t xml:space="preserve">Acquired OfferFit ($325M, cash + stock), completed June 2, 2025 — Braze as acquirer; not disruptive to Braze itself.</t>
  </si>
  <si>
    <t xml:space="preserve">HubSpot Marketing Hub</t>
  </si>
  <si>
    <t xml:space="preserve">Marketing automation product line (email, landing pages, workflows, lead nurturing) within the HubSpot platform.</t>
  </si>
  <si>
    <t xml:space="preserve">Public (NYSE: HUBS)</t>
  </si>
  <si>
    <t xml:space="preserve">Part of HubSpot's broader CRM platform, but core product function matches the category (unlike Sales Hub in the Sales Engagement vertical).</t>
  </si>
  <si>
    <t xml:space="preserve">LOCKED — Marketing Automation vertical (15). Gate-4 judgment note: unlike HubSpot Sales Hub (excluded from Sales Engagement vertical as a generic CRM module), Marketing Hub's core function IS marketing automation/email — this is the company's original, namesake product line, not an adjacent bundled module. Founded year/employee count not verified this session.</t>
  </si>
  <si>
    <t xml:space="preserve">Email marketing automation and CRM platform for small and mid-sized businesses.</t>
  </si>
  <si>
    <t xml:space="preserve">LOCKED — Marketing Automation vertical (15). Cross-vertical reassignment: excluded from Sales Engagement/Sales Intelligence vertical (2026-06-26) on Gate 4 grounds because its core product is marketing automation, not sales engagement. Per user decision (one company, one best-fit category), it is included here instead, where Marketing Automation is its correct primary category. M&amp;A/employee count not verified this session — flag for follow-up before Pass 2.</t>
  </si>
  <si>
    <t xml:space="preserve">Customer.io</t>
  </si>
  <si>
    <t xml:space="preserve">customer.io</t>
  </si>
  <si>
    <t xml:space="preserve">Customer messaging and marketing automation platform for product-led growth companies.</t>
  </si>
  <si>
    <t xml:space="preserve">$40.3M total raised across 6 rounds; $690M valuation set in 2022 Series A ($35M)</t>
  </si>
  <si>
    <t xml:space="preserve">Acquired Parcel (productivity/business software), Aug 23, 2022 — Customer.io as acquirer; not disruptive. Reported $100M ARR as of Sept 2025 (revenue metric, not funding).</t>
  </si>
  <si>
    <t xml:space="preserve">LOCKED — Marketing Automation vertical (15). Founded year/employee count not verified this session — flag for follow-up before Pass 2.</t>
  </si>
  <si>
    <t xml:space="preserve">Omnisend</t>
  </si>
  <si>
    <t xml:space="preserve">omnisend.com</t>
  </si>
  <si>
    <t xml:space="preserve">Email and SMS marketing automation platform for ecommerce brands.</t>
  </si>
  <si>
    <t xml:space="preserve">$1.57M total raised, single round (Dec 18, 2019) — minimal external VC funding, bootstrapped-leaning</t>
  </si>
  <si>
    <t xml:space="preserve">Attentive</t>
  </si>
  <si>
    <t xml:space="preserve">attentive.com</t>
  </si>
  <si>
    <t xml:space="preserve">SMS and email marketing platform for ecommerce and retail brands.</t>
  </si>
  <si>
    <t xml:space="preserve">$922M total raised</t>
  </si>
  <si>
    <t xml:space="preserve">Acquired Yotpo's email and SMS marketing customer base, Aug 6, 2025 — Attentive as acquirer (Yotpo exited the category and laid off ~200 staff); not disruptive to Attentive itself.</t>
  </si>
  <si>
    <t xml:space="preserve">Iterable</t>
  </si>
  <si>
    <t xml:space="preserve">iterable.com</t>
  </si>
  <si>
    <t xml:space="preserve">Cross-channel customer engagement and marketing automation platform.</t>
  </si>
  <si>
    <t xml:space="preserve">867</t>
  </si>
  <si>
    <t xml:space="preserve">Tracxn (LinkedIn-sourced), as of 2026-04-30</t>
  </si>
  <si>
    <t xml:space="preserve">$343M total raised; $200M Series E, June 15, 2021</t>
  </si>
  <si>
    <t xml:space="preserve">No acquisitions made or received as of this screening.</t>
  </si>
  <si>
    <t xml:space="preserve">LOCKED — Marketing Automation vertical (15).</t>
  </si>
  <si>
    <t xml:space="preserve">Brevo</t>
  </si>
  <si>
    <t xml:space="preserve">brevo.com</t>
  </si>
  <si>
    <t xml:space="preserve">https://www.g2.com/categories/email-marketing</t>
  </si>
  <si>
    <t xml:space="preserve">Customer engagement platform (email, SMS, CRM) for SMBs; formerly Sendinblue, rebranded 2022.</t>
  </si>
  <si>
    <t xml:space="preserve">Private (unicorn, 2025)</t>
  </si>
  <si>
    <t xml:space="preserve">898</t>
  </si>
  <si>
    <t xml:space="preserve">€500M (~$583M) round in 2025 led by General Atlantic and Oakley Capital; valuation exceeds $1B</t>
  </si>
  <si>
    <t xml:space="preserve">Acquired Cohort, Sept 17, 2025 — Brevo as acquirer; not disruptive. Note: rebranded from "Sendinblue" to "Brevo" in 2022 — same legal entity, not an M&amp;A event.</t>
  </si>
  <si>
    <t xml:space="preserve">LOCKED — Marketing Automation vertical (15). Founded year not verified this session.</t>
  </si>
  <si>
    <t xml:space="preserve">Insider</t>
  </si>
  <si>
    <t xml:space="preserve">useinsider.com</t>
  </si>
  <si>
    <t xml:space="preserve">AI-native omnichannel customer engagement and personalization platform.</t>
  </si>
  <si>
    <t xml:space="preserve">2012</t>
  </si>
  <si>
    <t xml:space="preserve">$771M total raised; $500M Series E led by General Atlantic (Oct 2024)</t>
  </si>
  <si>
    <t xml:space="preserve">No acquisitions found.</t>
  </si>
  <si>
    <t xml:space="preserve">LOCKED — Marketing Automation vertical (15). G2 product listing name is 'Insider One'; company/brand is 'Insider' (useinsider.com). Company press materials cite ~1,100+ team members, but this is not an independently confirmed LinkedIn company-page figure — left blank pending verification rather than recording an unconfirmed number.</t>
  </si>
  <si>
    <t xml:space="preserve">CleverTap</t>
  </si>
  <si>
    <t xml:space="preserve">clevertap.com</t>
  </si>
  <si>
    <t xml:space="preserve">Customer engagement and retention platform (push, in-app, email, web) with CDP capabilities.</t>
  </si>
  <si>
    <t xml:space="preserve">472</t>
  </si>
  <si>
    <t xml:space="preserve">Tracxn (LinkedIn-sourced), as of 2025-04-30</t>
  </si>
  <si>
    <t xml:space="preserve">$303M total raised per one source ($182M over 8 rounds per another — sources disagree, flagging both)</t>
  </si>
  <si>
    <t xml:space="preserve">Acquired Rehook.ai, Apr 15, 2025, and Leanplum (2022) — CleverTap as acquirer in both cases. ~60-70 Leanplum-origin staff laid off in 2025 during integration (operating note, not disruptive to CleverTap continuity).</t>
  </si>
  <si>
    <t xml:space="preserve">LOCKED — Marketing Automation vertical (15). Founded year not verified this session. Funding total figure disagreement between sources — disclosed, not resolved.</t>
  </si>
  <si>
    <t xml:space="preserve">GetResponse</t>
  </si>
  <si>
    <t xml:space="preserve">getresponse.com</t>
  </si>
  <si>
    <t xml:space="preserve">Email marketing and marketing automation platform with lifecycle/CRM features.</t>
  </si>
  <si>
    <t xml:space="preserve">1998</t>
  </si>
  <si>
    <t xml:space="preserve">428</t>
  </si>
  <si>
    <t xml:space="preserve">No acquisitions found. HQ: Poland.</t>
  </si>
  <si>
    <t xml:space="preserve">LOCKED — Marketing Automation vertical (15). Sourced from both Marketing Automation and Email Marketing G2 category pages.</t>
  </si>
  <si>
    <t xml:space="preserve">ContactPigeon</t>
  </si>
  <si>
    <t xml:space="preserve">contactpigeon.com</t>
  </si>
  <si>
    <t xml:space="preserve">Omnichannel customer engagement and marketing automation platform for ecommerce/retail.</t>
  </si>
  <si>
    <t xml:space="preserve">2014</t>
  </si>
  <si>
    <t xml:space="preserve">No acquisitions found. HQ: Athens, Greece (registered HQ New York, US).</t>
  </si>
  <si>
    <t xml:space="preserve">LOCKED — Marketing Automation vertical (15). Employee count sources disagreed/imprecise (e.g., "51-100" for one office location only) — left blank rather than recording an unconfirmed figure; flag for follow-up.</t>
  </si>
  <si>
    <t xml:space="preserve">MailerLite</t>
  </si>
  <si>
    <t xml:space="preserve">mailerlite.com</t>
  </si>
  <si>
    <t xml:space="preserve">Email marketing and automation platform for creators and small businesses.</t>
  </si>
  <si>
    <t xml:space="preserve">2010</t>
  </si>
  <si>
    <t xml:space="preserve">168</t>
  </si>
  <si>
    <t xml:space="preserve">No acquisitions found. HQ: San Francisco, CA (Lithuania origin).</t>
  </si>
  <si>
    <t xml:space="preserve">Flodesk</t>
  </si>
  <si>
    <t xml:space="preserve">flodesk.com</t>
  </si>
  <si>
    <t xml:space="preserve">Email marketing platform for small businesses and creators with brand-first design tools.</t>
  </si>
  <si>
    <t xml:space="preserve">2018</t>
  </si>
  <si>
    <t xml:space="preserve">88</t>
  </si>
  <si>
    <t xml:space="preserve">Bootstrapped, no external funding; $36M+ ARR, profitable since second week after launch</t>
  </si>
  <si>
    <t xml:space="preserve">No acquisitions found. HQ: San Francisco, CA.</t>
  </si>
  <si>
    <t xml:space="preserve">LOCKED — Marketing Automation vertical (15). G2 page shows a discrepancy: long-form description says 'Founded in 2019,' but the structured 'Year Founded' field says 2018 — used the structured field (2018) per established standardization practice, flagging the discrepancy.</t>
  </si>
  <si>
    <t xml:space="preserve">Bloomreach</t>
  </si>
  <si>
    <t xml:space="preserve">bloomreach.com</t>
  </si>
  <si>
    <t xml:space="preserve">Ecommerce-focused marketing automation and customer data platform with AI-driven personalization.</t>
  </si>
  <si>
    <t xml:space="preserve">2009</t>
  </si>
  <si>
    <t xml:space="preserve">$422M total raised; $2.2B valuation following $175M round led by Goldman Sachs Asset Management (2022)</t>
  </si>
  <si>
    <t xml:space="preserve">Acquired Exponea (CDP/marketing automation) and Radiance Commerce (Jan 2024) as acquirer — exact Exponea acquisition date not verified this session. No acquisitions in 2025 per available sources.</t>
  </si>
  <si>
    <t xml:space="preserve">PENDING alternate — Marketing Automation vertical. Employee count not verified this session.</t>
  </si>
  <si>
    <t xml:space="preserve">Mailchimp (Intuit Mailchimp)</t>
  </si>
  <si>
    <t xml:space="preserve">mailchimp.com</t>
  </si>
  <si>
    <t xml:space="preserve">All-in-one email marketing and marketing automation platform for small businesses.</t>
  </si>
  <si>
    <t xml:space="preserve">2001</t>
  </si>
  <si>
    <t xml:space="preserve">Private subsidiary of Intuit (public parent, NASDAQ: INTU)</t>
  </si>
  <si>
    <t xml:space="preserve">1,553</t>
  </si>
  <si>
    <t xml:space="preserve">LinkedIn (per G2, Email Marketing category listing), 2026-06-26</t>
  </si>
  <si>
    <t xml:space="preserve">Acquired (continuous)</t>
  </si>
  <si>
    <t xml:space="preserve">Acquired by Intuit — announced Sept 13, 2021 (~$12B), closed end of Jan 2022. Well before the Jan 2025 study window; continuous integration since. Per manual calibration, include-with-flag (not exclude) — pre-window, well-documented, continuous.</t>
  </si>
  <si>
    <t xml:space="preserve">Intuit's primary business is broader financial software (TurboTax, QuickBooks); Mailchimp is a major acquired, non-core product line.</t>
  </si>
  <si>
    <t xml:space="preserve">PENDING alternate — Marketing Automation vertical. Sourced from both Marketing Automation ("All-in-One Marketing Platform") and Email Marketing ("Email Marketing") G2 listings — same underlying product/company.</t>
  </si>
  <si>
    <t xml:space="preserve">Dotdigital</t>
  </si>
  <si>
    <t xml:space="preserve">dotdigital.com</t>
  </si>
  <si>
    <t xml:space="preserve">Cross-channel marketing automation platform (email, SMS, and more) for ecommerce/retail.</t>
  </si>
  <si>
    <t xml:space="preserve">1999</t>
  </si>
  <si>
    <t xml:space="preserve">Public (LSE: DOTD)</t>
  </si>
  <si>
    <t xml:space="preserve">465</t>
  </si>
  <si>
    <t xml:space="preserve">LinkedIn (per G2 Email Marketing page's structured field), 2026-06-26</t>
  </si>
  <si>
    <t xml:space="preserve">M&amp;A status not explicitly verified this session — flag for follow-up before Pass 2.</t>
  </si>
  <si>
    <t xml:space="preserve">PENDING alternate — Marketing Automation vertical. Formerly Dotmailer. Sourced from both Marketing Automation and Email Marketing G2 pages. Minor employee-count discrepancy: company's own description text says '450+', G2's structured LinkedIn field says 465 — used 465 per standard practice of trusting the structured field.</t>
  </si>
  <si>
    <t xml:space="preserve">Adobe Marketo Engage</t>
  </si>
  <si>
    <t xml:space="preserve">marketo.com</t>
  </si>
  <si>
    <t xml:space="preserve">Enterprise B2B marketing automation platform (lead management, campaign orchestration).</t>
  </si>
  <si>
    <t xml:space="preserve">Subsidiary of Adobe (public parent, NASDAQ: ADBE)</t>
  </si>
  <si>
    <t xml:space="preserve">Acquired by Adobe, Oct 31, 2018 (~$4.74B cash); Adobe itself had acquired Marketo from Vista Equity Partners (which bought it May 2016). Well before the study window; continuous integration since as "Marketo Engage" within Adobe Experience/Marketing Cloud. Per manual calibration, include-with-flag.</t>
  </si>
  <si>
    <t xml:space="preserve">Adobe's primary business is broader creative/digital-experience software; Marketo Engage is one component within Adobe Experience Cloud, though its core function is still marketing automation (Gate 4 pass).</t>
  </si>
  <si>
    <t xml:space="preserve">PENDING alternate — Marketing Automation vertical. Founded year and employee count not verified this session.</t>
  </si>
  <si>
    <t xml:space="preserve">Agentforce Marketing (Salesforce Marketing Cloud)</t>
  </si>
  <si>
    <t xml:space="preserve">Enterprise marketing automation and cross-channel engagement platform; renamed from "Salesforce Marketing Cloud" to "Agentforce Marketing" in 2025.</t>
  </si>
  <si>
    <t xml:space="preserve">Subsidiary product of Salesforce (public parent, NYSE: CRM)</t>
  </si>
  <si>
    <t xml:space="preserve">No ownership change — internal product rebrand announced at Dreamforce 2025 (part of Salesforce dropping the "Cloud" naming convention fleet-wide in favor of "Agentforce"). Underlying product traces to the ExactTarget acquisition (2013), well before the study window.</t>
  </si>
  <si>
    <t xml:space="preserve">Salesforce's primary business is broad CRM platform; Agentforce Marketing is one of several Agentforce-branded product lines, though its core function is still marketing automation (Gate 4 pass).</t>
  </si>
  <si>
    <t xml:space="preserve">PENDING alternate — Marketing Automation vertical. Founded year and employee count not verified this session. 2025 rebrand is a renaming, not an M&amp;A event.</t>
  </si>
  <si>
    <t xml:space="preserve">EngageBay</t>
  </si>
  <si>
    <t xml:space="preserve">engagebay.com</t>
  </si>
  <si>
    <t xml:space="preserve">All-in-one marketing, sales, and support CRM software for small businesses.</t>
  </si>
  <si>
    <t xml:space="preserve">Private, bootstrapped</t>
  </si>
  <si>
    <t xml:space="preserve">28</t>
  </si>
  <si>
    <t xml:space="preserve">As of 2025-07-31 (source citing company-reported headcount; down 41% YoY)</t>
  </si>
  <si>
    <t xml:space="preserve">No external funding reported</t>
  </si>
  <si>
    <t xml:space="preserve">PENDING alternate — Marketing Automation vertical. Headcount decline noted as an operating trend; not a gate factor since employee count is metadata-only per manual V1.1.</t>
  </si>
  <si>
    <t xml:space="preserve">Constant Contact</t>
  </si>
  <si>
    <t xml:space="preserve">constantcontact.com</t>
  </si>
  <si>
    <t xml:space="preserve">Email marketing and digital marketing platform for small businesses.</t>
  </si>
  <si>
    <t xml:space="preserve">1995</t>
  </si>
  <si>
    <t xml:space="preserve">Private, PE-owned (Clearlake Capital Group)</t>
  </si>
  <si>
    <t xml:space="preserve">1,147</t>
  </si>
  <si>
    <t xml:space="preserve">New Clearlake-managed strategic investment closed Oct 7, 2025 (capital raise, not ownership change)</t>
  </si>
  <si>
    <t xml:space="preserve">Independent (continuous PE ownership)</t>
  </si>
  <si>
    <t xml:space="preserve">Majority-owned by Clearlake Capital since early 2024; previously a Clearlake/Siris Capital joint venture spun out of Endurance International Group in 2021 — continuous ownership, not a disruptive event inside the window. Acquired Moosend, June 6, 2025, as acquirer (see Moosend exclusion row).</t>
  </si>
  <si>
    <t xml:space="preserve">PENDING alternate — Marketing Automation vertical.</t>
  </si>
  <si>
    <t xml:space="preserve">Sender.net</t>
  </si>
  <si>
    <t xml:space="preserve">sender.net</t>
  </si>
  <si>
    <t xml:space="preserve">Email and SMS marketing automation platform for small businesses.</t>
  </si>
  <si>
    <t xml:space="preserve">30</t>
  </si>
  <si>
    <t xml:space="preserve">PENDING alternate — Marketing Automation vertical. HQ: Vilnius, Lithuania.</t>
  </si>
  <si>
    <t xml:space="preserve">Levitate</t>
  </si>
  <si>
    <t xml:space="preserve">levitate.ai</t>
  </si>
  <si>
    <t xml:space="preserve">Relationship-marketing platform for small businesses (personalized email/SMS at scale, client engagement).</t>
  </si>
  <si>
    <t xml:space="preserve">432</t>
  </si>
  <si>
    <t xml:space="preserve">PENDING alternate — Marketing Automation vertical. Founded by Jesse Lipson (creator of ShareFile). HQ: Raleigh, NC.</t>
  </si>
  <si>
    <t xml:space="preserve">Systeme.io</t>
  </si>
  <si>
    <t xml:space="preserve">systeme.io</t>
  </si>
  <si>
    <t xml:space="preserve">All-in-one online business platform (funnels, email marketing, courses) for entrepreneurs.</t>
  </si>
  <si>
    <t xml:space="preserve">217</t>
  </si>
  <si>
    <t xml:space="preserve">PENDING alternate — Marketing Automation vertical. HQ: Dublin (Tyrrelstown).</t>
  </si>
  <si>
    <t xml:space="preserve">Zoho Campaigns</t>
  </si>
  <si>
    <t xml:space="preserve">zoho.com/campaigns</t>
  </si>
  <si>
    <t xml:space="preserve">Email marketing and automation product within the Zoho suite.</t>
  </si>
  <si>
    <t xml:space="preserve">1996</t>
  </si>
  <si>
    <t xml:space="preserve">Private (Zoho Corp — bootstrapped, never raised VC, never acquired)</t>
  </si>
  <si>
    <t xml:space="preserve">30,766</t>
  </si>
  <si>
    <t xml:space="preserve">LinkedIn (per G2), 2026-06-26 — company-wide Zoho Corp figure, NOT specific to the Campaigns product</t>
  </si>
  <si>
    <t xml:space="preserve">No acquisitions found for Zoho Corp.</t>
  </si>
  <si>
    <t xml:space="preserve">Zoho Campaigns is one of dozens of products in Zoho's broad horizontal SaaS suite — flagging for Pass 2 category-fit judgment given how large/diversified the parent suite is.</t>
  </si>
  <si>
    <t xml:space="preserve">PENDING alternate — Marketing Automation vertical. Employee count is a known parent-company-wide figure, not product-specific — same data-confound pattern flagged elsewhere in this project.</t>
  </si>
  <si>
    <t xml:space="preserve">Netcore Cloud (Customer Engagement Platform)</t>
  </si>
  <si>
    <t xml:space="preserve">netcorecloud.com</t>
  </si>
  <si>
    <t xml:space="preserve">AI-powered customer engagement and marketing platform (email, push, in-app, WhatsApp).</t>
  </si>
  <si>
    <t xml:space="preserve">Not verified this session — flag for follow-up before Pass 2.</t>
  </si>
  <si>
    <t xml:space="preserve">PENDING alternate — Marketing Automation vertical. Consolidated entry: G2 separately lists 'Netcore Customer Engagement Platform' (Marketing Automation page) and 'Netcore Email API' (Email Marketing page) as separate product pages under the same parent company (Netcore Cloud, formerly Netcore Smartech) — kept as one candidate; see Netcore Email API exclusion row.</t>
  </si>
  <si>
    <t xml:space="preserve">Evam</t>
  </si>
  <si>
    <t xml:space="preserve">evam.com</t>
  </si>
  <si>
    <t xml:space="preserve">Uncertain — Gate 1 concern</t>
  </si>
  <si>
    <t xml:space="preserve">Real-time, cross-channel customer engagement/martech platform; clients include Vodafone, T-Mobile, Turkcell, ING Bank, Garanti BBVA.</t>
  </si>
  <si>
    <t xml:space="preserve">FLAGGED for user decision — Marketing Automation vertical. Gate 1 ambiguity: serves telecom/banking enterprise clients at carrier/bank scale, which is more characteristic of licensed enterprise software or systems-integration-style deployment than confirmed self-serve multi-tenant SaaS. Not enough evidence gathered this session to confirm or rule out B2B SaaS classification — recommend exclude on Gate 1 caution pending confirmation, per standing 'ask if unsure' rule.</t>
  </si>
  <si>
    <t xml:space="preserve">Zapier</t>
  </si>
  <si>
    <t xml:space="preserve">zapier.com</t>
  </si>
  <si>
    <t xml:space="preserve">Workflow/iPaaS automation platform connecting apps via triggers and actions.</t>
  </si>
  <si>
    <t xml:space="preserve">Gate 4 fail — wrong category entirely. Core product is workflow/iPaaS automation connecting apps, not marketing automation or email marketing software, even though marketers use it adjacently.</t>
  </si>
  <si>
    <t xml:space="preserve">Pipedrive</t>
  </si>
  <si>
    <t xml:space="preserve">pipedrive.com</t>
  </si>
  <si>
    <t xml:space="preserve">Sales CRM with customizable pipelines, used by sales teams to close deals.</t>
  </si>
  <si>
    <t xml:space="preserve">1,045</t>
  </si>
  <si>
    <t xml:space="preserve">Gate 4 fail — wrong category entirely. Core product is CRM/sales pipeline management, not email marketing software, despite appearing on G2's Email Marketing category page.</t>
  </si>
  <si>
    <t xml:space="preserve">HQ: New York.</t>
  </si>
  <si>
    <t xml:space="preserve">GMass</t>
  </si>
  <si>
    <t xml:space="preserve">gmass.co</t>
  </si>
  <si>
    <t xml:space="preserve">Gmail-based mail-merge and cold-outreach automation tool (follow-up sequences, deliverability testing).</t>
  </si>
  <si>
    <t xml:space="preserve">12</t>
  </si>
  <si>
    <t xml:space="preserve">Gate 4 fail — better category fit elsewhere. Core function (Gmail-based mail merge, cold-outreach follow-up sequences) matches the Sales Engagement/cold-outreach category (same use case as Instantly/lemlist), not marketing-team email marketing software. Not screened against the Sales Engagement vertical, which is already closed.</t>
  </si>
  <si>
    <t xml:space="preserve">HQ: Chicago, IL.</t>
  </si>
  <si>
    <t xml:space="preserve">Success.ai</t>
  </si>
  <si>
    <t xml:space="preserve">success.ai</t>
  </si>
  <si>
    <t xml:space="preserve">B2B lead-generation and cold email outreach platform (700M+ contact database, email warm-up, AI writer).</t>
  </si>
  <si>
    <t xml:space="preserve">87</t>
  </si>
  <si>
    <t xml:space="preserve">Gate 4 fail — better category fit elsewhere. Explicitly positioned for B2B lead generation and cold email outreach by sales teams — same category as Instantly/lemlist (Sales Engagement, already a closed vertical), not marketing-team email marketing software.</t>
  </si>
  <si>
    <t xml:space="preserve">HQ: Sheridan, WY.</t>
  </si>
  <si>
    <t xml:space="preserve">Sendpilot AI</t>
  </si>
  <si>
    <t xml:space="preserve">sendpilot.ai</t>
  </si>
  <si>
    <t xml:space="preserve">LinkedIn outreach and revenue-management tool (sequence builder, LinkedIn lead database).</t>
  </si>
  <si>
    <t xml:space="preserve">Gate 4 fail — wrong category. Core product is a LinkedIn outreach/sales-engagement tool, not marketing automation or email marketing software. Appears to be a G2 miscategorization/cross-listing.</t>
  </si>
  <si>
    <t xml:space="preserve">Comarch Marketing Automation</t>
  </si>
  <si>
    <t xml:space="preserve">comarch.com</t>
  </si>
  <si>
    <t xml:space="preserve">No</t>
  </si>
  <si>
    <t xml:space="preserve">Marketing automation module within Comarch, a diversified IT solutions provider and systems integrator.</t>
  </si>
  <si>
    <t xml:space="preserve">Gate 1 fail — parent’s primary business is not B2B SaaS. Comarch operates as a diversified IT solutions provider/systems integrator across telecom, banking, ERP, and public-sector verticals, combining SaaS, PaaS, IaaS, and consulting/systems-integration services rather than operating primarily as a B2B SaaS company.</t>
  </si>
  <si>
    <t xml:space="preserve">Birdeye</t>
  </si>
  <si>
    <t xml:space="preserve">birdeye.com</t>
  </si>
  <si>
    <t xml:space="preserve">Reputation and review management platform for multi-location brands, with bundled marketing automation features.</t>
  </si>
  <si>
    <t xml:space="preserve">Gate 4 fail — category fit weak. Core/foundational product is online reputation and review management; marketing automation is a secondary capability layered onto that core, not the product's primary function.</t>
  </si>
  <si>
    <t xml:space="preserve">Cold email outreach platform with sending infrastructure and AI-assisted campaigns.</t>
  </si>
  <si>
    <t xml:space="preserve">Already locked to the Sales Engagement/Sales Intelligence vertical per the 2026-06-26 user decision: one company, one best-fit category. Not double-counted here even though it appears on G2’s Email Marketing category page.</t>
  </si>
  <si>
    <t xml:space="preserve">G2 structured "Year Founded" field shows 2001 — known recurring data error for this company; actual founding year is 2021 (confirmed independently in the Sales Engagement vertical screening).</t>
  </si>
  <si>
    <t xml:space="preserve">Cold email and multichannel outreach platform for sales teams.</t>
  </si>
  <si>
    <t xml:space="preserve">245</t>
  </si>
  <si>
    <t xml:space="preserve">Founded year (2018) newly verified via this G2 page — fills a gap left blank in the already-written Sales Engagement Pass 1 Archive row for lemlist; consider backfilling that row.</t>
  </si>
  <si>
    <t xml:space="preserve">Moosend</t>
  </si>
  <si>
    <t xml:space="preserve">moosend.com</t>
  </si>
  <si>
    <t xml:space="preserve">Email marketing and automation platform, now owned by Constant Contact.</t>
  </si>
  <si>
    <t xml:space="preserve">LinkedIn (per G2) — this is Constant Contact’s (the acquirer’s) company-wide figure, not Moosend-specific</t>
  </si>
  <si>
    <t xml:space="preserve">Acquired (recent, in-window)</t>
  </si>
  <si>
    <t xml:space="preserve">Acquired by Constant Contact, June 6, 2025 (from Sitecore) — inside the Jan 2025–Jun 2026 study window.</t>
  </si>
  <si>
    <t xml:space="preserve">Gate 2/3 fail — recent, disruptive M&amp;A event inside the study window. Acquired by Constant Contact, June 6, 2025. Per the manual's M&amp;A calibration default, recent acquisitions inside the window lean toward exclude; Constant Contact (the acquirer) is retained in the pool as the surviving entity.</t>
  </si>
  <si>
    <t xml:space="preserve">Netcore Email API</t>
  </si>
  <si>
    <t xml:space="preserve">netcorecloud.com/email/email-api</t>
  </si>
  <si>
    <t xml:space="preserve">Cloud-based transactional/marketing email delivery API, a product of Netcore Cloud.</t>
  </si>
  <si>
    <t xml:space="preserve">Duplicate listing — same parent company/product family as Netcore Customer Engagement Platform (Netcore Cloud), which is retained as the consolidated candidate. Email API is one channel/component within Netcore’s broader engagement platform, not a separately screened company.</t>
  </si>
  <si>
    <t xml:space="preserve">gainsight.com</t>
  </si>
  <si>
    <t xml:space="preserve">Customer success and product experience platform for B2B SaaS companies managing renewals, expansion, and onboarding at scale.</t>
  </si>
  <si>
    <t xml:space="preserve">Locked (Pass 2)</t>
  </si>
  <si>
    <t xml:space="preserve">BACKFILL — Customer Success vertical (13, locked in Pass 2/Company Tracker). Original Pass 1 gate-screening data (founded year, employee count, funding status, M&amp;A detail, ICP/buying motion) predates the current Pass 1 Archive schema and was not preserved in this workbook. Operating manual V1.2 addendum confirms 13 as the finalized count. Founded year, employee count, funding, and M&amp;A status left blank — verify before Deep Dive selection.</t>
  </si>
  <si>
    <t xml:space="preserve">planhat.com</t>
  </si>
  <si>
    <t xml:space="preserve">Customer success platform combining health scoring, customer data hub, and revenue analytics for B2B SaaS teams.</t>
  </si>
  <si>
    <t xml:space="preserve">clientsuccess.com</t>
  </si>
  <si>
    <t xml:space="preserve">Customer success management software focused on health scoring, onboarding, and renewal/expansion tracking for SaaS companies.</t>
  </si>
  <si>
    <t xml:space="preserve">vitally.io</t>
  </si>
  <si>
    <t xml:space="preserve">Customer success platform built on a customer data hub, combining health scoring, workflows, and analytics for B2B SaaS teams.</t>
  </si>
  <si>
    <t xml:space="preserve">custify.com</t>
  </si>
  <si>
    <t xml:space="preserve">Customer success platform for SaaS companies, providing health scores, automated playbooks, and churn-risk alerts.</t>
  </si>
  <si>
    <t xml:space="preserve">akitaapp.com</t>
  </si>
  <si>
    <t xml:space="preserve">Customer success management platform offering health scoring and customer data integration for SaaS businesses; Dublin-headquartered.</t>
  </si>
  <si>
    <t xml:space="preserve">kapta.com</t>
  </si>
  <si>
    <t xml:space="preserve">Key account management and customer success software for B2B teams focused on retention and expansion of existing accounts.</t>
  </si>
  <si>
    <t xml:space="preserve">churnzero.com</t>
  </si>
  <si>
    <t xml:space="preserve">Customer success and growth platform providing health scoring, automated engagement, and renewal/upsell workflows for subscription businesses.</t>
  </si>
  <si>
    <t xml:space="preserve">userguiding.com</t>
  </si>
  <si>
    <t xml:space="preserve">No-code product adoption and user onboarding platform used by customer success and product teams to drive activation.</t>
  </si>
  <si>
    <t xml:space="preserve">velaris.io</t>
  </si>
  <si>
    <t xml:space="preserve">AI-native customer success platform for mid-market and enterprise B2B SaaS teams, covering health scoring, onboarding, renewals, and expansion.</t>
  </si>
  <si>
    <t xml:space="preserve">rocketlane.com</t>
  </si>
  <si>
    <t xml:space="preserve">Customer onboarding and professional services automation platform used by customer success and implementation teams.</t>
  </si>
  <si>
    <t xml:space="preserve">higherlogic.com</t>
  </si>
  <si>
    <t xml:space="preserve">Online community and customer engagement software (including Higher Logic Vanilla) used by customer success teams for self-service and retention.</t>
  </si>
  <si>
    <t xml:space="preserve">everafter.ai</t>
  </si>
  <si>
    <t xml:space="preserve">AI-powered digital customer success platform providing a shared customer-facing workspace for onboarding, adoption, and renewal preparation.</t>
  </si>
  <si>
    <t xml:space="preserve">Rippling</t>
  </si>
  <si>
    <t xml:space="preserve">rippling.com</t>
  </si>
  <si>
    <t xml:space="preserve">https://www.g2.com/categories/core-hr</t>
  </si>
  <si>
    <t xml:space="preserve">Unified HR, IT, and finance platform (payroll, benefits, device management, spend) for businesses managing global workforces.</t>
  </si>
  <si>
    <t xml:space="preserve">LeadIQ/Tracxn aggregate, May 2026 (third-party estimate, not directly verified)</t>
  </si>
  <si>
    <t xml:space="preserve">Private; VC-backed, recent rounds valued company above $16B (exact current total raised not independently verified this session)</t>
  </si>
  <si>
    <t xml:space="preserve">No M&amp;A this study window.</t>
  </si>
  <si>
    <t xml:space="preserve">Customer Success-style verification depth applied (LinkedIn/Crunchbase/Tracxn aggregates via web search, June 2026). HR/People Operations vertical (15, locked). Employee counts vary across third-party aggregators for several candidates (flagged per-row) — treat as directional, not precise, until independently re-verified via LinkedIn directly.</t>
  </si>
  <si>
    <t xml:space="preserve">BambooHR</t>
  </si>
  <si>
    <t xml:space="preserve">bamboohr.com</t>
  </si>
  <si>
    <t xml:space="preserve">HR software for small and midsize businesses covering hiring, onboarding, employee records, and culture/performance tools.</t>
  </si>
  <si>
    <t xml:space="preserve">Tracxn/Crunchbase aggregate, May 2026</t>
  </si>
  <si>
    <t xml:space="preserve">Private; sources vary (bootstrapped historically, also reported $125M round in 2024 at $2.5B valuation) — total raised not independently verified this session</t>
  </si>
  <si>
    <t xml:space="preserve">Gusto</t>
  </si>
  <si>
    <t xml:space="preserve">gusto.com</t>
  </si>
  <si>
    <t xml:space="preserve">Payroll, benefits, and HR platform built for small and midsize businesses.</t>
  </si>
  <si>
    <t xml:space="preserve">Tracxn/Growjo aggregate, 2026</t>
  </si>
  <si>
    <t xml:space="preserve">Private; ~$746M total raised; completed $200M+ tender offer June 2025 at $9.3B valuation</t>
  </si>
  <si>
    <t xml:space="preserve">HiBob</t>
  </si>
  <si>
    <t xml:space="preserve">hibob.com</t>
  </si>
  <si>
    <t xml:space="preserve">HRIS platform ("Bob") for mid-market companies, covering people data, performance, compensation, and engagement.</t>
  </si>
  <si>
    <t xml:space="preserve">Private; ~$574M total raised; $2.5B valuation (2023, $150M Series D)</t>
  </si>
  <si>
    <t xml:space="preserve">Paylocity</t>
  </si>
  <si>
    <t xml:space="preserve">paylocity.com</t>
  </si>
  <si>
    <t xml:space="preserve">Cloud HR and payroll software platform for midsize organizations, including talent, workforce management, and benefits.</t>
  </si>
  <si>
    <t xml:space="preserve">Public (NASDAQ: PCTY)</t>
  </si>
  <si>
    <t xml:space="preserve">Company-reported aggregate, 2026</t>
  </si>
  <si>
    <t xml:space="preserve">Public company; IPO 2014</t>
  </si>
  <si>
    <t xml:space="preserve">Deel HR</t>
  </si>
  <si>
    <t xml:space="preserve">deel.com</t>
  </si>
  <si>
    <t xml:space="preserve">Global payroll, HR, and Employer-of-Record (EOR) platform for hiring and paying international teams.</t>
  </si>
  <si>
    <t xml:space="preserve">Tracxn aggregate, May 2026</t>
  </si>
  <si>
    <t xml:space="preserve">Private; ~$982M total raised; $17.3B valuation (Oct 2025, $300M Series E)</t>
  </si>
  <si>
    <t xml:space="preserve">No M&amp;A this study window; active acquirer of smaller tools (does not affect own domain stability).</t>
  </si>
  <si>
    <t xml:space="preserve">Keka</t>
  </si>
  <si>
    <t xml:space="preserve">keka.com</t>
  </si>
  <si>
    <t xml:space="preserve">HR, payroll, and performance management software for mid-market companies, primarily in India.</t>
  </si>
  <si>
    <t xml:space="preserve">Sources vary 886-1,241 across LinkedIn/Tracxn/EasyLeadz, 2025-2026 — not independently verified to a single figure</t>
  </si>
  <si>
    <t xml:space="preserve">Private; reported ~$59.2M raised (incl. WestBridge Capital); also reported as largely bootstrapped/revenue-funded ($85.9M ARR per Latka)</t>
  </si>
  <si>
    <t xml:space="preserve">TriNet</t>
  </si>
  <si>
    <t xml:space="preserve">trinet.com</t>
  </si>
  <si>
    <t xml:space="preserve">Professional Employer Organization (PEO) providing HR, payroll, benefits, and risk management for small and midsize businesses.</t>
  </si>
  <si>
    <t xml:space="preserve">Public (NYSE: TNET)</t>
  </si>
  <si>
    <t xml:space="preserve">Not verified this session — public filings would have exact headcount</t>
  </si>
  <si>
    <t xml:space="preserve">Remote</t>
  </si>
  <si>
    <t xml:space="preserve">remote.com</t>
  </si>
  <si>
    <t xml:space="preserve">Global HR platform offering Employer-of-Record, global payroll, and contractor management for distributed teams.</t>
  </si>
  <si>
    <t xml:space="preserve">Tracxn aggregate, 2026 (other sources report up to 14,569 — range not reconciled)</t>
  </si>
  <si>
    <t xml:space="preserve">Private; ~$506M total raised; $3B valuation (Series C, April 2022)</t>
  </si>
  <si>
    <t xml:space="preserve">No M&amp;A this study window; active acquirer of smaller tools (Atlas, Jan 2026; Bravas, Apr 2026) — does not affect own domain stability but may add inorganic traffic; note for Pass 2 interpretation.</t>
  </si>
  <si>
    <t xml:space="preserve">greytHR</t>
  </si>
  <si>
    <t xml:space="preserve">greythr.com</t>
  </si>
  <si>
    <t xml:space="preserve">HR, payroll, and compliance software (Greytip Software) for small and midsize businesses, primarily in India.</t>
  </si>
  <si>
    <t xml:space="preserve">Tracxn/ZoomInfo aggregate, 2025-2026 (range 785-1,000 across sources)</t>
  </si>
  <si>
    <t xml:space="preserve">Private; majority stake acquired by Apax Digital Funds, Aug 2024</t>
  </si>
  <si>
    <t xml:space="preserve">Stable post-acquisition (no reported leadership churn or layoffs)</t>
  </si>
  <si>
    <t xml:space="preserve">Apax Digital Funds acquired 52.1% majority stake, Aug 5 2024 — ~5 months before study window opened (Jan 2025). Framed publicly as growth investment, not distress; no reported leadership disruption. Lower confidence than a clean no-M&amp;A comp — flag for review before Deep Dive selection.</t>
  </si>
  <si>
    <t xml:space="preserve">Justworks</t>
  </si>
  <si>
    <t xml:space="preserve">justworks.com</t>
  </si>
  <si>
    <t xml:space="preserve">PEO and payroll platform for small and midsize businesses, including benefits administration and compliance support.</t>
  </si>
  <si>
    <t xml:space="preserve">Tracxn aggregate, 2026</t>
  </si>
  <si>
    <t xml:space="preserve">Private; filed S-1 for Nasdaq listing ("JW") but IPO not confirmed completed as of this session — verify before Deep Dive</t>
  </si>
  <si>
    <t xml:space="preserve">Workday HCM</t>
  </si>
  <si>
    <t xml:space="preserve">workday.com</t>
  </si>
  <si>
    <t xml:space="preserve">Enterprise human capital management (HCM) and financial management cloud platform.</t>
  </si>
  <si>
    <t xml:space="preserve">Public (NASDAQ: WDAY)</t>
  </si>
  <si>
    <t xml:space="preserve">Company-reported aggregate, 2026 (company-wide headcount, not HCM-product-specific)</t>
  </si>
  <si>
    <t xml:space="preserve">Public company; IPO 2012 (NYSE), moved to NASDAQ 2017</t>
  </si>
  <si>
    <t xml:space="preserve">Personio</t>
  </si>
  <si>
    <t xml:space="preserve">personio.com</t>
  </si>
  <si>
    <t xml:space="preserve">HR platform for small and midsize businesses in Europe, covering recruiting, onboarding, payroll prep, and performance.</t>
  </si>
  <si>
    <t xml:space="preserve">Tracxn/Growjo aggregate, 2026 (range 1,738-2,100 across sources)</t>
  </si>
  <si>
    <t xml:space="preserve">Private; ~$571-772M total raised (sources vary); $8.5B valuation (2022)</t>
  </si>
  <si>
    <t xml:space="preserve">Multiplier</t>
  </si>
  <si>
    <t xml:space="preserve">usemultiplier.com</t>
  </si>
  <si>
    <t xml:space="preserve">Global employment platform (EOR, COR, PEO, global payroll) for hiring and paying international teams.</t>
  </si>
  <si>
    <t xml:space="preserve">Tracxn aggregate, Mar 2026 (other sources report far lower figures, 104-509 — range not reconciled)</t>
  </si>
  <si>
    <t xml:space="preserve">Private; ~$77-82M total raised; $400M valuation (Series B, March 2022)</t>
  </si>
  <si>
    <t xml:space="preserve">No M&amp;A this study window; active acquirer of smaller tools (e.g., Oxygen Advisors, Apr 2026) — does not affect own domain stability but may add inorganic traffic; note for Pass 2 interpretation.</t>
  </si>
  <si>
    <t xml:space="preserve">UKG Ready</t>
  </si>
  <si>
    <t xml:space="preserve">ukg.com</t>
  </si>
  <si>
    <t xml:space="preserve">Cloud HR, payroll, and workforce management suite for small and midsize organizations (UKG's SMB/mid-market product line).</t>
  </si>
  <si>
    <t xml:space="preserve">Private (PE-backed: Hellman &amp; Friedman, Blackstone)</t>
  </si>
  <si>
    <t xml:space="preserve">Company-reported aggregate, 2026 (whole-company headcount, not UKG Ready-specific)</t>
  </si>
  <si>
    <t xml:space="preserve">Private, PE-backed; formed via merger of Ultimate Software (f. 1990) + Kronos (f. 1977), April 1 2020</t>
  </si>
  <si>
    <t xml:space="preserve">Stable since 2020 merger, well before study window</t>
  </si>
  <si>
    <t xml:space="preserve">UKG Pro is the same parent company's enterprise product line — excluded as a duplicate to avoid double-counting one company. No M&amp;A this study window.</t>
  </si>
  <si>
    <t xml:space="preserve">Zendesk for Customer Service</t>
  </si>
  <si>
    <t xml:space="preserve">zendesk.com</t>
  </si>
  <si>
    <t xml:space="preserve">https://www.g2.com/categories/help-desk</t>
  </si>
  <si>
    <t xml:space="preserve">Customer service/ticketing platform for external support teams.</t>
  </si>
  <si>
    <t xml:space="preserve">Private (PE-owned: Hellman &amp; Friedman/Permira)</t>
  </si>
  <si>
    <t xml:space="preserve">6,000+ employees at time of 2022 buyout; more recent figure not independently confirmed (flagged variance).</t>
  </si>
  <si>
    <t xml:space="preserve">WebSearch cross-source check, 2026-06-26 (see notes for variance flags)</t>
  </si>
  <si>
    <t xml:space="preserve">Founded 2007. Acquired by Hellman &amp; Friedman/Permira consortium for $10.2B, completed Nov 22 2022 (before study window). No reported leadership churn or service disruption since; flagged lower confidence per manual's pre-window M&amp;A precedent.</t>
  </si>
  <si>
    <t xml:space="preserve">Acquired by H&amp;F/Permira consortium, Nov 2022 (pre-window)</t>
  </si>
  <si>
    <t xml:space="preserve">External customer-support scope only (IT/ITSM and CCaaS/voice tools excluded per user decision). Founded-year/employee precision flagged as cross-source variance in multiple cases per standing accuracy rule — recommend Pass 2 LinkedIn confirmation.</t>
  </si>
  <si>
    <t xml:space="preserve">Freshdesk</t>
  </si>
  <si>
    <t xml:space="preserve">freshdesk.com</t>
  </si>
  <si>
    <t xml:space="preserve">Cloud-based customer support ticketing and help desk software.</t>
  </si>
  <si>
    <t xml:space="preserve">Public (NASDAQ: FRSH, parent Freshworks)</t>
  </si>
  <si>
    <t xml:space="preserve">~4,500 employees (Freshworks company-wide; Freshdesk-specific headcount not separately reported).</t>
  </si>
  <si>
    <t xml:space="preserve">Founded 2010 (as Freshdesk, parent Freshworks). Freshworks is publicly traded (NASDAQ: FRSH), IPO 2021. No M&amp;A activity affecting Freshdesk during study window.</t>
  </si>
  <si>
    <t xml:space="preserve">None reported</t>
  </si>
  <si>
    <t xml:space="preserve">Kustomer</t>
  </si>
  <si>
    <t xml:space="preserve">kustomer.com</t>
  </si>
  <si>
    <t xml:space="preserve">AI-centric customer service CRM platform for support teams.</t>
  </si>
  <si>
    <t xml:space="preserve">Private (independent, VC-backed)</t>
  </si>
  <si>
    <t xml:space="preserve">Employee count not independently confirmed via LinkedIn this pass (flagged for Pass 2).</t>
  </si>
  <si>
    <t xml:space="preserve">Founded 2015. Acquired by Meta for ~$1B (deal closed Feb 2022), then spun off by Meta in 2023 (pre-window) with $60M investment from Redpoint/Battery/Boldstart; raised $30M Series B (2025) led by Norwest. No disruption reported since spinoff; independent again.</t>
  </si>
  <si>
    <t xml:space="preserve">Spun off by Meta, 2023 (pre-window); no M&amp;A during window</t>
  </si>
  <si>
    <t xml:space="preserve">Front</t>
  </si>
  <si>
    <t xml:space="preserve">front.com</t>
  </si>
  <si>
    <t xml:space="preserve">Shared inbox and customer communication platform for support teams.</t>
  </si>
  <si>
    <t xml:space="preserve">~540 employees (as of May 2026, per third-party tracker; flagged variance across sources).</t>
  </si>
  <si>
    <t xml:space="preserve">Founded 2013. Series D, $204M total raised, $1.7B valuation. No M&amp;A activity reported.</t>
  </si>
  <si>
    <t xml:space="preserve">Gladly</t>
  </si>
  <si>
    <t xml:space="preserve">gladly.com</t>
  </si>
  <si>
    <t xml:space="preserve">AI-powered customer service platform built around a unified customer timeline.</t>
  </si>
  <si>
    <t xml:space="preserve">~231-238 employees (cross-source variance flagged).</t>
  </si>
  <si>
    <t xml:space="preserve">Founded 2014. Series E ($40M, Sep 2024) led by AXA Venture Partners/Notable Capital. Gladly itself acquired Thankful (July 2023, pre-window) — Gladly was the acquirer, not acquired; no change-of-control for Gladly.</t>
  </si>
  <si>
    <t xml:space="preserve">Gladly acquired Thankful, July 2023 (Gladly unaffected as acquirer)</t>
  </si>
  <si>
    <t xml:space="preserve">Sprinklr Service</t>
  </si>
  <si>
    <t xml:space="preserve">sprinklr.com</t>
  </si>
  <si>
    <t xml:space="preserve">AI-powered CCaaS/customer service suite within Sprinklr's Unified-CXM platform.</t>
  </si>
  <si>
    <t xml:space="preserve">Public (NYSE: CXM)</t>
  </si>
  <si>
    <t xml:space="preserve">~4,343 employees company-wide (Service-specific headcount not separately reported).</t>
  </si>
  <si>
    <t xml:space="preserve">Founded 2009. Publicly traded NYSE: CXM, IPO June 2021. Service is one of four core product suites (Service, Marketing, Insights, Social) under Sprinklr's Unified-CXM platform — not a non-core asset, as CXM/customer service is Sprinklr's primary business identity.</t>
  </si>
  <si>
    <t xml:space="preserve">Sobot</t>
  </si>
  <si>
    <t xml:space="preserve">sobot.io</t>
  </si>
  <si>
    <t xml:space="preserve">Omnichannel AI contact center and customer service software.</t>
  </si>
  <si>
    <t xml:space="preserve">~97 employees (cross-source range 51-100; flagged variance).</t>
  </si>
  <si>
    <t xml:space="preserve">Founded 2012 (one source cites 2014 — flagged variance). HQ Singapore. $205M total raised over 8 rounds; latest round Series D, Feb 2022. No M&amp;A activity reported.</t>
  </si>
  <si>
    <t xml:space="preserve">BoldDesk</t>
  </si>
  <si>
    <t xml:space="preserve">bolddesk.com</t>
  </si>
  <si>
    <t xml:space="preserve">Cloud-based help desk software for customer support ticketing.</t>
  </si>
  <si>
    <t xml:space="preserve">Private (Syncfusion product)</t>
  </si>
  <si>
    <t xml:space="preserve">Not independently reported (operates under Syncfusion; product-specific headcount unavailable).</t>
  </si>
  <si>
    <t xml:space="preserve">Launched by Syncfusion as a dedicated help desk product line. Dual-use: marketed for both customer support and IT departments (flagged — borderline scope fit, included as primarily customer-support-positioned). No independent M&amp;A history (operates as a Syncfusion product, not a separate acquired entity).</t>
  </si>
  <si>
    <t xml:space="preserve">N/A — organic product launch, not acquired</t>
  </si>
  <si>
    <t xml:space="preserve">Hiver</t>
  </si>
  <si>
    <t xml:space="preserve">hiverhq.com</t>
  </si>
  <si>
    <t xml:space="preserve">Gmail-native customer service and shared-inbox helpdesk platform.</t>
  </si>
  <si>
    <t xml:space="preserve">~210 employees.</t>
  </si>
  <si>
    <t xml:space="preserve">Founded 2011 (originally Grexit). $46.2M total raised; most recent activity $4M debt financing from Mars Growth Capital, Aug 2025. No equity M&amp;A activity reported.</t>
  </si>
  <si>
    <t xml:space="preserve">All-in-one CRM/marketing/sales/service suite for small businesses, including helpdesk module.</t>
  </si>
  <si>
    <t xml:space="preserve">Private (bootstrapped)</t>
  </si>
  <si>
    <t xml:space="preserve">75-76 employees (cross-source variance flagged).</t>
  </si>
  <si>
    <t xml:space="preserve">Founded 2018. Bootstrapped/self-funded — no outside VC funding raised. No M&amp;A activity reported.</t>
  </si>
  <si>
    <t xml:space="preserve">Gorgias</t>
  </si>
  <si>
    <t xml:space="preserve">gorgias.com</t>
  </si>
  <si>
    <t xml:space="preserve">Conversational AI customer service and sales platform for ecommerce.</t>
  </si>
  <si>
    <t xml:space="preserve">300-500 employees (cross-source variance flagged — 300 as of May 2024, 500 per a more recent but less-verified source).</t>
  </si>
  <si>
    <t xml:space="preserve">Founded 2015. $104M total raised over 9 rounds; investors include Shopify, Techstars. No M&amp;A activity reported.</t>
  </si>
  <si>
    <t xml:space="preserve">LiveAgent</t>
  </si>
  <si>
    <t xml:space="preserve">liveagent.com</t>
  </si>
  <si>
    <t xml:space="preserve">Multichannel help desk and live chat software.</t>
  </si>
  <si>
    <t xml:space="preserve">101-250 employees (range per Crunchbase).</t>
  </si>
  <si>
    <t xml:space="preserve">Parent company Quality Unit s.r.o., founded 2004 (LiveAgent product launched 2006). No M&amp;A activity reported.</t>
  </si>
  <si>
    <t xml:space="preserve">Help Scout</t>
  </si>
  <si>
    <t xml:space="preserve">helpscout.com</t>
  </si>
  <si>
    <t xml:space="preserve">Email-centric help desk software focused on simple, human customer support.</t>
  </si>
  <si>
    <t xml:space="preserve">140-292 employees (significant cross-source variance flagged — recommend Pass 2 LinkedIn verification).</t>
  </si>
  <si>
    <t xml:space="preserve">Founded 2011. $14.1M-$52.9M total raised depending on source (flagged variance). No M&amp;A activity reported. Recent leadership change: Toby Gabriner joined as CEO (date not independently confirmed).</t>
  </si>
  <si>
    <t xml:space="preserve">HappyFox</t>
  </si>
  <si>
    <t xml:space="preserve">happyfox.com</t>
  </si>
  <si>
    <t xml:space="preserve">Help desk software with workflow automation and project-management features.</t>
  </si>
  <si>
    <t xml:space="preserve">85-152 employees (cross-source variance flagged).</t>
  </si>
  <si>
    <t xml:space="preserve">Founded 2011. No outside funding disclosed; revenue range $10-25M suggests bootstrapped/profitable growth. No M&amp;A activity reported. Launched HappyFox Autopilot (agentic AI) Nov 2025.</t>
  </si>
  <si>
    <t xml:space="preserve">TeamSupport</t>
  </si>
  <si>
    <t xml:space="preserve">teamsupport.com</t>
  </si>
  <si>
    <t xml:space="preserve">B2B-focused customer support and ticketing software.</t>
  </si>
  <si>
    <t xml:space="preserve">Private (Level Equity minority investor)</t>
  </si>
  <si>
    <t xml:space="preserve">66-73 employees (cross-source variance flagged).</t>
  </si>
  <si>
    <t xml:space="preserve">Founded 2008. Received minority growth investment from Level Equity (sources conflict on date: one indicates 2018, another suggests an Aug 2025 announcement — flagged for Pass 2 verification; Level Equity's stated approach is minority/non-controlling, so no change-of-control regardless). Acquired SnapEngage (smaller bolt-on, omnichannel chat) — date not independently confirmed.</t>
  </si>
  <si>
    <t xml:space="preserve">Minority growth investment from Level Equity (date disputed across sources — flagged); acquired SnapEngage (bolt-on)</t>
  </si>
  <si>
    <t xml:space="preserve">BILL Spend &amp; Expense (Divvy)</t>
  </si>
  <si>
    <t xml:space="preserve">bill.com</t>
  </si>
  <si>
    <t xml:space="preserve">https://www.g2.com/categories/spend-management</t>
  </si>
  <si>
    <t xml:space="preserve">Corporate card and spend management platform (formerly Divvy) operated by BILL Holdings.</t>
  </si>
  <si>
    <t xml:space="preserve">Public (NYSE: BILL)</t>
  </si>
  <si>
    <t xml:space="preserve">BILL Holdings overall is large (public company, FY25 revenue $1.5B); Divvy-specific headcount not separately disclosed.</t>
  </si>
  <si>
    <t xml:space="preserve">WebSearch cross-source check, 2026-06-26 (see notes for variance/blank flags)</t>
  </si>
  <si>
    <t xml:space="preserve">Acquired by Bill.com (now BILL Holdings) for ~$2.5B, announced May 2021 — well before study window, no reported integration disruption.</t>
  </si>
  <si>
    <t xml:space="preserve">Pre-window M&amp;A (2021), no disruption reported. FLAG: BILL Holdings announced workforce reductions and a leadership team overhaul in May 2026 (within study window) — this is a parent-company event, not an M&amp;A/domain event for the Divvy/Spend &amp; Expense product itself, but recommend Pass 2 traffic check given the timing.</t>
  </si>
  <si>
    <t xml:space="preserve">Parent-level May 2026 layoffs/leadership overhaul flagged for Pass 2 confidence check (not a gating exclusion under current criteria — no M&amp;A event).</t>
  </si>
  <si>
    <t xml:space="preserve">Ramp</t>
  </si>
  <si>
    <t xml:space="preserve">ramp.com</t>
  </si>
  <si>
    <t xml:space="preserve">Corporate card and spend management platform for businesses.</t>
  </si>
  <si>
    <t xml:space="preserve">Private (no acquisitions; intends eventual IPO per CEO statements, $44B valuation as of June 2026)</t>
  </si>
  <si>
    <t xml:space="preserve">2,403 employees (as of May 2026).</t>
  </si>
  <si>
    <t xml:space="preserve">No acquisitions of or by Ramp identified in window.</t>
  </si>
  <si>
    <t xml:space="preserve">Stable, independent.</t>
  </si>
  <si>
    <t xml:space="preserve">No additional flags beyond standard cross-source caveats.</t>
  </si>
  <si>
    <t xml:space="preserve">Navan (formerly TripActions)</t>
  </si>
  <si>
    <t xml:space="preserve">navan.com</t>
  </si>
  <si>
    <t xml:space="preserve">Corporate travel and expense/spend management platform.</t>
  </si>
  <si>
    <t xml:space="preserve">Public (NYSE; IPO priced Oct 31, 2025)</t>
  </si>
  <si>
    <t xml:space="preserve">3,409 employees (as of April 2026).</t>
  </si>
  <si>
    <t xml:space="preserve">No acquisition of Navan itself. Navan acquired Tripeur (India) in April 2023 — pre-window, smaller bolt-on.</t>
  </si>
  <si>
    <t xml:space="preserve">FLAG: Navan IPO'd Oct 30, 2025 — inside study window. IPOs can drive atypical traffic spikes; recommend Pass 2 review of traffic trajectory around the IPO date before treating any post-IPO traffic shift as organic-search-driven.</t>
  </si>
  <si>
    <t xml:space="preserve">Recent IPO (Oct 2025) inside study window — flagged for Pass 2 traffic-trajectory interpretation, not excluded under current M&amp;A-only gating criteria.</t>
  </si>
  <si>
    <t xml:space="preserve">Payhawk</t>
  </si>
  <si>
    <t xml:space="preserve">payhawk.com</t>
  </si>
  <si>
    <t xml:space="preserve">Spend and expense management platform with corporate cards.</t>
  </si>
  <si>
    <t xml:space="preserve">Private ($1B+ valuation since 2022; reportedly in talks for a new round at ~$2B valuation as of Jan 2026)</t>
  </si>
  <si>
    <t xml:space="preserve">462 employees (as of Feb 2026).</t>
  </si>
  <si>
    <t xml:space="preserve">No acquisition of Payhawk identified. Company has stated M&amp;A ambitions to acquire smaller startups, but no completed acquisitions confirmed in window.</t>
  </si>
  <si>
    <t xml:space="preserve">Pleo</t>
  </si>
  <si>
    <t xml:space="preserve">pleo.io</t>
  </si>
  <si>
    <t xml:space="preserve">Spend management platform with virtual/physical corporate cards.</t>
  </si>
  <si>
    <t xml:space="preserve">Private ($4.7B valuation since 2021 round)</t>
  </si>
  <si>
    <t xml:space="preserve">945 employees (as of May 2026).</t>
  </si>
  <si>
    <t xml:space="preserve">No acquisitions of or by Pleo identified.</t>
  </si>
  <si>
    <t xml:space="preserve">Teampay</t>
  </si>
  <si>
    <t xml:space="preserve">teampay.co</t>
  </si>
  <si>
    <t xml:space="preserve">Purchasing and spend management platform for mid-market businesses.</t>
  </si>
  <si>
    <t xml:space="preserve">Private (subsidiary of Paystand)</t>
  </si>
  <si>
    <t xml:space="preserve">20 employees (as of March 2026) — small headcount relative to other candidates, flagged for confidence.</t>
  </si>
  <si>
    <t xml:space="preserve">Acquired by Paystand, announced April 25, 2024 — before study window (Jan 2025-Jun 2026), no reported disruption.</t>
  </si>
  <si>
    <t xml:space="preserve">Pre-window M&amp;A (2024), no disruption reported. Include per Gate 2/3 with lower-confidence flag (per established precedent for pre-window, undisrupted M&amp;A).</t>
  </si>
  <si>
    <t xml:space="preserve">Pre-window acquisition by Paystand (Apr 2024) — included with lower-confidence flag per precedent; very small headcount (20) relative to peers, flagged for Pass 2 scrutiny.</t>
  </si>
  <si>
    <t xml:space="preserve">SpendHound</t>
  </si>
  <si>
    <t xml:space="preserve">spendhound.com</t>
  </si>
  <si>
    <t xml:space="preserve">SaaS spend management and vendor pricing-benchmark platform.</t>
  </si>
  <si>
    <t xml:space="preserve">Private (described as backed by/affiliated with YipitData, Carlyle, and Norwest Venture Partners — exact corporate structure, e.g. subsidiary vs. portfolio company, not fully disambiguated by sources)</t>
  </si>
  <si>
    <t xml:space="preserve">Not independently confirmed via WebSearch — left blank per accuracy rule; recommend Pass 2 LinkedIn verification.</t>
  </si>
  <si>
    <t xml:space="preserve">No acquisition of SpendHound itself identified.</t>
  </si>
  <si>
    <t xml:space="preserve">Ownership structure (YipitData/Carlyle/Norwest) not fully disambiguated — flagged for Pass 2.</t>
  </si>
  <si>
    <t xml:space="preserve">Founded 2023 — newest company in this vertical's locked set; ownership structure ambiguity flagged, not treated as non-core-asset exclusion since no parent company with a differently-focused core business was confirmed.</t>
  </si>
  <si>
    <t xml:space="preserve">Alaan</t>
  </si>
  <si>
    <t xml:space="preserve">alaan.com</t>
  </si>
  <si>
    <t xml:space="preserve">AI-powered corporate card and spend management platform (UAE/MENA-focused).</t>
  </si>
  <si>
    <t xml:space="preserve">Private (Series A, $48M raised Aug 2025, led by Peak XV Partners)</t>
  </si>
  <si>
    <t xml:space="preserve">307 employees (as of May 2026).</t>
  </si>
  <si>
    <t xml:space="preserve">No acquisitions of or by Alaan identified.</t>
  </si>
  <si>
    <t xml:space="preserve">MENA-region-focused candidate, included for geographic/ICP diversity within the vertical.</t>
  </si>
  <si>
    <t xml:space="preserve">Coast</t>
  </si>
  <si>
    <t xml:space="preserve">coastpay.com</t>
  </si>
  <si>
    <t xml:space="preserve">Fleet and field expense card and spend management platform.</t>
  </si>
  <si>
    <t xml:space="preserve">Private (Series B, $40M raised Jan 2026 led by ICONIQ Growth)</t>
  </si>
  <si>
    <t xml:space="preserve">Most recent confirmed figure is 14 employees as of Dec 2022 — clearly stale given subsequent funding rounds ($92M in 2024, $40M Series B Jan 2026); current headcount not independently confirmed, left blank rather than guessed.</t>
  </si>
  <si>
    <t xml:space="preserve">No acquisitions of or by Coast identified.</t>
  </si>
  <si>
    <t xml:space="preserve">Employee count figure available (14, as of Dec 2022) is stale/unreliable given 2024-2026 funding growth — flagged for mandatory Pass 2 re-verification rather than treated as current.</t>
  </si>
  <si>
    <t xml:space="preserve">Extend</t>
  </si>
  <si>
    <t xml:space="preserve">paywithextend.com</t>
  </si>
  <si>
    <t xml:space="preserve">Virtual card issuance and spend management platform for businesses.</t>
  </si>
  <si>
    <t xml:space="preserve">Private ($88.8M raised total; latest venture debt round Sept 2025)</t>
  </si>
  <si>
    <t xml:space="preserve">Employee count not independently confirmed via WebSearch — left blank; recommend Pass 2 verification.</t>
  </si>
  <si>
    <t xml:space="preserve">No acquisitions of or by Extend identified.</t>
  </si>
  <si>
    <t xml:space="preserve">Slash</t>
  </si>
  <si>
    <t xml:space="preserve">slash.com</t>
  </si>
  <si>
    <t xml:space="preserve">Business banking and spend management platform for small/mid-sized businesses.</t>
  </si>
  <si>
    <t xml:space="preserve">Private (Series C, $100M raised, $1.4B valuation, led by Ribbit Capital, 2026)</t>
  </si>
  <si>
    <t xml:space="preserve">35 employees as of the May 2025 Series B — likely understated given subsequent Series C/unicorn growth; current figure not independently confirmed, flagged rather than guessed.</t>
  </si>
  <si>
    <t xml:space="preserve">No acquisitions of or by Slash identified.</t>
  </si>
  <si>
    <t xml:space="preserve">Employee figure (35) is from May 2025 and likely outdated given the company's rapid 2025-2026 growth trajectory — flagged for mandatory Pass 2 re-verification.</t>
  </si>
  <si>
    <t xml:space="preserve">Moss</t>
  </si>
  <si>
    <t xml:space="preserve">getmoss.com</t>
  </si>
  <si>
    <t xml:space="preserve">Spend management platform (corporate cards, AP, reimbursements) for mid-sized companies.</t>
  </si>
  <si>
    <t xml:space="preserve">Private (raised $148M total; latest round Series B, June 2024)</t>
  </si>
  <si>
    <t xml:space="preserve">Estimated 250-500 employees (range, not point figure) — left as a range per source rather than invented precision.</t>
  </si>
  <si>
    <t xml:space="preserve">No acquisitions of or by Moss identified in window.</t>
  </si>
  <si>
    <t xml:space="preserve">Founding year not independently confirmed via WebSearch — left blank rather than guessed; recommend Pass 2 verification.</t>
  </si>
  <si>
    <t xml:space="preserve">Qonto</t>
  </si>
  <si>
    <t xml:space="preserve">qonto.com</t>
  </si>
  <si>
    <t xml:space="preserve">Business banking and spend/expense management platform for SMEs and freelancers (France/EU).</t>
  </si>
  <si>
    <t xml:space="preserve">Private ($717M total raised; filed for French banking license July 2025)</t>
  </si>
  <si>
    <t xml:space="preserve">2,317 employees (as of April 2026).</t>
  </si>
  <si>
    <t xml:space="preserve">No acquisition of Qonto itself. Qonto acquired Acasi (smaller bolt-on) in May 2026 and Penta (German fintech) in a prior year — both as acquirer, not acquiree.</t>
  </si>
  <si>
    <t xml:space="preserve">Stable, independent (acquirer in both cases, not acquiree — no domain-stability concern for Qonto itself).</t>
  </si>
  <si>
    <t xml:space="preserve">Corpay Complete</t>
  </si>
  <si>
    <t xml:space="preserve">corpay.com</t>
  </si>
  <si>
    <t xml:space="preserve">End-to-end spend management platform (corporate cards, AP automation, supplier payments) operated by Corpay, Inc.</t>
  </si>
  <si>
    <t xml:space="preserve">Public (NYSE: CPAY) — parent company Corpay, Inc., formerly FLEETCOR (rebranded March 2024, pre-window, name change only, not an M&amp;A event)</t>
  </si>
  <si>
    <t xml:space="preserve">Corpay, Inc. overall headcount not independently confirmed via WebSearch for this product line specifically — left blank; parent is a large public company.</t>
  </si>
  <si>
    <t xml:space="preserve">No acquisition of Corpay itself in window. Corpay Complete product launched Jan 23, 2024 (pre-window) as an internal build, not an acquisition.</t>
  </si>
  <si>
    <t xml:space="preserve">Parent company is public, stable, and large; Corpay Complete is a flagship product directly within Corpay's core payments/spend-management business (unlike non-core-asset exclusions such as SAP Ariba or Salesforce Service Cloud, where the parent's core business is in a different category).</t>
  </si>
  <si>
    <t xml:space="preserve">Considered for non-core-asset gate but NOT excluded: Corpay's core business is corporate payments/spend management itself, so Corpay Complete is a core product line, not a minor feature of a differently-focused parent.</t>
  </si>
  <si>
    <t xml:space="preserve">Procurify</t>
  </si>
  <si>
    <t xml:space="preserve">procurify.com</t>
  </si>
  <si>
    <t xml:space="preserve">Procurement and intelligent spend management platform.</t>
  </si>
  <si>
    <t xml:space="preserve">Private (Series C, ~$82.5-103M total raised across sources — cross-source variance flagged)</t>
  </si>
  <si>
    <t xml:space="preserve">164 employees (as of Feb 2026).</t>
  </si>
  <si>
    <t xml:space="preserve">No acquisitions of or by Procurify identified.</t>
  </si>
  <si>
    <t xml:space="preserve">Total-raised figure varies across sources ($82.5M vs. $103M) — flagged as cross-source variance per standing accuracy rule rather than picking one figure.</t>
  </si>
  <si>
    <t xml:space="preserve">Jira</t>
  </si>
  <si>
    <t xml:space="preserve">atlassian.com</t>
  </si>
  <si>
    <t xml:space="preserve">https://www.g2.com/categories/project-management</t>
  </si>
  <si>
    <t xml:space="preserve">Agile project/issue tracking software for software and cross-functional teams, made by Atlassian.</t>
  </si>
  <si>
    <t xml:space="preserve">Public (NASDAQ: TEAM, parent Atlassian)</t>
  </si>
  <si>
    <t xml:space="preserve">Atlassian overall is large (public company); Jira-specific headcount not separately disclosed.</t>
  </si>
  <si>
    <t xml:space="preserve">No acquisition of Jira/Atlassian identified in window.</t>
  </si>
  <si>
    <t xml:space="preserve">CROSS-VERTICAL FLAG: Jira is also a candidate for the Developer Tools/DevOps vertical (#8, not yet sourced). Locking it here under Project Management per G2's #1 ranking in this category — exclude from the Dev Tools/DevOps pool when sourced to avoid double-counting the same company twice.</t>
  </si>
  <si>
    <t xml:space="preserve">Asana</t>
  </si>
  <si>
    <t xml:space="preserve">asana.com</t>
  </si>
  <si>
    <t xml:space="preserve">Work and project management platform for teams.</t>
  </si>
  <si>
    <t xml:space="preserve">Public (NYSE: ASAN)</t>
  </si>
  <si>
    <t xml:space="preserve">Employee count not independently re-confirmed this session — recommend Pass 2 verification.</t>
  </si>
  <si>
    <t xml:space="preserve">No acquisition of Asana identified in window.</t>
  </si>
  <si>
    <t xml:space="preserve">monday Work Management</t>
  </si>
  <si>
    <t xml:space="preserve">monday.com</t>
  </si>
  <si>
    <t xml:space="preserve">Work operating system / project management platform.</t>
  </si>
  <si>
    <t xml:space="preserve">Public (NASDAQ: MNDY)</t>
  </si>
  <si>
    <t xml:space="preserve">No acquisition of monday.com identified in window.</t>
  </si>
  <si>
    <t xml:space="preserve">Notion</t>
  </si>
  <si>
    <t xml:space="preserve">notion.so</t>
  </si>
  <si>
    <t xml:space="preserve">All-in-one workspace combining notes, docs, wikis, and project/task management.</t>
  </si>
  <si>
    <t xml:space="preserve">Private ($11B valuation per Dec 2025 tender)</t>
  </si>
  <si>
    <t xml:space="preserve">Employee counts vary widely by source (roughly 800-6,000+ depending on source/methodology) — flagged as cross-source variance rather than picking one figure.</t>
  </si>
  <si>
    <t xml:space="preserve">No acquisition of Notion itself. Notion acquired Embra (smaller AI company) in Jan 2026 — Notion as acquirer, not acquiree.</t>
  </si>
  <si>
    <t xml:space="preserve">Stable, independent (acquirer, not acquiree — no domain-stability concern).</t>
  </si>
  <si>
    <t xml:space="preserve">Employee count cross-source variance is unusually wide for this candidate — flagged for mandatory Pass 2 verification rather than treated as settled.</t>
  </si>
  <si>
    <t xml:space="preserve">ClickUp</t>
  </si>
  <si>
    <t xml:space="preserve">clickup.com</t>
  </si>
  <si>
    <t xml:space="preserve">All-in-one productivity and project management platform.</t>
  </si>
  <si>
    <t xml:space="preserve">Private ($4B valuation as of 2025; IPO reportedly being considered for 2026 per industry reporting, not yet confirmed/filed)</t>
  </si>
  <si>
    <t xml:space="preserve">Approximately 1,500 employees as of 2026 (down from ~2,000 in 2024 after workforce reductions).</t>
  </si>
  <si>
    <t xml:space="preserve">No acquisition of ClickUp itself. ClickUp acquired Codegen (AI coding platform) in Dec 2025 — ClickUp as acquirer, not acquiree.</t>
  </si>
  <si>
    <t xml:space="preserve">Stable, independent (acquirer, not acquiree).</t>
  </si>
  <si>
    <t xml:space="preserve">FLAG: ClickUp announced workforce reductions of ~22% in May 2026 (within study window), following an earlier ~10% reduction in 2023 — recommend Pass 2 traffic-trajectory check around this date, parallel to the BILL Holdings flag in the Finance/Spend Management vertical.</t>
  </si>
  <si>
    <t xml:space="preserve">Airtable</t>
  </si>
  <si>
    <t xml:space="preserve">airtable.com</t>
  </si>
  <si>
    <t xml:space="preserve">No-code database/spreadsheet-hybrid platform with project and workflow management use cases.</t>
  </si>
  <si>
    <t xml:space="preserve">Private (last funding valuation $11.6B per company's Jan 2026 letter; some secondary-market estimates as low as ~$4B as of late 2025 — flagged as a notable valuation-source discrepancy)</t>
  </si>
  <si>
    <t xml:space="preserve">936-947 employees (as of 2026, sources broadly agree).</t>
  </si>
  <si>
    <t xml:space="preserve">No acquisition of Airtable identified in window.</t>
  </si>
  <si>
    <t xml:space="preserve">Valuation figures vary sharply by source ($4B vs. $11.6B) — flagged as cross-source variance; does not affect inclusion decision.</t>
  </si>
  <si>
    <t xml:space="preserve">Wrike</t>
  </si>
  <si>
    <t xml:space="preserve">wrike.com</t>
  </si>
  <si>
    <t xml:space="preserve">Enterprise work management and project collaboration platform.</t>
  </si>
  <si>
    <t xml:space="preserve">Private (majority owner: Symphony Technology Group, since July 2023)</t>
  </si>
  <si>
    <t xml:space="preserve">No acquisition of Wrike in window. Pre-window ownership history: Vista Equity (2018) -&gt; Citrix (2021) -&gt; Citrix taken private by Vista/Elliott (2022) -&gt; spun out to Symphony Technology Group (July 2023, pre-window).</t>
  </si>
  <si>
    <t xml:space="preserve">Multiple pre-window ownership changes, all settled by July 2023 (before study window begins); no M&amp;A activity during the window itself.</t>
  </si>
  <si>
    <t xml:space="preserve">Notably volatile pre-window ownership history (3 changes in ~5 years) — flagged for awareness, included per Gate 2/3 since the most recent change (July 2023) is well before the window and no further disruption is reported during it.</t>
  </si>
  <si>
    <t xml:space="preserve">Quickbase</t>
  </si>
  <si>
    <t xml:space="preserve">quickbase.com</t>
  </si>
  <si>
    <t xml:space="preserve">No-code application development platform with project/work management use cases.</t>
  </si>
  <si>
    <t xml:space="preserve">Private (majority owner: Vista Equity Partners since Jan 2019, minority: Welsh, Carson, Anderson &amp; Stowe)</t>
  </si>
  <si>
    <t xml:space="preserve">No acquisition of Quickbase in window; ownership stable since 2019 (pre-window).</t>
  </si>
  <si>
    <t xml:space="preserve">Stable under long-standing PE ownership, no in-window disruption.</t>
  </si>
  <si>
    <t xml:space="preserve">PE-majority-owned since 2019 but NOT treated as a non-core-asset exclusion: Quickbase itself is the core product/platform (unlike e.g. SAP Ariba or Salesforce Service Cloud, which are minor lines within differently-focused operating companies).</t>
  </si>
  <si>
    <t xml:space="preserve">Celoxis</t>
  </si>
  <si>
    <t xml:space="preserve">celoxis.com</t>
  </si>
  <si>
    <t xml:space="preserve">Project management and PPO (project portfolio/PMO) software for mid-sized and enterprise teams.</t>
  </si>
  <si>
    <t xml:space="preserve">Private (bootstrapped/profitable since founding, per company history; no institutional funding rounds identified)</t>
  </si>
  <si>
    <t xml:space="preserve">48-51 employees (as of Feb-Jul 2025).</t>
  </si>
  <si>
    <t xml:space="preserve">No acquisitions of or by Celoxis identified.</t>
  </si>
  <si>
    <t xml:space="preserve">Smallest headcount among the locked 15 in this vertical — flagged for awareness, not excluded (meets B2B SaaS and category-fit criteria).</t>
  </si>
  <si>
    <t xml:space="preserve">Basecamp</t>
  </si>
  <si>
    <t xml:space="preserve">basecamp.com</t>
  </si>
  <si>
    <t xml:space="preserve">Project management and team communication software, made by 37signals.</t>
  </si>
  <si>
    <t xml:space="preserve">Private (founder-owned; Jeff Bezos holds a long-standing minority stake via Bezos Expeditions since 2006, not an operating parent)</t>
  </si>
  <si>
    <t xml:space="preserve">Approximately 171 employees (as of 2026).</t>
  </si>
  <si>
    <t xml:space="preserve">No acquisition of Basecamp/37signals identified in window.</t>
  </si>
  <si>
    <t xml:space="preserve">Backlog</t>
  </si>
  <si>
    <t xml:space="preserve">backlog.com</t>
  </si>
  <si>
    <t xml:space="preserve">Project management and issue-tracking tool for software development teams, made by Nulab.</t>
  </si>
  <si>
    <t xml:space="preserve">Public (Tokyo Stock Exchange: 5033, IPO'd June 2022 — pre-window)</t>
  </si>
  <si>
    <t xml:space="preserve">131 employees (parent company Nulab, as of Jan 2026).</t>
  </si>
  <si>
    <t xml:space="preserve">No acquisition of Nulab/Backlog identified in window.</t>
  </si>
  <si>
    <t xml:space="preserve">Stable, independent; pre-window IPO with no reported disruption.</t>
  </si>
  <si>
    <t xml:space="preserve">morningmate</t>
  </si>
  <si>
    <t xml:space="preserve">morningmate.com</t>
  </si>
  <si>
    <t xml:space="preserve">Work management and team collaboration platform, strong in the South Korean market.</t>
  </si>
  <si>
    <t xml:space="preserve">Not confirmed (presumed private; no public-listing evidence found)</t>
  </si>
  <si>
    <t xml:space="preserve">Founding year, employee count, and funding details not independently confirmed via WebSearch — left blank rather than guessed; recommend Pass 2 verification.</t>
  </si>
  <si>
    <t xml:space="preserve">No acquisition identified, but verification was limited — recommend Pass 2 confirmation.</t>
  </si>
  <si>
    <t xml:space="preserve">Data availability for this candidate was thin relative to other candidates in this vertical.</t>
  </si>
  <si>
    <t xml:space="preserve">Lowest data-confidence candidate in this vertical's locked 15 — founding year, headcount, funding, and public/private status could not be independently confirmed this session; flagged as a priority for Pass 2 verification before any deep-dive work.</t>
  </si>
  <si>
    <t xml:space="preserve">Teamwork.com</t>
  </si>
  <si>
    <t xml:space="preserve">teamwork.com</t>
  </si>
  <si>
    <t xml:space="preserve">Project management and client-work platform, headquartered in Ireland.</t>
  </si>
  <si>
    <t xml:space="preserve">Private (investors include Bregal Milestone, Afia Capital, Delta-v Capital; ~$100M raised total)</t>
  </si>
  <si>
    <t xml:space="preserve">200 employees.</t>
  </si>
  <si>
    <t xml:space="preserve">No acquisition of Teamwork.com identified in window.</t>
  </si>
  <si>
    <t xml:space="preserve">Note: not to be confused with 'Teamworks' (a different, larger sports-technology company) — verified this is the distinct Teamwork.com PM software entity.</t>
  </si>
  <si>
    <t xml:space="preserve">Hive</t>
  </si>
  <si>
    <t xml:space="preserve">hive.com</t>
  </si>
  <si>
    <t xml:space="preserve">Productivity and project management platform with collaboration tools.</t>
  </si>
  <si>
    <t xml:space="preserve">Private ($26.7M raised; investors include Zoom Communications, Comcast Ventures, Valor Equity Partners)</t>
  </si>
  <si>
    <t xml:space="preserve">69 employees.</t>
  </si>
  <si>
    <t xml:space="preserve">No acquisition of Hive identified in window.</t>
  </si>
  <si>
    <t xml:space="preserve">Float.com</t>
  </si>
  <si>
    <t xml:space="preserve">float.com</t>
  </si>
  <si>
    <t xml:space="preserve">Resource scheduling and capacity-planning software for project teams.</t>
  </si>
  <si>
    <t xml:space="preserve">Private (self-funded/profitable per company statements; B Corp certified March 2024; no institutional funding rounds identified)</t>
  </si>
  <si>
    <t xml:space="preserve">45-62 employees (sources vary slightly).</t>
  </si>
  <si>
    <t xml:space="preserve">No acquisitions of or by Float identified.</t>
  </si>
  <si>
    <t xml:space="preserve">GitHub</t>
  </si>
  <si>
    <t xml:space="preserve">github.com</t>
  </si>
  <si>
    <t xml:space="preserve">2026-06-27</t>
  </si>
  <si>
    <t xml:space="preserve">https://www.g2.com/categories/devops-platforms; https://www.g2.com/categories/continuous-integration; https://www.g2.com/categories/source-code-management</t>
  </si>
  <si>
    <t xml:space="preserve">Git repository hosting and developer collaboration platform (CI/CD via Actions), owned by Microsoft.</t>
  </si>
  <si>
    <t xml:space="preserve">Private (Microsoft subsidiary)</t>
  </si>
  <si>
    <t xml:space="preserve">Not separately disclosed by Microsoft; flag.</t>
  </si>
  <si>
    <t xml:space="preserve">WebSearch cross-source check, 2026-06-27 (see notes for variance/blank flags)</t>
  </si>
  <si>
    <t xml:space="preserve">Acquired by Microsoft for $7.5B, closed Oct 2018 — well before study window, no reported disruption. Retains distinct brand/product identity; developer tools are a core Microsoft business line, not a non-core asset.</t>
  </si>
  <si>
    <t xml:space="preserve">No additional flags beyond Microsoft-subsidiary headcount opacity.</t>
  </si>
  <si>
    <t xml:space="preserve">GitLab</t>
  </si>
  <si>
    <t xml:space="preserve">gitlab.com</t>
  </si>
  <si>
    <t xml:space="preserve">DevSecOps platform combining source control, CI/CD, and security scanning in a single application.</t>
  </si>
  <si>
    <t xml:space="preserve">Public (NASDAQ: GTLB)</t>
  </si>
  <si>
    <t xml:space="preserve">~3,473 (Unify, May 2026) vs. ~2,375 (PitchBook) — sources disagree, flagged.</t>
  </si>
  <si>
    <t xml:space="preserve">Independent, no acquisition.</t>
  </si>
  <si>
    <t xml:space="preserve">FLAG: ~14% workforce reduction and exit from 22 countries announced June 2026 (within study window) as part of 'agentic era' restructuring — parent-level layoff event, not M&amp;A; recommend Pass 2 traffic confidence check given timing.</t>
  </si>
  <si>
    <t xml:space="preserve">JFrog</t>
  </si>
  <si>
    <t xml:space="preserve">jfrog.com</t>
  </si>
  <si>
    <t xml:space="preserve">Artifact management and software supply chain security platform (Artifactory, Xray).</t>
  </si>
  <si>
    <t xml:space="preserve">Public (NASDAQ: FROG)</t>
  </si>
  <si>
    <t xml:space="preserve">~2,364 (May 2026).</t>
  </si>
  <si>
    <t xml:space="preserve">Independent. JFrog acquired Qwak (AI platform), June 2024 — pre-window, JFrog as acquirer not target, no disruption.</t>
  </si>
  <si>
    <t xml:space="preserve">No additional flags.</t>
  </si>
  <si>
    <t xml:space="preserve">CircleCI</t>
  </si>
  <si>
    <t xml:space="preserve">circleci.com</t>
  </si>
  <si>
    <t xml:space="preserve">Cloud-based continuous integration and delivery (CI/CD) platform.</t>
  </si>
  <si>
    <t xml:space="preserve">~358 (April 2026).</t>
  </si>
  <si>
    <t xml:space="preserve">Independent. Unconfirmed market speculation that CircleCI is 'for sale' circulating in employee reviews — no confirmed deal found; not treated as M&amp;A event per standing accuracy rule.</t>
  </si>
  <si>
    <t xml:space="preserve">Total raised $316M over 7 rounds. Recommend Pass 2 monitoring given for-sale speculation, though unconfirmed.</t>
  </si>
  <si>
    <t xml:space="preserve">Harness</t>
  </si>
  <si>
    <t xml:space="preserve">harness.io</t>
  </si>
  <si>
    <t xml:space="preserve">Software delivery platform spanning CI/CD, feature flags, and cloud cost management.</t>
  </si>
  <si>
    <t xml:space="preserve">Not independently confirmed this session; flag.</t>
  </si>
  <si>
    <t xml:space="preserve">Independent. Series E closed Dec 11, 2025 ($240M raise, $5.5B valuation, up from $3.7B in 2022) — funding event, not M&amp;A. Harness acquired Qwiet AI, Sept 2025 (Harness as acquirer, not target).</t>
  </si>
  <si>
    <t xml:space="preserve">Total raised $614M over 14 rounds.</t>
  </si>
  <si>
    <t xml:space="preserve">CloudBees</t>
  </si>
  <si>
    <t xml:space="preserve">cloudbees.com</t>
  </si>
  <si>
    <t xml:space="preserve">Enterprise software delivery platform built around commercial Jenkins distribution (CloudBees CI).</t>
  </si>
  <si>
    <t xml:space="preserve">Independent, no acquisition of CloudBees found. CloudBees acquired Launchable, Aug 2024 (pre-window, CloudBees as acquirer).</t>
  </si>
  <si>
    <t xml:space="preserve">No additional flags beyond unconfirmed headcount.</t>
  </si>
  <si>
    <t xml:space="preserve">Bitbucket</t>
  </si>
  <si>
    <t xml:space="preserve">bitbucket.org</t>
  </si>
  <si>
    <t xml:space="preserve">Git source code management and peer code review platform, owned by Atlassian.</t>
  </si>
  <si>
    <t xml:space="preserve">Private (Atlassian subsidiary; Atlassian is NASDAQ: TEAM)</t>
  </si>
  <si>
    <t xml:space="preserve">Not separately disclosed by Atlassian; flag.</t>
  </si>
  <si>
    <t xml:space="preserve">Acquired by Atlassian, 2010 — well before study window, no disruption. Explicitly excluded from Atlassian's Sept 2025 Data Center EOL announcement, confirming product is not deprecated. Source code management is a core, longstanding Atlassian product line, not a non-core asset.</t>
  </si>
  <si>
    <t xml:space="preserve">Distinct product from Jira (already locked under Project Management/Collaboration vertical) — not double-counting.</t>
  </si>
  <si>
    <t xml:space="preserve">Perforce</t>
  </si>
  <si>
    <t xml:space="preserve">perforce.com</t>
  </si>
  <si>
    <t xml:space="preserve">Enterprise version control and DevOps toolchain (Helix Core) for large-scale/binary-heavy codebases (gaming, embedded, etc.).</t>
  </si>
  <si>
    <t xml:space="preserve">Private (PE-owned: Francisco Partners and Clearlake Capital, equal stake since April 2019)</t>
  </si>
  <si>
    <t xml:space="preserve">Stable PE ownership since April 2019, pre-window, no disruption. Perforce acquired Puppet, April 2022 (Perforce as acquirer, pre-window).</t>
  </si>
  <si>
    <t xml:space="preserve">Octopus Deploy</t>
  </si>
  <si>
    <t xml:space="preserve">octopus.com</t>
  </si>
  <si>
    <t xml:space="preserve">Deployment automation and release management platform.</t>
  </si>
  <si>
    <t xml:space="preserve">~361 (Jan 2026).</t>
  </si>
  <si>
    <t xml:space="preserve">Independent. Acquired Codefresh for $43M, 2024 (pre-window, Octopus as acquirer). Latest funding round $30M, Oct 8, 2025 (Insight Partners) — funding event, not M&amp;A.</t>
  </si>
  <si>
    <t xml:space="preserve">Total raised $204M.</t>
  </si>
  <si>
    <t xml:space="preserve">Red Hat Ansible Automation Platform</t>
  </si>
  <si>
    <t xml:space="preserve">ansible.com</t>
  </si>
  <si>
    <t xml:space="preserve">Open-source-based IT automation and configuration management platform, owned by Red Hat (IBM).</t>
  </si>
  <si>
    <t xml:space="preserve">Private (Red Hat/IBM subsidiary; IBM is NYSE: IBM)</t>
  </si>
  <si>
    <t xml:space="preserve">Not separately disclosed; flag.</t>
  </si>
  <si>
    <t xml:space="preserve">Ansible acquired by Red Hat, 2015; Red Hat acquired by IBM, closed July 2019 — both well before study window, no disruption since. Remains a core Red Hat automation product line, not a non-core asset.</t>
  </si>
  <si>
    <t xml:space="preserve">Azure Pipelines</t>
  </si>
  <si>
    <t xml:space="preserve">azure.microsoft.com</t>
  </si>
  <si>
    <t xml:space="preserve">Cloud-based CI/CD pipeline service, part of Microsoft's Azure DevOps suite.</t>
  </si>
  <si>
    <t xml:space="preserve">Private (Microsoft product line)</t>
  </si>
  <si>
    <t xml:space="preserve">Microsoft product line, no acquisition event. Developer tools are a core Microsoft business line, not a non-core asset.</t>
  </si>
  <si>
    <t xml:space="preserve">Distinct product from GitHub (also Microsoft-owned, also in this vertical) — different function (CI/CD pipelines vs. source hosting); not double-counting.</t>
  </si>
  <si>
    <t xml:space="preserve">Bitrise Mobile DevOps Platform</t>
  </si>
  <si>
    <t xml:space="preserve">bitrise.io</t>
  </si>
  <si>
    <t xml:space="preserve">Mobile-focused CI/CD and DevOps automation platform.</t>
  </si>
  <si>
    <t xml:space="preserve">No acquisition found.</t>
  </si>
  <si>
    <t xml:space="preserve">Founded year, employee count, and funding not independently verified this session — flagged for follow-up before Pass 2.</t>
  </si>
  <si>
    <t xml:space="preserve">Opsera</t>
  </si>
  <si>
    <t xml:space="preserve">opsera.io</t>
  </si>
  <si>
    <t xml:space="preserve">Unified DevOps orchestration platform across CI/CD toolchains.</t>
  </si>
  <si>
    <t xml:space="preserve">~114 (May 2026) vs. ~25-100 estimate elsewhere — sources disagree, flagged.</t>
  </si>
  <si>
    <t xml:space="preserve">Independent. Raised $20M Series B, April 2025 (Prosperity7, Hitachi Ventures) — funding event, not M&amp;A.</t>
  </si>
  <si>
    <t xml:space="preserve">Total raised $51.3M.</t>
  </si>
  <si>
    <t xml:space="preserve">Redgate Flyway</t>
  </si>
  <si>
    <t xml:space="preserve">flywaydb.org</t>
  </si>
  <si>
    <t xml:space="preserve">Database schema migration and version control tool, owned by Redgate.</t>
  </si>
  <si>
    <t xml:space="preserve">Redgate acquired Flyway, 2019 — pre-window. FLAG: Bregal Sagemount announced a strategic growth investment in Redgate, Jan 7 2026, becoming majority shareholder; deal expected to close late Q1 2026 — in-window ownership change. Treated as a PE growth investment (financial sponsor), not a differently-focused operating-company acquisition — consistent with the Quickbase/Vista precedent — included with lower confidence given proximity of the ownership change.</t>
  </si>
  <si>
    <t xml:space="preserve">Recommend Pass 2 domain-stability re-check given the pending Q1 2026 ownership transition.</t>
  </si>
  <si>
    <t xml:space="preserve">Semaphore</t>
  </si>
  <si>
    <t xml:space="preserve">semaphoreci.com</t>
  </si>
  <si>
    <t xml:space="preserve">Cloud-based CI/CD platform for software delivery automation.</t>
  </si>
  <si>
    <t xml:space="preserve">~30-36 (Oct 2025).</t>
  </si>
  <si>
    <t xml:space="preserve">FLAG: one search result claimed a Docker Inc. acquisition of Semaphore; this conflicts with other sources showing Semaphore as independent (open-sourced its product, March 2025). Could not verify via a credible primary source — treated as Independent per standing 'do not invent' rule, but flagged as unconfirmed/conflicting and recommended for Pass 2 re-verification before relying on this company's data.</t>
  </si>
  <si>
    <t xml:space="preserve">M&amp;A status unconfirmed/conflicting — see notes. Revenue ~$3.3M (2025).</t>
  </si>
  <si>
    <t xml:space="preserve">Vanta</t>
  </si>
  <si>
    <t xml:space="preserve">vanta.com</t>
  </si>
  <si>
    <t xml:space="preserve">https://www.g2.com/categories/security-compliance</t>
  </si>
  <si>
    <t xml:space="preserve">Trust management and compliance automation platform (SOC 2, ISO 27001, and other framework evidence collection).</t>
  </si>
  <si>
    <t xml:space="preserve">Sources disagree — ~1,000 (Apr 2026) vs. ~1,917 vs. ~1,500 cited elsewhere; flag.</t>
  </si>
  <si>
    <t xml:space="preserve">Acquired Riskey (Israeli AI risk-monitoring startup), 2025 — within window, Vanta as acquirer not target, no disruption to Vanta itself.</t>
  </si>
  <si>
    <t xml:space="preserve">Series D, $150M, July 2025, $4.15B valuation. Total raised $504M+.</t>
  </si>
  <si>
    <t xml:space="preserve">Sprinto</t>
  </si>
  <si>
    <t xml:space="preserve">sprinto.com</t>
  </si>
  <si>
    <t xml:space="preserve">Compliance automation platform for SOC 2, ISO 27001, and other security frameworks.</t>
  </si>
  <si>
    <t xml:space="preserve">316 (Jul 2025).</t>
  </si>
  <si>
    <t xml:space="preserve">Independent, no acquisition found in window.</t>
  </si>
  <si>
    <t xml:space="preserve">Total raised $32.2M; last round Series B $20.6M, Apr 2024 (pre-window).</t>
  </si>
  <si>
    <t xml:space="preserve">Secureframe</t>
  </si>
  <si>
    <t xml:space="preserve">secureframe.com</t>
  </si>
  <si>
    <t xml:space="preserve">Compliance automation platform for SOC 2, ISO 27001, HIPAA, and other frameworks.</t>
  </si>
  <si>
    <t xml:space="preserve">Sources disagree — 127 (Apr 2026) vs. ~200 (PitchBook); flag.</t>
  </si>
  <si>
    <t xml:space="preserve">Independent, no acquisition found.</t>
  </si>
  <si>
    <t xml:space="preserve">Total raised $79M; last confirmed round Series B, Feb 2022 (pre-window, no newer round confirmed).</t>
  </si>
  <si>
    <t xml:space="preserve">Drata</t>
  </si>
  <si>
    <t xml:space="preserve">drata.com</t>
  </si>
  <si>
    <t xml:space="preserve">Compliance automation platform for SOC 2, ISO 27001, and other framework evidence collection.</t>
  </si>
  <si>
    <t xml:space="preserve">~732 (2026).</t>
  </si>
  <si>
    <t xml:space="preserve">Acquired SafeBase (Feb 11, 2025), plus oak9 and Harmonize (dates unconfirmed) — within/near window, Drata as acquirer not target. FLAG: reported workforce reduction, Dec 2025, sourced from employee reports (not press) — weaker confirmation than a verified press event; recommend Pass 2 confidence check.</t>
  </si>
  <si>
    <t xml:space="preserve">Total raised $328M.</t>
  </si>
  <si>
    <t xml:space="preserve">Scrut Automation</t>
  </si>
  <si>
    <t xml:space="preserve">scrut.io</t>
  </si>
  <si>
    <t xml:space="preserve">Compliance automation and risk management platform.</t>
  </si>
  <si>
    <t xml:space="preserve">Sources disagree — 126 (Aug 2025) vs. 184 (other source); flag.</t>
  </si>
  <si>
    <t xml:space="preserve">Total raised ~$20.6M; valuation ~$75M (May 2025). Founded year disputed across sources (2020 vs. 2021) — flag.</t>
  </si>
  <si>
    <t xml:space="preserve">Thoropass</t>
  </si>
  <si>
    <t xml:space="preserve">thoropass.com</t>
  </si>
  <si>
    <t xml:space="preserve">Compliance automation and audit management platform.</t>
  </si>
  <si>
    <t xml:space="preserve">Sources disagree — 200 vs. 232.</t>
  </si>
  <si>
    <t xml:space="preserve">No 2025/2026 acquisition found; remains private/independent. Founded as Laika, rebranded Thoropass — name change, not an M&amp;A event.</t>
  </si>
  <si>
    <t xml:space="preserve">Total raised ~$98-100M; Series C $50M.</t>
  </si>
  <si>
    <t xml:space="preserve">Oneleet</t>
  </si>
  <si>
    <t xml:space="preserve">oneleet.com</t>
  </si>
  <si>
    <t xml:space="preserve">Combined compliance automation, security, and pentest platform (YC-backed).</t>
  </si>
  <si>
    <t xml:space="preserve">Sources disagree, ranges 23-60; flag.</t>
  </si>
  <si>
    <t xml:space="preserve">Independent — Series A $33M, Oct 2025 (Dawn Capital) was a funding event, not M&amp;A.</t>
  </si>
  <si>
    <t xml:space="preserve">Total raised $35M.</t>
  </si>
  <si>
    <t xml:space="preserve">OneTrust Tech Risk &amp; Compliance</t>
  </si>
  <si>
    <t xml:space="preserve">onetrust.com</t>
  </si>
  <si>
    <t xml:space="preserve">Tech risk and compliance product line (SOC 2, NIST, GDPR, 55+ frameworks) within OneTrust's broader privacy/GRC platform.</t>
  </si>
  <si>
    <t xml:space="preserve">FLAG: workforce reduction of ~110 employees (~5%), March 2026 — within window, confirmed by multiple sources (SecurityWeek, layoff trackers). Parent-level layoff event, not M&amp;A; recommend Pass 2 confidence check given timing. OneTrust's core business spans privacy/GRC broadly — Tech Risk &amp; Compliance is a core line, not a non-core asset.</t>
  </si>
  <si>
    <t xml:space="preserve">OneTrust ARR exceeded $500M (2025); growth reported as decelerating.</t>
  </si>
  <si>
    <t xml:space="preserve">Apptega</t>
  </si>
  <si>
    <t xml:space="preserve">apptega.com</t>
  </si>
  <si>
    <t xml:space="preserve">Cybersecurity and compliance management platform mapping controls across multiple frameworks.</t>
  </si>
  <si>
    <t xml:space="preserve">~54-57, reported declining YoY (-15.6%) per one source.</t>
  </si>
  <si>
    <t xml:space="preserve">Total raised $52.9M; last major round $15M, Apr 2024 (pre-window, Mainsail Partners). Founded year has minor source conflict (2017 vs. 2018).</t>
  </si>
  <si>
    <t xml:space="preserve">Secfix</t>
  </si>
  <si>
    <t xml:space="preserve">secfix.com</t>
  </si>
  <si>
    <t xml:space="preserve">Compliance automation platform for SOC 2, ISO 27001, and other frameworks (EU-focused).</t>
  </si>
  <si>
    <t xml:space="preserve">36 (Apr 2026).</t>
  </si>
  <si>
    <t xml:space="preserve">Series A $12M closed Feb 2026 (Alstin Capital) — within window, funding event not M&amp;A. Total raised $15.8M.</t>
  </si>
  <si>
    <t xml:space="preserve">LogicGate</t>
  </si>
  <si>
    <t xml:space="preserve">logicgate.com</t>
  </si>
  <si>
    <t xml:space="preserve">Risk Cloud — no-code GRC (governance, risk, and compliance) platform.</t>
  </si>
  <si>
    <t xml:space="preserve">Estimated 100-250 — wide/imprecise range across sources; flag.</t>
  </si>
  <si>
    <t xml:space="preserve">Independent, no acquisition found. Leadership change only: new President/COO appointed May 2025 (not an M&amp;A event).</t>
  </si>
  <si>
    <t xml:space="preserve">Total raised figures strongly conflicting across sources ($156M vs. $269M vs. $386M) — flagged, not resolved. Confirmed Series C was $113M led by PSG.</t>
  </si>
  <si>
    <t xml:space="preserve">Kertos</t>
  </si>
  <si>
    <t xml:space="preserve">kertos.io</t>
  </si>
  <si>
    <t xml:space="preserve">Compliance and privacy automation platform (EU-focused, GDPR/ISO 27001).</t>
  </si>
  <si>
    <t xml:space="preserve">56-58 (2025); one source showed '2' which is treated as a data error.</t>
  </si>
  <si>
    <t xml:space="preserve">Series A €14M/$16.5M, Sep 2025 (Portage) — within window, funding event not M&amp;A. Total raised $22M.</t>
  </si>
  <si>
    <t xml:space="preserve">ISMS.online</t>
  </si>
  <si>
    <t xml:space="preserve">isms.online</t>
  </si>
  <si>
    <t xml:space="preserve">ISO 27001 and information security management system (ISMS) compliance platform.</t>
  </si>
  <si>
    <t xml:space="preserve">80.</t>
  </si>
  <si>
    <t xml:space="preserve">Total raised $2.63M, Series A, Nov 2023 (pre-window).</t>
  </si>
  <si>
    <t xml:space="preserve">Hyperproof</t>
  </si>
  <si>
    <t xml:space="preserve">hyperproof.io</t>
  </si>
  <si>
    <t xml:space="preserve">Compliance operations and risk management platform.</t>
  </si>
  <si>
    <t xml:space="preserve">~200.</t>
  </si>
  <si>
    <t xml:space="preserve">Acquired Expent (vendor lifecycle/third-party risk management), described as buyout/LBO, Oct 6, 2025 — within window, Hyperproof as acquirer not target, no disruption to Hyperproof itself.</t>
  </si>
  <si>
    <t xml:space="preserve">Total raised $77.3M; $40M growth round led by Riverwood Capital.</t>
  </si>
  <si>
    <t xml:space="preserve">SAI360</t>
  </si>
  <si>
    <t xml:space="preserve">sai360.com</t>
  </si>
  <si>
    <t xml:space="preserve">Integrated risk and compliance (GRC) platform.</t>
  </si>
  <si>
    <t xml:space="preserve">Private (PE-owned: Symphony Technology Group, since March 2023)</t>
  </si>
  <si>
    <t xml:space="preserve">Not disclosed (PE-owned); flag.</t>
  </si>
  <si>
    <t xml:space="preserve">Acquired by Symphony Technology Group, completed March 2023 — pre-window, stable since (financial sponsor, consistent with the Quickbase/Vista precedent — not a differently-focused operating acquirer). SAI360 itself acquired Plural (AI policy-tracking/regulatory intelligence), announced Dec 1, 2025 — within window, SAI360 as acquirer not target.</t>
  </si>
  <si>
    <t xml:space="preserve">History: SAI Global (ASX-listed) taken private 2016/17 (BPEA), sold Assurance/Standards division to Intertek 2021, remaining business rebranded SAI360, then STG acquisition 2023 — all pre-window.</t>
  </si>
  <si>
    <t xml:space="preserve">Amplitude Analytics</t>
  </si>
  <si>
    <t xml:space="preserve">amplitude.com</t>
  </si>
  <si>
    <t xml:space="preserve">https://www.g2.com/categories/product-analytics; https://www.g2.com/categories/strategy-and-innovation-roadmapping-tools</t>
  </si>
  <si>
    <t xml:space="preserve">Digital analytics platform for product, customer journey, and behavioral analysis.</t>
  </si>
  <si>
    <t xml:space="preserve">Public (NASDAQ: AMPL)</t>
  </si>
  <si>
    <t xml:space="preserve">Sources disagree — ~800 per Q3 2025 10-Q vs. ~1,000-1,190 per third-party scrapers; flag.</t>
  </si>
  <si>
    <t xml:space="preserve">Research subagent cross-source verification, 2026-06-27 (see notes for variance/blank flags)</t>
  </si>
  <si>
    <t xml:space="preserve">Independent. Acquirer — Kraftful (Jul 2025) and InfiniGrow (Jan 2026), both within window, no disruption to Amplitude itself.</t>
  </si>
  <si>
    <t xml:space="preserve">President Thomas Hansen departure announced Feb 2026 (effective Mar 31, 2026). No confirmed company-wide layoff in window.</t>
  </si>
  <si>
    <t xml:space="preserve">Pendo</t>
  </si>
  <si>
    <t xml:space="preserve">pendo.io</t>
  </si>
  <si>
    <t xml:space="preserve">Product experience platform combining product analytics, in-app guidance, and feedback management.</t>
  </si>
  <si>
    <t xml:space="preserve">Sources disagree — ~970-1,000; likely lower post-layoff but not freshly confirmed.</t>
  </si>
  <si>
    <t xml:space="preserve">Independent. Acquirer — Chisel Labs (announced Feb 3, 2026), Pendo's 4th acquisition in 18 months.</t>
  </si>
  <si>
    <t xml:space="preserve">FLAG: confirmed layoff of ~90 employees (~10%), April 2026, across multiple offices — CEO cited AI-driven restructuring. Layoff without M&amp;A-as-target; flagged per established precedent, not excluded.</t>
  </si>
  <si>
    <t xml:space="preserve">Mixpanel</t>
  </si>
  <si>
    <t xml:space="preserve">mixpanel.com</t>
  </si>
  <si>
    <t xml:space="preserve">Product analytics platform for event tracking, funnels, and behavioral cohort analysis.</t>
  </si>
  <si>
    <t xml:space="preserve">Sources disagree — range 480-680; unresolved.</t>
  </si>
  <si>
    <t xml:space="preserve">Independent. Acquirer — DoubleLoop (Oct 7, 2025).</t>
  </si>
  <si>
    <t xml:space="preserve">New CEO Jen Taylor appointed Sept 2, 2025, succeeding Amir Movafaghi. No press-confirmed layoff (only an unsourced peer mention, not asserted as fact).</t>
  </si>
  <si>
    <t xml:space="preserve">PostHog</t>
  </si>
  <si>
    <t xml:space="preserve">posthog.com</t>
  </si>
  <si>
    <t xml:space="preserve">Open-source-rooted product analytics platform (event analytics, session replay, feature flags, experiments).</t>
  </si>
  <si>
    <t xml:space="preserve">Sources disagree sharply — range 42-202; heavily flagged, unresolved.</t>
  </si>
  <si>
    <t xml:space="preserve">Independent, no acquisition activity found.</t>
  </si>
  <si>
    <t xml:space="preserve">Series E $75M, Sept 29, 2025 ($1.4B valuation, unicorn status). Company states it has never had layoffs.</t>
  </si>
  <si>
    <t xml:space="preserve">LogRocket</t>
  </si>
  <si>
    <t xml:space="preserve">logrocket.com</t>
  </si>
  <si>
    <t xml:space="preserve">Session replay and product analytics platform combining frontend monitoring with behavioral data.</t>
  </si>
  <si>
    <t xml:space="preserve">Possible decline ~545 (Sept 2025) to ~482 (Apr 2026) per aggregator data only — NOT corroborated by any news source; flagged as unverified trend, not a confirmed layoff.</t>
  </si>
  <si>
    <t xml:space="preserve">Shipped 'Ask Galileo' AI feature, Mar 2026. Employee-count trend above is unconfirmed and should not be treated as a layoff event.</t>
  </si>
  <si>
    <t xml:space="preserve">Userpilot</t>
  </si>
  <si>
    <t xml:space="preserve">userpilot.com</t>
  </si>
  <si>
    <t xml:space="preserve">Product growth platform combining in-app onboarding/guidance with product analytics.</t>
  </si>
  <si>
    <t xml:space="preserve">~81-82 (Feb 2026).</t>
  </si>
  <si>
    <t xml:space="preserve">Independent. A widely-repeated claim that Userpilot 'acquired Survicate' (Feb 2024) is UNCONFIRMED and likely incorrect — no press corroboration found, and Survicate continues to operate independently. Not treated as fact.</t>
  </si>
  <si>
    <t xml:space="preserve">Smallest funding total in this vertical's analytics group ($5.98M total — ScOp Venture Capital, Silicon Badia, 500 Global). Founding year disputed across sources (2017-2019), left blank rather than guessed.</t>
  </si>
  <si>
    <t xml:space="preserve">Glassbox</t>
  </si>
  <si>
    <t xml:space="preserve">glassbox.com</t>
  </si>
  <si>
    <t xml:space="preserve">Digital experience analytics platform (session replay, customer journey analytics) for enterprise web/mobile.</t>
  </si>
  <si>
    <t xml:space="preserve">Private (formerly public, TASE: GLBX)</t>
  </si>
  <si>
    <t xml:space="preserve">~268-272 (approximate, not directly LinkedIn-verified).</t>
  </si>
  <si>
    <t xml:space="preserve">Acquired. Taken private by Alicorn Venture Partners (all-cash, ~$150M), delisted from Tel Aviv Stock Exchange Oct 31, 2024 — pre-window, no disruption reported during the study window (Jan 2025-Jun 2026). Included per established pre-window-M&amp;A-no-disruption precedent.</t>
  </si>
  <si>
    <t xml:space="preserve">PE-owned since Oct 2024 via Alicorn + Susquehanna Growth Equity ARR financing facility; stable under CEO Yaron Morgenstern throughout window.</t>
  </si>
  <si>
    <t xml:space="preserve">Contentsquare</t>
  </si>
  <si>
    <t xml:space="preserve">contentsquare.com</t>
  </si>
  <si>
    <t xml:space="preserve">Enterprise digital experience analytics platform (behavioral analytics, session replay, customer journey analysis).</t>
  </si>
  <si>
    <t xml:space="preserve">Sources disagree — range ~1,700-1,800.</t>
  </si>
  <si>
    <t xml:space="preserve">Independent. Acquirer — completed legal-entity merger of Hotjar into Contentsquare Group (Jul 1, 2025) and acquired Loris AI (closed Oct 23, 2025).</t>
  </si>
  <si>
    <t xml:space="preserve">Parent company of Hotjar and Heap sub-brands; both excluded from this vertical's locked 15 as redundant same-parent entries (Contentsquare itself represents the parent's organic footprint). Funding figures stale relative to 2025-26 (last disclosed round 2022).</t>
  </si>
  <si>
    <t xml:space="preserve">Fullstory</t>
  </si>
  <si>
    <t xml:space="preserve">fullstory.com</t>
  </si>
  <si>
    <t xml:space="preserve">Digital experience analytics platform (session replay, heatmaps, behavioral data) for product and UX teams.</t>
  </si>
  <si>
    <t xml:space="preserve">~390 (approximate, as-of date unconfirmed).</t>
  </si>
  <si>
    <t xml:space="preserve">Multiple 2025 leadership changes (CFO appointed Apr 22, 2025; new President/CPTO roles, exact dates unconfirmed). Anecdotal Glassdoor/Blind layoff mentions exist but are NOT press-confirmed to a specific date in window — not treated as fact.</t>
  </si>
  <si>
    <t xml:space="preserve">LaunchDarkly</t>
  </si>
  <si>
    <t xml:space="preserve">launchdarkly.com</t>
  </si>
  <si>
    <t xml:space="preserve">Feature management and experimentation platform (feature flags, progressive delivery, A/B testing analytics).</t>
  </si>
  <si>
    <t xml:space="preserve">Sources disagree — range ~620-645.</t>
  </si>
  <si>
    <t xml:space="preserve">Independent. Acquirer — Highlight (announced Apr 23, 2025); also referenced acquisition of Houseware (exact date unconfirmed).</t>
  </si>
  <si>
    <t xml:space="preserve">Co-founder Edith Harbaugh returned as CEO Aug 2025, succeeding Dan Rogers; new CTO and CFO added Jan 2026. Anecdotal layoff/culture-change mentions exist but lack official press confirmation of a specific event/number — not treated as fact.</t>
  </si>
  <si>
    <t xml:space="preserve">Whatfix</t>
  </si>
  <si>
    <t xml:space="preserve">whatfix.com</t>
  </si>
  <si>
    <t xml:space="preserve">Digital adoption platform combining in-app guidance with product analytics for enterprise software rollouts.</t>
  </si>
  <si>
    <t xml:space="preserve">Private (reportedly pursuing a 2026 IPO)</t>
  </si>
  <si>
    <t xml:space="preserve">~1,107 (May 2026), reasonably consistent across sources.</t>
  </si>
  <si>
    <t xml:space="preserve">Independent, no acquisition activity found in window.</t>
  </si>
  <si>
    <t xml:space="preserve">FLAG: confirmed layoff of ~60 employees (~6%), described as Whatfix's first-ever layoff, tied to an 'AI push' — exact 2025 date not precisely pinned. Flagged per established layoff-without-M&amp;A precedent, not excluded.</t>
  </si>
  <si>
    <t xml:space="preserve">Aha!</t>
  </si>
  <si>
    <t xml:space="preserve">aha.io</t>
  </si>
  <si>
    <t xml:space="preserve">Product management software for roadmapping, idea management, and strategy alignment.</t>
  </si>
  <si>
    <t xml:space="preserve">Private (self-funded — $0 external funding raised, confirmed across multiple sources)</t>
  </si>
  <si>
    <t xml:space="preserve">Sources disagree sharply — range 125 to 500+; heavily flagged, unresolved.</t>
  </si>
  <si>
    <t xml:space="preserve">Bootstrapped since founding, no VC funding ever raised; CEO Brian de Haaff unchanged. Self-reported ~$300M valuation is a third-party estimate, not a priced round.</t>
  </si>
  <si>
    <t xml:space="preserve">Productboard</t>
  </si>
  <si>
    <t xml:space="preserve">productboard.com</t>
  </si>
  <si>
    <t xml:space="preserve">Product management platform for customer feedback aggregation, prioritization, and roadmapping.</t>
  </si>
  <si>
    <t xml:space="preserve">Sources disagree — ~303 (Apr 30, 2026) vs. ~338 (Mar 2026); lower figure likely reflects post-layoff headcount but not fully reconciled.</t>
  </si>
  <si>
    <t xml:space="preserve">FLAG: confirmed major layoff of 30%+ of global workforce, April 15, 2026 — third layoff round in ~2 years (earlier round Jan 2024, outside window). CEO framed this as a pivot to an 'AI-only' product, 'Productboard Spark.' Flagged heavily for Pass 2 confidence check per established layoff-without-M&amp;A precedent (BILL Holdings/GitLab/OneTrust/Drata), not excluded. Anecdotal Glassdoor mentions of executive turnover not independently verified.</t>
  </si>
  <si>
    <t xml:space="preserve">ProductPlan</t>
  </si>
  <si>
    <t xml:space="preserve">productplan.com</t>
  </si>
  <si>
    <t xml:space="preserve">Product roadmapping software for strategy alignment and stakeholder communication.</t>
  </si>
  <si>
    <t xml:space="preserve">Private (PE-backed)</t>
  </si>
  <si>
    <t xml:space="preserve">~50 (2024 figure, stale — no fresher count found).</t>
  </si>
  <si>
    <t xml:space="preserve">Acquired (PE-backed). Majority-owned/backed by Bow River Capital since a recapitalization May 12, 2022 — pre-window, stable since (consistent with Quickbase/SAI360 PE-ownership precedent). Also acquirer — acquired Winware.ai (announced Jan 12, 2026) to build an 'AI-Driven Product Intelligence Platform.'</t>
  </si>
  <si>
    <t xml:space="preserve">Notable leadership transition: Winware.ai's founder Steven Cohn became ProductPlan's new CEO (Jan 2026); former President/CEO Ben Jubenville moved to a board/advisory role. No connection found to any company called 'Alpha' despite an initial unverified assumption — corrected during verification.</t>
  </si>
  <si>
    <t xml:space="preserve">Canny</t>
  </si>
  <si>
    <t xml:space="preserve">canny.io</t>
  </si>
  <si>
    <t xml:space="preserve">Customer feedback management and product roadmapping platform.</t>
  </si>
  <si>
    <t xml:space="preserve">~20-21 (late 2025/2026).</t>
  </si>
  <si>
    <t xml:space="preserve">~$3.5M ARR (2024 data). Founding year has a minor source conflict (2015 vs. 2017); 2017 is more commonly cited.</t>
  </si>
  <si>
    <t xml:space="preserve">Traffic Start</t>
  </si>
  <si>
    <t xml:space="preserve">Traffic End</t>
  </si>
  <si>
    <t xml:space="preserve">% Change</t>
  </si>
  <si>
    <t xml:space="preserve">Ref. Domains Start</t>
  </si>
  <si>
    <t xml:space="preserve">Ref. Domains End</t>
  </si>
  <si>
    <t xml:space="preserve">URL 1</t>
  </si>
  <si>
    <t xml:space="preserve">Content Type 1</t>
  </si>
  <si>
    <t xml:space="preserve">Traffic Change 1</t>
  </si>
  <si>
    <t xml:space="preserve">URL 2</t>
  </si>
  <si>
    <t xml:space="preserve">Content Type 2</t>
  </si>
  <si>
    <t xml:space="preserve">Traffic Change 2</t>
  </si>
  <si>
    <t xml:space="preserve">URL 3</t>
  </si>
  <si>
    <t xml:space="preserve">Content Type 3</t>
  </si>
  <si>
    <t xml:space="preserve">Traffic Change 3</t>
  </si>
  <si>
    <t xml:space="preserve">URL 4</t>
  </si>
  <si>
    <t xml:space="preserve">Content Type 4</t>
  </si>
  <si>
    <t xml:space="preserve">Traffic Change 4</t>
  </si>
  <si>
    <t xml:space="preserve">URL 5</t>
  </si>
  <si>
    <t xml:space="preserve">Content Type 5</t>
  </si>
  <si>
    <t xml:space="preserve">Traffic Change 5</t>
  </si>
  <si>
    <t xml:space="preserve">Related Company ID</t>
  </si>
  <si>
    <t xml:space="preserve">Cross-Cut Notes (Buying Motion / Buyer Type)</t>
  </si>
  <si>
    <t xml:space="preserve">Categories</t>
  </si>
  <si>
    <t xml:space="preserve">GrowthDriver</t>
  </si>
  <si>
    <t xml:space="preserve">ContentType</t>
  </si>
  <si>
    <t xml:space="preserve">TrafficTrajectory</t>
  </si>
  <si>
    <t xml:space="preserve">Docs hub</t>
  </si>
  <si>
    <t xml:space="preserve">Comparison pages</t>
  </si>
  <si>
    <t xml:space="preserve">Alternatives pages</t>
  </si>
  <si>
    <t xml:space="preserve">Steady Growth</t>
  </si>
  <si>
    <t xml:space="preserve">Documentation/Help center</t>
  </si>
  <si>
    <t xml:space="preserve">Free tool</t>
  </si>
  <si>
    <t xml:space="preserve">Glossary/Definitional</t>
  </si>
  <si>
    <t xml:space="preserve">Early Peak then Plateau</t>
  </si>
  <si>
    <t xml:space="preserve">Brand/domain strength</t>
  </si>
  <si>
    <t xml:space="preserve">Product/Feature pages</t>
  </si>
  <si>
    <t xml:space="preserve">Content refreshes</t>
  </si>
  <si>
    <t xml:space="preserve">Educational/How-to</t>
  </si>
  <si>
    <t xml:space="preserve">Decline then Recovery</t>
  </si>
  <si>
    <t xml:space="preserve">New product/category expansion</t>
  </si>
  <si>
    <t xml:space="preserve">Original data/Research</t>
  </si>
  <si>
    <t xml:space="preserve">Backlink growth</t>
  </si>
  <si>
    <t xml:space="preserve">Customer stories/Case studies</t>
  </si>
  <si>
    <t xml:space="preserve">Unclear</t>
  </si>
  <si>
    <t xml:space="preserve">Free tool/Calculator</t>
  </si>
  <si>
    <t xml:space="preserve">Volatile</t>
  </si>
  <si>
    <t xml:space="preserve">Other</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</si>
</sst>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D9E1F2"/>
        <bgColor rgb="FFEDEDED"/>
      </patternFill>
    </fill>
    <fill>
      <patternFill patternType="solid">
        <fgColor rgb="FFEDEDED"/>
        <bgColor rgb="FFD9E1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2" min="2" style="1" width="14"/>
    <col collapsed="false" customWidth="true" hidden="false" outlineLevel="0" max="3" min="3" style="1" width="10"/>
  </cols>
  <sheetData>
    <row r="1" customFormat="false" ht="17.25" hidden="false" customHeight="true" outlineLevel="0" collapsed="false">
      <c r="A1" s="2" t="s">
        <v>0</v>
      </c>
      <c r="B1" s="2"/>
      <c r="C1" s="2"/>
      <c r="D1" s="2"/>
    </row>
    <row r="2" customFormat="false" ht="15" hidden="false" customHeight="true" outlineLevel="0" collapsed="false">
      <c r="A2" s="3" t="s">
        <v>1</v>
      </c>
      <c r="B2" s="3"/>
      <c r="C2" s="3"/>
      <c r="D2" s="3"/>
      <c r="E2" s="3"/>
      <c r="F2" s="3"/>
    </row>
    <row r="4" customFormat="false" ht="15" hidden="false" customHeight="true" outlineLevel="0" collapsed="false">
      <c r="A4" s="4" t="s">
        <v>2</v>
      </c>
      <c r="B4" s="4" t="s">
        <v>3</v>
      </c>
    </row>
    <row r="5" customFormat="false" ht="15" hidden="false" customHeight="true" outlineLevel="0" collapsed="false">
      <c r="A5" s="5" t="s">
        <v>4</v>
      </c>
      <c r="B5" s="6" t="n">
        <f aca="false">COUNTA('Pass 1 Archive'!A2:A500)</f>
        <v>195</v>
      </c>
    </row>
    <row r="6" customFormat="false" ht="15" hidden="false" customHeight="true" outlineLevel="0" collapsed="false">
      <c r="A6" s="5" t="s">
        <v>5</v>
      </c>
      <c r="B6" s="6" t="n">
        <f aca="false">COUNTA('Pass 2'!A2:A500)</f>
        <v>13</v>
      </c>
    </row>
    <row r="7" customFormat="false" ht="15" hidden="false" customHeight="true" outlineLevel="0" collapsed="false">
      <c r="A7" s="5" t="s">
        <v>6</v>
      </c>
      <c r="B7" s="6" t="n">
        <f aca="false">COUNTIF('Pass 1 Archive'!X2:X500,"Exclude")</f>
        <v>23</v>
      </c>
    </row>
    <row r="8" customFormat="false" ht="15" hidden="false" customHeight="true" outlineLevel="0" collapsed="false">
      <c r="A8" s="5" t="s">
        <v>7</v>
      </c>
      <c r="B8" s="6" t="n">
        <f aca="false">COUNTIF('Pass 1 Archive'!X2:X500,"Pending")</f>
        <v>24</v>
      </c>
    </row>
    <row r="9" customFormat="false" ht="15" hidden="false" customHeight="true" outlineLevel="0" collapsed="false">
      <c r="A9" s="5" t="s">
        <v>8</v>
      </c>
      <c r="B9" s="6" t="n">
        <f aca="false">COUNTA('Pass 2'!R2:R500)</f>
        <v>13</v>
      </c>
    </row>
    <row r="10" customFormat="false" ht="15" hidden="false" customHeight="true" outlineLevel="0" collapsed="false">
      <c r="A10" s="5" t="s">
        <v>9</v>
      </c>
      <c r="B10" s="6" t="n">
        <f aca="false">COUNTIF('Pass 2'!R2:R500,"Grew")</f>
        <v>0</v>
      </c>
    </row>
    <row r="11" customFormat="false" ht="15" hidden="false" customHeight="true" outlineLevel="0" collapsed="false">
      <c r="A11" s="5" t="s">
        <v>10</v>
      </c>
      <c r="B11" s="6" t="n">
        <f aca="false">COUNTIF('Pass 2'!R2:R500,"Flat")</f>
        <v>4</v>
      </c>
    </row>
    <row r="12" customFormat="false" ht="15" hidden="false" customHeight="true" outlineLevel="0" collapsed="false">
      <c r="A12" s="5" t="s">
        <v>11</v>
      </c>
      <c r="B12" s="6" t="n">
        <f aca="false">COUNTIF('Pass 2'!R2:R500,"Declined")</f>
        <v>0</v>
      </c>
    </row>
    <row r="13" customFormat="false" ht="15" hidden="false" customHeight="true" outlineLevel="0" collapsed="false">
      <c r="A13" s="5" t="s">
        <v>12</v>
      </c>
      <c r="B13" s="6" t="n">
        <f aca="false">COUNTIF('Pass 1 Archive'!Z2:Z500,"Yes")</f>
        <v>0</v>
      </c>
    </row>
    <row r="14" customFormat="false" ht="15" hidden="false" customHeight="true" outlineLevel="0" collapsed="false">
      <c r="A14" s="5" t="s">
        <v>13</v>
      </c>
      <c r="B14" s="6" t="n">
        <f aca="false">COUNTIF('Deep Dive Database'!AK2:AK500,"Complete")</f>
        <v>0</v>
      </c>
    </row>
    <row r="15" customFormat="false" ht="15" hidden="false" customHeight="true" outlineLevel="0" collapsed="false">
      <c r="A15" s="5" t="s">
        <v>14</v>
      </c>
      <c r="B15" s="6" t="n">
        <f aca="false">COUNTIF('Pass 1 Archive'!AA2:AA500,"Yes")</f>
        <v>0</v>
      </c>
    </row>
    <row r="16" customFormat="false" ht="15" hidden="false" customHeight="true" outlineLevel="0" collapsed="false">
      <c r="A16" s="5" t="s">
        <v>15</v>
      </c>
      <c r="B16" s="6" t="n">
        <f aca="false">COUNTIF('Comparison Group Database'!Q2:Q500,"Complete")</f>
        <v>0</v>
      </c>
    </row>
    <row r="17" customFormat="false" ht="15" hidden="false" customHeight="true" outlineLevel="0" collapsed="false">
      <c r="A17" s="5" t="s">
        <v>16</v>
      </c>
      <c r="B17" s="6" t="n">
        <f aca="false">COUNTA('Pattern Tracker'!A2:A500)</f>
        <v>0</v>
      </c>
    </row>
    <row r="18" customFormat="false" ht="15" hidden="false" customHeight="true" outlineLevel="0" collapsed="false">
      <c r="A18" s="5" t="s">
        <v>17</v>
      </c>
      <c r="B18" s="6" t="n">
        <f aca="false">COUNTA('Research Log'!A2:A500)</f>
        <v>0</v>
      </c>
    </row>
    <row r="20" customFormat="false" ht="15" hidden="false" customHeight="true" outlineLevel="0" collapsed="false">
      <c r="A20" s="7" t="s">
        <v>18</v>
      </c>
    </row>
    <row r="21" customFormat="false" ht="15" hidden="false" customHeight="true" outlineLevel="0" collapsed="false">
      <c r="A21" s="4" t="s">
        <v>19</v>
      </c>
      <c r="B21" s="4" t="s">
        <v>20</v>
      </c>
      <c r="C21" s="4" t="s">
        <v>21</v>
      </c>
    </row>
    <row r="22" customFormat="false" ht="15" hidden="false" customHeight="true" outlineLevel="0" collapsed="false">
      <c r="A22" s="5" t="s">
        <v>22</v>
      </c>
      <c r="B22" s="6" t="n">
        <f aca="false">COUNTIF('Pass 2'!B2:B500,A22)</f>
        <v>0</v>
      </c>
      <c r="C22" s="5" t="n">
        <v>10</v>
      </c>
    </row>
    <row r="23" customFormat="false" ht="15" hidden="false" customHeight="true" outlineLevel="0" collapsed="false">
      <c r="A23" s="5" t="s">
        <v>23</v>
      </c>
      <c r="B23" s="6" t="n">
        <f aca="false">COUNTIF('Pass 2'!B2:B500,A23)</f>
        <v>0</v>
      </c>
      <c r="C23" s="5" t="n">
        <v>10</v>
      </c>
    </row>
    <row r="24" customFormat="false" ht="15" hidden="false" customHeight="true" outlineLevel="0" collapsed="false">
      <c r="A24" s="5" t="s">
        <v>24</v>
      </c>
      <c r="B24" s="6" t="n">
        <f aca="false">COUNTIF('Pass 2'!B2:B500,A24)</f>
        <v>0</v>
      </c>
      <c r="C24" s="5" t="n">
        <v>10</v>
      </c>
    </row>
    <row r="25" customFormat="false" ht="15" hidden="false" customHeight="true" outlineLevel="0" collapsed="false">
      <c r="A25" s="5" t="s">
        <v>25</v>
      </c>
      <c r="B25" s="6" t="n">
        <f aca="false">COUNTIF('Pass 2'!B2:B500,A25)</f>
        <v>13</v>
      </c>
      <c r="C25" s="5" t="n">
        <v>10</v>
      </c>
    </row>
    <row r="26" customFormat="false" ht="15" hidden="false" customHeight="true" outlineLevel="0" collapsed="false">
      <c r="A26" s="5" t="s">
        <v>26</v>
      </c>
      <c r="B26" s="6" t="n">
        <f aca="false">COUNTIF('Pass 2'!B2:B500,A26)</f>
        <v>0</v>
      </c>
      <c r="C26" s="5" t="n">
        <v>10</v>
      </c>
    </row>
    <row r="27" customFormat="false" ht="15" hidden="false" customHeight="true" outlineLevel="0" collapsed="false">
      <c r="A27" s="5" t="s">
        <v>27</v>
      </c>
      <c r="B27" s="6" t="n">
        <f aca="false">COUNTIF('Pass 2'!B2:B500,A27)</f>
        <v>0</v>
      </c>
      <c r="C27" s="5" t="n">
        <v>10</v>
      </c>
    </row>
    <row r="28" customFormat="false" ht="15" hidden="false" customHeight="true" outlineLevel="0" collapsed="false">
      <c r="A28" s="5" t="s">
        <v>28</v>
      </c>
      <c r="B28" s="6" t="n">
        <f aca="false">COUNTIF('Pass 2'!B2:B500,A28)</f>
        <v>0</v>
      </c>
      <c r="C28" s="5" t="n">
        <v>10</v>
      </c>
    </row>
    <row r="29" customFormat="false" ht="15" hidden="false" customHeight="true" outlineLevel="0" collapsed="false">
      <c r="A29" s="5" t="s">
        <v>29</v>
      </c>
      <c r="B29" s="6" t="n">
        <f aca="false">COUNTIF('Pass 2'!B2:B500,A29)</f>
        <v>0</v>
      </c>
      <c r="C29" s="5" t="n">
        <v>10</v>
      </c>
    </row>
    <row r="30" customFormat="false" ht="15" hidden="false" customHeight="true" outlineLevel="0" collapsed="false">
      <c r="A30" s="5" t="s">
        <v>30</v>
      </c>
      <c r="B30" s="6" t="n">
        <f aca="false">COUNTIF('Pass 2'!B2:B500,A30)</f>
        <v>0</v>
      </c>
      <c r="C30" s="5" t="n">
        <v>10</v>
      </c>
    </row>
    <row r="31" customFormat="false" ht="15" hidden="false" customHeight="true" outlineLevel="0" collapsed="false">
      <c r="A31" s="5" t="s">
        <v>31</v>
      </c>
      <c r="B31" s="6" t="n">
        <f aca="false">COUNTIF('Pass 2'!B2:B500,A31)</f>
        <v>0</v>
      </c>
      <c r="C31" s="5" t="n">
        <v>10</v>
      </c>
    </row>
    <row r="32" customFormat="false" ht="15" hidden="false" customHeight="true" outlineLevel="0" collapsed="false">
      <c r="A32" s="7" t="s">
        <v>32</v>
      </c>
      <c r="B32" s="8" t="n">
        <f aca="false">SUM(B22:B31)</f>
        <v>13</v>
      </c>
    </row>
  </sheetData>
  <mergeCells count="2">
    <mergeCell ref="A1:D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30"/>
    <col collapsed="false" customWidth="true" hidden="false" outlineLevel="0" max="3" min="3" style="1" width="55"/>
    <col collapsed="false" customWidth="true" hidden="false" outlineLevel="0" max="4" min="4" style="1" width="14"/>
    <col collapsed="false" customWidth="true" hidden="false" outlineLevel="0" max="5" min="5" style="1" width="55"/>
  </cols>
  <sheetData>
    <row r="1" customFormat="false" ht="17.25" hidden="false" customHeight="true" outlineLevel="0" collapsed="false">
      <c r="A1" s="2" t="s">
        <v>33</v>
      </c>
      <c r="B1" s="2"/>
      <c r="C1" s="2"/>
      <c r="D1" s="2"/>
      <c r="E1" s="2"/>
    </row>
    <row r="2" customFormat="false" ht="15" hidden="false" customHeight="true" outlineLevel="0" collapsed="false">
      <c r="A2" s="3" t="s">
        <v>34</v>
      </c>
      <c r="B2" s="3"/>
      <c r="C2" s="3"/>
      <c r="D2" s="3"/>
      <c r="E2" s="3"/>
    </row>
    <row r="4" customFormat="false" ht="31.5" hidden="false" customHeight="true" outlineLevel="0" collapsed="false">
      <c r="A4" s="9" t="s">
        <v>35</v>
      </c>
      <c r="B4" s="9" t="s">
        <v>36</v>
      </c>
      <c r="C4" s="9" t="s">
        <v>37</v>
      </c>
      <c r="D4" s="9" t="s">
        <v>38</v>
      </c>
      <c r="E4" s="9" t="s">
        <v>39</v>
      </c>
    </row>
    <row r="5" customFormat="false" ht="23.25" hidden="false" customHeight="true" outlineLevel="0" collapsed="false">
      <c r="A5" s="10" t="s">
        <v>40</v>
      </c>
      <c r="B5" s="10" t="s">
        <v>41</v>
      </c>
      <c r="C5" s="10" t="s">
        <v>42</v>
      </c>
      <c r="D5" s="10" t="s">
        <v>43</v>
      </c>
      <c r="E5" s="10"/>
    </row>
    <row r="6" customFormat="false" ht="15" hidden="false" customHeight="true" outlineLevel="0" collapsed="false">
      <c r="A6" s="10" t="s">
        <v>40</v>
      </c>
      <c r="B6" s="10" t="s">
        <v>19</v>
      </c>
      <c r="C6" s="10" t="s">
        <v>44</v>
      </c>
      <c r="D6" s="10" t="s">
        <v>45</v>
      </c>
      <c r="E6" s="10" t="s">
        <v>46</v>
      </c>
    </row>
    <row r="7" customFormat="false" ht="23.25" hidden="false" customHeight="true" outlineLevel="0" collapsed="false">
      <c r="A7" s="10" t="s">
        <v>40</v>
      </c>
      <c r="B7" s="10" t="s">
        <v>47</v>
      </c>
      <c r="C7" s="10" t="s">
        <v>48</v>
      </c>
      <c r="D7" s="10" t="s">
        <v>49</v>
      </c>
      <c r="E7" s="10"/>
    </row>
    <row r="8" customFormat="false" ht="15" hidden="false" customHeight="true" outlineLevel="0" collapsed="false">
      <c r="A8" s="10" t="s">
        <v>40</v>
      </c>
      <c r="B8" s="10" t="s">
        <v>50</v>
      </c>
      <c r="C8" s="10" t="s">
        <v>51</v>
      </c>
      <c r="D8" s="10" t="s">
        <v>49</v>
      </c>
      <c r="E8" s="10"/>
    </row>
    <row r="9" customFormat="false" ht="23.25" hidden="false" customHeight="true" outlineLevel="0" collapsed="false">
      <c r="A9" s="10" t="s">
        <v>40</v>
      </c>
      <c r="B9" s="10" t="s">
        <v>52</v>
      </c>
      <c r="C9" s="10" t="s">
        <v>53</v>
      </c>
      <c r="D9" s="10" t="s">
        <v>54</v>
      </c>
      <c r="E9" s="10" t="str">
        <f aca="false">IFERROR((JUN2026-JAN2025)/JAN2025,"")</f>
        <v/>
      </c>
    </row>
    <row r="10" customFormat="false" ht="15" hidden="false" customHeight="true" outlineLevel="0" collapsed="false">
      <c r="A10" s="10" t="s">
        <v>40</v>
      </c>
      <c r="B10" s="10" t="s">
        <v>55</v>
      </c>
      <c r="C10" s="10" t="s">
        <v>56</v>
      </c>
      <c r="D10" s="10" t="s">
        <v>49</v>
      </c>
      <c r="E10" s="10"/>
    </row>
    <row r="11" customFormat="false" ht="23.25" hidden="false" customHeight="true" outlineLevel="0" collapsed="false">
      <c r="A11" s="10" t="s">
        <v>40</v>
      </c>
      <c r="B11" s="10" t="s">
        <v>57</v>
      </c>
      <c r="C11" s="10" t="s">
        <v>58</v>
      </c>
      <c r="D11" s="10" t="s">
        <v>49</v>
      </c>
      <c r="E11" s="10"/>
    </row>
    <row r="12" customFormat="false" ht="15" hidden="false" customHeight="true" outlineLevel="0" collapsed="false">
      <c r="A12" s="10" t="s">
        <v>40</v>
      </c>
      <c r="B12" s="10" t="s">
        <v>59</v>
      </c>
      <c r="C12" s="10" t="s">
        <v>53</v>
      </c>
      <c r="D12" s="10" t="s">
        <v>54</v>
      </c>
      <c r="E12" s="10" t="str">
        <f aca="false">IFERROR((end-start)/start,"")</f>
        <v/>
      </c>
    </row>
    <row r="13" customFormat="false" ht="15" hidden="false" customHeight="true" outlineLevel="0" collapsed="false">
      <c r="A13" s="10" t="s">
        <v>40</v>
      </c>
      <c r="B13" s="10" t="s">
        <v>60</v>
      </c>
      <c r="C13" s="10" t="s">
        <v>61</v>
      </c>
      <c r="D13" s="10" t="s">
        <v>49</v>
      </c>
      <c r="E13" s="10"/>
    </row>
    <row r="14" customFormat="false" ht="23.25" hidden="false" customHeight="true" outlineLevel="0" collapsed="false">
      <c r="A14" s="10" t="s">
        <v>40</v>
      </c>
      <c r="B14" s="10" t="s">
        <v>62</v>
      </c>
      <c r="C14" s="10" t="s">
        <v>63</v>
      </c>
      <c r="D14" s="10" t="s">
        <v>49</v>
      </c>
      <c r="E14" s="10"/>
    </row>
    <row r="15" customFormat="false" ht="15" hidden="false" customHeight="true" outlineLevel="0" collapsed="false">
      <c r="A15" s="10" t="s">
        <v>40</v>
      </c>
      <c r="B15" s="10" t="s">
        <v>64</v>
      </c>
      <c r="C15" s="10" t="s">
        <v>53</v>
      </c>
      <c r="D15" s="10" t="s">
        <v>54</v>
      </c>
      <c r="E15" s="10" t="str">
        <f aca="false">IFERROR((end-start)/start,"")</f>
        <v/>
      </c>
    </row>
    <row r="16" customFormat="false" ht="15" hidden="false" customHeight="true" outlineLevel="0" collapsed="false">
      <c r="A16" s="10" t="s">
        <v>40</v>
      </c>
      <c r="B16" s="10" t="s">
        <v>65</v>
      </c>
      <c r="C16" s="10" t="s">
        <v>66</v>
      </c>
      <c r="D16" s="10" t="s">
        <v>49</v>
      </c>
      <c r="E16" s="10"/>
    </row>
    <row r="17" customFormat="false" ht="15" hidden="false" customHeight="true" outlineLevel="0" collapsed="false">
      <c r="A17" s="10" t="s">
        <v>40</v>
      </c>
      <c r="B17" s="10" t="s">
        <v>67</v>
      </c>
      <c r="C17" s="10" t="s">
        <v>68</v>
      </c>
      <c r="D17" s="10" t="s">
        <v>43</v>
      </c>
      <c r="E17" s="10"/>
    </row>
    <row r="18" customFormat="false" ht="34.5" hidden="false" customHeight="true" outlineLevel="0" collapsed="false">
      <c r="A18" s="10" t="s">
        <v>40</v>
      </c>
      <c r="B18" s="10" t="s">
        <v>69</v>
      </c>
      <c r="C18" s="10" t="s">
        <v>70</v>
      </c>
      <c r="D18" s="10" t="s">
        <v>49</v>
      </c>
      <c r="E18" s="10"/>
    </row>
    <row r="19" customFormat="false" ht="15" hidden="false" customHeight="true" outlineLevel="0" collapsed="false">
      <c r="A19" s="10" t="s">
        <v>40</v>
      </c>
      <c r="B19" s="10" t="s">
        <v>71</v>
      </c>
      <c r="C19" s="10" t="s">
        <v>72</v>
      </c>
      <c r="D19" s="10" t="s">
        <v>43</v>
      </c>
      <c r="E19" s="10"/>
    </row>
    <row r="20" customFormat="false" ht="15" hidden="false" customHeight="true" outlineLevel="0" collapsed="false">
      <c r="A20" s="10" t="s">
        <v>40</v>
      </c>
      <c r="B20" s="10" t="s">
        <v>73</v>
      </c>
      <c r="C20" s="10" t="s">
        <v>74</v>
      </c>
      <c r="D20" s="10" t="s">
        <v>54</v>
      </c>
      <c r="E20" s="10" t="str">
        <f aca="false">IFERROR((jun2026traffic-historicalpeaktraffic)/historicalpeaktraffic,"")</f>
        <v/>
      </c>
    </row>
    <row r="21" customFormat="false" ht="23.25" hidden="false" customHeight="true" outlineLevel="0" collapsed="false">
      <c r="A21" s="10" t="s">
        <v>40</v>
      </c>
      <c r="B21" s="10" t="s">
        <v>75</v>
      </c>
      <c r="C21" s="10" t="s">
        <v>76</v>
      </c>
      <c r="D21" s="10" t="s">
        <v>45</v>
      </c>
      <c r="E21" s="10" t="s">
        <v>77</v>
      </c>
    </row>
    <row r="22" customFormat="false" ht="15" hidden="false" customHeight="true" outlineLevel="0" collapsed="false">
      <c r="A22" s="10" t="s">
        <v>40</v>
      </c>
      <c r="B22" s="10" t="s">
        <v>78</v>
      </c>
      <c r="C22" s="10" t="s">
        <v>79</v>
      </c>
      <c r="D22" s="10" t="s">
        <v>45</v>
      </c>
      <c r="E22" s="10" t="s">
        <v>80</v>
      </c>
    </row>
    <row r="23" customFormat="false" ht="15" hidden="false" customHeight="true" outlineLevel="0" collapsed="false">
      <c r="A23" s="10" t="s">
        <v>40</v>
      </c>
      <c r="B23" s="10" t="s">
        <v>81</v>
      </c>
      <c r="C23" s="10" t="s">
        <v>82</v>
      </c>
      <c r="D23" s="10" t="s">
        <v>43</v>
      </c>
      <c r="E23" s="10"/>
    </row>
    <row r="24" customFormat="false" ht="23.25" hidden="false" customHeight="true" outlineLevel="0" collapsed="false">
      <c r="A24" s="10" t="s">
        <v>83</v>
      </c>
      <c r="B24" s="10" t="s">
        <v>41</v>
      </c>
      <c r="C24" s="10" t="s">
        <v>84</v>
      </c>
      <c r="D24" s="10" t="s">
        <v>43</v>
      </c>
      <c r="E24" s="10"/>
    </row>
    <row r="25" customFormat="false" ht="23.25" hidden="false" customHeight="true" outlineLevel="0" collapsed="false">
      <c r="A25" s="10" t="s">
        <v>83</v>
      </c>
      <c r="B25" s="10" t="s">
        <v>85</v>
      </c>
      <c r="C25" s="10" t="s">
        <v>86</v>
      </c>
      <c r="D25" s="10" t="s">
        <v>87</v>
      </c>
      <c r="E25" s="10"/>
    </row>
    <row r="26" customFormat="false" ht="15" hidden="false" customHeight="true" outlineLevel="0" collapsed="false">
      <c r="A26" s="1" t="s">
        <v>83</v>
      </c>
      <c r="B26" s="1" t="s">
        <v>19</v>
      </c>
      <c r="C26" s="1" t="s">
        <v>88</v>
      </c>
      <c r="D26" s="1" t="s">
        <v>45</v>
      </c>
    </row>
    <row r="27" customFormat="false" ht="34.5" hidden="false" customHeight="true" outlineLevel="0" collapsed="false">
      <c r="A27" s="10" t="s">
        <v>83</v>
      </c>
      <c r="B27" s="10" t="s">
        <v>89</v>
      </c>
      <c r="C27" s="10" t="s">
        <v>90</v>
      </c>
      <c r="D27" s="10" t="s">
        <v>91</v>
      </c>
      <c r="E27" s="10"/>
    </row>
    <row r="28" customFormat="false" ht="15" hidden="false" customHeight="true" outlineLevel="0" collapsed="false">
      <c r="A28" s="10" t="s">
        <v>83</v>
      </c>
      <c r="B28" s="10" t="s">
        <v>92</v>
      </c>
      <c r="C28" s="10" t="s">
        <v>93</v>
      </c>
      <c r="D28" s="10" t="s">
        <v>45</v>
      </c>
      <c r="E28" s="10" t="s">
        <v>94</v>
      </c>
    </row>
    <row r="29" customFormat="false" ht="15" hidden="false" customHeight="true" outlineLevel="0" collapsed="false">
      <c r="A29" s="10" t="s">
        <v>83</v>
      </c>
      <c r="B29" s="10" t="s">
        <v>95</v>
      </c>
      <c r="C29" s="10" t="s">
        <v>96</v>
      </c>
      <c r="D29" s="10" t="s">
        <v>87</v>
      </c>
      <c r="E29" s="10"/>
    </row>
    <row r="30" customFormat="false" ht="23.25" hidden="false" customHeight="true" outlineLevel="0" collapsed="false">
      <c r="A30" s="10" t="s">
        <v>83</v>
      </c>
      <c r="B30" s="10" t="s">
        <v>97</v>
      </c>
      <c r="C30" s="10" t="s">
        <v>98</v>
      </c>
      <c r="D30" s="10" t="s">
        <v>43</v>
      </c>
      <c r="E30" s="10"/>
    </row>
    <row r="31" customFormat="false" ht="15" hidden="false" customHeight="true" outlineLevel="0" collapsed="false">
      <c r="A31" s="10" t="s">
        <v>83</v>
      </c>
      <c r="B31" s="10" t="s">
        <v>99</v>
      </c>
      <c r="C31" s="10" t="s">
        <v>100</v>
      </c>
      <c r="D31" s="10" t="s">
        <v>91</v>
      </c>
      <c r="E31" s="10"/>
    </row>
    <row r="32" customFormat="false" ht="15" hidden="false" customHeight="true" outlineLevel="0" collapsed="false">
      <c r="A32" s="10" t="s">
        <v>83</v>
      </c>
      <c r="B32" s="10" t="s">
        <v>101</v>
      </c>
      <c r="C32" s="10" t="s">
        <v>102</v>
      </c>
      <c r="D32" s="10" t="s">
        <v>45</v>
      </c>
      <c r="E32" s="10" t="s">
        <v>103</v>
      </c>
    </row>
    <row r="33" customFormat="false" ht="15" hidden="false" customHeight="true" outlineLevel="0" collapsed="false">
      <c r="A33" s="10" t="s">
        <v>83</v>
      </c>
      <c r="B33" s="10" t="s">
        <v>104</v>
      </c>
      <c r="C33" s="10" t="s">
        <v>105</v>
      </c>
      <c r="D33" s="10" t="s">
        <v>43</v>
      </c>
      <c r="E33" s="10"/>
    </row>
    <row r="34" customFormat="false" ht="15" hidden="false" customHeight="true" outlineLevel="0" collapsed="false">
      <c r="A34" s="10" t="s">
        <v>83</v>
      </c>
      <c r="B34" s="10" t="s">
        <v>106</v>
      </c>
      <c r="C34" s="10" t="s">
        <v>107</v>
      </c>
      <c r="D34" s="10" t="s">
        <v>49</v>
      </c>
      <c r="E34" s="10"/>
    </row>
    <row r="35" customFormat="false" ht="15" hidden="false" customHeight="true" outlineLevel="0" collapsed="false">
      <c r="A35" s="10" t="s">
        <v>83</v>
      </c>
      <c r="B35" s="10" t="s">
        <v>108</v>
      </c>
      <c r="C35" s="10" t="s">
        <v>109</v>
      </c>
      <c r="D35" s="10" t="s">
        <v>45</v>
      </c>
      <c r="E35" s="10" t="s">
        <v>110</v>
      </c>
    </row>
    <row r="36" customFormat="false" ht="34.5" hidden="false" customHeight="true" outlineLevel="0" collapsed="false">
      <c r="A36" s="10" t="s">
        <v>83</v>
      </c>
      <c r="B36" s="10" t="s">
        <v>111</v>
      </c>
      <c r="C36" s="10" t="s">
        <v>112</v>
      </c>
      <c r="D36" s="10" t="s">
        <v>49</v>
      </c>
      <c r="E36" s="10"/>
    </row>
    <row r="37" customFormat="false" ht="15" hidden="false" customHeight="true" outlineLevel="0" collapsed="false">
      <c r="A37" s="10" t="s">
        <v>83</v>
      </c>
      <c r="B37" s="10" t="s">
        <v>113</v>
      </c>
      <c r="C37" s="10" t="s">
        <v>114</v>
      </c>
      <c r="D37" s="10" t="s">
        <v>43</v>
      </c>
      <c r="E37" s="10"/>
    </row>
    <row r="38" customFormat="false" ht="23.25" hidden="false" customHeight="true" outlineLevel="0" collapsed="false">
      <c r="A38" s="10" t="s">
        <v>83</v>
      </c>
      <c r="B38" s="10" t="s">
        <v>115</v>
      </c>
      <c r="C38" s="10" t="s">
        <v>109</v>
      </c>
      <c r="D38" s="10" t="s">
        <v>43</v>
      </c>
      <c r="E38" s="10"/>
    </row>
    <row r="39" customFormat="false" ht="15" hidden="false" customHeight="true" outlineLevel="0" collapsed="false">
      <c r="A39" s="10" t="s">
        <v>83</v>
      </c>
      <c r="B39" s="10" t="s">
        <v>116</v>
      </c>
      <c r="C39" s="10" t="s">
        <v>117</v>
      </c>
      <c r="D39" s="10" t="s">
        <v>45</v>
      </c>
      <c r="E39" s="10" t="s">
        <v>118</v>
      </c>
    </row>
    <row r="40" customFormat="false" ht="15" hidden="false" customHeight="true" outlineLevel="0" collapsed="false">
      <c r="A40" s="10" t="s">
        <v>83</v>
      </c>
      <c r="B40" s="10" t="s">
        <v>119</v>
      </c>
      <c r="C40" s="10" t="s">
        <v>120</v>
      </c>
      <c r="D40" s="10" t="s">
        <v>43</v>
      </c>
      <c r="E40" s="10"/>
    </row>
    <row r="41" customFormat="false" ht="15" hidden="false" customHeight="true" outlineLevel="0" collapsed="false">
      <c r="A41" s="10" t="s">
        <v>83</v>
      </c>
      <c r="B41" s="10" t="s">
        <v>121</v>
      </c>
      <c r="C41" s="10" t="s">
        <v>122</v>
      </c>
      <c r="D41" s="10" t="s">
        <v>45</v>
      </c>
      <c r="E41" s="10" t="s">
        <v>103</v>
      </c>
    </row>
    <row r="42" customFormat="false" ht="23.25" hidden="false" customHeight="true" outlineLevel="0" collapsed="false">
      <c r="A42" s="10" t="s">
        <v>83</v>
      </c>
      <c r="B42" s="10" t="s">
        <v>123</v>
      </c>
      <c r="C42" s="10" t="s">
        <v>124</v>
      </c>
      <c r="D42" s="10" t="s">
        <v>45</v>
      </c>
      <c r="E42" s="10" t="s">
        <v>125</v>
      </c>
    </row>
    <row r="43" customFormat="false" ht="15" hidden="false" customHeight="true" outlineLevel="0" collapsed="false">
      <c r="A43" s="10" t="s">
        <v>83</v>
      </c>
      <c r="B43" s="10" t="s">
        <v>126</v>
      </c>
      <c r="C43" s="10" t="s">
        <v>127</v>
      </c>
      <c r="D43" s="10" t="s">
        <v>45</v>
      </c>
      <c r="E43" s="10" t="s">
        <v>128</v>
      </c>
    </row>
    <row r="44" customFormat="false" ht="15" hidden="false" customHeight="true" outlineLevel="0" collapsed="false">
      <c r="A44" s="10" t="s">
        <v>83</v>
      </c>
      <c r="B44" s="10" t="s">
        <v>129</v>
      </c>
      <c r="C44" s="10" t="s">
        <v>127</v>
      </c>
      <c r="D44" s="10" t="s">
        <v>45</v>
      </c>
      <c r="E44" s="10" t="s">
        <v>130</v>
      </c>
    </row>
    <row r="45" customFormat="false" ht="15" hidden="false" customHeight="true" outlineLevel="0" collapsed="false">
      <c r="A45" s="10" t="s">
        <v>83</v>
      </c>
      <c r="B45" s="10" t="s">
        <v>131</v>
      </c>
      <c r="C45" s="10" t="s">
        <v>132</v>
      </c>
      <c r="D45" s="10" t="s">
        <v>45</v>
      </c>
      <c r="E45" s="10" t="s">
        <v>103</v>
      </c>
    </row>
    <row r="46" customFormat="false" ht="15" hidden="false" customHeight="true" outlineLevel="0" collapsed="false">
      <c r="A46" s="10" t="s">
        <v>83</v>
      </c>
      <c r="B46" s="10" t="s">
        <v>133</v>
      </c>
      <c r="C46" s="10" t="s">
        <v>134</v>
      </c>
      <c r="D46" s="10" t="s">
        <v>43</v>
      </c>
      <c r="E46" s="10"/>
    </row>
    <row r="47" customFormat="false" ht="15" hidden="false" customHeight="true" outlineLevel="0" collapsed="false">
      <c r="A47" s="10" t="s">
        <v>83</v>
      </c>
      <c r="B47" s="10" t="s">
        <v>135</v>
      </c>
      <c r="C47" s="10" t="s">
        <v>136</v>
      </c>
      <c r="D47" s="10" t="s">
        <v>45</v>
      </c>
      <c r="E47" s="10" t="s">
        <v>137</v>
      </c>
    </row>
    <row r="48" customFormat="false" ht="15" hidden="false" customHeight="true" outlineLevel="0" collapsed="false">
      <c r="A48" s="10" t="s">
        <v>83</v>
      </c>
      <c r="B48" s="10" t="s">
        <v>138</v>
      </c>
      <c r="C48" s="10" t="s">
        <v>139</v>
      </c>
      <c r="D48" s="10" t="s">
        <v>43</v>
      </c>
      <c r="E48" s="10"/>
    </row>
    <row r="49" customFormat="false" ht="23.25" hidden="false" customHeight="true" outlineLevel="0" collapsed="false">
      <c r="A49" s="10" t="s">
        <v>83</v>
      </c>
      <c r="B49" s="10" t="s">
        <v>140</v>
      </c>
      <c r="C49" s="10" t="s">
        <v>141</v>
      </c>
      <c r="D49" s="10" t="s">
        <v>45</v>
      </c>
      <c r="E49" s="10" t="s">
        <v>103</v>
      </c>
    </row>
    <row r="50" customFormat="false" ht="15" hidden="false" customHeight="true" outlineLevel="0" collapsed="false">
      <c r="A50" s="10" t="s">
        <v>83</v>
      </c>
      <c r="B50" s="10" t="s">
        <v>142</v>
      </c>
      <c r="C50" s="10" t="s">
        <v>143</v>
      </c>
      <c r="D50" s="10" t="s">
        <v>45</v>
      </c>
      <c r="E50" s="10" t="s">
        <v>103</v>
      </c>
    </row>
    <row r="51" customFormat="false" ht="15" hidden="false" customHeight="true" outlineLevel="0" collapsed="false">
      <c r="A51" s="10" t="s">
        <v>83</v>
      </c>
      <c r="B51" s="10" t="s">
        <v>144</v>
      </c>
      <c r="C51" s="10" t="s">
        <v>145</v>
      </c>
      <c r="D51" s="10" t="s">
        <v>45</v>
      </c>
      <c r="E51" s="10" t="s">
        <v>146</v>
      </c>
    </row>
    <row r="52" customFormat="false" ht="15" hidden="false" customHeight="true" outlineLevel="0" collapsed="false">
      <c r="A52" s="10" t="s">
        <v>83</v>
      </c>
      <c r="B52" s="10" t="s">
        <v>147</v>
      </c>
      <c r="C52" s="10" t="s">
        <v>148</v>
      </c>
      <c r="D52" s="10" t="s">
        <v>43</v>
      </c>
      <c r="E52" s="10"/>
    </row>
    <row r="53" customFormat="false" ht="15" hidden="false" customHeight="true" outlineLevel="0" collapsed="false">
      <c r="A53" s="10" t="s">
        <v>83</v>
      </c>
      <c r="B53" s="10" t="s">
        <v>149</v>
      </c>
      <c r="C53" s="10" t="s">
        <v>150</v>
      </c>
      <c r="D53" s="10" t="s">
        <v>91</v>
      </c>
      <c r="E53" s="10"/>
    </row>
    <row r="54" customFormat="false" ht="34.5" hidden="false" customHeight="true" outlineLevel="0" collapsed="false">
      <c r="A54" s="10" t="s">
        <v>151</v>
      </c>
      <c r="B54" s="10" t="s">
        <v>41</v>
      </c>
      <c r="C54" s="10" t="s">
        <v>152</v>
      </c>
      <c r="D54" s="10" t="s">
        <v>43</v>
      </c>
      <c r="E54" s="10"/>
    </row>
    <row r="55" customFormat="false" ht="15" hidden="false" customHeight="true" outlineLevel="0" collapsed="false">
      <c r="A55" s="10" t="s">
        <v>151</v>
      </c>
      <c r="B55" s="10" t="s">
        <v>153</v>
      </c>
      <c r="C55" s="10" t="s">
        <v>154</v>
      </c>
      <c r="D55" s="10" t="s">
        <v>54</v>
      </c>
      <c r="E55" s="10"/>
    </row>
    <row r="56" customFormat="false" ht="15" hidden="false" customHeight="true" outlineLevel="0" collapsed="false">
      <c r="A56" s="10" t="s">
        <v>151</v>
      </c>
      <c r="B56" s="10" t="s">
        <v>155</v>
      </c>
      <c r="C56" s="10" t="s">
        <v>156</v>
      </c>
      <c r="D56" s="10" t="s">
        <v>54</v>
      </c>
      <c r="E56" s="10"/>
    </row>
    <row r="57" customFormat="false" ht="15" hidden="false" customHeight="true" outlineLevel="0" collapsed="false">
      <c r="A57" s="10" t="s">
        <v>151</v>
      </c>
      <c r="B57" s="10" t="s">
        <v>157</v>
      </c>
      <c r="C57" s="10" t="s">
        <v>158</v>
      </c>
      <c r="D57" s="10" t="s">
        <v>91</v>
      </c>
      <c r="E57" s="10"/>
    </row>
    <row r="58" customFormat="false" ht="15" hidden="false" customHeight="true" outlineLevel="0" collapsed="false">
      <c r="A58" s="10" t="s">
        <v>151</v>
      </c>
      <c r="B58" s="10" t="s">
        <v>159</v>
      </c>
      <c r="C58" s="10" t="s">
        <v>160</v>
      </c>
      <c r="D58" s="10" t="s">
        <v>49</v>
      </c>
      <c r="E58" s="10"/>
    </row>
    <row r="59" customFormat="false" ht="23.25" hidden="false" customHeight="true" outlineLevel="0" collapsed="false">
      <c r="A59" s="10" t="s">
        <v>151</v>
      </c>
      <c r="B59" s="10" t="s">
        <v>161</v>
      </c>
      <c r="C59" s="10" t="s">
        <v>162</v>
      </c>
      <c r="D59" s="10" t="s">
        <v>43</v>
      </c>
      <c r="E59" s="10"/>
    </row>
    <row r="60" customFormat="false" ht="15" hidden="false" customHeight="true" outlineLevel="0" collapsed="false">
      <c r="A60" s="10" t="s">
        <v>151</v>
      </c>
      <c r="B60" s="10" t="s">
        <v>163</v>
      </c>
      <c r="C60" s="10" t="s">
        <v>164</v>
      </c>
      <c r="D60" s="10" t="s">
        <v>165</v>
      </c>
      <c r="E60" s="10" t="s">
        <v>166</v>
      </c>
    </row>
    <row r="61" customFormat="false" ht="15" hidden="false" customHeight="true" outlineLevel="0" collapsed="false">
      <c r="A61" s="10" t="s">
        <v>151</v>
      </c>
      <c r="B61" s="10" t="s">
        <v>167</v>
      </c>
      <c r="C61" s="10" t="s">
        <v>168</v>
      </c>
      <c r="D61" s="10" t="s">
        <v>45</v>
      </c>
      <c r="E61" s="10" t="s">
        <v>169</v>
      </c>
    </row>
    <row r="62" customFormat="false" ht="15" hidden="false" customHeight="true" outlineLevel="0" collapsed="false">
      <c r="A62" s="10" t="s">
        <v>151</v>
      </c>
      <c r="B62" s="10" t="s">
        <v>170</v>
      </c>
      <c r="C62" s="10" t="s">
        <v>171</v>
      </c>
      <c r="D62" s="10" t="s">
        <v>45</v>
      </c>
      <c r="E62" s="10" t="s">
        <v>172</v>
      </c>
    </row>
    <row r="63" customFormat="false" ht="15" hidden="false" customHeight="true" outlineLevel="0" collapsed="false">
      <c r="A63" s="10" t="s">
        <v>151</v>
      </c>
      <c r="B63" s="10" t="s">
        <v>173</v>
      </c>
      <c r="C63" s="10" t="s">
        <v>174</v>
      </c>
      <c r="D63" s="10" t="s">
        <v>45</v>
      </c>
      <c r="E63" s="10" t="s">
        <v>175</v>
      </c>
    </row>
    <row r="64" customFormat="false" ht="23.25" hidden="false" customHeight="true" outlineLevel="0" collapsed="false">
      <c r="A64" s="10" t="s">
        <v>151</v>
      </c>
      <c r="B64" s="10" t="s">
        <v>176</v>
      </c>
      <c r="C64" s="10" t="s">
        <v>177</v>
      </c>
      <c r="D64" s="10" t="s">
        <v>43</v>
      </c>
      <c r="E64" s="10"/>
    </row>
    <row r="65" customFormat="false" ht="15" hidden="false" customHeight="true" outlineLevel="0" collapsed="false">
      <c r="A65" s="10" t="s">
        <v>151</v>
      </c>
      <c r="B65" s="10" t="s">
        <v>178</v>
      </c>
      <c r="C65" s="10" t="s">
        <v>179</v>
      </c>
      <c r="D65" s="10" t="s">
        <v>43</v>
      </c>
      <c r="E65" s="10"/>
    </row>
    <row r="66" customFormat="false" ht="15" hidden="false" customHeight="true" outlineLevel="0" collapsed="false">
      <c r="A66" s="10" t="s">
        <v>151</v>
      </c>
      <c r="B66" s="10" t="s">
        <v>180</v>
      </c>
      <c r="C66" s="10" t="s">
        <v>181</v>
      </c>
      <c r="D66" s="10" t="s">
        <v>43</v>
      </c>
      <c r="E66" s="10"/>
    </row>
    <row r="67" customFormat="false" ht="23.25" hidden="false" customHeight="true" outlineLevel="0" collapsed="false">
      <c r="A67" s="10" t="s">
        <v>151</v>
      </c>
      <c r="B67" s="10" t="s">
        <v>182</v>
      </c>
      <c r="C67" s="10" t="s">
        <v>183</v>
      </c>
      <c r="D67" s="10" t="s">
        <v>43</v>
      </c>
      <c r="E67" s="10"/>
    </row>
    <row r="68" customFormat="false" ht="34.5" hidden="false" customHeight="true" outlineLevel="0" collapsed="false">
      <c r="A68" s="10" t="s">
        <v>151</v>
      </c>
      <c r="B68" s="10" t="s">
        <v>184</v>
      </c>
      <c r="C68" s="10" t="s">
        <v>185</v>
      </c>
      <c r="D68" s="10" t="s">
        <v>43</v>
      </c>
      <c r="E68" s="10"/>
    </row>
    <row r="69" customFormat="false" ht="23.25" hidden="false" customHeight="true" outlineLevel="0" collapsed="false">
      <c r="A69" s="10" t="s">
        <v>151</v>
      </c>
      <c r="B69" s="10" t="s">
        <v>186</v>
      </c>
      <c r="C69" s="10" t="s">
        <v>187</v>
      </c>
      <c r="D69" s="10" t="s">
        <v>43</v>
      </c>
      <c r="E69" s="10"/>
    </row>
    <row r="70" customFormat="false" ht="23.25" hidden="false" customHeight="true" outlineLevel="0" collapsed="false">
      <c r="A70" s="10" t="s">
        <v>151</v>
      </c>
      <c r="B70" s="10" t="s">
        <v>188</v>
      </c>
      <c r="C70" s="10" t="s">
        <v>189</v>
      </c>
      <c r="D70" s="10" t="s">
        <v>45</v>
      </c>
      <c r="E70" s="10" t="s">
        <v>190</v>
      </c>
    </row>
    <row r="71" customFormat="false" ht="23.25" hidden="false" customHeight="true" outlineLevel="0" collapsed="false">
      <c r="A71" s="10" t="s">
        <v>151</v>
      </c>
      <c r="B71" s="10" t="s">
        <v>191</v>
      </c>
      <c r="C71" s="10"/>
      <c r="D71" s="10" t="s">
        <v>45</v>
      </c>
      <c r="E71" s="10" t="s">
        <v>146</v>
      </c>
    </row>
    <row r="72" customFormat="false" ht="23.25" hidden="false" customHeight="true" outlineLevel="0" collapsed="false">
      <c r="A72" s="10" t="s">
        <v>151</v>
      </c>
      <c r="B72" s="10" t="s">
        <v>192</v>
      </c>
      <c r="C72" s="10"/>
      <c r="D72" s="10" t="s">
        <v>43</v>
      </c>
      <c r="E72" s="10"/>
    </row>
    <row r="73" customFormat="false" ht="23.25" hidden="false" customHeight="true" outlineLevel="0" collapsed="false">
      <c r="A73" s="10" t="s">
        <v>151</v>
      </c>
      <c r="B73" s="10" t="s">
        <v>193</v>
      </c>
      <c r="C73" s="10" t="s">
        <v>194</v>
      </c>
      <c r="D73" s="10" t="s">
        <v>45</v>
      </c>
      <c r="E73" s="10" t="s">
        <v>103</v>
      </c>
    </row>
    <row r="74" customFormat="false" ht="23.25" hidden="false" customHeight="true" outlineLevel="0" collapsed="false">
      <c r="A74" s="10" t="s">
        <v>151</v>
      </c>
      <c r="B74" s="10" t="s">
        <v>195</v>
      </c>
      <c r="C74" s="10" t="s">
        <v>196</v>
      </c>
      <c r="D74" s="10" t="s">
        <v>43</v>
      </c>
      <c r="E74" s="10"/>
    </row>
    <row r="75" customFormat="false" ht="23.25" hidden="false" customHeight="true" outlineLevel="0" collapsed="false">
      <c r="A75" s="10" t="s">
        <v>151</v>
      </c>
      <c r="B75" s="10" t="s">
        <v>197</v>
      </c>
      <c r="C75" s="10" t="s">
        <v>198</v>
      </c>
      <c r="D75" s="10" t="s">
        <v>43</v>
      </c>
      <c r="E75" s="10"/>
    </row>
    <row r="76" customFormat="false" ht="23.25" hidden="false" customHeight="true" outlineLevel="0" collapsed="false">
      <c r="A76" s="10" t="s">
        <v>151</v>
      </c>
      <c r="B76" s="10" t="s">
        <v>199</v>
      </c>
      <c r="C76" s="10" t="s">
        <v>200</v>
      </c>
      <c r="D76" s="10" t="s">
        <v>43</v>
      </c>
      <c r="E76" s="10"/>
    </row>
    <row r="77" customFormat="false" ht="23.25" hidden="false" customHeight="true" outlineLevel="0" collapsed="false">
      <c r="A77" s="10" t="s">
        <v>151</v>
      </c>
      <c r="B77" s="10" t="s">
        <v>201</v>
      </c>
      <c r="C77" s="10" t="s">
        <v>202</v>
      </c>
      <c r="D77" s="10" t="s">
        <v>43</v>
      </c>
      <c r="E77" s="10"/>
    </row>
    <row r="78" customFormat="false" ht="15" hidden="false" customHeight="true" outlineLevel="0" collapsed="false">
      <c r="A78" s="10" t="s">
        <v>151</v>
      </c>
      <c r="B78" s="10" t="s">
        <v>203</v>
      </c>
      <c r="C78" s="10" t="s">
        <v>204</v>
      </c>
      <c r="D78" s="10" t="s">
        <v>43</v>
      </c>
      <c r="E78" s="10"/>
    </row>
    <row r="79" customFormat="false" ht="15" hidden="false" customHeight="true" outlineLevel="0" collapsed="false">
      <c r="A79" s="10" t="s">
        <v>151</v>
      </c>
      <c r="B79" s="10" t="s">
        <v>205</v>
      </c>
      <c r="C79" s="10" t="s">
        <v>206</v>
      </c>
      <c r="D79" s="10" t="s">
        <v>43</v>
      </c>
      <c r="E79" s="10"/>
    </row>
    <row r="80" customFormat="false" ht="15" hidden="false" customHeight="true" outlineLevel="0" collapsed="false">
      <c r="A80" s="10" t="s">
        <v>207</v>
      </c>
      <c r="B80" s="10" t="s">
        <v>41</v>
      </c>
      <c r="C80" s="10" t="s">
        <v>152</v>
      </c>
      <c r="D80" s="10" t="s">
        <v>43</v>
      </c>
      <c r="E80" s="10"/>
    </row>
    <row r="81" customFormat="false" ht="23.25" hidden="false" customHeight="true" outlineLevel="0" collapsed="false">
      <c r="A81" s="10" t="s">
        <v>207</v>
      </c>
      <c r="B81" s="10" t="s">
        <v>208</v>
      </c>
      <c r="C81" s="10" t="s">
        <v>209</v>
      </c>
      <c r="D81" s="10" t="s">
        <v>54</v>
      </c>
      <c r="E81" s="10"/>
    </row>
    <row r="82" customFormat="false" ht="15" hidden="false" customHeight="true" outlineLevel="0" collapsed="false">
      <c r="A82" s="10" t="s">
        <v>207</v>
      </c>
      <c r="B82" s="10" t="s">
        <v>157</v>
      </c>
      <c r="C82" s="10"/>
      <c r="D82" s="10" t="s">
        <v>91</v>
      </c>
      <c r="E82" s="10"/>
    </row>
    <row r="83" customFormat="false" ht="15" hidden="false" customHeight="true" outlineLevel="0" collapsed="false">
      <c r="A83" s="10" t="s">
        <v>207</v>
      </c>
      <c r="B83" s="10" t="s">
        <v>159</v>
      </c>
      <c r="C83" s="10" t="s">
        <v>210</v>
      </c>
      <c r="D83" s="10" t="s">
        <v>49</v>
      </c>
      <c r="E83" s="10"/>
    </row>
    <row r="84" customFormat="false" ht="15" hidden="false" customHeight="true" outlineLevel="0" collapsed="false">
      <c r="A84" s="10" t="s">
        <v>207</v>
      </c>
      <c r="B84" s="10" t="s">
        <v>211</v>
      </c>
      <c r="C84" s="10" t="s">
        <v>212</v>
      </c>
      <c r="D84" s="10" t="s">
        <v>45</v>
      </c>
      <c r="E84" s="10" t="s">
        <v>213</v>
      </c>
    </row>
    <row r="85" customFormat="false" ht="15" hidden="false" customHeight="true" outlineLevel="0" collapsed="false">
      <c r="A85" s="10" t="s">
        <v>207</v>
      </c>
      <c r="B85" s="10" t="s">
        <v>214</v>
      </c>
      <c r="C85" s="10" t="s">
        <v>215</v>
      </c>
      <c r="D85" s="10" t="s">
        <v>45</v>
      </c>
      <c r="E85" s="10" t="s">
        <v>216</v>
      </c>
    </row>
    <row r="86" customFormat="false" ht="15" hidden="false" customHeight="true" outlineLevel="0" collapsed="false">
      <c r="A86" s="10" t="s">
        <v>207</v>
      </c>
      <c r="B86" s="10" t="s">
        <v>217</v>
      </c>
      <c r="C86" s="10"/>
      <c r="D86" s="10" t="s">
        <v>43</v>
      </c>
      <c r="E86" s="10"/>
    </row>
    <row r="87" customFormat="false" ht="23.25" hidden="false" customHeight="true" outlineLevel="0" collapsed="false">
      <c r="A87" s="10" t="s">
        <v>207</v>
      </c>
      <c r="B87" s="10" t="s">
        <v>218</v>
      </c>
      <c r="C87" s="10" t="s">
        <v>219</v>
      </c>
      <c r="D87" s="10" t="s">
        <v>45</v>
      </c>
      <c r="E87" s="10" t="s">
        <v>220</v>
      </c>
    </row>
    <row r="88" customFormat="false" ht="15" hidden="false" customHeight="true" outlineLevel="0" collapsed="false">
      <c r="A88" s="10" t="s">
        <v>207</v>
      </c>
      <c r="B88" s="10" t="s">
        <v>221</v>
      </c>
      <c r="C88" s="10"/>
      <c r="D88" s="10" t="s">
        <v>43</v>
      </c>
      <c r="E88" s="10"/>
    </row>
    <row r="89" customFormat="false" ht="15" hidden="false" customHeight="true" outlineLevel="0" collapsed="false">
      <c r="A89" s="10" t="s">
        <v>207</v>
      </c>
      <c r="B89" s="10" t="s">
        <v>222</v>
      </c>
      <c r="C89" s="10"/>
      <c r="D89" s="10" t="s">
        <v>45</v>
      </c>
      <c r="E89" s="10" t="s">
        <v>223</v>
      </c>
    </row>
    <row r="90" customFormat="false" ht="15" hidden="false" customHeight="true" outlineLevel="0" collapsed="false">
      <c r="A90" s="10" t="s">
        <v>207</v>
      </c>
      <c r="B90" s="10" t="s">
        <v>191</v>
      </c>
      <c r="C90" s="10"/>
      <c r="D90" s="10" t="s">
        <v>45</v>
      </c>
      <c r="E90" s="10" t="s">
        <v>146</v>
      </c>
    </row>
    <row r="91" customFormat="false" ht="15" hidden="false" customHeight="true" outlineLevel="0" collapsed="false">
      <c r="A91" s="10" t="s">
        <v>207</v>
      </c>
      <c r="B91" s="10" t="s">
        <v>193</v>
      </c>
      <c r="C91" s="10" t="s">
        <v>194</v>
      </c>
      <c r="D91" s="10" t="s">
        <v>45</v>
      </c>
      <c r="E91" s="10" t="s">
        <v>103</v>
      </c>
    </row>
    <row r="92" customFormat="false" ht="15" hidden="false" customHeight="true" outlineLevel="0" collapsed="false">
      <c r="A92" s="10" t="s">
        <v>224</v>
      </c>
      <c r="B92" s="10" t="s">
        <v>225</v>
      </c>
      <c r="C92" s="10" t="s">
        <v>226</v>
      </c>
      <c r="D92" s="10" t="s">
        <v>43</v>
      </c>
      <c r="E92" s="10"/>
    </row>
    <row r="93" customFormat="false" ht="23.25" hidden="false" customHeight="true" outlineLevel="0" collapsed="false">
      <c r="A93" s="10" t="s">
        <v>224</v>
      </c>
      <c r="B93" s="10" t="s">
        <v>91</v>
      </c>
      <c r="C93" s="10"/>
      <c r="D93" s="10" t="s">
        <v>91</v>
      </c>
      <c r="E93" s="10"/>
    </row>
    <row r="94" customFormat="false" ht="34.5" hidden="false" customHeight="true" outlineLevel="0" collapsed="false">
      <c r="A94" s="10" t="s">
        <v>224</v>
      </c>
      <c r="B94" s="10" t="s">
        <v>227</v>
      </c>
      <c r="C94" s="10" t="s">
        <v>228</v>
      </c>
      <c r="D94" s="10" t="s">
        <v>43</v>
      </c>
      <c r="E94" s="10"/>
    </row>
    <row r="95" customFormat="false" ht="15" hidden="false" customHeight="true" outlineLevel="0" collapsed="false">
      <c r="A95" s="10" t="s">
        <v>224</v>
      </c>
      <c r="B95" s="10" t="s">
        <v>229</v>
      </c>
      <c r="C95" s="10"/>
      <c r="D95" s="10" t="s">
        <v>45</v>
      </c>
      <c r="E95" s="10" t="s">
        <v>230</v>
      </c>
    </row>
    <row r="96" customFormat="false" ht="15" hidden="false" customHeight="true" outlineLevel="0" collapsed="false">
      <c r="A96" s="10" t="s">
        <v>224</v>
      </c>
      <c r="B96" s="10" t="s">
        <v>231</v>
      </c>
      <c r="C96" s="10"/>
      <c r="D96" s="10" t="s">
        <v>43</v>
      </c>
      <c r="E96" s="10"/>
    </row>
    <row r="97" customFormat="false" ht="23.25" hidden="false" customHeight="true" outlineLevel="0" collapsed="false">
      <c r="A97" s="10" t="s">
        <v>224</v>
      </c>
      <c r="B97" s="10" t="s">
        <v>232</v>
      </c>
      <c r="C97" s="10"/>
      <c r="D97" s="10" t="s">
        <v>43</v>
      </c>
      <c r="E97" s="10"/>
    </row>
    <row r="98" customFormat="false" ht="23.25" hidden="false" customHeight="true" outlineLevel="0" collapsed="false">
      <c r="A98" s="10" t="s">
        <v>224</v>
      </c>
      <c r="B98" s="10" t="s">
        <v>233</v>
      </c>
      <c r="C98" s="10"/>
      <c r="D98" s="10" t="s">
        <v>43</v>
      </c>
      <c r="E98" s="10"/>
    </row>
    <row r="99" customFormat="false" ht="34.5" hidden="false" customHeight="true" outlineLevel="0" collapsed="false">
      <c r="A99" s="10" t="s">
        <v>224</v>
      </c>
      <c r="B99" s="10" t="s">
        <v>234</v>
      </c>
      <c r="C99" s="10"/>
      <c r="D99" s="10" t="s">
        <v>45</v>
      </c>
      <c r="E99" s="10" t="s">
        <v>235</v>
      </c>
    </row>
    <row r="100" customFormat="false" ht="23.25" hidden="false" customHeight="true" outlineLevel="0" collapsed="false">
      <c r="A100" s="10" t="s">
        <v>236</v>
      </c>
      <c r="B100" s="10" t="s">
        <v>237</v>
      </c>
      <c r="C100" s="10" t="s">
        <v>238</v>
      </c>
      <c r="D100" s="10" t="s">
        <v>43</v>
      </c>
      <c r="E100" s="10"/>
    </row>
    <row r="101" customFormat="false" ht="57" hidden="false" customHeight="true" outlineLevel="0" collapsed="false">
      <c r="A101" s="10" t="s">
        <v>236</v>
      </c>
      <c r="B101" s="10" t="s">
        <v>239</v>
      </c>
      <c r="C101" s="10" t="s">
        <v>240</v>
      </c>
      <c r="D101" s="10" t="s">
        <v>43</v>
      </c>
      <c r="E101" s="10"/>
    </row>
    <row r="102" customFormat="false" ht="34.5" hidden="false" customHeight="true" outlineLevel="0" collapsed="false">
      <c r="A102" s="10" t="s">
        <v>236</v>
      </c>
      <c r="B102" s="10" t="s">
        <v>241</v>
      </c>
      <c r="C102" s="10" t="s">
        <v>242</v>
      </c>
      <c r="D102" s="10" t="s">
        <v>43</v>
      </c>
      <c r="E102" s="10"/>
    </row>
    <row r="103" customFormat="false" ht="23.25" hidden="false" customHeight="true" outlineLevel="0" collapsed="false">
      <c r="A103" s="10" t="s">
        <v>236</v>
      </c>
      <c r="B103" s="10" t="s">
        <v>243</v>
      </c>
      <c r="C103" s="10" t="s">
        <v>242</v>
      </c>
      <c r="D103" s="10" t="s">
        <v>43</v>
      </c>
      <c r="E103" s="10"/>
    </row>
    <row r="104" customFormat="false" ht="34.5" hidden="false" customHeight="true" outlineLevel="0" collapsed="false">
      <c r="A104" s="10" t="s">
        <v>236</v>
      </c>
      <c r="B104" s="10" t="s">
        <v>244</v>
      </c>
      <c r="C104" s="10" t="s">
        <v>245</v>
      </c>
      <c r="D104" s="10" t="s">
        <v>43</v>
      </c>
      <c r="E104" s="10"/>
    </row>
    <row r="105" customFormat="false" ht="23.25" hidden="false" customHeight="true" outlineLevel="0" collapsed="false">
      <c r="A105" s="10" t="s">
        <v>236</v>
      </c>
      <c r="B105" s="10" t="s">
        <v>222</v>
      </c>
      <c r="C105" s="10"/>
      <c r="D105" s="10" t="s">
        <v>45</v>
      </c>
      <c r="E105" s="10" t="s">
        <v>246</v>
      </c>
    </row>
    <row r="106" customFormat="false" ht="34.5" hidden="false" customHeight="true" outlineLevel="0" collapsed="false">
      <c r="A106" s="10" t="s">
        <v>236</v>
      </c>
      <c r="B106" s="10" t="s">
        <v>234</v>
      </c>
      <c r="C106" s="10"/>
      <c r="D106" s="10" t="s">
        <v>45</v>
      </c>
      <c r="E106" s="10" t="s">
        <v>247</v>
      </c>
    </row>
    <row r="107" customFormat="false" ht="15" hidden="false" customHeight="true" outlineLevel="0" collapsed="false">
      <c r="A107" s="10" t="s">
        <v>236</v>
      </c>
      <c r="B107" s="10" t="s">
        <v>248</v>
      </c>
      <c r="C107" s="10" t="s">
        <v>249</v>
      </c>
      <c r="D107" s="10" t="s">
        <v>45</v>
      </c>
      <c r="E107" s="10" t="s">
        <v>250</v>
      </c>
    </row>
    <row r="108" customFormat="false" ht="23.25" hidden="false" customHeight="true" outlineLevel="0" collapsed="false">
      <c r="A108" s="10" t="s">
        <v>236</v>
      </c>
      <c r="B108" s="10" t="s">
        <v>251</v>
      </c>
      <c r="C108" s="10" t="s">
        <v>252</v>
      </c>
      <c r="D108" s="10" t="s">
        <v>43</v>
      </c>
      <c r="E108" s="10"/>
    </row>
    <row r="109" customFormat="false" ht="23.25" hidden="false" customHeight="true" outlineLevel="0" collapsed="false">
      <c r="A109" s="10" t="s">
        <v>236</v>
      </c>
      <c r="B109" s="10" t="s">
        <v>149</v>
      </c>
      <c r="C109" s="10"/>
      <c r="D109" s="10" t="s">
        <v>91</v>
      </c>
      <c r="E109" s="10"/>
    </row>
    <row r="110" customFormat="false" ht="15" hidden="false" customHeight="true" outlineLevel="0" collapsed="false">
      <c r="A110" s="10" t="s">
        <v>236</v>
      </c>
      <c r="B110" s="10" t="s">
        <v>81</v>
      </c>
      <c r="C110" s="10"/>
      <c r="D110" s="10" t="s">
        <v>43</v>
      </c>
      <c r="E110" s="10"/>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3" min="2" style="1" width="30"/>
    <col collapsed="false" customWidth="true" hidden="false" outlineLevel="0" max="5" min="4" style="1" width="14"/>
    <col collapsed="false" customWidth="true" hidden="false" outlineLevel="0" max="15" min="6" style="1" width="16"/>
    <col collapsed="false" customWidth="true" hidden="false" outlineLevel="0" max="16" min="16" style="1" width="12"/>
    <col collapsed="false" customWidth="true" hidden="false" outlineLevel="0" max="17" min="17" style="1" width="22"/>
    <col collapsed="false" customWidth="true" hidden="false" outlineLevel="0" max="18" min="18" style="1" width="14"/>
    <col collapsed="false" customWidth="true" hidden="false" outlineLevel="0" max="23" min="19" style="1" width="30"/>
    <col collapsed="false" customWidth="true" hidden="false" outlineLevel="0" max="24" min="24" style="1" width="22"/>
    <col collapsed="false" customWidth="true" hidden="false" outlineLevel="0" max="25" min="25" style="1" width="14"/>
    <col collapsed="false" customWidth="true" hidden="false" outlineLevel="0" max="26" min="26" style="1" width="22"/>
    <col collapsed="false" customWidth="true" hidden="false" outlineLevel="0" max="27" min="27" style="1" width="14"/>
    <col collapsed="false" customWidth="true" hidden="false" outlineLevel="0" max="28" min="28" style="1" width="16"/>
    <col collapsed="false" customWidth="true" hidden="false" outlineLevel="0" max="29" min="29" style="1" width="14"/>
    <col collapsed="false" customWidth="true" hidden="false" outlineLevel="0" max="30" min="30" style="1" width="10"/>
    <col collapsed="false" customWidth="true" hidden="false" outlineLevel="0" max="31" min="31" style="1" width="16"/>
    <col collapsed="false" customWidth="true" hidden="false" outlineLevel="0" max="32" min="32" style="1" width="12"/>
    <col collapsed="false" customWidth="true" hidden="false" outlineLevel="0" max="33" min="33" style="1" width="16"/>
    <col collapsed="false" customWidth="true" hidden="false" outlineLevel="0" max="34" min="34" style="1" width="20"/>
    <col collapsed="false" customWidth="true" hidden="false" outlineLevel="0" max="35" min="35" style="1" width="18"/>
    <col collapsed="false" customWidth="true" hidden="false" outlineLevel="0" max="36" min="36" style="1" width="20"/>
    <col collapsed="false" customWidth="true" hidden="false" outlineLevel="0" max="37" min="37" style="1" width="18"/>
    <col collapsed="false" customWidth="true" hidden="false" outlineLevel="0" max="39" min="38" style="1" width="24"/>
    <col collapsed="false" customWidth="true" hidden="false" outlineLevel="0" max="40" min="40" style="1" width="12"/>
    <col collapsed="false" customWidth="true" hidden="false" outlineLevel="0" max="43" min="41" style="1" width="16"/>
  </cols>
  <sheetData>
    <row r="1" customFormat="false" ht="33.75" hidden="false" customHeight="true" outlineLevel="0" collapsed="false">
      <c r="A1" s="11" t="s">
        <v>41</v>
      </c>
      <c r="B1" s="11" t="s">
        <v>19</v>
      </c>
      <c r="C1" s="11" t="s">
        <v>47</v>
      </c>
      <c r="D1" s="11" t="s">
        <v>50</v>
      </c>
      <c r="E1" s="11" t="s">
        <v>52</v>
      </c>
      <c r="F1" s="11" t="s">
        <v>55</v>
      </c>
      <c r="G1" s="11" t="s">
        <v>57</v>
      </c>
      <c r="H1" s="11" t="s">
        <v>59</v>
      </c>
      <c r="I1" s="11" t="s">
        <v>60</v>
      </c>
      <c r="J1" s="11" t="s">
        <v>62</v>
      </c>
      <c r="K1" s="11" t="s">
        <v>64</v>
      </c>
      <c r="L1" s="11" t="s">
        <v>65</v>
      </c>
      <c r="M1" s="11" t="s">
        <v>67</v>
      </c>
      <c r="N1" s="11" t="s">
        <v>69</v>
      </c>
      <c r="O1" s="11" t="s">
        <v>71</v>
      </c>
      <c r="P1" s="11" t="s">
        <v>73</v>
      </c>
      <c r="Q1" s="11" t="s">
        <v>75</v>
      </c>
      <c r="R1" s="11" t="s">
        <v>78</v>
      </c>
      <c r="S1" s="11" t="s">
        <v>81</v>
      </c>
    </row>
    <row r="2" customFormat="false" ht="15" hidden="false" customHeight="true" outlineLevel="0" collapsed="false">
      <c r="A2" s="1" t="s">
        <v>253</v>
      </c>
      <c r="B2" s="12" t="s">
        <v>25</v>
      </c>
      <c r="C2" s="1" t="n">
        <v>40301</v>
      </c>
      <c r="D2" s="1" t="n">
        <v>142301</v>
      </c>
      <c r="E2" s="1" t="n">
        <f aca="false">IFERROR((D2-C2)/C2,"")</f>
        <v>2.5309545668842</v>
      </c>
      <c r="F2" s="1" t="n">
        <v>190281</v>
      </c>
      <c r="G2" s="1" t="n">
        <v>373192</v>
      </c>
      <c r="H2" s="1" t="n">
        <f aca="false">IFERROR((G2-F2)/F2,"")</f>
        <v>0.961267809187465</v>
      </c>
      <c r="I2" s="1" t="n">
        <v>3088</v>
      </c>
      <c r="J2" s="1" t="n">
        <v>7438</v>
      </c>
      <c r="K2" s="1" t="n">
        <f aca="false">IFERROR((J2-I2)/I2,"")</f>
        <v>1.40867875647668</v>
      </c>
      <c r="L2" s="1" t="n">
        <v>142301</v>
      </c>
      <c r="M2" s="1" t="s">
        <v>254</v>
      </c>
      <c r="N2" s="1" t="n">
        <v>142301</v>
      </c>
      <c r="O2" s="1" t="s">
        <v>254</v>
      </c>
      <c r="P2" s="1" t="n">
        <f aca="false">IFERROR((D2-N2)/N2,"")</f>
        <v>0</v>
      </c>
      <c r="Q2" s="12" t="s">
        <v>255</v>
      </c>
      <c r="R2" s="12" t="s">
        <v>256</v>
      </c>
      <c r="S2" s="1" t="s">
        <v>257</v>
      </c>
    </row>
    <row r="3" customFormat="false" ht="15" hidden="false" customHeight="true" outlineLevel="0" collapsed="false">
      <c r="A3" s="1" t="s">
        <v>258</v>
      </c>
      <c r="B3" s="12" t="s">
        <v>25</v>
      </c>
      <c r="C3" s="1" t="n">
        <v>10085</v>
      </c>
      <c r="D3" s="1" t="n">
        <v>10716</v>
      </c>
      <c r="E3" s="1" t="n">
        <f aca="false">IFERROR((D3-C3)/C3,"")</f>
        <v>0.0625681705503223</v>
      </c>
      <c r="F3" s="1" t="n">
        <v>98425</v>
      </c>
      <c r="G3" s="1" t="n">
        <v>114192</v>
      </c>
      <c r="H3" s="1" t="n">
        <f aca="false">IFERROR((G3-F3)/F3,"")</f>
        <v>0.160193040386081</v>
      </c>
      <c r="I3" s="1" t="n">
        <v>653</v>
      </c>
      <c r="J3" s="1" t="n">
        <v>1107</v>
      </c>
      <c r="K3" s="1" t="n">
        <f aca="false">IFERROR((J3-I3)/I3,"")</f>
        <v>0.695252679938744</v>
      </c>
      <c r="L3" s="1" t="n">
        <v>12270</v>
      </c>
      <c r="M3" s="1" t="s">
        <v>259</v>
      </c>
      <c r="N3" s="1" t="n">
        <v>12270</v>
      </c>
      <c r="O3" s="1" t="s">
        <v>259</v>
      </c>
      <c r="P3" s="1" t="n">
        <f aca="false">IFERROR((D3-N3)/N3,"")</f>
        <v>-0.126650366748166</v>
      </c>
      <c r="Q3" s="12" t="s">
        <v>260</v>
      </c>
      <c r="R3" s="12" t="s">
        <v>260</v>
      </c>
      <c r="S3" s="1" t="s">
        <v>261</v>
      </c>
    </row>
    <row r="4" customFormat="false" ht="15" hidden="false" customHeight="true" outlineLevel="0" collapsed="false">
      <c r="A4" s="1" t="s">
        <v>262</v>
      </c>
      <c r="B4" s="12" t="s">
        <v>25</v>
      </c>
      <c r="C4" s="1" t="n">
        <v>3593</v>
      </c>
      <c r="D4" s="1" t="n">
        <v>3458</v>
      </c>
      <c r="E4" s="1" t="n">
        <f aca="false">IFERROR((D4-C4)/C4,"")</f>
        <v>-0.0375730587252992</v>
      </c>
      <c r="F4" s="1" t="n">
        <v>17048</v>
      </c>
      <c r="G4" s="1" t="n">
        <v>25297</v>
      </c>
      <c r="H4" s="1" t="n">
        <f aca="false">IFERROR((G4-F4)/F4,"")</f>
        <v>0.483869075551384</v>
      </c>
      <c r="I4" s="1" t="n">
        <v>766</v>
      </c>
      <c r="J4" s="1" t="n">
        <v>955</v>
      </c>
      <c r="K4" s="1" t="n">
        <f aca="false">IFERROR((J4-I4)/I4,"")</f>
        <v>0.246736292428198</v>
      </c>
      <c r="L4" s="1" t="n">
        <v>4303</v>
      </c>
      <c r="M4" s="1" t="s">
        <v>263</v>
      </c>
      <c r="N4" s="1" t="n">
        <v>4831</v>
      </c>
      <c r="O4" s="1" t="s">
        <v>264</v>
      </c>
      <c r="P4" s="1" t="n">
        <f aca="false">IFERROR((D4-N4)/N4,"")</f>
        <v>-0.284206168495136</v>
      </c>
      <c r="Q4" s="12" t="s">
        <v>260</v>
      </c>
      <c r="R4" s="12" t="s">
        <v>260</v>
      </c>
      <c r="S4" s="1" t="s">
        <v>265</v>
      </c>
    </row>
    <row r="5" customFormat="false" ht="15" hidden="false" customHeight="true" outlineLevel="0" collapsed="false">
      <c r="A5" s="1" t="s">
        <v>266</v>
      </c>
      <c r="B5" s="12" t="s">
        <v>25</v>
      </c>
      <c r="C5" s="1" t="n">
        <v>5692</v>
      </c>
      <c r="D5" s="1" t="n">
        <v>3609</v>
      </c>
      <c r="E5" s="1" t="n">
        <f aca="false">IFERROR((D5-C5)/C5,"")</f>
        <v>-0.365952213633169</v>
      </c>
      <c r="F5" s="1" t="n">
        <v>32421</v>
      </c>
      <c r="G5" s="1" t="n">
        <v>26642</v>
      </c>
      <c r="H5" s="1" t="n">
        <f aca="false">IFERROR((G5-F5)/F5,"")</f>
        <v>-0.178248665988094</v>
      </c>
      <c r="I5" s="1" t="n">
        <v>1018</v>
      </c>
      <c r="J5" s="1" t="n">
        <v>1540</v>
      </c>
      <c r="K5" s="1" t="n">
        <f aca="false">IFERROR((J5-I5)/I5,"")</f>
        <v>0.512770137524558</v>
      </c>
      <c r="L5" s="1" t="n">
        <v>6859</v>
      </c>
      <c r="M5" s="1" t="s">
        <v>267</v>
      </c>
      <c r="N5" s="1" t="n">
        <v>6859</v>
      </c>
      <c r="O5" s="1" t="s">
        <v>267</v>
      </c>
      <c r="P5" s="1" t="n">
        <f aca="false">IFERROR((D5-N5)/N5,"")</f>
        <v>-0.473830004373815</v>
      </c>
      <c r="Q5" s="12" t="s">
        <v>268</v>
      </c>
      <c r="R5" s="12" t="s">
        <v>269</v>
      </c>
      <c r="S5" s="1" t="s">
        <v>270</v>
      </c>
    </row>
    <row r="6" customFormat="false" ht="15" hidden="false" customHeight="true" outlineLevel="0" collapsed="false">
      <c r="A6" s="1" t="s">
        <v>271</v>
      </c>
      <c r="B6" s="12" t="s">
        <v>25</v>
      </c>
      <c r="C6" s="1" t="n">
        <v>19997</v>
      </c>
      <c r="D6" s="1" t="n">
        <v>13081</v>
      </c>
      <c r="E6" s="1" t="n">
        <f aca="false">IFERROR((D6-C6)/C6,"")</f>
        <v>-0.345851877781667</v>
      </c>
      <c r="F6" s="1" t="n">
        <v>64847</v>
      </c>
      <c r="G6" s="1" t="n">
        <v>47773</v>
      </c>
      <c r="H6" s="1" t="n">
        <f aca="false">IFERROR((G6-F6)/F6,"")</f>
        <v>-0.263296682961432</v>
      </c>
      <c r="I6" s="1" t="n">
        <v>1541</v>
      </c>
      <c r="J6" s="1" t="n">
        <v>2478</v>
      </c>
      <c r="K6" s="1" t="n">
        <f aca="false">IFERROR((J6-I6)/I6,"")</f>
        <v>0.608046722907203</v>
      </c>
      <c r="L6" s="1" t="n">
        <v>22299</v>
      </c>
      <c r="M6" s="1" t="s">
        <v>272</v>
      </c>
      <c r="N6" s="1" t="n">
        <v>22299</v>
      </c>
      <c r="O6" s="1" t="s">
        <v>272</v>
      </c>
      <c r="P6" s="1" t="n">
        <f aca="false">IFERROR((D6-N6)/N6,"")</f>
        <v>-0.413381765998475</v>
      </c>
      <c r="Q6" s="12" t="s">
        <v>268</v>
      </c>
      <c r="R6" s="12" t="s">
        <v>269</v>
      </c>
      <c r="S6" s="1" t="s">
        <v>273</v>
      </c>
    </row>
    <row r="7" customFormat="false" ht="15" hidden="false" customHeight="true" outlineLevel="0" collapsed="false">
      <c r="A7" s="1" t="s">
        <v>274</v>
      </c>
      <c r="B7" s="12" t="s">
        <v>25</v>
      </c>
      <c r="C7" s="1" t="n">
        <v>233</v>
      </c>
      <c r="D7" s="1" t="n">
        <v>666</v>
      </c>
      <c r="E7" s="1" t="n">
        <f aca="false">IFERROR((D7-C7)/C7,"")</f>
        <v>1.85836909871245</v>
      </c>
      <c r="F7" s="1" t="n">
        <v>219</v>
      </c>
      <c r="G7" s="1" t="n">
        <v>1696</v>
      </c>
      <c r="H7" s="1" t="n">
        <f aca="false">IFERROR((G7-F7)/F7,"")</f>
        <v>6.74429223744292</v>
      </c>
      <c r="I7" s="1" t="n">
        <v>200</v>
      </c>
      <c r="J7" s="1" t="n">
        <v>554</v>
      </c>
      <c r="K7" s="1" t="n">
        <f aca="false">IFERROR((J7-I7)/I7,"")</f>
        <v>1.77</v>
      </c>
      <c r="L7" s="1" t="n">
        <v>666</v>
      </c>
      <c r="M7" s="1" t="s">
        <v>254</v>
      </c>
      <c r="N7" s="1" t="n">
        <v>666</v>
      </c>
      <c r="O7" s="1" t="s">
        <v>254</v>
      </c>
      <c r="P7" s="1" t="n">
        <f aca="false">IFERROR((D7-N7)/N7,"")</f>
        <v>0</v>
      </c>
      <c r="Q7" s="12" t="s">
        <v>255</v>
      </c>
      <c r="R7" s="12" t="s">
        <v>256</v>
      </c>
      <c r="S7" s="1" t="s">
        <v>275</v>
      </c>
    </row>
    <row r="8" customFormat="false" ht="15" hidden="false" customHeight="true" outlineLevel="0" collapsed="false">
      <c r="A8" s="1" t="s">
        <v>276</v>
      </c>
      <c r="B8" s="12" t="s">
        <v>25</v>
      </c>
      <c r="C8" s="1" t="n">
        <v>5166</v>
      </c>
      <c r="D8" s="1" t="n">
        <v>3118</v>
      </c>
      <c r="E8" s="1" t="n">
        <f aca="false">IFERROR((D8-C8)/C8,"")</f>
        <v>-0.396438250096787</v>
      </c>
      <c r="F8" s="1" t="n">
        <v>7231</v>
      </c>
      <c r="G8" s="1" t="n">
        <v>4575</v>
      </c>
      <c r="H8" s="1" t="n">
        <f aca="false">IFERROR((G8-F8)/F8,"")</f>
        <v>-0.367307426358733</v>
      </c>
      <c r="I8" s="1" t="n">
        <v>467</v>
      </c>
      <c r="J8" s="1" t="n">
        <v>805</v>
      </c>
      <c r="K8" s="1" t="n">
        <f aca="false">IFERROR((J8-I8)/I8,"")</f>
        <v>0.723768736616702</v>
      </c>
      <c r="L8" s="1" t="n">
        <v>7754</v>
      </c>
      <c r="M8" s="1" t="s">
        <v>259</v>
      </c>
      <c r="N8" s="1" t="n">
        <v>7754</v>
      </c>
      <c r="O8" s="1" t="s">
        <v>259</v>
      </c>
      <c r="P8" s="1" t="n">
        <f aca="false">IFERROR((D8-N8)/N8,"")</f>
        <v>-0.597884962599948</v>
      </c>
      <c r="Q8" s="12" t="s">
        <v>277</v>
      </c>
      <c r="R8" s="12" t="s">
        <v>269</v>
      </c>
      <c r="S8" s="1" t="s">
        <v>278</v>
      </c>
    </row>
    <row r="9" customFormat="false" ht="15" hidden="false" customHeight="true" outlineLevel="0" collapsed="false">
      <c r="A9" s="1" t="s">
        <v>279</v>
      </c>
      <c r="B9" s="12" t="s">
        <v>25</v>
      </c>
      <c r="C9" s="1" t="n">
        <v>18682</v>
      </c>
      <c r="D9" s="1" t="n">
        <v>23558</v>
      </c>
      <c r="E9" s="1" t="n">
        <f aca="false">IFERROR((D9-C9)/C9,"")</f>
        <v>0.260999892945081</v>
      </c>
      <c r="F9" s="1" t="n">
        <v>236975</v>
      </c>
      <c r="G9" s="1" t="n">
        <v>181454</v>
      </c>
      <c r="H9" s="1" t="n">
        <f aca="false">IFERROR((G9-F9)/F9,"")</f>
        <v>-0.234290536976474</v>
      </c>
      <c r="I9" s="1" t="n">
        <v>1271</v>
      </c>
      <c r="J9" s="1" t="n">
        <v>2454</v>
      </c>
      <c r="K9" s="1" t="n">
        <f aca="false">IFERROR((J9-I9)/I9,"")</f>
        <v>0.930763178599528</v>
      </c>
      <c r="L9" s="1" t="n">
        <v>37436</v>
      </c>
      <c r="M9" s="1" t="s">
        <v>280</v>
      </c>
      <c r="N9" s="1" t="n">
        <v>37436</v>
      </c>
      <c r="O9" s="1" t="s">
        <v>280</v>
      </c>
      <c r="P9" s="1" t="n">
        <f aca="false">IFERROR((D9-N9)/N9,"")</f>
        <v>-0.370712682978951</v>
      </c>
      <c r="Q9" s="12" t="s">
        <v>268</v>
      </c>
      <c r="R9" s="12" t="s">
        <v>256</v>
      </c>
      <c r="S9" s="1" t="s">
        <v>281</v>
      </c>
    </row>
    <row r="10" customFormat="false" ht="15" hidden="false" customHeight="true" outlineLevel="0" collapsed="false">
      <c r="A10" s="1" t="s">
        <v>282</v>
      </c>
      <c r="B10" s="12" t="s">
        <v>25</v>
      </c>
      <c r="C10" s="1" t="n">
        <v>36151</v>
      </c>
      <c r="D10" s="1" t="n">
        <v>7095</v>
      </c>
      <c r="E10" s="1" t="n">
        <f aca="false">IFERROR((D10-C10)/C10,"")</f>
        <v>-0.803739868883295</v>
      </c>
      <c r="F10" s="1" t="n">
        <v>93086</v>
      </c>
      <c r="G10" s="1" t="n">
        <v>46249</v>
      </c>
      <c r="H10" s="1" t="n">
        <f aca="false">IFERROR((G10-F10)/F10,"")</f>
        <v>-0.503158369679651</v>
      </c>
      <c r="I10" s="1" t="n">
        <v>3442</v>
      </c>
      <c r="J10" s="1" t="n">
        <v>4503</v>
      </c>
      <c r="K10" s="1" t="n">
        <f aca="false">IFERROR((J10-I10)/I10,"")</f>
        <v>0.308251016850668</v>
      </c>
      <c r="L10" s="1" t="n">
        <v>48608</v>
      </c>
      <c r="M10" s="1" t="s">
        <v>283</v>
      </c>
      <c r="N10" s="1" t="n">
        <v>149605</v>
      </c>
      <c r="O10" s="1" t="s">
        <v>284</v>
      </c>
      <c r="P10" s="1" t="n">
        <f aca="false">IFERROR((D10-N10)/N10,"")</f>
        <v>-0.952575114468099</v>
      </c>
      <c r="Q10" s="12" t="s">
        <v>285</v>
      </c>
      <c r="R10" s="12" t="s">
        <v>269</v>
      </c>
      <c r="S10" s="1" t="s">
        <v>286</v>
      </c>
    </row>
    <row r="11" customFormat="false" ht="15" hidden="false" customHeight="true" outlineLevel="0" collapsed="false">
      <c r="A11" s="1" t="s">
        <v>287</v>
      </c>
      <c r="B11" s="12" t="s">
        <v>25</v>
      </c>
      <c r="C11" s="1" t="n">
        <v>975</v>
      </c>
      <c r="D11" s="1" t="n">
        <v>4887</v>
      </c>
      <c r="E11" s="1" t="n">
        <f aca="false">IFERROR((D11-C11)/C11,"")</f>
        <v>4.01230769230769</v>
      </c>
      <c r="F11" s="1" t="n">
        <v>2002</v>
      </c>
      <c r="G11" s="1" t="n">
        <v>11764</v>
      </c>
      <c r="H11" s="1" t="n">
        <f aca="false">IFERROR((G11-F11)/F11,"")</f>
        <v>4.87612387612388</v>
      </c>
      <c r="I11" s="1" t="n">
        <v>227</v>
      </c>
      <c r="J11" s="1" t="n">
        <v>692</v>
      </c>
      <c r="K11" s="1" t="n">
        <f aca="false">IFERROR((J11-I11)/I11,"")</f>
        <v>2.04845814977974</v>
      </c>
      <c r="L11" s="1" t="n">
        <v>8085</v>
      </c>
      <c r="M11" s="1" t="s">
        <v>288</v>
      </c>
      <c r="N11" s="1" t="n">
        <v>8085</v>
      </c>
      <c r="O11" s="1" t="s">
        <v>288</v>
      </c>
      <c r="P11" s="1" t="n">
        <f aca="false">IFERROR((D11-N11)/N11,"")</f>
        <v>-0.395547309833024</v>
      </c>
      <c r="Q11" s="12" t="s">
        <v>268</v>
      </c>
      <c r="R11" s="12" t="s">
        <v>256</v>
      </c>
      <c r="S11" s="1" t="s">
        <v>289</v>
      </c>
    </row>
    <row r="12" customFormat="false" ht="15" hidden="false" customHeight="true" outlineLevel="0" collapsed="false">
      <c r="A12" s="1" t="s">
        <v>290</v>
      </c>
      <c r="B12" s="12" t="s">
        <v>25</v>
      </c>
      <c r="C12" s="1" t="n">
        <v>16602</v>
      </c>
      <c r="D12" s="1" t="n">
        <v>17994</v>
      </c>
      <c r="E12" s="1" t="n">
        <f aca="false">IFERROR((D12-C12)/C12,"")</f>
        <v>0.083845319840983</v>
      </c>
      <c r="F12" s="1" t="n">
        <v>73974</v>
      </c>
      <c r="G12" s="1" t="n">
        <v>97479</v>
      </c>
      <c r="H12" s="1" t="n">
        <f aca="false">IFERROR((G12-F12)/F12,"")</f>
        <v>0.317746775894233</v>
      </c>
      <c r="I12" s="1" t="n">
        <v>711</v>
      </c>
      <c r="J12" s="1" t="n">
        <v>2001</v>
      </c>
      <c r="K12" s="1" t="n">
        <f aca="false">IFERROR((J12-I12)/I12,"")</f>
        <v>1.81434599156118</v>
      </c>
      <c r="L12" s="1" t="n">
        <v>18375</v>
      </c>
      <c r="M12" s="1" t="s">
        <v>291</v>
      </c>
      <c r="N12" s="1" t="n">
        <v>19426</v>
      </c>
      <c r="O12" s="1" t="s">
        <v>292</v>
      </c>
      <c r="P12" s="1" t="n">
        <f aca="false">IFERROR((D12-N12)/N12,"")</f>
        <v>-0.0737156388345516</v>
      </c>
      <c r="Q12" s="12" t="s">
        <v>260</v>
      </c>
      <c r="R12" s="12" t="s">
        <v>260</v>
      </c>
      <c r="S12" s="1" t="s">
        <v>293</v>
      </c>
    </row>
    <row r="13" customFormat="false" ht="15" hidden="false" customHeight="true" outlineLevel="0" collapsed="false">
      <c r="A13" s="1" t="s">
        <v>294</v>
      </c>
      <c r="B13" s="12" t="s">
        <v>25</v>
      </c>
      <c r="C13" s="1" t="n">
        <v>6257</v>
      </c>
      <c r="D13" s="1" t="n">
        <v>8272</v>
      </c>
      <c r="E13" s="1" t="n">
        <f aca="false">IFERROR((D13-C13)/C13,"")</f>
        <v>0.322039315966118</v>
      </c>
      <c r="F13" s="1" t="n">
        <v>22244</v>
      </c>
      <c r="G13" s="1" t="n">
        <v>28467</v>
      </c>
      <c r="H13" s="1" t="n">
        <f aca="false">IFERROR((G13-F13)/F13,"")</f>
        <v>0.279760834382305</v>
      </c>
      <c r="I13" s="1" t="n">
        <v>1926</v>
      </c>
      <c r="J13" s="1" t="n">
        <v>2897</v>
      </c>
      <c r="K13" s="1" t="n">
        <f aca="false">IFERROR((J13-I13)/I13,"")</f>
        <v>0.504153686396677</v>
      </c>
      <c r="L13" s="1" t="n">
        <v>9250</v>
      </c>
      <c r="M13" s="1" t="s">
        <v>288</v>
      </c>
      <c r="N13" s="1" t="n">
        <v>11653</v>
      </c>
      <c r="O13" s="1" t="s">
        <v>295</v>
      </c>
      <c r="P13" s="1" t="n">
        <f aca="false">IFERROR((D13-N13)/N13,"")</f>
        <v>-0.290139878142968</v>
      </c>
      <c r="Q13" s="12" t="s">
        <v>268</v>
      </c>
      <c r="R13" s="12" t="s">
        <v>256</v>
      </c>
      <c r="S13" s="1" t="s">
        <v>296</v>
      </c>
    </row>
    <row r="14" customFormat="false" ht="15" hidden="false" customHeight="true" outlineLevel="0" collapsed="false">
      <c r="A14" s="1" t="s">
        <v>297</v>
      </c>
      <c r="B14" s="12" t="s">
        <v>25</v>
      </c>
      <c r="C14" s="1" t="n">
        <v>1542</v>
      </c>
      <c r="D14" s="1" t="n">
        <v>1443</v>
      </c>
      <c r="E14" s="1" t="n">
        <f aca="false">IFERROR((D14-C14)/C14,"")</f>
        <v>-0.0642023346303502</v>
      </c>
      <c r="F14" s="1" t="n">
        <v>1486</v>
      </c>
      <c r="G14" s="1" t="n">
        <v>3521</v>
      </c>
      <c r="H14" s="1" t="n">
        <f aca="false">IFERROR((G14-F14)/F14,"")</f>
        <v>1.36944818304172</v>
      </c>
      <c r="I14" s="1" t="n">
        <v>289</v>
      </c>
      <c r="J14" s="1" t="n">
        <v>423</v>
      </c>
      <c r="K14" s="1" t="n">
        <f aca="false">IFERROR((J14-I14)/I14,"")</f>
        <v>0.463667820069204</v>
      </c>
      <c r="L14" s="1" t="n">
        <v>1542</v>
      </c>
      <c r="M14" s="1" t="s">
        <v>298</v>
      </c>
      <c r="N14" s="1" t="n">
        <v>2594</v>
      </c>
      <c r="O14" s="1" t="s">
        <v>299</v>
      </c>
      <c r="P14" s="1" t="n">
        <f aca="false">IFERROR((D14-N14)/N14,"")</f>
        <v>-0.443716268311488</v>
      </c>
      <c r="Q14" s="12" t="s">
        <v>285</v>
      </c>
      <c r="R14" s="12" t="s">
        <v>260</v>
      </c>
      <c r="S14" s="1" t="s">
        <v>300</v>
      </c>
    </row>
    <row r="15" customFormat="false" ht="15" hidden="false" customHeight="true" outlineLevel="0" collapsed="false">
      <c r="B15" s="12"/>
      <c r="E15" s="1" t="str">
        <f aca="false">IFERROR((D15-C15)/C15,"")</f>
        <v/>
      </c>
      <c r="H15" s="1" t="str">
        <f aca="false">IFERROR((G15-F15)/F15,"")</f>
        <v/>
      </c>
      <c r="K15" s="1" t="str">
        <f aca="false">IFERROR((J15-I15)/I15,"")</f>
        <v/>
      </c>
      <c r="P15" s="1" t="str">
        <f aca="false">IFERROR((D15-N15)/N15,"")</f>
        <v/>
      </c>
      <c r="Q15" s="12"/>
      <c r="R15" s="12"/>
    </row>
    <row r="16" customFormat="false" ht="15" hidden="false" customHeight="true" outlineLevel="0" collapsed="false">
      <c r="B16" s="12"/>
      <c r="E16" s="1" t="str">
        <f aca="false">IFERROR((D16-C16)/C16,"")</f>
        <v/>
      </c>
      <c r="H16" s="1" t="str">
        <f aca="false">IFERROR((G16-F16)/F16,"")</f>
        <v/>
      </c>
      <c r="K16" s="1" t="str">
        <f aca="false">IFERROR((J16-I16)/I16,"")</f>
        <v/>
      </c>
      <c r="P16" s="1" t="str">
        <f aca="false">IFERROR((D16-N16)/N16,"")</f>
        <v/>
      </c>
      <c r="Q16" s="12"/>
      <c r="R16" s="12"/>
    </row>
    <row r="17" customFormat="false" ht="15" hidden="false" customHeight="true" outlineLevel="0" collapsed="false">
      <c r="B17" s="12"/>
      <c r="E17" s="1" t="str">
        <f aca="false">IFERROR((D17-C17)/C17,"")</f>
        <v/>
      </c>
      <c r="H17" s="1" t="str">
        <f aca="false">IFERROR((G17-F17)/F17,"")</f>
        <v/>
      </c>
      <c r="K17" s="1" t="str">
        <f aca="false">IFERROR((J17-I17)/I17,"")</f>
        <v/>
      </c>
      <c r="P17" s="1" t="str">
        <f aca="false">IFERROR((D17-N17)/N17,"")</f>
        <v/>
      </c>
      <c r="Q17" s="12"/>
      <c r="R17" s="12"/>
    </row>
    <row r="18" customFormat="false" ht="15" hidden="false" customHeight="true" outlineLevel="0" collapsed="false">
      <c r="B18" s="12"/>
      <c r="E18" s="1" t="str">
        <f aca="false">IFERROR((D18-C18)/C18,"")</f>
        <v/>
      </c>
      <c r="H18" s="1" t="str">
        <f aca="false">IFERROR((G18-F18)/F18,"")</f>
        <v/>
      </c>
      <c r="K18" s="1" t="str">
        <f aca="false">IFERROR((J18-I18)/I18,"")</f>
        <v/>
      </c>
      <c r="P18" s="1" t="str">
        <f aca="false">IFERROR((D18-N18)/N18,"")</f>
        <v/>
      </c>
      <c r="Q18" s="12"/>
      <c r="R18" s="12"/>
    </row>
    <row r="19" customFormat="false" ht="15" hidden="false" customHeight="true" outlineLevel="0" collapsed="false">
      <c r="B19" s="12"/>
      <c r="E19" s="1" t="str">
        <f aca="false">IFERROR((D19-C19)/C19,"")</f>
        <v/>
      </c>
      <c r="H19" s="1" t="str">
        <f aca="false">IFERROR((G19-F19)/F19,"")</f>
        <v/>
      </c>
      <c r="K19" s="1" t="str">
        <f aca="false">IFERROR((J19-I19)/I19,"")</f>
        <v/>
      </c>
      <c r="P19" s="1" t="str">
        <f aca="false">IFERROR((D19-N19)/N19,"")</f>
        <v/>
      </c>
      <c r="Q19" s="12"/>
      <c r="R19" s="12"/>
    </row>
    <row r="20" customFormat="false" ht="15" hidden="false" customHeight="true" outlineLevel="0" collapsed="false">
      <c r="B20" s="12"/>
      <c r="E20" s="1" t="str">
        <f aca="false">IFERROR((D20-C20)/C20,"")</f>
        <v/>
      </c>
      <c r="H20" s="1" t="str">
        <f aca="false">IFERROR((G20-F20)/F20,"")</f>
        <v/>
      </c>
      <c r="K20" s="1" t="str">
        <f aca="false">IFERROR((J20-I20)/I20,"")</f>
        <v/>
      </c>
      <c r="P20" s="1" t="str">
        <f aca="false">IFERROR((D20-N20)/N20,"")</f>
        <v/>
      </c>
      <c r="Q20" s="12"/>
      <c r="R20" s="12"/>
    </row>
    <row r="21" customFormat="false" ht="15" hidden="false" customHeight="true" outlineLevel="0" collapsed="false">
      <c r="B21" s="12"/>
      <c r="E21" s="1" t="str">
        <f aca="false">IFERROR((D21-C21)/C21,"")</f>
        <v/>
      </c>
      <c r="H21" s="1" t="str">
        <f aca="false">IFERROR((G21-F21)/F21,"")</f>
        <v/>
      </c>
      <c r="K21" s="1" t="str">
        <f aca="false">IFERROR((J21-I21)/I21,"")</f>
        <v/>
      </c>
      <c r="P21" s="1" t="str">
        <f aca="false">IFERROR((D21-N21)/N21,"")</f>
        <v/>
      </c>
      <c r="Q21" s="12"/>
      <c r="R21" s="12"/>
    </row>
    <row r="22" customFormat="false" ht="15" hidden="false" customHeight="true" outlineLevel="0" collapsed="false">
      <c r="B22" s="12"/>
      <c r="E22" s="1" t="str">
        <f aca="false">IFERROR((D22-C22)/C22,"")</f>
        <v/>
      </c>
      <c r="H22" s="1" t="str">
        <f aca="false">IFERROR((G22-F22)/F22,"")</f>
        <v/>
      </c>
      <c r="K22" s="1" t="str">
        <f aca="false">IFERROR((J22-I22)/I22,"")</f>
        <v/>
      </c>
      <c r="P22" s="1" t="str">
        <f aca="false">IFERROR((D22-N22)/N22,"")</f>
        <v/>
      </c>
      <c r="Q22" s="12"/>
      <c r="R22" s="12"/>
    </row>
    <row r="23" customFormat="false" ht="15" hidden="false" customHeight="true" outlineLevel="0" collapsed="false">
      <c r="B23" s="12"/>
      <c r="E23" s="1" t="str">
        <f aca="false">IFERROR((D23-C23)/C23,"")</f>
        <v/>
      </c>
      <c r="H23" s="1" t="str">
        <f aca="false">IFERROR((G23-F23)/F23,"")</f>
        <v/>
      </c>
      <c r="K23" s="1" t="str">
        <f aca="false">IFERROR((J23-I23)/I23,"")</f>
        <v/>
      </c>
      <c r="P23" s="1" t="str">
        <f aca="false">IFERROR((D23-N23)/N23,"")</f>
        <v/>
      </c>
      <c r="Q23" s="12"/>
      <c r="R23" s="12"/>
    </row>
    <row r="24" customFormat="false" ht="15" hidden="false" customHeight="true" outlineLevel="0" collapsed="false">
      <c r="B24" s="12"/>
      <c r="E24" s="1" t="str">
        <f aca="false">IFERROR((D24-C24)/C24,"")</f>
        <v/>
      </c>
      <c r="H24" s="1" t="str">
        <f aca="false">IFERROR((G24-F24)/F24,"")</f>
        <v/>
      </c>
      <c r="K24" s="1" t="str">
        <f aca="false">IFERROR((J24-I24)/I24,"")</f>
        <v/>
      </c>
      <c r="P24" s="1" t="str">
        <f aca="false">IFERROR((D24-N24)/N24,"")</f>
        <v/>
      </c>
      <c r="Q24" s="12"/>
      <c r="R24" s="12"/>
    </row>
    <row r="25" customFormat="false" ht="15" hidden="false" customHeight="true" outlineLevel="0" collapsed="false">
      <c r="B25" s="12"/>
      <c r="E25" s="1" t="str">
        <f aca="false">IFERROR((D25-C25)/C25,"")</f>
        <v/>
      </c>
      <c r="H25" s="1" t="str">
        <f aca="false">IFERROR((G25-F25)/F25,"")</f>
        <v/>
      </c>
      <c r="K25" s="1" t="str">
        <f aca="false">IFERROR((J25-I25)/I25,"")</f>
        <v/>
      </c>
      <c r="P25" s="1" t="str">
        <f aca="false">IFERROR((D25-N25)/N25,"")</f>
        <v/>
      </c>
      <c r="Q25" s="12"/>
      <c r="R25" s="12"/>
    </row>
    <row r="26" customFormat="false" ht="15" hidden="false" customHeight="true" outlineLevel="0" collapsed="false">
      <c r="B26" s="12"/>
      <c r="E26" s="1" t="str">
        <f aca="false">IFERROR((D26-C26)/C26,"")</f>
        <v/>
      </c>
      <c r="H26" s="1" t="str">
        <f aca="false">IFERROR((G26-F26)/F26,"")</f>
        <v/>
      </c>
      <c r="K26" s="1" t="str">
        <f aca="false">IFERROR((J26-I26)/I26,"")</f>
        <v/>
      </c>
      <c r="P26" s="1" t="str">
        <f aca="false">IFERROR((D26-N26)/N26,"")</f>
        <v/>
      </c>
      <c r="Q26" s="12"/>
      <c r="R26" s="12"/>
    </row>
    <row r="27" customFormat="false" ht="15" hidden="false" customHeight="true" outlineLevel="0" collapsed="false">
      <c r="B27" s="12"/>
      <c r="E27" s="1" t="str">
        <f aca="false">IFERROR((D27-C27)/C27,"")</f>
        <v/>
      </c>
      <c r="H27" s="1" t="str">
        <f aca="false">IFERROR((G27-F27)/F27,"")</f>
        <v/>
      </c>
      <c r="K27" s="1" t="str">
        <f aca="false">IFERROR((J27-I27)/I27,"")</f>
        <v/>
      </c>
      <c r="P27" s="1" t="str">
        <f aca="false">IFERROR((D27-N27)/N27,"")</f>
        <v/>
      </c>
      <c r="Q27" s="12"/>
      <c r="R27" s="12"/>
    </row>
    <row r="28" customFormat="false" ht="15" hidden="false" customHeight="true" outlineLevel="0" collapsed="false">
      <c r="B28" s="12"/>
      <c r="E28" s="1" t="str">
        <f aca="false">IFERROR((D28-C28)/C28,"")</f>
        <v/>
      </c>
      <c r="H28" s="1" t="str">
        <f aca="false">IFERROR((G28-F28)/F28,"")</f>
        <v/>
      </c>
      <c r="K28" s="1" t="str">
        <f aca="false">IFERROR((J28-I28)/I28,"")</f>
        <v/>
      </c>
      <c r="P28" s="1" t="str">
        <f aca="false">IFERROR((D28-N28)/N28,"")</f>
        <v/>
      </c>
      <c r="Q28" s="12"/>
      <c r="R28" s="12"/>
    </row>
    <row r="29" customFormat="false" ht="15" hidden="false" customHeight="true" outlineLevel="0" collapsed="false">
      <c r="B29" s="12"/>
      <c r="E29" s="1" t="str">
        <f aca="false">IFERROR((D29-C29)/C29,"")</f>
        <v/>
      </c>
      <c r="H29" s="1" t="str">
        <f aca="false">IFERROR((G29-F29)/F29,"")</f>
        <v/>
      </c>
      <c r="K29" s="1" t="str">
        <f aca="false">IFERROR((J29-I29)/I29,"")</f>
        <v/>
      </c>
      <c r="P29" s="1" t="str">
        <f aca="false">IFERROR((D29-N29)/N29,"")</f>
        <v/>
      </c>
      <c r="Q29" s="12"/>
      <c r="R29" s="12"/>
    </row>
    <row r="30" customFormat="false" ht="15" hidden="false" customHeight="true" outlineLevel="0" collapsed="false">
      <c r="B30" s="12"/>
      <c r="E30" s="1" t="str">
        <f aca="false">IFERROR((D30-C30)/C30,"")</f>
        <v/>
      </c>
      <c r="H30" s="1" t="str">
        <f aca="false">IFERROR((G30-F30)/F30,"")</f>
        <v/>
      </c>
      <c r="K30" s="1" t="str">
        <f aca="false">IFERROR((J30-I30)/I30,"")</f>
        <v/>
      </c>
      <c r="P30" s="1" t="str">
        <f aca="false">IFERROR((D30-N30)/N30,"")</f>
        <v/>
      </c>
      <c r="Q30" s="12"/>
      <c r="R30" s="12"/>
    </row>
    <row r="31" customFormat="false" ht="15" hidden="false" customHeight="true" outlineLevel="0" collapsed="false">
      <c r="B31" s="12"/>
      <c r="E31" s="1" t="str">
        <f aca="false">IFERROR((D31-C31)/C31,"")</f>
        <v/>
      </c>
      <c r="H31" s="1" t="str">
        <f aca="false">IFERROR((G31-F31)/F31,"")</f>
        <v/>
      </c>
      <c r="K31" s="1" t="str">
        <f aca="false">IFERROR((J31-I31)/I31,"")</f>
        <v/>
      </c>
      <c r="P31" s="1" t="str">
        <f aca="false">IFERROR((D31-N31)/N31,"")</f>
        <v/>
      </c>
      <c r="Q31" s="12"/>
      <c r="R31" s="12"/>
    </row>
    <row r="32" customFormat="false" ht="15" hidden="false" customHeight="true" outlineLevel="0" collapsed="false">
      <c r="B32" s="12"/>
      <c r="E32" s="1" t="str">
        <f aca="false">IFERROR((D32-C32)/C32,"")</f>
        <v/>
      </c>
      <c r="H32" s="1" t="str">
        <f aca="false">IFERROR((G32-F32)/F32,"")</f>
        <v/>
      </c>
      <c r="K32" s="1" t="str">
        <f aca="false">IFERROR((J32-I32)/I32,"")</f>
        <v/>
      </c>
      <c r="P32" s="1" t="str">
        <f aca="false">IFERROR((D32-N32)/N32,"")</f>
        <v/>
      </c>
      <c r="Q32" s="12"/>
      <c r="R32" s="12"/>
    </row>
    <row r="33" customFormat="false" ht="15" hidden="false" customHeight="true" outlineLevel="0" collapsed="false">
      <c r="B33" s="12"/>
      <c r="E33" s="1" t="str">
        <f aca="false">IFERROR((D33-C33)/C33,"")</f>
        <v/>
      </c>
      <c r="H33" s="1" t="str">
        <f aca="false">IFERROR((G33-F33)/F33,"")</f>
        <v/>
      </c>
      <c r="K33" s="1" t="str">
        <f aca="false">IFERROR((J33-I33)/I33,"")</f>
        <v/>
      </c>
      <c r="P33" s="1" t="str">
        <f aca="false">IFERROR((D33-N33)/N33,"")</f>
        <v/>
      </c>
      <c r="Q33" s="12"/>
      <c r="R33" s="12"/>
    </row>
    <row r="34" customFormat="false" ht="15" hidden="false" customHeight="true" outlineLevel="0" collapsed="false">
      <c r="B34" s="12"/>
      <c r="E34" s="1" t="str">
        <f aca="false">IFERROR((D34-C34)/C34,"")</f>
        <v/>
      </c>
      <c r="H34" s="1" t="str">
        <f aca="false">IFERROR((G34-F34)/F34,"")</f>
        <v/>
      </c>
      <c r="K34" s="1" t="str">
        <f aca="false">IFERROR((J34-I34)/I34,"")</f>
        <v/>
      </c>
      <c r="P34" s="1" t="str">
        <f aca="false">IFERROR((D34-N34)/N34,"")</f>
        <v/>
      </c>
      <c r="Q34" s="12"/>
      <c r="R34" s="12"/>
    </row>
    <row r="35" customFormat="false" ht="15" hidden="false" customHeight="true" outlineLevel="0" collapsed="false">
      <c r="B35" s="12"/>
      <c r="E35" s="1" t="str">
        <f aca="false">IFERROR((D35-C35)/C35,"")</f>
        <v/>
      </c>
      <c r="H35" s="1" t="str">
        <f aca="false">IFERROR((G35-F35)/F35,"")</f>
        <v/>
      </c>
      <c r="K35" s="1" t="str">
        <f aca="false">IFERROR((J35-I35)/I35,"")</f>
        <v/>
      </c>
      <c r="P35" s="1" t="str">
        <f aca="false">IFERROR((D35-N35)/N35,"")</f>
        <v/>
      </c>
      <c r="Q35" s="12"/>
      <c r="R35" s="12"/>
    </row>
    <row r="36" customFormat="false" ht="15" hidden="false" customHeight="true" outlineLevel="0" collapsed="false">
      <c r="B36" s="12"/>
      <c r="E36" s="1" t="str">
        <f aca="false">IFERROR((D36-C36)/C36,"")</f>
        <v/>
      </c>
      <c r="H36" s="1" t="str">
        <f aca="false">IFERROR((G36-F36)/F36,"")</f>
        <v/>
      </c>
      <c r="K36" s="1" t="str">
        <f aca="false">IFERROR((J36-I36)/I36,"")</f>
        <v/>
      </c>
      <c r="P36" s="1" t="str">
        <f aca="false">IFERROR((D36-N36)/N36,"")</f>
        <v/>
      </c>
      <c r="Q36" s="12"/>
      <c r="R36" s="12"/>
    </row>
    <row r="37" customFormat="false" ht="15" hidden="false" customHeight="true" outlineLevel="0" collapsed="false">
      <c r="B37" s="12"/>
      <c r="E37" s="1" t="str">
        <f aca="false">IFERROR((D37-C37)/C37,"")</f>
        <v/>
      </c>
      <c r="H37" s="1" t="str">
        <f aca="false">IFERROR((G37-F37)/F37,"")</f>
        <v/>
      </c>
      <c r="K37" s="1" t="str">
        <f aca="false">IFERROR((J37-I37)/I37,"")</f>
        <v/>
      </c>
      <c r="P37" s="1" t="str">
        <f aca="false">IFERROR((D37-N37)/N37,"")</f>
        <v/>
      </c>
      <c r="Q37" s="12"/>
      <c r="R37" s="12"/>
    </row>
    <row r="38" customFormat="false" ht="15" hidden="false" customHeight="true" outlineLevel="0" collapsed="false">
      <c r="B38" s="12"/>
      <c r="E38" s="1" t="str">
        <f aca="false">IFERROR((D38-C38)/C38,"")</f>
        <v/>
      </c>
      <c r="H38" s="1" t="str">
        <f aca="false">IFERROR((G38-F38)/F38,"")</f>
        <v/>
      </c>
      <c r="K38" s="1" t="str">
        <f aca="false">IFERROR((J38-I38)/I38,"")</f>
        <v/>
      </c>
      <c r="P38" s="1" t="str">
        <f aca="false">IFERROR((D38-N38)/N38,"")</f>
        <v/>
      </c>
      <c r="Q38" s="12"/>
      <c r="R38" s="12"/>
    </row>
    <row r="39" customFormat="false" ht="15" hidden="false" customHeight="true" outlineLevel="0" collapsed="false">
      <c r="B39" s="12"/>
      <c r="E39" s="1" t="str">
        <f aca="false">IFERROR((D39-C39)/C39,"")</f>
        <v/>
      </c>
      <c r="H39" s="1" t="str">
        <f aca="false">IFERROR((G39-F39)/F39,"")</f>
        <v/>
      </c>
      <c r="K39" s="1" t="str">
        <f aca="false">IFERROR((J39-I39)/I39,"")</f>
        <v/>
      </c>
      <c r="P39" s="1" t="str">
        <f aca="false">IFERROR((D39-N39)/N39,"")</f>
        <v/>
      </c>
      <c r="Q39" s="12"/>
      <c r="R39" s="12"/>
    </row>
    <row r="40" customFormat="false" ht="15" hidden="false" customHeight="true" outlineLevel="0" collapsed="false">
      <c r="B40" s="12"/>
      <c r="E40" s="1" t="str">
        <f aca="false">IFERROR((D40-C40)/C40,"")</f>
        <v/>
      </c>
      <c r="H40" s="1" t="str">
        <f aca="false">IFERROR((G40-F40)/F40,"")</f>
        <v/>
      </c>
      <c r="K40" s="1" t="str">
        <f aca="false">IFERROR((J40-I40)/I40,"")</f>
        <v/>
      </c>
      <c r="P40" s="1" t="str">
        <f aca="false">IFERROR((D40-N40)/N40,"")</f>
        <v/>
      </c>
      <c r="Q40" s="12"/>
      <c r="R40" s="12"/>
    </row>
    <row r="41" customFormat="false" ht="15" hidden="false" customHeight="true" outlineLevel="0" collapsed="false">
      <c r="B41" s="12"/>
      <c r="E41" s="1" t="str">
        <f aca="false">IFERROR((D41-C41)/C41,"")</f>
        <v/>
      </c>
      <c r="H41" s="1" t="str">
        <f aca="false">IFERROR((G41-F41)/F41,"")</f>
        <v/>
      </c>
      <c r="K41" s="1" t="str">
        <f aca="false">IFERROR((J41-I41)/I41,"")</f>
        <v/>
      </c>
      <c r="P41" s="1" t="str">
        <f aca="false">IFERROR((D41-N41)/N41,"")</f>
        <v/>
      </c>
      <c r="Q41" s="12"/>
      <c r="R41" s="12"/>
    </row>
    <row r="42" customFormat="false" ht="15" hidden="false" customHeight="true" outlineLevel="0" collapsed="false">
      <c r="B42" s="12"/>
      <c r="E42" s="1" t="str">
        <f aca="false">IFERROR((D42-C42)/C42,"")</f>
        <v/>
      </c>
      <c r="H42" s="1" t="str">
        <f aca="false">IFERROR((G42-F42)/F42,"")</f>
        <v/>
      </c>
      <c r="K42" s="1" t="str">
        <f aca="false">IFERROR((J42-I42)/I42,"")</f>
        <v/>
      </c>
      <c r="P42" s="1" t="str">
        <f aca="false">IFERROR((D42-N42)/N42,"")</f>
        <v/>
      </c>
      <c r="Q42" s="12"/>
      <c r="R42" s="12"/>
    </row>
    <row r="43" customFormat="false" ht="15" hidden="false" customHeight="true" outlineLevel="0" collapsed="false">
      <c r="B43" s="12"/>
      <c r="E43" s="1" t="str">
        <f aca="false">IFERROR((D43-C43)/C43,"")</f>
        <v/>
      </c>
      <c r="H43" s="1" t="str">
        <f aca="false">IFERROR((G43-F43)/F43,"")</f>
        <v/>
      </c>
      <c r="K43" s="1" t="str">
        <f aca="false">IFERROR((J43-I43)/I43,"")</f>
        <v/>
      </c>
      <c r="P43" s="1" t="str">
        <f aca="false">IFERROR((D43-N43)/N43,"")</f>
        <v/>
      </c>
      <c r="Q43" s="12"/>
      <c r="R43" s="12"/>
    </row>
    <row r="44" customFormat="false" ht="15" hidden="false" customHeight="true" outlineLevel="0" collapsed="false">
      <c r="B44" s="12"/>
      <c r="E44" s="1" t="str">
        <f aca="false">IFERROR((D44-C44)/C44,"")</f>
        <v/>
      </c>
      <c r="H44" s="1" t="str">
        <f aca="false">IFERROR((G44-F44)/F44,"")</f>
        <v/>
      </c>
      <c r="K44" s="1" t="str">
        <f aca="false">IFERROR((J44-I44)/I44,"")</f>
        <v/>
      </c>
      <c r="P44" s="1" t="str">
        <f aca="false">IFERROR((D44-N44)/N44,"")</f>
        <v/>
      </c>
      <c r="Q44" s="12"/>
      <c r="R44" s="12"/>
    </row>
    <row r="45" customFormat="false" ht="15" hidden="false" customHeight="true" outlineLevel="0" collapsed="false">
      <c r="B45" s="12"/>
      <c r="E45" s="1" t="str">
        <f aca="false">IFERROR((D45-C45)/C45,"")</f>
        <v/>
      </c>
      <c r="H45" s="1" t="str">
        <f aca="false">IFERROR((G45-F45)/F45,"")</f>
        <v/>
      </c>
      <c r="K45" s="1" t="str">
        <f aca="false">IFERROR((J45-I45)/I45,"")</f>
        <v/>
      </c>
      <c r="P45" s="1" t="str">
        <f aca="false">IFERROR((D45-N45)/N45,"")</f>
        <v/>
      </c>
      <c r="Q45" s="12"/>
      <c r="R45" s="12"/>
    </row>
    <row r="46" customFormat="false" ht="15" hidden="false" customHeight="true" outlineLevel="0" collapsed="false">
      <c r="B46" s="12"/>
      <c r="E46" s="1" t="str">
        <f aca="false">IFERROR((D46-C46)/C46,"")</f>
        <v/>
      </c>
      <c r="H46" s="1" t="str">
        <f aca="false">IFERROR((G46-F46)/F46,"")</f>
        <v/>
      </c>
      <c r="K46" s="1" t="str">
        <f aca="false">IFERROR((J46-I46)/I46,"")</f>
        <v/>
      </c>
      <c r="P46" s="1" t="str">
        <f aca="false">IFERROR((D46-N46)/N46,"")</f>
        <v/>
      </c>
      <c r="Q46" s="12"/>
      <c r="R46" s="12"/>
    </row>
    <row r="47" customFormat="false" ht="15" hidden="false" customHeight="true" outlineLevel="0" collapsed="false">
      <c r="B47" s="12"/>
      <c r="E47" s="1" t="str">
        <f aca="false">IFERROR((D47-C47)/C47,"")</f>
        <v/>
      </c>
      <c r="H47" s="1" t="str">
        <f aca="false">IFERROR((G47-F47)/F47,"")</f>
        <v/>
      </c>
      <c r="K47" s="1" t="str">
        <f aca="false">IFERROR((J47-I47)/I47,"")</f>
        <v/>
      </c>
      <c r="P47" s="1" t="str">
        <f aca="false">IFERROR((D47-N47)/N47,"")</f>
        <v/>
      </c>
      <c r="Q47" s="12"/>
      <c r="R47" s="12"/>
    </row>
    <row r="48" customFormat="false" ht="15" hidden="false" customHeight="true" outlineLevel="0" collapsed="false">
      <c r="B48" s="12"/>
      <c r="E48" s="1" t="str">
        <f aca="false">IFERROR((D48-C48)/C48,"")</f>
        <v/>
      </c>
      <c r="H48" s="1" t="str">
        <f aca="false">IFERROR((G48-F48)/F48,"")</f>
        <v/>
      </c>
      <c r="K48" s="1" t="str">
        <f aca="false">IFERROR((J48-I48)/I48,"")</f>
        <v/>
      </c>
      <c r="P48" s="1" t="str">
        <f aca="false">IFERROR((D48-N48)/N48,"")</f>
        <v/>
      </c>
      <c r="Q48" s="12"/>
      <c r="R48" s="12"/>
    </row>
    <row r="49" customFormat="false" ht="15" hidden="false" customHeight="true" outlineLevel="0" collapsed="false">
      <c r="B49" s="12"/>
      <c r="E49" s="1" t="str">
        <f aca="false">IFERROR((D49-C49)/C49,"")</f>
        <v/>
      </c>
      <c r="H49" s="1" t="str">
        <f aca="false">IFERROR((G49-F49)/F49,"")</f>
        <v/>
      </c>
      <c r="K49" s="1" t="str">
        <f aca="false">IFERROR((J49-I49)/I49,"")</f>
        <v/>
      </c>
      <c r="P49" s="1" t="str">
        <f aca="false">IFERROR((D49-N49)/N49,"")</f>
        <v/>
      </c>
      <c r="Q49" s="12"/>
      <c r="R49" s="12"/>
    </row>
    <row r="50" customFormat="false" ht="15" hidden="false" customHeight="true" outlineLevel="0" collapsed="false">
      <c r="B50" s="12"/>
      <c r="E50" s="1" t="str">
        <f aca="false">IFERROR((D50-C50)/C50,"")</f>
        <v/>
      </c>
      <c r="H50" s="1" t="str">
        <f aca="false">IFERROR((G50-F50)/F50,"")</f>
        <v/>
      </c>
      <c r="K50" s="1" t="str">
        <f aca="false">IFERROR((J50-I50)/I50,"")</f>
        <v/>
      </c>
      <c r="P50" s="1" t="str">
        <f aca="false">IFERROR((D50-N50)/N50,"")</f>
        <v/>
      </c>
      <c r="Q50" s="12"/>
      <c r="R50" s="12"/>
    </row>
    <row r="51" customFormat="false" ht="15" hidden="false" customHeight="true" outlineLevel="0" collapsed="false">
      <c r="B51" s="12"/>
      <c r="E51" s="1" t="str">
        <f aca="false">IFERROR((D51-C51)/C51,"")</f>
        <v/>
      </c>
      <c r="H51" s="1" t="str">
        <f aca="false">IFERROR((G51-F51)/F51,"")</f>
        <v/>
      </c>
      <c r="K51" s="1" t="str">
        <f aca="false">IFERROR((J51-I51)/I51,"")</f>
        <v/>
      </c>
      <c r="P51" s="1" t="str">
        <f aca="false">IFERROR((D51-N51)/N51,"")</f>
        <v/>
      </c>
      <c r="Q51" s="12"/>
      <c r="R51" s="12"/>
    </row>
    <row r="52" customFormat="false" ht="15" hidden="false" customHeight="true" outlineLevel="0" collapsed="false">
      <c r="B52" s="12"/>
      <c r="E52" s="1" t="str">
        <f aca="false">IFERROR((D52-C52)/C52,"")</f>
        <v/>
      </c>
      <c r="H52" s="1" t="str">
        <f aca="false">IFERROR((G52-F52)/F52,"")</f>
        <v/>
      </c>
      <c r="K52" s="1" t="str">
        <f aca="false">IFERROR((J52-I52)/I52,"")</f>
        <v/>
      </c>
      <c r="P52" s="1" t="str">
        <f aca="false">IFERROR((D52-N52)/N52,"")</f>
        <v/>
      </c>
      <c r="Q52" s="12"/>
      <c r="R52" s="12"/>
    </row>
    <row r="53" customFormat="false" ht="15" hidden="false" customHeight="true" outlineLevel="0" collapsed="false">
      <c r="B53" s="12"/>
      <c r="E53" s="1" t="str">
        <f aca="false">IFERROR((D53-C53)/C53,"")</f>
        <v/>
      </c>
      <c r="H53" s="1" t="str">
        <f aca="false">IFERROR((G53-F53)/F53,"")</f>
        <v/>
      </c>
      <c r="K53" s="1" t="str">
        <f aca="false">IFERROR((J53-I53)/I53,"")</f>
        <v/>
      </c>
      <c r="P53" s="1" t="str">
        <f aca="false">IFERROR((D53-N53)/N53,"")</f>
        <v/>
      </c>
      <c r="Q53" s="12"/>
      <c r="R53" s="12"/>
    </row>
    <row r="54" customFormat="false" ht="15" hidden="false" customHeight="true" outlineLevel="0" collapsed="false">
      <c r="B54" s="12"/>
      <c r="E54" s="1" t="str">
        <f aca="false">IFERROR((D54-C54)/C54,"")</f>
        <v/>
      </c>
      <c r="H54" s="1" t="str">
        <f aca="false">IFERROR((G54-F54)/F54,"")</f>
        <v/>
      </c>
      <c r="K54" s="1" t="str">
        <f aca="false">IFERROR((J54-I54)/I54,"")</f>
        <v/>
      </c>
      <c r="P54" s="1" t="str">
        <f aca="false">IFERROR((D54-N54)/N54,"")</f>
        <v/>
      </c>
      <c r="Q54" s="12"/>
      <c r="R54" s="12"/>
    </row>
    <row r="55" customFormat="false" ht="15" hidden="false" customHeight="true" outlineLevel="0" collapsed="false">
      <c r="B55" s="12"/>
      <c r="E55" s="1" t="str">
        <f aca="false">IFERROR((D55-C55)/C55,"")</f>
        <v/>
      </c>
      <c r="H55" s="1" t="str">
        <f aca="false">IFERROR((G55-F55)/F55,"")</f>
        <v/>
      </c>
      <c r="K55" s="1" t="str">
        <f aca="false">IFERROR((J55-I55)/I55,"")</f>
        <v/>
      </c>
      <c r="P55" s="1" t="str">
        <f aca="false">IFERROR((D55-N55)/N55,"")</f>
        <v/>
      </c>
      <c r="Q55" s="12"/>
      <c r="R55" s="12"/>
    </row>
    <row r="56" customFormat="false" ht="15" hidden="false" customHeight="true" outlineLevel="0" collapsed="false">
      <c r="B56" s="12"/>
      <c r="E56" s="1" t="str">
        <f aca="false">IFERROR((D56-C56)/C56,"")</f>
        <v/>
      </c>
      <c r="H56" s="1" t="str">
        <f aca="false">IFERROR((G56-F56)/F56,"")</f>
        <v/>
      </c>
      <c r="K56" s="1" t="str">
        <f aca="false">IFERROR((J56-I56)/I56,"")</f>
        <v/>
      </c>
      <c r="P56" s="1" t="str">
        <f aca="false">IFERROR((D56-N56)/N56,"")</f>
        <v/>
      </c>
      <c r="Q56" s="12"/>
      <c r="R56" s="12"/>
    </row>
    <row r="57" customFormat="false" ht="15" hidden="false" customHeight="true" outlineLevel="0" collapsed="false">
      <c r="B57" s="12"/>
      <c r="E57" s="1" t="str">
        <f aca="false">IFERROR((D57-C57)/C57,"")</f>
        <v/>
      </c>
      <c r="H57" s="1" t="str">
        <f aca="false">IFERROR((G57-F57)/F57,"")</f>
        <v/>
      </c>
      <c r="K57" s="1" t="str">
        <f aca="false">IFERROR((J57-I57)/I57,"")</f>
        <v/>
      </c>
      <c r="P57" s="1" t="str">
        <f aca="false">IFERROR((D57-N57)/N57,"")</f>
        <v/>
      </c>
      <c r="Q57" s="12"/>
      <c r="R57" s="12"/>
    </row>
    <row r="58" customFormat="false" ht="15" hidden="false" customHeight="true" outlineLevel="0" collapsed="false">
      <c r="B58" s="12"/>
      <c r="E58" s="1" t="str">
        <f aca="false">IFERROR((D58-C58)/C58,"")</f>
        <v/>
      </c>
      <c r="H58" s="1" t="str">
        <f aca="false">IFERROR((G58-F58)/F58,"")</f>
        <v/>
      </c>
      <c r="K58" s="1" t="str">
        <f aca="false">IFERROR((J58-I58)/I58,"")</f>
        <v/>
      </c>
      <c r="P58" s="1" t="str">
        <f aca="false">IFERROR((D58-N58)/N58,"")</f>
        <v/>
      </c>
      <c r="Q58" s="12"/>
      <c r="R58" s="12"/>
    </row>
    <row r="59" customFormat="false" ht="15" hidden="false" customHeight="true" outlineLevel="0" collapsed="false">
      <c r="B59" s="12"/>
      <c r="E59" s="1" t="str">
        <f aca="false">IFERROR((D59-C59)/C59,"")</f>
        <v/>
      </c>
      <c r="H59" s="1" t="str">
        <f aca="false">IFERROR((G59-F59)/F59,"")</f>
        <v/>
      </c>
      <c r="K59" s="1" t="str">
        <f aca="false">IFERROR((J59-I59)/I59,"")</f>
        <v/>
      </c>
      <c r="P59" s="1" t="str">
        <f aca="false">IFERROR((D59-N59)/N59,"")</f>
        <v/>
      </c>
      <c r="Q59" s="12"/>
      <c r="R59" s="12"/>
    </row>
    <row r="60" customFormat="false" ht="15" hidden="false" customHeight="true" outlineLevel="0" collapsed="false">
      <c r="B60" s="12"/>
      <c r="E60" s="1" t="str">
        <f aca="false">IFERROR((D60-C60)/C60,"")</f>
        <v/>
      </c>
      <c r="H60" s="1" t="str">
        <f aca="false">IFERROR((G60-F60)/F60,"")</f>
        <v/>
      </c>
      <c r="K60" s="1" t="str">
        <f aca="false">IFERROR((J60-I60)/I60,"")</f>
        <v/>
      </c>
      <c r="P60" s="1" t="str">
        <f aca="false">IFERROR((D60-N60)/N60,"")</f>
        <v/>
      </c>
      <c r="Q60" s="12"/>
      <c r="R60" s="12"/>
    </row>
    <row r="61" customFormat="false" ht="15" hidden="false" customHeight="true" outlineLevel="0" collapsed="false">
      <c r="B61" s="12"/>
      <c r="E61" s="1" t="str">
        <f aca="false">IFERROR((D61-C61)/C61,"")</f>
        <v/>
      </c>
      <c r="H61" s="1" t="str">
        <f aca="false">IFERROR((G61-F61)/F61,"")</f>
        <v/>
      </c>
      <c r="K61" s="1" t="str">
        <f aca="false">IFERROR((J61-I61)/I61,"")</f>
        <v/>
      </c>
      <c r="P61" s="1" t="str">
        <f aca="false">IFERROR((D61-N61)/N61,"")</f>
        <v/>
      </c>
      <c r="Q61" s="12"/>
      <c r="R61" s="12"/>
    </row>
    <row r="62" customFormat="false" ht="15" hidden="false" customHeight="true" outlineLevel="0" collapsed="false">
      <c r="B62" s="12"/>
      <c r="E62" s="1" t="str">
        <f aca="false">IFERROR((D62-C62)/C62,"")</f>
        <v/>
      </c>
      <c r="H62" s="1" t="str">
        <f aca="false">IFERROR((G62-F62)/F62,"")</f>
        <v/>
      </c>
      <c r="K62" s="1" t="str">
        <f aca="false">IFERROR((J62-I62)/I62,"")</f>
        <v/>
      </c>
      <c r="P62" s="1" t="str">
        <f aca="false">IFERROR((D62-N62)/N62,"")</f>
        <v/>
      </c>
      <c r="Q62" s="12"/>
      <c r="R62" s="12"/>
    </row>
    <row r="63" customFormat="false" ht="15" hidden="false" customHeight="true" outlineLevel="0" collapsed="false">
      <c r="B63" s="12"/>
      <c r="E63" s="1" t="str">
        <f aca="false">IFERROR((D63-C63)/C63,"")</f>
        <v/>
      </c>
      <c r="H63" s="1" t="str">
        <f aca="false">IFERROR((G63-F63)/F63,"")</f>
        <v/>
      </c>
      <c r="K63" s="1" t="str">
        <f aca="false">IFERROR((J63-I63)/I63,"")</f>
        <v/>
      </c>
      <c r="P63" s="1" t="str">
        <f aca="false">IFERROR((D63-N63)/N63,"")</f>
        <v/>
      </c>
      <c r="Q63" s="12"/>
      <c r="R63" s="12"/>
    </row>
    <row r="64" customFormat="false" ht="15" hidden="false" customHeight="true" outlineLevel="0" collapsed="false">
      <c r="B64" s="12"/>
      <c r="E64" s="1" t="str">
        <f aca="false">IFERROR((D64-C64)/C64,"")</f>
        <v/>
      </c>
      <c r="H64" s="1" t="str">
        <f aca="false">IFERROR((G64-F64)/F64,"")</f>
        <v/>
      </c>
      <c r="K64" s="1" t="str">
        <f aca="false">IFERROR((J64-I64)/I64,"")</f>
        <v/>
      </c>
      <c r="P64" s="1" t="str">
        <f aca="false">IFERROR((D64-N64)/N64,"")</f>
        <v/>
      </c>
      <c r="Q64" s="12"/>
      <c r="R64" s="12"/>
    </row>
    <row r="65" customFormat="false" ht="15" hidden="false" customHeight="true" outlineLevel="0" collapsed="false">
      <c r="B65" s="12"/>
      <c r="E65" s="1" t="str">
        <f aca="false">IFERROR((D65-C65)/C65,"")</f>
        <v/>
      </c>
      <c r="H65" s="1" t="str">
        <f aca="false">IFERROR((G65-F65)/F65,"")</f>
        <v/>
      </c>
      <c r="K65" s="1" t="str">
        <f aca="false">IFERROR((J65-I65)/I65,"")</f>
        <v/>
      </c>
      <c r="P65" s="1" t="str">
        <f aca="false">IFERROR((D65-N65)/N65,"")</f>
        <v/>
      </c>
      <c r="Q65" s="12"/>
      <c r="R65" s="12"/>
    </row>
    <row r="66" customFormat="false" ht="15" hidden="false" customHeight="true" outlineLevel="0" collapsed="false">
      <c r="B66" s="12"/>
      <c r="E66" s="1" t="str">
        <f aca="false">IFERROR((D66-C66)/C66,"")</f>
        <v/>
      </c>
      <c r="H66" s="1" t="str">
        <f aca="false">IFERROR((G66-F66)/F66,"")</f>
        <v/>
      </c>
      <c r="K66" s="1" t="str">
        <f aca="false">IFERROR((J66-I66)/I66,"")</f>
        <v/>
      </c>
      <c r="P66" s="1" t="str">
        <f aca="false">IFERROR((D66-N66)/N66,"")</f>
        <v/>
      </c>
      <c r="Q66" s="12"/>
      <c r="R66" s="12"/>
    </row>
    <row r="67" customFormat="false" ht="15" hidden="false" customHeight="true" outlineLevel="0" collapsed="false">
      <c r="B67" s="12"/>
      <c r="E67" s="1" t="str">
        <f aca="false">IFERROR((D67-C67)/C67,"")</f>
        <v/>
      </c>
      <c r="H67" s="1" t="str">
        <f aca="false">IFERROR((G67-F67)/F67,"")</f>
        <v/>
      </c>
      <c r="K67" s="1" t="str">
        <f aca="false">IFERROR((J67-I67)/I67,"")</f>
        <v/>
      </c>
      <c r="P67" s="1" t="str">
        <f aca="false">IFERROR((D67-N67)/N67,"")</f>
        <v/>
      </c>
      <c r="Q67" s="12"/>
      <c r="R67" s="12"/>
    </row>
    <row r="68" customFormat="false" ht="15" hidden="false" customHeight="true" outlineLevel="0" collapsed="false">
      <c r="B68" s="12"/>
      <c r="E68" s="1" t="str">
        <f aca="false">IFERROR((D68-C68)/C68,"")</f>
        <v/>
      </c>
      <c r="H68" s="1" t="str">
        <f aca="false">IFERROR((G68-F68)/F68,"")</f>
        <v/>
      </c>
      <c r="K68" s="1" t="str">
        <f aca="false">IFERROR((J68-I68)/I68,"")</f>
        <v/>
      </c>
      <c r="P68" s="1" t="str">
        <f aca="false">IFERROR((D68-N68)/N68,"")</f>
        <v/>
      </c>
      <c r="Q68" s="12"/>
      <c r="R68" s="12"/>
    </row>
    <row r="69" customFormat="false" ht="15" hidden="false" customHeight="true" outlineLevel="0" collapsed="false">
      <c r="B69" s="12"/>
      <c r="E69" s="1" t="str">
        <f aca="false">IFERROR((D69-C69)/C69,"")</f>
        <v/>
      </c>
      <c r="H69" s="1" t="str">
        <f aca="false">IFERROR((G69-F69)/F69,"")</f>
        <v/>
      </c>
      <c r="K69" s="1" t="str">
        <f aca="false">IFERROR((J69-I69)/I69,"")</f>
        <v/>
      </c>
      <c r="P69" s="1" t="str">
        <f aca="false">IFERROR((D69-N69)/N69,"")</f>
        <v/>
      </c>
      <c r="Q69" s="12"/>
      <c r="R69" s="12"/>
    </row>
    <row r="70" customFormat="false" ht="15" hidden="false" customHeight="true" outlineLevel="0" collapsed="false">
      <c r="B70" s="12"/>
      <c r="E70" s="1" t="str">
        <f aca="false">IFERROR((D70-C70)/C70,"")</f>
        <v/>
      </c>
      <c r="H70" s="1" t="str">
        <f aca="false">IFERROR((G70-F70)/F70,"")</f>
        <v/>
      </c>
      <c r="K70" s="1" t="str">
        <f aca="false">IFERROR((J70-I70)/I70,"")</f>
        <v/>
      </c>
      <c r="P70" s="1" t="str">
        <f aca="false">IFERROR((D70-N70)/N70,"")</f>
        <v/>
      </c>
      <c r="Q70" s="12"/>
      <c r="R70" s="12"/>
    </row>
    <row r="71" customFormat="false" ht="15" hidden="false" customHeight="true" outlineLevel="0" collapsed="false">
      <c r="B71" s="12"/>
      <c r="E71" s="1" t="str">
        <f aca="false">IFERROR((D71-C71)/C71,"")</f>
        <v/>
      </c>
      <c r="H71" s="1" t="str">
        <f aca="false">IFERROR((G71-F71)/F71,"")</f>
        <v/>
      </c>
      <c r="K71" s="1" t="str">
        <f aca="false">IFERROR((J71-I71)/I71,"")</f>
        <v/>
      </c>
      <c r="P71" s="1" t="str">
        <f aca="false">IFERROR((D71-N71)/N71,"")</f>
        <v/>
      </c>
      <c r="Q71" s="12"/>
      <c r="R71" s="12"/>
    </row>
    <row r="72" customFormat="false" ht="15" hidden="false" customHeight="true" outlineLevel="0" collapsed="false">
      <c r="B72" s="12"/>
      <c r="E72" s="1" t="str">
        <f aca="false">IFERROR((D72-C72)/C72,"")</f>
        <v/>
      </c>
      <c r="H72" s="1" t="str">
        <f aca="false">IFERROR((G72-F72)/F72,"")</f>
        <v/>
      </c>
      <c r="K72" s="1" t="str">
        <f aca="false">IFERROR((J72-I72)/I72,"")</f>
        <v/>
      </c>
      <c r="P72" s="1" t="str">
        <f aca="false">IFERROR((D72-N72)/N72,"")</f>
        <v/>
      </c>
      <c r="Q72" s="12"/>
      <c r="R72" s="12"/>
    </row>
    <row r="73" customFormat="false" ht="15" hidden="false" customHeight="true" outlineLevel="0" collapsed="false">
      <c r="B73" s="12"/>
      <c r="E73" s="1" t="str">
        <f aca="false">IFERROR((D73-C73)/C73,"")</f>
        <v/>
      </c>
      <c r="H73" s="1" t="str">
        <f aca="false">IFERROR((G73-F73)/F73,"")</f>
        <v/>
      </c>
      <c r="K73" s="1" t="str">
        <f aca="false">IFERROR((J73-I73)/I73,"")</f>
        <v/>
      </c>
      <c r="P73" s="1" t="str">
        <f aca="false">IFERROR((D73-N73)/N73,"")</f>
        <v/>
      </c>
      <c r="Q73" s="12"/>
      <c r="R73" s="12"/>
    </row>
    <row r="74" customFormat="false" ht="15" hidden="false" customHeight="true" outlineLevel="0" collapsed="false">
      <c r="B74" s="12"/>
      <c r="E74" s="1" t="str">
        <f aca="false">IFERROR((D74-C74)/C74,"")</f>
        <v/>
      </c>
      <c r="H74" s="1" t="str">
        <f aca="false">IFERROR((G74-F74)/F74,"")</f>
        <v/>
      </c>
      <c r="K74" s="1" t="str">
        <f aca="false">IFERROR((J74-I74)/I74,"")</f>
        <v/>
      </c>
      <c r="P74" s="1" t="str">
        <f aca="false">IFERROR((D74-N74)/N74,"")</f>
        <v/>
      </c>
      <c r="Q74" s="12"/>
      <c r="R74" s="12"/>
    </row>
    <row r="75" customFormat="false" ht="15" hidden="false" customHeight="true" outlineLevel="0" collapsed="false">
      <c r="B75" s="12"/>
      <c r="E75" s="1" t="str">
        <f aca="false">IFERROR((D75-C75)/C75,"")</f>
        <v/>
      </c>
      <c r="H75" s="1" t="str">
        <f aca="false">IFERROR((G75-F75)/F75,"")</f>
        <v/>
      </c>
      <c r="K75" s="1" t="str">
        <f aca="false">IFERROR((J75-I75)/I75,"")</f>
        <v/>
      </c>
      <c r="P75" s="1" t="str">
        <f aca="false">IFERROR((D75-N75)/N75,"")</f>
        <v/>
      </c>
      <c r="Q75" s="12"/>
      <c r="R75" s="12"/>
    </row>
    <row r="76" customFormat="false" ht="15" hidden="false" customHeight="true" outlineLevel="0" collapsed="false">
      <c r="B76" s="12"/>
      <c r="E76" s="1" t="str">
        <f aca="false">IFERROR((D76-C76)/C76,"")</f>
        <v/>
      </c>
      <c r="H76" s="1" t="str">
        <f aca="false">IFERROR((G76-F76)/F76,"")</f>
        <v/>
      </c>
      <c r="K76" s="1" t="str">
        <f aca="false">IFERROR((J76-I76)/I76,"")</f>
        <v/>
      </c>
      <c r="P76" s="1" t="str">
        <f aca="false">IFERROR((D76-N76)/N76,"")</f>
        <v/>
      </c>
      <c r="Q76" s="12"/>
      <c r="R76" s="12"/>
    </row>
    <row r="77" customFormat="false" ht="15" hidden="false" customHeight="true" outlineLevel="0" collapsed="false">
      <c r="B77" s="12"/>
      <c r="E77" s="1" t="str">
        <f aca="false">IFERROR((D77-C77)/C77,"")</f>
        <v/>
      </c>
      <c r="H77" s="1" t="str">
        <f aca="false">IFERROR((G77-F77)/F77,"")</f>
        <v/>
      </c>
      <c r="K77" s="1" t="str">
        <f aca="false">IFERROR((J77-I77)/I77,"")</f>
        <v/>
      </c>
      <c r="P77" s="1" t="str">
        <f aca="false">IFERROR((D77-N77)/N77,"")</f>
        <v/>
      </c>
      <c r="Q77" s="12"/>
      <c r="R77" s="12"/>
    </row>
    <row r="78" customFormat="false" ht="15" hidden="false" customHeight="true" outlineLevel="0" collapsed="false">
      <c r="B78" s="12"/>
      <c r="E78" s="1" t="str">
        <f aca="false">IFERROR((D78-C78)/C78,"")</f>
        <v/>
      </c>
      <c r="H78" s="1" t="str">
        <f aca="false">IFERROR((G78-F78)/F78,"")</f>
        <v/>
      </c>
      <c r="K78" s="1" t="str">
        <f aca="false">IFERROR((J78-I78)/I78,"")</f>
        <v/>
      </c>
      <c r="P78" s="1" t="str">
        <f aca="false">IFERROR((D78-N78)/N78,"")</f>
        <v/>
      </c>
      <c r="Q78" s="12"/>
      <c r="R78" s="12"/>
    </row>
    <row r="79" customFormat="false" ht="15" hidden="false" customHeight="true" outlineLevel="0" collapsed="false">
      <c r="B79" s="12"/>
      <c r="E79" s="1" t="str">
        <f aca="false">IFERROR((D79-C79)/C79,"")</f>
        <v/>
      </c>
      <c r="H79" s="1" t="str">
        <f aca="false">IFERROR((G79-F79)/F79,"")</f>
        <v/>
      </c>
      <c r="K79" s="1" t="str">
        <f aca="false">IFERROR((J79-I79)/I79,"")</f>
        <v/>
      </c>
      <c r="P79" s="1" t="str">
        <f aca="false">IFERROR((D79-N79)/N79,"")</f>
        <v/>
      </c>
      <c r="Q79" s="12"/>
      <c r="R79" s="12"/>
    </row>
    <row r="80" customFormat="false" ht="15" hidden="false" customHeight="true" outlineLevel="0" collapsed="false">
      <c r="B80" s="12"/>
      <c r="E80" s="1" t="str">
        <f aca="false">IFERROR((D80-C80)/C80,"")</f>
        <v/>
      </c>
      <c r="H80" s="1" t="str">
        <f aca="false">IFERROR((G80-F80)/F80,"")</f>
        <v/>
      </c>
      <c r="K80" s="1" t="str">
        <f aca="false">IFERROR((J80-I80)/I80,"")</f>
        <v/>
      </c>
      <c r="P80" s="1" t="str">
        <f aca="false">IFERROR((D80-N80)/N80,"")</f>
        <v/>
      </c>
      <c r="Q80" s="12"/>
      <c r="R80" s="12"/>
    </row>
    <row r="81" customFormat="false" ht="15" hidden="false" customHeight="true" outlineLevel="0" collapsed="false">
      <c r="B81" s="12"/>
      <c r="E81" s="1" t="str">
        <f aca="false">IFERROR((D81-C81)/C81,"")</f>
        <v/>
      </c>
      <c r="H81" s="1" t="str">
        <f aca="false">IFERROR((G81-F81)/F81,"")</f>
        <v/>
      </c>
      <c r="K81" s="1" t="str">
        <f aca="false">IFERROR((J81-I81)/I81,"")</f>
        <v/>
      </c>
      <c r="P81" s="1" t="str">
        <f aca="false">IFERROR((D81-N81)/N81,"")</f>
        <v/>
      </c>
      <c r="Q81" s="12"/>
      <c r="R81" s="12"/>
    </row>
    <row r="82" customFormat="false" ht="15" hidden="false" customHeight="true" outlineLevel="0" collapsed="false">
      <c r="B82" s="12"/>
      <c r="E82" s="1" t="str">
        <f aca="false">IFERROR((D82-C82)/C82,"")</f>
        <v/>
      </c>
      <c r="H82" s="1" t="str">
        <f aca="false">IFERROR((G82-F82)/F82,"")</f>
        <v/>
      </c>
      <c r="K82" s="1" t="str">
        <f aca="false">IFERROR((J82-I82)/I82,"")</f>
        <v/>
      </c>
      <c r="P82" s="1" t="str">
        <f aca="false">IFERROR((D82-N82)/N82,"")</f>
        <v/>
      </c>
      <c r="Q82" s="12"/>
      <c r="R82" s="12"/>
    </row>
    <row r="83" customFormat="false" ht="15" hidden="false" customHeight="true" outlineLevel="0" collapsed="false">
      <c r="B83" s="12"/>
      <c r="E83" s="1" t="str">
        <f aca="false">IFERROR((D83-C83)/C83,"")</f>
        <v/>
      </c>
      <c r="H83" s="1" t="str">
        <f aca="false">IFERROR((G83-F83)/F83,"")</f>
        <v/>
      </c>
      <c r="K83" s="1" t="str">
        <f aca="false">IFERROR((J83-I83)/I83,"")</f>
        <v/>
      </c>
      <c r="P83" s="1" t="str">
        <f aca="false">IFERROR((D83-N83)/N83,"")</f>
        <v/>
      </c>
      <c r="Q83" s="12"/>
      <c r="R83" s="12"/>
    </row>
    <row r="84" customFormat="false" ht="15" hidden="false" customHeight="true" outlineLevel="0" collapsed="false">
      <c r="B84" s="12"/>
      <c r="E84" s="1" t="str">
        <f aca="false">IFERROR((D84-C84)/C84,"")</f>
        <v/>
      </c>
      <c r="H84" s="1" t="str">
        <f aca="false">IFERROR((G84-F84)/F84,"")</f>
        <v/>
      </c>
      <c r="K84" s="1" t="str">
        <f aca="false">IFERROR((J84-I84)/I84,"")</f>
        <v/>
      </c>
      <c r="P84" s="1" t="str">
        <f aca="false">IFERROR((D84-N84)/N84,"")</f>
        <v/>
      </c>
      <c r="Q84" s="12"/>
      <c r="R84" s="12"/>
    </row>
    <row r="85" customFormat="false" ht="15" hidden="false" customHeight="true" outlineLevel="0" collapsed="false">
      <c r="B85" s="12"/>
      <c r="E85" s="1" t="str">
        <f aca="false">IFERROR((D85-C85)/C85,"")</f>
        <v/>
      </c>
      <c r="H85" s="1" t="str">
        <f aca="false">IFERROR((G85-F85)/F85,"")</f>
        <v/>
      </c>
      <c r="K85" s="1" t="str">
        <f aca="false">IFERROR((J85-I85)/I85,"")</f>
        <v/>
      </c>
      <c r="P85" s="1" t="str">
        <f aca="false">IFERROR((D85-N85)/N85,"")</f>
        <v/>
      </c>
      <c r="Q85" s="12"/>
      <c r="R85" s="12"/>
    </row>
    <row r="86" customFormat="false" ht="15" hidden="false" customHeight="true" outlineLevel="0" collapsed="false">
      <c r="B86" s="12"/>
      <c r="E86" s="1" t="str">
        <f aca="false">IFERROR((D86-C86)/C86,"")</f>
        <v/>
      </c>
      <c r="H86" s="1" t="str">
        <f aca="false">IFERROR((G86-F86)/F86,"")</f>
        <v/>
      </c>
      <c r="K86" s="1" t="str">
        <f aca="false">IFERROR((J86-I86)/I86,"")</f>
        <v/>
      </c>
      <c r="P86" s="1" t="str">
        <f aca="false">IFERROR((D86-N86)/N86,"")</f>
        <v/>
      </c>
      <c r="Q86" s="12"/>
      <c r="R86" s="12"/>
    </row>
    <row r="87" customFormat="false" ht="15" hidden="false" customHeight="true" outlineLevel="0" collapsed="false">
      <c r="B87" s="12"/>
      <c r="E87" s="1" t="str">
        <f aca="false">IFERROR((D87-C87)/C87,"")</f>
        <v/>
      </c>
      <c r="H87" s="1" t="str">
        <f aca="false">IFERROR((G87-F87)/F87,"")</f>
        <v/>
      </c>
      <c r="K87" s="1" t="str">
        <f aca="false">IFERROR((J87-I87)/I87,"")</f>
        <v/>
      </c>
      <c r="P87" s="1" t="str">
        <f aca="false">IFERROR((D87-N87)/N87,"")</f>
        <v/>
      </c>
      <c r="Q87" s="12"/>
      <c r="R87" s="12"/>
    </row>
    <row r="88" customFormat="false" ht="15" hidden="false" customHeight="true" outlineLevel="0" collapsed="false">
      <c r="B88" s="12"/>
      <c r="E88" s="1" t="str">
        <f aca="false">IFERROR((D88-C88)/C88,"")</f>
        <v/>
      </c>
      <c r="H88" s="1" t="str">
        <f aca="false">IFERROR((G88-F88)/F88,"")</f>
        <v/>
      </c>
      <c r="K88" s="1" t="str">
        <f aca="false">IFERROR((J88-I88)/I88,"")</f>
        <v/>
      </c>
      <c r="P88" s="1" t="str">
        <f aca="false">IFERROR((D88-N88)/N88,"")</f>
        <v/>
      </c>
      <c r="Q88" s="12"/>
      <c r="R88" s="12"/>
    </row>
    <row r="89" customFormat="false" ht="15" hidden="false" customHeight="true" outlineLevel="0" collapsed="false">
      <c r="B89" s="12"/>
      <c r="E89" s="1" t="str">
        <f aca="false">IFERROR((D89-C89)/C89,"")</f>
        <v/>
      </c>
      <c r="H89" s="1" t="str">
        <f aca="false">IFERROR((G89-F89)/F89,"")</f>
        <v/>
      </c>
      <c r="K89" s="1" t="str">
        <f aca="false">IFERROR((J89-I89)/I89,"")</f>
        <v/>
      </c>
      <c r="P89" s="1" t="str">
        <f aca="false">IFERROR((D89-N89)/N89,"")</f>
        <v/>
      </c>
      <c r="Q89" s="12"/>
      <c r="R89" s="12"/>
    </row>
    <row r="90" customFormat="false" ht="15" hidden="false" customHeight="true" outlineLevel="0" collapsed="false">
      <c r="B90" s="12"/>
      <c r="E90" s="1" t="str">
        <f aca="false">IFERROR((D90-C90)/C90,"")</f>
        <v/>
      </c>
      <c r="H90" s="1" t="str">
        <f aca="false">IFERROR((G90-F90)/F90,"")</f>
        <v/>
      </c>
      <c r="K90" s="1" t="str">
        <f aca="false">IFERROR((J90-I90)/I90,"")</f>
        <v/>
      </c>
      <c r="P90" s="1" t="str">
        <f aca="false">IFERROR((D90-N90)/N90,"")</f>
        <v/>
      </c>
      <c r="Q90" s="12"/>
      <c r="R90" s="12"/>
    </row>
    <row r="91" customFormat="false" ht="15" hidden="false" customHeight="true" outlineLevel="0" collapsed="false">
      <c r="B91" s="12"/>
      <c r="E91" s="1" t="str">
        <f aca="false">IFERROR((D91-C91)/C91,"")</f>
        <v/>
      </c>
      <c r="H91" s="1" t="str">
        <f aca="false">IFERROR((G91-F91)/F91,"")</f>
        <v/>
      </c>
      <c r="K91" s="1" t="str">
        <f aca="false">IFERROR((J91-I91)/I91,"")</f>
        <v/>
      </c>
      <c r="P91" s="1" t="str">
        <f aca="false">IFERROR((D91-N91)/N91,"")</f>
        <v/>
      </c>
      <c r="Q91" s="12"/>
      <c r="R91" s="12"/>
    </row>
    <row r="92" customFormat="false" ht="15" hidden="false" customHeight="true" outlineLevel="0" collapsed="false">
      <c r="B92" s="12"/>
      <c r="E92" s="1" t="str">
        <f aca="false">IFERROR((D92-C92)/C92,"")</f>
        <v/>
      </c>
      <c r="H92" s="1" t="str">
        <f aca="false">IFERROR((G92-F92)/F92,"")</f>
        <v/>
      </c>
      <c r="K92" s="1" t="str">
        <f aca="false">IFERROR((J92-I92)/I92,"")</f>
        <v/>
      </c>
      <c r="P92" s="1" t="str">
        <f aca="false">IFERROR((D92-N92)/N92,"")</f>
        <v/>
      </c>
      <c r="Q92" s="12"/>
      <c r="R92" s="12"/>
    </row>
    <row r="93" customFormat="false" ht="15" hidden="false" customHeight="true" outlineLevel="0" collapsed="false">
      <c r="B93" s="12"/>
      <c r="E93" s="1" t="str">
        <f aca="false">IFERROR((D93-C93)/C93,"")</f>
        <v/>
      </c>
      <c r="H93" s="1" t="str">
        <f aca="false">IFERROR((G93-F93)/F93,"")</f>
        <v/>
      </c>
      <c r="K93" s="1" t="str">
        <f aca="false">IFERROR((J93-I93)/I93,"")</f>
        <v/>
      </c>
      <c r="P93" s="1" t="str">
        <f aca="false">IFERROR((D93-N93)/N93,"")</f>
        <v/>
      </c>
      <c r="Q93" s="12"/>
      <c r="R93" s="12"/>
    </row>
    <row r="94" customFormat="false" ht="15" hidden="false" customHeight="true" outlineLevel="0" collapsed="false">
      <c r="B94" s="12"/>
      <c r="E94" s="1" t="str">
        <f aca="false">IFERROR((D94-C94)/C94,"")</f>
        <v/>
      </c>
      <c r="H94" s="1" t="str">
        <f aca="false">IFERROR((G94-F94)/F94,"")</f>
        <v/>
      </c>
      <c r="K94" s="1" t="str">
        <f aca="false">IFERROR((J94-I94)/I94,"")</f>
        <v/>
      </c>
      <c r="P94" s="1" t="str">
        <f aca="false">IFERROR((D94-N94)/N94,"")</f>
        <v/>
      </c>
      <c r="Q94" s="12"/>
      <c r="R94" s="12"/>
    </row>
    <row r="95" customFormat="false" ht="15" hidden="false" customHeight="true" outlineLevel="0" collapsed="false">
      <c r="B95" s="12"/>
      <c r="E95" s="1" t="str">
        <f aca="false">IFERROR((D95-C95)/C95,"")</f>
        <v/>
      </c>
      <c r="H95" s="1" t="str">
        <f aca="false">IFERROR((G95-F95)/F95,"")</f>
        <v/>
      </c>
      <c r="K95" s="1" t="str">
        <f aca="false">IFERROR((J95-I95)/I95,"")</f>
        <v/>
      </c>
      <c r="P95" s="1" t="str">
        <f aca="false">IFERROR((D95-N95)/N95,"")</f>
        <v/>
      </c>
      <c r="Q95" s="12"/>
      <c r="R95" s="12"/>
    </row>
    <row r="96" customFormat="false" ht="15" hidden="false" customHeight="true" outlineLevel="0" collapsed="false">
      <c r="B96" s="12"/>
      <c r="E96" s="1" t="str">
        <f aca="false">IFERROR((D96-C96)/C96,"")</f>
        <v/>
      </c>
      <c r="H96" s="1" t="str">
        <f aca="false">IFERROR((G96-F96)/F96,"")</f>
        <v/>
      </c>
      <c r="K96" s="1" t="str">
        <f aca="false">IFERROR((J96-I96)/I96,"")</f>
        <v/>
      </c>
      <c r="P96" s="1" t="str">
        <f aca="false">IFERROR((D96-N96)/N96,"")</f>
        <v/>
      </c>
      <c r="Q96" s="12"/>
      <c r="R96" s="12"/>
    </row>
    <row r="97" customFormat="false" ht="15" hidden="false" customHeight="true" outlineLevel="0" collapsed="false">
      <c r="B97" s="12"/>
      <c r="E97" s="1" t="str">
        <f aca="false">IFERROR((D97-C97)/C97,"")</f>
        <v/>
      </c>
      <c r="H97" s="1" t="str">
        <f aca="false">IFERROR((G97-F97)/F97,"")</f>
        <v/>
      </c>
      <c r="K97" s="1" t="str">
        <f aca="false">IFERROR((J97-I97)/I97,"")</f>
        <v/>
      </c>
      <c r="P97" s="1" t="str">
        <f aca="false">IFERROR((D97-N97)/N97,"")</f>
        <v/>
      </c>
      <c r="Q97" s="12"/>
      <c r="R97" s="12"/>
    </row>
    <row r="98" customFormat="false" ht="15" hidden="false" customHeight="true" outlineLevel="0" collapsed="false">
      <c r="B98" s="12"/>
      <c r="E98" s="1" t="str">
        <f aca="false">IFERROR((D98-C98)/C98,"")</f>
        <v/>
      </c>
      <c r="H98" s="1" t="str">
        <f aca="false">IFERROR((G98-F98)/F98,"")</f>
        <v/>
      </c>
      <c r="K98" s="1" t="str">
        <f aca="false">IFERROR((J98-I98)/I98,"")</f>
        <v/>
      </c>
      <c r="P98" s="1" t="str">
        <f aca="false">IFERROR((D98-N98)/N98,"")</f>
        <v/>
      </c>
      <c r="Q98" s="12"/>
      <c r="R98" s="12"/>
    </row>
    <row r="99" customFormat="false" ht="15" hidden="false" customHeight="true" outlineLevel="0" collapsed="false">
      <c r="B99" s="12"/>
      <c r="E99" s="1" t="str">
        <f aca="false">IFERROR((D99-C99)/C99,"")</f>
        <v/>
      </c>
      <c r="H99" s="1" t="str">
        <f aca="false">IFERROR((G99-F99)/F99,"")</f>
        <v/>
      </c>
      <c r="K99" s="1" t="str">
        <f aca="false">IFERROR((J99-I99)/I99,"")</f>
        <v/>
      </c>
      <c r="P99" s="1" t="str">
        <f aca="false">IFERROR((D99-N99)/N99,"")</f>
        <v/>
      </c>
      <c r="Q99" s="12"/>
      <c r="R99" s="12"/>
    </row>
    <row r="100" customFormat="false" ht="15" hidden="false" customHeight="true" outlineLevel="0" collapsed="false">
      <c r="B100" s="12"/>
      <c r="E100" s="1" t="str">
        <f aca="false">IFERROR((D100-C100)/C100,"")</f>
        <v/>
      </c>
      <c r="H100" s="1" t="str">
        <f aca="false">IFERROR((G100-F100)/F100,"")</f>
        <v/>
      </c>
      <c r="K100" s="1" t="str">
        <f aca="false">IFERROR((J100-I100)/I100,"")</f>
        <v/>
      </c>
      <c r="P100" s="1" t="str">
        <f aca="false">IFERROR((D100-N100)/N100,"")</f>
        <v/>
      </c>
      <c r="Q100" s="12"/>
      <c r="R100" s="12"/>
    </row>
    <row r="101" customFormat="false" ht="15" hidden="false" customHeight="true" outlineLevel="0" collapsed="false">
      <c r="B101" s="12"/>
      <c r="E101" s="1" t="str">
        <f aca="false">IFERROR((D101-C101)/C101,"")</f>
        <v/>
      </c>
      <c r="H101" s="1" t="str">
        <f aca="false">IFERROR((G101-F101)/F101,"")</f>
        <v/>
      </c>
      <c r="K101" s="1" t="str">
        <f aca="false">IFERROR((J101-I101)/I101,"")</f>
        <v/>
      </c>
      <c r="P101" s="1" t="str">
        <f aca="false">IFERROR((D101-N101)/N101,"")</f>
        <v/>
      </c>
      <c r="Q101" s="12"/>
      <c r="R101" s="12"/>
    </row>
    <row r="102" customFormat="false" ht="15" hidden="false" customHeight="true" outlineLevel="0" collapsed="false">
      <c r="B102" s="12"/>
      <c r="E102" s="1" t="str">
        <f aca="false">IFERROR((D102-C102)/C102,"")</f>
        <v/>
      </c>
      <c r="H102" s="1" t="str">
        <f aca="false">IFERROR((G102-F102)/F102,"")</f>
        <v/>
      </c>
      <c r="K102" s="1" t="str">
        <f aca="false">IFERROR((J102-I102)/I102,"")</f>
        <v/>
      </c>
      <c r="P102" s="1" t="str">
        <f aca="false">IFERROR((D102-N102)/N102,"")</f>
        <v/>
      </c>
      <c r="Q102" s="12"/>
      <c r="R102" s="12"/>
    </row>
    <row r="103" customFormat="false" ht="15" hidden="false" customHeight="true" outlineLevel="0" collapsed="false">
      <c r="B103" s="12"/>
      <c r="E103" s="1" t="str">
        <f aca="false">IFERROR((D103-C103)/C103,"")</f>
        <v/>
      </c>
      <c r="H103" s="1" t="str">
        <f aca="false">IFERROR((G103-F103)/F103,"")</f>
        <v/>
      </c>
      <c r="K103" s="1" t="str">
        <f aca="false">IFERROR((J103-I103)/I103,"")</f>
        <v/>
      </c>
      <c r="P103" s="1" t="str">
        <f aca="false">IFERROR((D103-N103)/N103,"")</f>
        <v/>
      </c>
      <c r="Q103" s="12"/>
      <c r="R103" s="12"/>
    </row>
    <row r="104" customFormat="false" ht="15" hidden="false" customHeight="true" outlineLevel="0" collapsed="false">
      <c r="B104" s="12"/>
      <c r="E104" s="1" t="str">
        <f aca="false">IFERROR((D104-C104)/C104,"")</f>
        <v/>
      </c>
      <c r="H104" s="1" t="str">
        <f aca="false">IFERROR((G104-F104)/F104,"")</f>
        <v/>
      </c>
      <c r="K104" s="1" t="str">
        <f aca="false">IFERROR((J104-I104)/I104,"")</f>
        <v/>
      </c>
      <c r="P104" s="1" t="str">
        <f aca="false">IFERROR((D104-N104)/N104,"")</f>
        <v/>
      </c>
      <c r="Q104" s="12"/>
      <c r="R104" s="12"/>
    </row>
    <row r="105" customFormat="false" ht="15" hidden="false" customHeight="true" outlineLevel="0" collapsed="false">
      <c r="B105" s="12"/>
      <c r="E105" s="1" t="str">
        <f aca="false">IFERROR((D105-C105)/C105,"")</f>
        <v/>
      </c>
      <c r="H105" s="1" t="str">
        <f aca="false">IFERROR((G105-F105)/F105,"")</f>
        <v/>
      </c>
      <c r="K105" s="1" t="str">
        <f aca="false">IFERROR((J105-I105)/I105,"")</f>
        <v/>
      </c>
      <c r="P105" s="1" t="str">
        <f aca="false">IFERROR((D105-N105)/N105,"")</f>
        <v/>
      </c>
      <c r="Q105" s="12"/>
      <c r="R105" s="12"/>
    </row>
    <row r="106" customFormat="false" ht="15" hidden="false" customHeight="true" outlineLevel="0" collapsed="false">
      <c r="B106" s="12"/>
      <c r="E106" s="1" t="str">
        <f aca="false">IFERROR((D106-C106)/C106,"")</f>
        <v/>
      </c>
      <c r="H106" s="1" t="str">
        <f aca="false">IFERROR((G106-F106)/F106,"")</f>
        <v/>
      </c>
      <c r="K106" s="1" t="str">
        <f aca="false">IFERROR((J106-I106)/I106,"")</f>
        <v/>
      </c>
      <c r="P106" s="1" t="str">
        <f aca="false">IFERROR((D106-N106)/N106,"")</f>
        <v/>
      </c>
      <c r="Q106" s="12"/>
      <c r="R106" s="12"/>
    </row>
    <row r="107" customFormat="false" ht="15" hidden="false" customHeight="true" outlineLevel="0" collapsed="false">
      <c r="B107" s="12"/>
      <c r="E107" s="1" t="str">
        <f aca="false">IFERROR((D107-C107)/C107,"")</f>
        <v/>
      </c>
      <c r="H107" s="1" t="str">
        <f aca="false">IFERROR((G107-F107)/F107,"")</f>
        <v/>
      </c>
      <c r="K107" s="1" t="str">
        <f aca="false">IFERROR((J107-I107)/I107,"")</f>
        <v/>
      </c>
      <c r="P107" s="1" t="str">
        <f aca="false">IFERROR((D107-N107)/N107,"")</f>
        <v/>
      </c>
      <c r="Q107" s="12"/>
      <c r="R107" s="12"/>
    </row>
    <row r="108" customFormat="false" ht="15" hidden="false" customHeight="true" outlineLevel="0" collapsed="false">
      <c r="B108" s="12"/>
      <c r="E108" s="1" t="str">
        <f aca="false">IFERROR((D108-C108)/C108,"")</f>
        <v/>
      </c>
      <c r="H108" s="1" t="str">
        <f aca="false">IFERROR((G108-F108)/F108,"")</f>
        <v/>
      </c>
      <c r="K108" s="1" t="str">
        <f aca="false">IFERROR((J108-I108)/I108,"")</f>
        <v/>
      </c>
      <c r="P108" s="1" t="str">
        <f aca="false">IFERROR((D108-N108)/N108,"")</f>
        <v/>
      </c>
      <c r="Q108" s="12"/>
      <c r="R108" s="12"/>
    </row>
    <row r="109" customFormat="false" ht="15" hidden="false" customHeight="true" outlineLevel="0" collapsed="false">
      <c r="B109" s="12"/>
      <c r="E109" s="1" t="str">
        <f aca="false">IFERROR((D109-C109)/C109,"")</f>
        <v/>
      </c>
      <c r="H109" s="1" t="str">
        <f aca="false">IFERROR((G109-F109)/F109,"")</f>
        <v/>
      </c>
      <c r="K109" s="1" t="str">
        <f aca="false">IFERROR((J109-I109)/I109,"")</f>
        <v/>
      </c>
      <c r="P109" s="1" t="str">
        <f aca="false">IFERROR((D109-N109)/N109,"")</f>
        <v/>
      </c>
      <c r="Q109" s="12"/>
      <c r="R109" s="12"/>
    </row>
    <row r="110" customFormat="false" ht="15" hidden="false" customHeight="true" outlineLevel="0" collapsed="false">
      <c r="B110" s="12"/>
      <c r="E110" s="1" t="str">
        <f aca="false">IFERROR((D110-C110)/C110,"")</f>
        <v/>
      </c>
      <c r="H110" s="1" t="str">
        <f aca="false">IFERROR((G110-F110)/F110,"")</f>
        <v/>
      </c>
      <c r="K110" s="1" t="str">
        <f aca="false">IFERROR((J110-I110)/I110,"")</f>
        <v/>
      </c>
      <c r="P110" s="1" t="str">
        <f aca="false">IFERROR((D110-N110)/N110,"")</f>
        <v/>
      </c>
      <c r="Q110" s="12"/>
      <c r="R110" s="12"/>
    </row>
    <row r="111" customFormat="false" ht="15" hidden="false" customHeight="true" outlineLevel="0" collapsed="false">
      <c r="B111" s="12"/>
      <c r="E111" s="1" t="str">
        <f aca="false">IFERROR((D111-C111)/C111,"")</f>
        <v/>
      </c>
      <c r="H111" s="1" t="str">
        <f aca="false">IFERROR((G111-F111)/F111,"")</f>
        <v/>
      </c>
      <c r="K111" s="1" t="str">
        <f aca="false">IFERROR((J111-I111)/I111,"")</f>
        <v/>
      </c>
      <c r="P111" s="1" t="str">
        <f aca="false">IFERROR((D111-N111)/N111,"")</f>
        <v/>
      </c>
      <c r="Q111" s="12"/>
      <c r="R111" s="12"/>
    </row>
    <row r="112" customFormat="false" ht="15" hidden="false" customHeight="true" outlineLevel="0" collapsed="false">
      <c r="B112" s="12"/>
      <c r="E112" s="1" t="str">
        <f aca="false">IFERROR((D112-C112)/C112,"")</f>
        <v/>
      </c>
      <c r="H112" s="1" t="str">
        <f aca="false">IFERROR((G112-F112)/F112,"")</f>
        <v/>
      </c>
      <c r="K112" s="1" t="str">
        <f aca="false">IFERROR((J112-I112)/I112,"")</f>
        <v/>
      </c>
      <c r="P112" s="1" t="str">
        <f aca="false">IFERROR((D112-N112)/N112,"")</f>
        <v/>
      </c>
      <c r="Q112" s="12"/>
      <c r="R112" s="12"/>
    </row>
    <row r="113" customFormat="false" ht="15" hidden="false" customHeight="true" outlineLevel="0" collapsed="false">
      <c r="B113" s="12"/>
      <c r="E113" s="1" t="str">
        <f aca="false">IFERROR((D113-C113)/C113,"")</f>
        <v/>
      </c>
      <c r="H113" s="1" t="str">
        <f aca="false">IFERROR((G113-F113)/F113,"")</f>
        <v/>
      </c>
      <c r="K113" s="1" t="str">
        <f aca="false">IFERROR((J113-I113)/I113,"")</f>
        <v/>
      </c>
      <c r="P113" s="1" t="str">
        <f aca="false">IFERROR((D113-N113)/N113,"")</f>
        <v/>
      </c>
      <c r="Q113" s="12"/>
      <c r="R113" s="12"/>
    </row>
    <row r="114" customFormat="false" ht="15" hidden="false" customHeight="true" outlineLevel="0" collapsed="false">
      <c r="B114" s="12"/>
      <c r="E114" s="1" t="str">
        <f aca="false">IFERROR((D114-C114)/C114,"")</f>
        <v/>
      </c>
      <c r="H114" s="1" t="str">
        <f aca="false">IFERROR((G114-F114)/F114,"")</f>
        <v/>
      </c>
      <c r="K114" s="1" t="str">
        <f aca="false">IFERROR((J114-I114)/I114,"")</f>
        <v/>
      </c>
      <c r="P114" s="1" t="str">
        <f aca="false">IFERROR((D114-N114)/N114,"")</f>
        <v/>
      </c>
      <c r="Q114" s="12"/>
      <c r="R114" s="12"/>
    </row>
    <row r="115" customFormat="false" ht="15" hidden="false" customHeight="true" outlineLevel="0" collapsed="false">
      <c r="B115" s="12"/>
      <c r="E115" s="1" t="str">
        <f aca="false">IFERROR((D115-C115)/C115,"")</f>
        <v/>
      </c>
      <c r="H115" s="1" t="str">
        <f aca="false">IFERROR((G115-F115)/F115,"")</f>
        <v/>
      </c>
      <c r="K115" s="1" t="str">
        <f aca="false">IFERROR((J115-I115)/I115,"")</f>
        <v/>
      </c>
      <c r="P115" s="1" t="str">
        <f aca="false">IFERROR((D115-N115)/N115,"")</f>
        <v/>
      </c>
      <c r="Q115" s="12"/>
      <c r="R115" s="12"/>
    </row>
    <row r="116" customFormat="false" ht="15" hidden="false" customHeight="true" outlineLevel="0" collapsed="false">
      <c r="B116" s="12"/>
      <c r="E116" s="1" t="str">
        <f aca="false">IFERROR((D116-C116)/C116,"")</f>
        <v/>
      </c>
      <c r="H116" s="1" t="str">
        <f aca="false">IFERROR((G116-F116)/F116,"")</f>
        <v/>
      </c>
      <c r="K116" s="1" t="str">
        <f aca="false">IFERROR((J116-I116)/I116,"")</f>
        <v/>
      </c>
      <c r="P116" s="1" t="str">
        <f aca="false">IFERROR((D116-N116)/N116,"")</f>
        <v/>
      </c>
      <c r="Q116" s="12"/>
      <c r="R116" s="12"/>
    </row>
    <row r="117" customFormat="false" ht="15" hidden="false" customHeight="true" outlineLevel="0" collapsed="false">
      <c r="B117" s="12"/>
      <c r="E117" s="1" t="str">
        <f aca="false">IFERROR((D117-C117)/C117,"")</f>
        <v/>
      </c>
      <c r="H117" s="1" t="str">
        <f aca="false">IFERROR((G117-F117)/F117,"")</f>
        <v/>
      </c>
      <c r="K117" s="1" t="str">
        <f aca="false">IFERROR((J117-I117)/I117,"")</f>
        <v/>
      </c>
      <c r="P117" s="1" t="str">
        <f aca="false">IFERROR((D117-N117)/N117,"")</f>
        <v/>
      </c>
      <c r="Q117" s="12"/>
      <c r="R117" s="12"/>
    </row>
    <row r="118" customFormat="false" ht="15" hidden="false" customHeight="true" outlineLevel="0" collapsed="false">
      <c r="B118" s="12"/>
      <c r="E118" s="1" t="str">
        <f aca="false">IFERROR((D118-C118)/C118,"")</f>
        <v/>
      </c>
      <c r="H118" s="1" t="str">
        <f aca="false">IFERROR((G118-F118)/F118,"")</f>
        <v/>
      </c>
      <c r="K118" s="1" t="str">
        <f aca="false">IFERROR((J118-I118)/I118,"")</f>
        <v/>
      </c>
      <c r="P118" s="1" t="str">
        <f aca="false">IFERROR((D118-N118)/N118,"")</f>
        <v/>
      </c>
      <c r="Q118" s="12"/>
      <c r="R118" s="12"/>
    </row>
    <row r="119" customFormat="false" ht="15" hidden="false" customHeight="true" outlineLevel="0" collapsed="false">
      <c r="B119" s="12"/>
      <c r="E119" s="1" t="str">
        <f aca="false">IFERROR((D119-C119)/C119,"")</f>
        <v/>
      </c>
      <c r="H119" s="1" t="str">
        <f aca="false">IFERROR((G119-F119)/F119,"")</f>
        <v/>
      </c>
      <c r="K119" s="1" t="str">
        <f aca="false">IFERROR((J119-I119)/I119,"")</f>
        <v/>
      </c>
      <c r="P119" s="1" t="str">
        <f aca="false">IFERROR((D119-N119)/N119,"")</f>
        <v/>
      </c>
      <c r="Q119" s="12"/>
      <c r="R119" s="12"/>
    </row>
    <row r="120" customFormat="false" ht="15" hidden="false" customHeight="true" outlineLevel="0" collapsed="false">
      <c r="B120" s="12"/>
      <c r="E120" s="1" t="str">
        <f aca="false">IFERROR((D120-C120)/C120,"")</f>
        <v/>
      </c>
      <c r="H120" s="1" t="str">
        <f aca="false">IFERROR((G120-F120)/F120,"")</f>
        <v/>
      </c>
      <c r="K120" s="1" t="str">
        <f aca="false">IFERROR((J120-I120)/I120,"")</f>
        <v/>
      </c>
      <c r="P120" s="1" t="str">
        <f aca="false">IFERROR((D120-N120)/N120,"")</f>
        <v/>
      </c>
      <c r="Q120" s="12"/>
      <c r="R120" s="12"/>
    </row>
    <row r="121" customFormat="false" ht="15" hidden="false" customHeight="true" outlineLevel="0" collapsed="false">
      <c r="B121" s="12"/>
      <c r="E121" s="1" t="str">
        <f aca="false">IFERROR((D121-C121)/C121,"")</f>
        <v/>
      </c>
      <c r="H121" s="1" t="str">
        <f aca="false">IFERROR((G121-F121)/F121,"")</f>
        <v/>
      </c>
      <c r="K121" s="1" t="str">
        <f aca="false">IFERROR((J121-I121)/I121,"")</f>
        <v/>
      </c>
      <c r="P121" s="1" t="str">
        <f aca="false">IFERROR((D121-N121)/N121,"")</f>
        <v/>
      </c>
      <c r="Q121" s="12"/>
      <c r="R121" s="12"/>
    </row>
    <row r="122" customFormat="false" ht="15" hidden="false" customHeight="true" outlineLevel="0" collapsed="false">
      <c r="B122" s="12"/>
      <c r="E122" s="1" t="str">
        <f aca="false">IFERROR((D122-C122)/C122,"")</f>
        <v/>
      </c>
      <c r="H122" s="1" t="str">
        <f aca="false">IFERROR((G122-F122)/F122,"")</f>
        <v/>
      </c>
      <c r="K122" s="1" t="str">
        <f aca="false">IFERROR((J122-I122)/I122,"")</f>
        <v/>
      </c>
      <c r="P122" s="1" t="str">
        <f aca="false">IFERROR((D122-N122)/N122,"")</f>
        <v/>
      </c>
      <c r="Q122" s="12"/>
      <c r="R122" s="12"/>
    </row>
    <row r="123" customFormat="false" ht="15" hidden="false" customHeight="true" outlineLevel="0" collapsed="false">
      <c r="B123" s="12"/>
      <c r="E123" s="1" t="str">
        <f aca="false">IFERROR((D123-C123)/C123,"")</f>
        <v/>
      </c>
      <c r="H123" s="1" t="str">
        <f aca="false">IFERROR((G123-F123)/F123,"")</f>
        <v/>
      </c>
      <c r="K123" s="1" t="str">
        <f aca="false">IFERROR((J123-I123)/I123,"")</f>
        <v/>
      </c>
      <c r="P123" s="1" t="str">
        <f aca="false">IFERROR((D123-N123)/N123,"")</f>
        <v/>
      </c>
      <c r="Q123" s="12"/>
      <c r="R123" s="12"/>
    </row>
    <row r="124" customFormat="false" ht="15" hidden="false" customHeight="true" outlineLevel="0" collapsed="false">
      <c r="B124" s="12"/>
      <c r="E124" s="1" t="str">
        <f aca="false">IFERROR((D124-C124)/C124,"")</f>
        <v/>
      </c>
      <c r="H124" s="1" t="str">
        <f aca="false">IFERROR((G124-F124)/F124,"")</f>
        <v/>
      </c>
      <c r="K124" s="1" t="str">
        <f aca="false">IFERROR((J124-I124)/I124,"")</f>
        <v/>
      </c>
      <c r="P124" s="1" t="str">
        <f aca="false">IFERROR((D124-N124)/N124,"")</f>
        <v/>
      </c>
      <c r="Q124" s="12"/>
      <c r="R124" s="12"/>
    </row>
    <row r="125" customFormat="false" ht="15" hidden="false" customHeight="true" outlineLevel="0" collapsed="false">
      <c r="B125" s="12"/>
      <c r="E125" s="1" t="str">
        <f aca="false">IFERROR((D125-C125)/C125,"")</f>
        <v/>
      </c>
      <c r="H125" s="1" t="str">
        <f aca="false">IFERROR((G125-F125)/F125,"")</f>
        <v/>
      </c>
      <c r="K125" s="1" t="str">
        <f aca="false">IFERROR((J125-I125)/I125,"")</f>
        <v/>
      </c>
      <c r="P125" s="1" t="str">
        <f aca="false">IFERROR((D125-N125)/N125,"")</f>
        <v/>
      </c>
      <c r="Q125" s="12"/>
      <c r="R125" s="12"/>
    </row>
    <row r="126" customFormat="false" ht="15" hidden="false" customHeight="true" outlineLevel="0" collapsed="false">
      <c r="B126" s="12"/>
      <c r="E126" s="1" t="str">
        <f aca="false">IFERROR((D126-C126)/C126,"")</f>
        <v/>
      </c>
      <c r="H126" s="1" t="str">
        <f aca="false">IFERROR((G126-F126)/F126,"")</f>
        <v/>
      </c>
      <c r="K126" s="1" t="str">
        <f aca="false">IFERROR((J126-I126)/I126,"")</f>
        <v/>
      </c>
      <c r="P126" s="1" t="str">
        <f aca="false">IFERROR((D126-N126)/N126,"")</f>
        <v/>
      </c>
      <c r="Q126" s="12"/>
      <c r="R126" s="12"/>
    </row>
    <row r="127" customFormat="false" ht="15" hidden="false" customHeight="true" outlineLevel="0" collapsed="false">
      <c r="B127" s="12"/>
      <c r="E127" s="1" t="str">
        <f aca="false">IFERROR((D127-C127)/C127,"")</f>
        <v/>
      </c>
      <c r="H127" s="1" t="str">
        <f aca="false">IFERROR((G127-F127)/F127,"")</f>
        <v/>
      </c>
      <c r="K127" s="1" t="str">
        <f aca="false">IFERROR((J127-I127)/I127,"")</f>
        <v/>
      </c>
      <c r="P127" s="1" t="str">
        <f aca="false">IFERROR((D127-N127)/N127,"")</f>
        <v/>
      </c>
      <c r="Q127" s="12"/>
      <c r="R127" s="12"/>
    </row>
    <row r="128" customFormat="false" ht="15" hidden="false" customHeight="true" outlineLevel="0" collapsed="false">
      <c r="B128" s="12"/>
      <c r="E128" s="1" t="str">
        <f aca="false">IFERROR((D128-C128)/C128,"")</f>
        <v/>
      </c>
      <c r="H128" s="1" t="str">
        <f aca="false">IFERROR((G128-F128)/F128,"")</f>
        <v/>
      </c>
      <c r="K128" s="1" t="str">
        <f aca="false">IFERROR((J128-I128)/I128,"")</f>
        <v/>
      </c>
      <c r="P128" s="1" t="str">
        <f aca="false">IFERROR((D128-N128)/N128,"")</f>
        <v/>
      </c>
      <c r="Q128" s="12"/>
      <c r="R128" s="12"/>
    </row>
    <row r="129" customFormat="false" ht="15" hidden="false" customHeight="true" outlineLevel="0" collapsed="false">
      <c r="B129" s="12"/>
      <c r="E129" s="1" t="str">
        <f aca="false">IFERROR((D129-C129)/C129,"")</f>
        <v/>
      </c>
      <c r="H129" s="1" t="str">
        <f aca="false">IFERROR((G129-F129)/F129,"")</f>
        <v/>
      </c>
      <c r="K129" s="1" t="str">
        <f aca="false">IFERROR((J129-I129)/I129,"")</f>
        <v/>
      </c>
      <c r="P129" s="1" t="str">
        <f aca="false">IFERROR((D129-N129)/N129,"")</f>
        <v/>
      </c>
      <c r="Q129" s="12"/>
      <c r="R129" s="12"/>
    </row>
    <row r="130" customFormat="false" ht="15" hidden="false" customHeight="true" outlineLevel="0" collapsed="false">
      <c r="B130" s="12"/>
      <c r="E130" s="1" t="str">
        <f aca="false">IFERROR((D130-C130)/C130,"")</f>
        <v/>
      </c>
      <c r="H130" s="1" t="str">
        <f aca="false">IFERROR((G130-F130)/F130,"")</f>
        <v/>
      </c>
      <c r="K130" s="1" t="str">
        <f aca="false">IFERROR((J130-I130)/I130,"")</f>
        <v/>
      </c>
      <c r="P130" s="1" t="str">
        <f aca="false">IFERROR((D130-N130)/N130,"")</f>
        <v/>
      </c>
      <c r="Q130" s="12"/>
      <c r="R130" s="12"/>
    </row>
    <row r="131" customFormat="false" ht="15" hidden="false" customHeight="true" outlineLevel="0" collapsed="false">
      <c r="B131" s="12"/>
      <c r="E131" s="1" t="str">
        <f aca="false">IFERROR((D131-C131)/C131,"")</f>
        <v/>
      </c>
      <c r="H131" s="1" t="str">
        <f aca="false">IFERROR((G131-F131)/F131,"")</f>
        <v/>
      </c>
      <c r="K131" s="1" t="str">
        <f aca="false">IFERROR((J131-I131)/I131,"")</f>
        <v/>
      </c>
      <c r="P131" s="1" t="str">
        <f aca="false">IFERROR((D131-N131)/N131,"")</f>
        <v/>
      </c>
      <c r="Q131" s="12"/>
      <c r="R131" s="12"/>
    </row>
    <row r="132" customFormat="false" ht="15" hidden="false" customHeight="true" outlineLevel="0" collapsed="false">
      <c r="B132" s="12"/>
      <c r="E132" s="1" t="str">
        <f aca="false">IFERROR((D132-C132)/C132,"")</f>
        <v/>
      </c>
      <c r="H132" s="1" t="str">
        <f aca="false">IFERROR((G132-F132)/F132,"")</f>
        <v/>
      </c>
      <c r="K132" s="1" t="str">
        <f aca="false">IFERROR((J132-I132)/I132,"")</f>
        <v/>
      </c>
      <c r="P132" s="1" t="str">
        <f aca="false">IFERROR((D132-N132)/N132,"")</f>
        <v/>
      </c>
      <c r="Q132" s="12"/>
      <c r="R132" s="12"/>
    </row>
    <row r="133" customFormat="false" ht="15" hidden="false" customHeight="true" outlineLevel="0" collapsed="false">
      <c r="B133" s="12"/>
      <c r="E133" s="1" t="str">
        <f aca="false">IFERROR((D133-C133)/C133,"")</f>
        <v/>
      </c>
      <c r="H133" s="1" t="str">
        <f aca="false">IFERROR((G133-F133)/F133,"")</f>
        <v/>
      </c>
      <c r="K133" s="1" t="str">
        <f aca="false">IFERROR((J133-I133)/I133,"")</f>
        <v/>
      </c>
      <c r="P133" s="1" t="str">
        <f aca="false">IFERROR((D133-N133)/N133,"")</f>
        <v/>
      </c>
      <c r="Q133" s="12"/>
      <c r="R133" s="12"/>
    </row>
    <row r="134" customFormat="false" ht="15" hidden="false" customHeight="true" outlineLevel="0" collapsed="false">
      <c r="B134" s="12"/>
      <c r="E134" s="1" t="str">
        <f aca="false">IFERROR((D134-C134)/C134,"")</f>
        <v/>
      </c>
      <c r="H134" s="1" t="str">
        <f aca="false">IFERROR((G134-F134)/F134,"")</f>
        <v/>
      </c>
      <c r="K134" s="1" t="str">
        <f aca="false">IFERROR((J134-I134)/I134,"")</f>
        <v/>
      </c>
      <c r="P134" s="1" t="str">
        <f aca="false">IFERROR((D134-N134)/N134,"")</f>
        <v/>
      </c>
      <c r="Q134" s="12"/>
      <c r="R134" s="12"/>
    </row>
    <row r="135" customFormat="false" ht="15" hidden="false" customHeight="true" outlineLevel="0" collapsed="false">
      <c r="B135" s="12"/>
      <c r="E135" s="1" t="str">
        <f aca="false">IFERROR((D135-C135)/C135,"")</f>
        <v/>
      </c>
      <c r="H135" s="1" t="str">
        <f aca="false">IFERROR((G135-F135)/F135,"")</f>
        <v/>
      </c>
      <c r="K135" s="1" t="str">
        <f aca="false">IFERROR((J135-I135)/I135,"")</f>
        <v/>
      </c>
      <c r="P135" s="1" t="str">
        <f aca="false">IFERROR((D135-N135)/N135,"")</f>
        <v/>
      </c>
      <c r="Q135" s="12"/>
      <c r="R135" s="12"/>
    </row>
    <row r="136" customFormat="false" ht="15" hidden="false" customHeight="true" outlineLevel="0" collapsed="false">
      <c r="B136" s="12"/>
      <c r="E136" s="1" t="str">
        <f aca="false">IFERROR((D136-C136)/C136,"")</f>
        <v/>
      </c>
      <c r="H136" s="1" t="str">
        <f aca="false">IFERROR((G136-F136)/F136,"")</f>
        <v/>
      </c>
      <c r="K136" s="1" t="str">
        <f aca="false">IFERROR((J136-I136)/I136,"")</f>
        <v/>
      </c>
      <c r="P136" s="1" t="str">
        <f aca="false">IFERROR((D136-N136)/N136,"")</f>
        <v/>
      </c>
      <c r="Q136" s="12"/>
      <c r="R136" s="12"/>
    </row>
    <row r="137" customFormat="false" ht="15" hidden="false" customHeight="true" outlineLevel="0" collapsed="false">
      <c r="B137" s="12"/>
      <c r="E137" s="1" t="str">
        <f aca="false">IFERROR((D137-C137)/C137,"")</f>
        <v/>
      </c>
      <c r="H137" s="1" t="str">
        <f aca="false">IFERROR((G137-F137)/F137,"")</f>
        <v/>
      </c>
      <c r="K137" s="1" t="str">
        <f aca="false">IFERROR((J137-I137)/I137,"")</f>
        <v/>
      </c>
      <c r="P137" s="1" t="str">
        <f aca="false">IFERROR((D137-N137)/N137,"")</f>
        <v/>
      </c>
      <c r="Q137" s="12"/>
      <c r="R137" s="12"/>
    </row>
    <row r="138" customFormat="false" ht="15" hidden="false" customHeight="true" outlineLevel="0" collapsed="false">
      <c r="B138" s="12"/>
      <c r="E138" s="1" t="str">
        <f aca="false">IFERROR((D138-C138)/C138,"")</f>
        <v/>
      </c>
      <c r="H138" s="1" t="str">
        <f aca="false">IFERROR((G138-F138)/F138,"")</f>
        <v/>
      </c>
      <c r="K138" s="1" t="str">
        <f aca="false">IFERROR((J138-I138)/I138,"")</f>
        <v/>
      </c>
      <c r="P138" s="1" t="str">
        <f aca="false">IFERROR((D138-N138)/N138,"")</f>
        <v/>
      </c>
      <c r="Q138" s="12"/>
      <c r="R138" s="12"/>
    </row>
    <row r="139" customFormat="false" ht="15" hidden="false" customHeight="true" outlineLevel="0" collapsed="false">
      <c r="B139" s="12"/>
      <c r="E139" s="1" t="str">
        <f aca="false">IFERROR((D139-C139)/C139,"")</f>
        <v/>
      </c>
      <c r="H139" s="1" t="str">
        <f aca="false">IFERROR((G139-F139)/F139,"")</f>
        <v/>
      </c>
      <c r="K139" s="1" t="str">
        <f aca="false">IFERROR((J139-I139)/I139,"")</f>
        <v/>
      </c>
      <c r="P139" s="1" t="str">
        <f aca="false">IFERROR((D139-N139)/N139,"")</f>
        <v/>
      </c>
      <c r="Q139" s="12"/>
      <c r="R139" s="12"/>
    </row>
    <row r="140" customFormat="false" ht="15" hidden="false" customHeight="true" outlineLevel="0" collapsed="false">
      <c r="B140" s="12"/>
      <c r="E140" s="1" t="str">
        <f aca="false">IFERROR((D140-C140)/C140,"")</f>
        <v/>
      </c>
      <c r="H140" s="1" t="str">
        <f aca="false">IFERROR((G140-F140)/F140,"")</f>
        <v/>
      </c>
      <c r="K140" s="1" t="str">
        <f aca="false">IFERROR((J140-I140)/I140,"")</f>
        <v/>
      </c>
      <c r="P140" s="1" t="str">
        <f aca="false">IFERROR((D140-N140)/N140,"")</f>
        <v/>
      </c>
      <c r="Q140" s="12"/>
      <c r="R140" s="12"/>
    </row>
    <row r="141" customFormat="false" ht="15" hidden="false" customHeight="true" outlineLevel="0" collapsed="false">
      <c r="B141" s="12"/>
      <c r="E141" s="1" t="str">
        <f aca="false">IFERROR((D141-C141)/C141,"")</f>
        <v/>
      </c>
      <c r="H141" s="1" t="str">
        <f aca="false">IFERROR((G141-F141)/F141,"")</f>
        <v/>
      </c>
      <c r="K141" s="1" t="str">
        <f aca="false">IFERROR((J141-I141)/I141,"")</f>
        <v/>
      </c>
      <c r="P141" s="1" t="str">
        <f aca="false">IFERROR((D141-N141)/N141,"")</f>
        <v/>
      </c>
      <c r="Q141" s="12"/>
      <c r="R141" s="12"/>
    </row>
    <row r="142" customFormat="false" ht="15" hidden="false" customHeight="true" outlineLevel="0" collapsed="false">
      <c r="B142" s="12"/>
      <c r="E142" s="1" t="str">
        <f aca="false">IFERROR((D142-C142)/C142,"")</f>
        <v/>
      </c>
      <c r="H142" s="1" t="str">
        <f aca="false">IFERROR((G142-F142)/F142,"")</f>
        <v/>
      </c>
      <c r="K142" s="1" t="str">
        <f aca="false">IFERROR((J142-I142)/I142,"")</f>
        <v/>
      </c>
      <c r="P142" s="1" t="str">
        <f aca="false">IFERROR((D142-N142)/N142,"")</f>
        <v/>
      </c>
      <c r="Q142" s="12"/>
      <c r="R142" s="12"/>
    </row>
    <row r="143" customFormat="false" ht="15" hidden="false" customHeight="true" outlineLevel="0" collapsed="false">
      <c r="B143" s="12"/>
      <c r="E143" s="1" t="str">
        <f aca="false">IFERROR((D143-C143)/C143,"")</f>
        <v/>
      </c>
      <c r="H143" s="1" t="str">
        <f aca="false">IFERROR((G143-F143)/F143,"")</f>
        <v/>
      </c>
      <c r="K143" s="1" t="str">
        <f aca="false">IFERROR((J143-I143)/I143,"")</f>
        <v/>
      </c>
      <c r="P143" s="1" t="str">
        <f aca="false">IFERROR((D143-N143)/N143,"")</f>
        <v/>
      </c>
      <c r="Q143" s="12"/>
      <c r="R143" s="12"/>
    </row>
    <row r="144" customFormat="false" ht="15" hidden="false" customHeight="true" outlineLevel="0" collapsed="false">
      <c r="B144" s="12"/>
      <c r="E144" s="1" t="str">
        <f aca="false">IFERROR((D144-C144)/C144,"")</f>
        <v/>
      </c>
      <c r="H144" s="1" t="str">
        <f aca="false">IFERROR((G144-F144)/F144,"")</f>
        <v/>
      </c>
      <c r="K144" s="1" t="str">
        <f aca="false">IFERROR((J144-I144)/I144,"")</f>
        <v/>
      </c>
      <c r="P144" s="1" t="str">
        <f aca="false">IFERROR((D144-N144)/N144,"")</f>
        <v/>
      </c>
      <c r="Q144" s="12"/>
      <c r="R144" s="12"/>
    </row>
    <row r="145" customFormat="false" ht="15" hidden="false" customHeight="true" outlineLevel="0" collapsed="false">
      <c r="B145" s="12"/>
      <c r="E145" s="1" t="str">
        <f aca="false">IFERROR((D145-C145)/C145,"")</f>
        <v/>
      </c>
      <c r="H145" s="1" t="str">
        <f aca="false">IFERROR((G145-F145)/F145,"")</f>
        <v/>
      </c>
      <c r="K145" s="1" t="str">
        <f aca="false">IFERROR((J145-I145)/I145,"")</f>
        <v/>
      </c>
      <c r="P145" s="1" t="str">
        <f aca="false">IFERROR((D145-N145)/N145,"")</f>
        <v/>
      </c>
      <c r="Q145" s="12"/>
      <c r="R145" s="12"/>
    </row>
    <row r="146" customFormat="false" ht="15" hidden="false" customHeight="true" outlineLevel="0" collapsed="false">
      <c r="B146" s="12"/>
      <c r="E146" s="1" t="str">
        <f aca="false">IFERROR((D146-C146)/C146,"")</f>
        <v/>
      </c>
      <c r="H146" s="1" t="str">
        <f aca="false">IFERROR((G146-F146)/F146,"")</f>
        <v/>
      </c>
      <c r="K146" s="1" t="str">
        <f aca="false">IFERROR((J146-I146)/I146,"")</f>
        <v/>
      </c>
      <c r="P146" s="1" t="str">
        <f aca="false">IFERROR((D146-N146)/N146,"")</f>
        <v/>
      </c>
      <c r="Q146" s="12"/>
      <c r="R146" s="12"/>
    </row>
    <row r="147" customFormat="false" ht="15" hidden="false" customHeight="true" outlineLevel="0" collapsed="false">
      <c r="B147" s="12"/>
      <c r="E147" s="1" t="str">
        <f aca="false">IFERROR((D147-C147)/C147,"")</f>
        <v/>
      </c>
      <c r="H147" s="1" t="str">
        <f aca="false">IFERROR((G147-F147)/F147,"")</f>
        <v/>
      </c>
      <c r="K147" s="1" t="str">
        <f aca="false">IFERROR((J147-I147)/I147,"")</f>
        <v/>
      </c>
      <c r="P147" s="1" t="str">
        <f aca="false">IFERROR((D147-N147)/N147,"")</f>
        <v/>
      </c>
      <c r="Q147" s="12"/>
      <c r="R147" s="12"/>
    </row>
    <row r="148" customFormat="false" ht="15" hidden="false" customHeight="true" outlineLevel="0" collapsed="false">
      <c r="B148" s="12"/>
      <c r="E148" s="1" t="str">
        <f aca="false">IFERROR((D148-C148)/C148,"")</f>
        <v/>
      </c>
      <c r="H148" s="1" t="str">
        <f aca="false">IFERROR((G148-F148)/F148,"")</f>
        <v/>
      </c>
      <c r="K148" s="1" t="str">
        <f aca="false">IFERROR((J148-I148)/I148,"")</f>
        <v/>
      </c>
      <c r="P148" s="1" t="str">
        <f aca="false">IFERROR((D148-N148)/N148,"")</f>
        <v/>
      </c>
      <c r="Q148" s="12"/>
      <c r="R148" s="12"/>
    </row>
    <row r="149" customFormat="false" ht="15" hidden="false" customHeight="true" outlineLevel="0" collapsed="false">
      <c r="B149" s="12"/>
      <c r="E149" s="1" t="str">
        <f aca="false">IFERROR((D149-C149)/C149,"")</f>
        <v/>
      </c>
      <c r="H149" s="1" t="str">
        <f aca="false">IFERROR((G149-F149)/F149,"")</f>
        <v/>
      </c>
      <c r="K149" s="1" t="str">
        <f aca="false">IFERROR((J149-I149)/I149,"")</f>
        <v/>
      </c>
      <c r="P149" s="1" t="str">
        <f aca="false">IFERROR((D149-N149)/N149,"")</f>
        <v/>
      </c>
      <c r="Q149" s="12"/>
      <c r="R149" s="12"/>
    </row>
    <row r="150" customFormat="false" ht="15" hidden="false" customHeight="true" outlineLevel="0" collapsed="false">
      <c r="B150" s="12"/>
      <c r="E150" s="1" t="str">
        <f aca="false">IFERROR((D150-C150)/C150,"")</f>
        <v/>
      </c>
      <c r="H150" s="1" t="str">
        <f aca="false">IFERROR((G150-F150)/F150,"")</f>
        <v/>
      </c>
      <c r="K150" s="1" t="str">
        <f aca="false">IFERROR((J150-I150)/I150,"")</f>
        <v/>
      </c>
      <c r="P150" s="1" t="str">
        <f aca="false">IFERROR((D150-N150)/N150,"")</f>
        <v/>
      </c>
      <c r="Q150" s="12"/>
      <c r="R150" s="12"/>
    </row>
    <row r="151" customFormat="false" ht="15" hidden="false" customHeight="true" outlineLevel="0" collapsed="false">
      <c r="B151" s="12"/>
      <c r="E151" s="1" t="str">
        <f aca="false">IFERROR((D151-C151)/C151,"")</f>
        <v/>
      </c>
      <c r="H151" s="1" t="str">
        <f aca="false">IFERROR((G151-F151)/F151,"")</f>
        <v/>
      </c>
      <c r="K151" s="1" t="str">
        <f aca="false">IFERROR((J151-I151)/I151,"")</f>
        <v/>
      </c>
      <c r="P151" s="1" t="str">
        <f aca="false">IFERROR((D151-N151)/N151,"")</f>
        <v/>
      </c>
      <c r="Q151" s="12"/>
      <c r="R151" s="12"/>
    </row>
    <row r="152" customFormat="false" ht="15" hidden="false" customHeight="true" outlineLevel="0" collapsed="false">
      <c r="B152" s="12"/>
      <c r="E152" s="1" t="str">
        <f aca="false">IFERROR((D152-C152)/C152,"")</f>
        <v/>
      </c>
      <c r="H152" s="1" t="str">
        <f aca="false">IFERROR((G152-F152)/F152,"")</f>
        <v/>
      </c>
      <c r="K152" s="1" t="str">
        <f aca="false">IFERROR((J152-I152)/I152,"")</f>
        <v/>
      </c>
      <c r="P152" s="1" t="str">
        <f aca="false">IFERROR((D152-N152)/N152,"")</f>
        <v/>
      </c>
      <c r="Q152" s="12"/>
      <c r="R152" s="12"/>
    </row>
    <row r="153" customFormat="false" ht="15" hidden="false" customHeight="true" outlineLevel="0" collapsed="false">
      <c r="B153" s="12"/>
      <c r="E153" s="1" t="str">
        <f aca="false">IFERROR((D153-C153)/C153,"")</f>
        <v/>
      </c>
      <c r="H153" s="1" t="str">
        <f aca="false">IFERROR((G153-F153)/F153,"")</f>
        <v/>
      </c>
      <c r="K153" s="1" t="str">
        <f aca="false">IFERROR((J153-I153)/I153,"")</f>
        <v/>
      </c>
      <c r="P153" s="1" t="str">
        <f aca="false">IFERROR((D153-N153)/N153,"")</f>
        <v/>
      </c>
      <c r="Q153" s="12"/>
      <c r="R153" s="12"/>
    </row>
    <row r="154" customFormat="false" ht="15" hidden="false" customHeight="true" outlineLevel="0" collapsed="false">
      <c r="B154" s="12"/>
      <c r="E154" s="1" t="str">
        <f aca="false">IFERROR((D154-C154)/C154,"")</f>
        <v/>
      </c>
      <c r="H154" s="1" t="str">
        <f aca="false">IFERROR((G154-F154)/F154,"")</f>
        <v/>
      </c>
      <c r="K154" s="1" t="str">
        <f aca="false">IFERROR((J154-I154)/I154,"")</f>
        <v/>
      </c>
      <c r="P154" s="1" t="str">
        <f aca="false">IFERROR((D154-N154)/N154,"")</f>
        <v/>
      </c>
      <c r="Q154" s="12"/>
      <c r="R154" s="12"/>
    </row>
    <row r="155" customFormat="false" ht="15" hidden="false" customHeight="true" outlineLevel="0" collapsed="false">
      <c r="B155" s="12"/>
      <c r="E155" s="1" t="str">
        <f aca="false">IFERROR((D155-C155)/C155,"")</f>
        <v/>
      </c>
      <c r="H155" s="1" t="str">
        <f aca="false">IFERROR((G155-F155)/F155,"")</f>
        <v/>
      </c>
      <c r="K155" s="1" t="str">
        <f aca="false">IFERROR((J155-I155)/I155,"")</f>
        <v/>
      </c>
      <c r="P155" s="1" t="str">
        <f aca="false">IFERROR((D155-N155)/N155,"")</f>
        <v/>
      </c>
      <c r="Q155" s="12"/>
      <c r="R155" s="12"/>
    </row>
    <row r="156" customFormat="false" ht="15" hidden="false" customHeight="true" outlineLevel="0" collapsed="false">
      <c r="B156" s="12"/>
      <c r="E156" s="1" t="str">
        <f aca="false">IFERROR((D156-C156)/C156,"")</f>
        <v/>
      </c>
      <c r="H156" s="1" t="str">
        <f aca="false">IFERROR((G156-F156)/F156,"")</f>
        <v/>
      </c>
      <c r="K156" s="1" t="str">
        <f aca="false">IFERROR((J156-I156)/I156,"")</f>
        <v/>
      </c>
      <c r="P156" s="1" t="str">
        <f aca="false">IFERROR((D156-N156)/N156,"")</f>
        <v/>
      </c>
      <c r="Q156" s="12"/>
      <c r="R156" s="12"/>
    </row>
    <row r="157" customFormat="false" ht="15" hidden="false" customHeight="true" outlineLevel="0" collapsed="false">
      <c r="B157" s="12"/>
      <c r="E157" s="1" t="str">
        <f aca="false">IFERROR((D157-C157)/C157,"")</f>
        <v/>
      </c>
      <c r="H157" s="1" t="str">
        <f aca="false">IFERROR((G157-F157)/F157,"")</f>
        <v/>
      </c>
      <c r="K157" s="1" t="str">
        <f aca="false">IFERROR((J157-I157)/I157,"")</f>
        <v/>
      </c>
      <c r="P157" s="1" t="str">
        <f aca="false">IFERROR((D157-N157)/N157,"")</f>
        <v/>
      </c>
      <c r="Q157" s="12"/>
      <c r="R157" s="12"/>
    </row>
    <row r="158" customFormat="false" ht="15" hidden="false" customHeight="true" outlineLevel="0" collapsed="false">
      <c r="B158" s="12"/>
      <c r="E158" s="1" t="str">
        <f aca="false">IFERROR((D158-C158)/C158,"")</f>
        <v/>
      </c>
      <c r="H158" s="1" t="str">
        <f aca="false">IFERROR((G158-F158)/F158,"")</f>
        <v/>
      </c>
      <c r="K158" s="1" t="str">
        <f aca="false">IFERROR((J158-I158)/I158,"")</f>
        <v/>
      </c>
      <c r="P158" s="1" t="str">
        <f aca="false">IFERROR((D158-N158)/N158,"")</f>
        <v/>
      </c>
      <c r="Q158" s="12"/>
      <c r="R158" s="12"/>
    </row>
    <row r="159" customFormat="false" ht="15" hidden="false" customHeight="true" outlineLevel="0" collapsed="false">
      <c r="B159" s="12"/>
      <c r="E159" s="1" t="str">
        <f aca="false">IFERROR((D159-C159)/C159,"")</f>
        <v/>
      </c>
      <c r="H159" s="1" t="str">
        <f aca="false">IFERROR((G159-F159)/F159,"")</f>
        <v/>
      </c>
      <c r="K159" s="1" t="str">
        <f aca="false">IFERROR((J159-I159)/I159,"")</f>
        <v/>
      </c>
      <c r="P159" s="1" t="str">
        <f aca="false">IFERROR((D159-N159)/N159,"")</f>
        <v/>
      </c>
      <c r="Q159" s="12"/>
      <c r="R159" s="12"/>
    </row>
    <row r="160" customFormat="false" ht="15" hidden="false" customHeight="true" outlineLevel="0" collapsed="false">
      <c r="B160" s="12"/>
      <c r="E160" s="1" t="str">
        <f aca="false">IFERROR((D160-C160)/C160,"")</f>
        <v/>
      </c>
      <c r="H160" s="1" t="str">
        <f aca="false">IFERROR((G160-F160)/F160,"")</f>
        <v/>
      </c>
      <c r="K160" s="1" t="str">
        <f aca="false">IFERROR((J160-I160)/I160,"")</f>
        <v/>
      </c>
      <c r="P160" s="1" t="str">
        <f aca="false">IFERROR((D160-N160)/N160,"")</f>
        <v/>
      </c>
      <c r="Q160" s="12"/>
      <c r="R160" s="12"/>
    </row>
    <row r="161" customFormat="false" ht="15" hidden="false" customHeight="true" outlineLevel="0" collapsed="false">
      <c r="B161" s="12"/>
      <c r="E161" s="1" t="str">
        <f aca="false">IFERROR((D161-C161)/C161,"")</f>
        <v/>
      </c>
      <c r="H161" s="1" t="str">
        <f aca="false">IFERROR((G161-F161)/F161,"")</f>
        <v/>
      </c>
      <c r="K161" s="1" t="str">
        <f aca="false">IFERROR((J161-I161)/I161,"")</f>
        <v/>
      </c>
      <c r="P161" s="1" t="str">
        <f aca="false">IFERROR((D161-N161)/N161,"")</f>
        <v/>
      </c>
      <c r="Q161" s="12"/>
      <c r="R161" s="12"/>
    </row>
    <row r="162" customFormat="false" ht="15" hidden="false" customHeight="true" outlineLevel="0" collapsed="false">
      <c r="B162" s="12"/>
      <c r="E162" s="1" t="str">
        <f aca="false">IFERROR((D162-C162)/C162,"")</f>
        <v/>
      </c>
      <c r="H162" s="1" t="str">
        <f aca="false">IFERROR((G162-F162)/F162,"")</f>
        <v/>
      </c>
      <c r="K162" s="1" t="str">
        <f aca="false">IFERROR((J162-I162)/I162,"")</f>
        <v/>
      </c>
      <c r="P162" s="1" t="str">
        <f aca="false">IFERROR((D162-N162)/N162,"")</f>
        <v/>
      </c>
      <c r="Q162" s="12"/>
      <c r="R162" s="12"/>
    </row>
    <row r="163" customFormat="false" ht="15" hidden="false" customHeight="true" outlineLevel="0" collapsed="false">
      <c r="B163" s="12"/>
      <c r="E163" s="1" t="str">
        <f aca="false">IFERROR((D163-C163)/C163,"")</f>
        <v/>
      </c>
      <c r="H163" s="1" t="str">
        <f aca="false">IFERROR((G163-F163)/F163,"")</f>
        <v/>
      </c>
      <c r="K163" s="1" t="str">
        <f aca="false">IFERROR((J163-I163)/I163,"")</f>
        <v/>
      </c>
      <c r="P163" s="1" t="str">
        <f aca="false">IFERROR((D163-N163)/N163,"")</f>
        <v/>
      </c>
      <c r="Q163" s="12"/>
      <c r="R163" s="12"/>
    </row>
    <row r="164" customFormat="false" ht="15" hidden="false" customHeight="true" outlineLevel="0" collapsed="false">
      <c r="B164" s="12"/>
      <c r="E164" s="1" t="str">
        <f aca="false">IFERROR((D164-C164)/C164,"")</f>
        <v/>
      </c>
      <c r="H164" s="1" t="str">
        <f aca="false">IFERROR((G164-F164)/F164,"")</f>
        <v/>
      </c>
      <c r="K164" s="1" t="str">
        <f aca="false">IFERROR((J164-I164)/I164,"")</f>
        <v/>
      </c>
      <c r="P164" s="1" t="str">
        <f aca="false">IFERROR((D164-N164)/N164,"")</f>
        <v/>
      </c>
      <c r="Q164" s="12"/>
      <c r="R164" s="12"/>
    </row>
    <row r="165" customFormat="false" ht="15" hidden="false" customHeight="true" outlineLevel="0" collapsed="false">
      <c r="B165" s="12"/>
      <c r="E165" s="1" t="str">
        <f aca="false">IFERROR((D165-C165)/C165,"")</f>
        <v/>
      </c>
      <c r="H165" s="1" t="str">
        <f aca="false">IFERROR((G165-F165)/F165,"")</f>
        <v/>
      </c>
      <c r="K165" s="1" t="str">
        <f aca="false">IFERROR((J165-I165)/I165,"")</f>
        <v/>
      </c>
      <c r="P165" s="1" t="str">
        <f aca="false">IFERROR((D165-N165)/N165,"")</f>
        <v/>
      </c>
      <c r="Q165" s="12"/>
      <c r="R165" s="12"/>
    </row>
    <row r="166" customFormat="false" ht="15" hidden="false" customHeight="true" outlineLevel="0" collapsed="false">
      <c r="B166" s="12"/>
      <c r="E166" s="1" t="str">
        <f aca="false">IFERROR((D166-C166)/C166,"")</f>
        <v/>
      </c>
      <c r="H166" s="1" t="str">
        <f aca="false">IFERROR((G166-F166)/F166,"")</f>
        <v/>
      </c>
      <c r="K166" s="1" t="str">
        <f aca="false">IFERROR((J166-I166)/I166,"")</f>
        <v/>
      </c>
      <c r="P166" s="1" t="str">
        <f aca="false">IFERROR((D166-N166)/N166,"")</f>
        <v/>
      </c>
      <c r="Q166" s="12"/>
      <c r="R166" s="12"/>
    </row>
    <row r="167" customFormat="false" ht="15" hidden="false" customHeight="true" outlineLevel="0" collapsed="false">
      <c r="B167" s="12"/>
      <c r="E167" s="1" t="str">
        <f aca="false">IFERROR((D167-C167)/C167,"")</f>
        <v/>
      </c>
      <c r="H167" s="1" t="str">
        <f aca="false">IFERROR((G167-F167)/F167,"")</f>
        <v/>
      </c>
      <c r="K167" s="1" t="str">
        <f aca="false">IFERROR((J167-I167)/I167,"")</f>
        <v/>
      </c>
      <c r="P167" s="1" t="str">
        <f aca="false">IFERROR((D167-N167)/N167,"")</f>
        <v/>
      </c>
      <c r="Q167" s="12"/>
      <c r="R167" s="12"/>
    </row>
    <row r="168" customFormat="false" ht="15" hidden="false" customHeight="true" outlineLevel="0" collapsed="false">
      <c r="B168" s="12"/>
      <c r="E168" s="1" t="str">
        <f aca="false">IFERROR((D168-C168)/C168,"")</f>
        <v/>
      </c>
      <c r="H168" s="1" t="str">
        <f aca="false">IFERROR((G168-F168)/F168,"")</f>
        <v/>
      </c>
      <c r="K168" s="1" t="str">
        <f aca="false">IFERROR((J168-I168)/I168,"")</f>
        <v/>
      </c>
      <c r="P168" s="1" t="str">
        <f aca="false">IFERROR((D168-N168)/N168,"")</f>
        <v/>
      </c>
      <c r="Q168" s="12"/>
      <c r="R168" s="12"/>
    </row>
    <row r="169" customFormat="false" ht="15" hidden="false" customHeight="true" outlineLevel="0" collapsed="false">
      <c r="B169" s="12"/>
      <c r="E169" s="1" t="str">
        <f aca="false">IFERROR((D169-C169)/C169,"")</f>
        <v/>
      </c>
      <c r="H169" s="1" t="str">
        <f aca="false">IFERROR((G169-F169)/F169,"")</f>
        <v/>
      </c>
      <c r="K169" s="1" t="str">
        <f aca="false">IFERROR((J169-I169)/I169,"")</f>
        <v/>
      </c>
      <c r="P169" s="1" t="str">
        <f aca="false">IFERROR((D169-N169)/N169,"")</f>
        <v/>
      </c>
      <c r="Q169" s="12"/>
      <c r="R169" s="12"/>
    </row>
    <row r="170" customFormat="false" ht="15" hidden="false" customHeight="true" outlineLevel="0" collapsed="false">
      <c r="B170" s="12"/>
      <c r="E170" s="1" t="str">
        <f aca="false">IFERROR((D170-C170)/C170,"")</f>
        <v/>
      </c>
      <c r="H170" s="1" t="str">
        <f aca="false">IFERROR((G170-F170)/F170,"")</f>
        <v/>
      </c>
      <c r="K170" s="1" t="str">
        <f aca="false">IFERROR((J170-I170)/I170,"")</f>
        <v/>
      </c>
      <c r="P170" s="1" t="str">
        <f aca="false">IFERROR((D170-N170)/N170,"")</f>
        <v/>
      </c>
      <c r="Q170" s="12"/>
      <c r="R170" s="12"/>
    </row>
    <row r="171" customFormat="false" ht="15" hidden="false" customHeight="true" outlineLevel="0" collapsed="false">
      <c r="B171" s="12"/>
      <c r="E171" s="1" t="str">
        <f aca="false">IFERROR((D171-C171)/C171,"")</f>
        <v/>
      </c>
      <c r="H171" s="1" t="str">
        <f aca="false">IFERROR((G171-F171)/F171,"")</f>
        <v/>
      </c>
      <c r="K171" s="1" t="str">
        <f aca="false">IFERROR((J171-I171)/I171,"")</f>
        <v/>
      </c>
      <c r="P171" s="1" t="str">
        <f aca="false">IFERROR((D171-N171)/N171,"")</f>
        <v/>
      </c>
      <c r="Q171" s="12"/>
      <c r="R171" s="12"/>
    </row>
    <row r="172" customFormat="false" ht="15" hidden="false" customHeight="true" outlineLevel="0" collapsed="false">
      <c r="B172" s="12"/>
      <c r="E172" s="1" t="str">
        <f aca="false">IFERROR((D172-C172)/C172,"")</f>
        <v/>
      </c>
      <c r="H172" s="1" t="str">
        <f aca="false">IFERROR((G172-F172)/F172,"")</f>
        <v/>
      </c>
      <c r="K172" s="1" t="str">
        <f aca="false">IFERROR((J172-I172)/I172,"")</f>
        <v/>
      </c>
      <c r="P172" s="1" t="str">
        <f aca="false">IFERROR((D172-N172)/N172,"")</f>
        <v/>
      </c>
      <c r="Q172" s="12"/>
      <c r="R172" s="12"/>
    </row>
    <row r="173" customFormat="false" ht="15" hidden="false" customHeight="true" outlineLevel="0" collapsed="false">
      <c r="B173" s="12"/>
      <c r="E173" s="1" t="str">
        <f aca="false">IFERROR((D173-C173)/C173,"")</f>
        <v/>
      </c>
      <c r="H173" s="1" t="str">
        <f aca="false">IFERROR((G173-F173)/F173,"")</f>
        <v/>
      </c>
      <c r="K173" s="1" t="str">
        <f aca="false">IFERROR((J173-I173)/I173,"")</f>
        <v/>
      </c>
      <c r="P173" s="1" t="str">
        <f aca="false">IFERROR((D173-N173)/N173,"")</f>
        <v/>
      </c>
      <c r="Q173" s="12"/>
      <c r="R173" s="12"/>
    </row>
    <row r="174" customFormat="false" ht="15" hidden="false" customHeight="true" outlineLevel="0" collapsed="false">
      <c r="B174" s="12"/>
      <c r="E174" s="1" t="str">
        <f aca="false">IFERROR((D174-C174)/C174,"")</f>
        <v/>
      </c>
      <c r="H174" s="1" t="str">
        <f aca="false">IFERROR((G174-F174)/F174,"")</f>
        <v/>
      </c>
      <c r="K174" s="1" t="str">
        <f aca="false">IFERROR((J174-I174)/I174,"")</f>
        <v/>
      </c>
      <c r="P174" s="1" t="str">
        <f aca="false">IFERROR((D174-N174)/N174,"")</f>
        <v/>
      </c>
      <c r="Q174" s="12"/>
      <c r="R174" s="12"/>
    </row>
    <row r="175" customFormat="false" ht="15" hidden="false" customHeight="true" outlineLevel="0" collapsed="false">
      <c r="B175" s="12"/>
      <c r="E175" s="1" t="str">
        <f aca="false">IFERROR((D175-C175)/C175,"")</f>
        <v/>
      </c>
      <c r="H175" s="1" t="str">
        <f aca="false">IFERROR((G175-F175)/F175,"")</f>
        <v/>
      </c>
      <c r="K175" s="1" t="str">
        <f aca="false">IFERROR((J175-I175)/I175,"")</f>
        <v/>
      </c>
      <c r="P175" s="1" t="str">
        <f aca="false">IFERROR((D175-N175)/N175,"")</f>
        <v/>
      </c>
      <c r="Q175" s="12"/>
      <c r="R175" s="12"/>
    </row>
    <row r="176" customFormat="false" ht="15" hidden="false" customHeight="true" outlineLevel="0" collapsed="false">
      <c r="B176" s="12"/>
      <c r="E176" s="1" t="str">
        <f aca="false">IFERROR((D176-C176)/C176,"")</f>
        <v/>
      </c>
      <c r="H176" s="1" t="str">
        <f aca="false">IFERROR((G176-F176)/F176,"")</f>
        <v/>
      </c>
      <c r="K176" s="1" t="str">
        <f aca="false">IFERROR((J176-I176)/I176,"")</f>
        <v/>
      </c>
      <c r="P176" s="1" t="str">
        <f aca="false">IFERROR((D176-N176)/N176,"")</f>
        <v/>
      </c>
      <c r="Q176" s="12"/>
      <c r="R176" s="12"/>
    </row>
    <row r="177" customFormat="false" ht="15" hidden="false" customHeight="true" outlineLevel="0" collapsed="false">
      <c r="B177" s="12"/>
      <c r="E177" s="1" t="str">
        <f aca="false">IFERROR((D177-C177)/C177,"")</f>
        <v/>
      </c>
      <c r="H177" s="1" t="str">
        <f aca="false">IFERROR((G177-F177)/F177,"")</f>
        <v/>
      </c>
      <c r="K177" s="1" t="str">
        <f aca="false">IFERROR((J177-I177)/I177,"")</f>
        <v/>
      </c>
      <c r="P177" s="1" t="str">
        <f aca="false">IFERROR((D177-N177)/N177,"")</f>
        <v/>
      </c>
      <c r="Q177" s="12"/>
      <c r="R177" s="12"/>
    </row>
    <row r="178" customFormat="false" ht="15" hidden="false" customHeight="true" outlineLevel="0" collapsed="false">
      <c r="B178" s="12"/>
      <c r="E178" s="1" t="str">
        <f aca="false">IFERROR((D178-C178)/C178,"")</f>
        <v/>
      </c>
      <c r="H178" s="1" t="str">
        <f aca="false">IFERROR((G178-F178)/F178,"")</f>
        <v/>
      </c>
      <c r="K178" s="1" t="str">
        <f aca="false">IFERROR((J178-I178)/I178,"")</f>
        <v/>
      </c>
      <c r="P178" s="1" t="str">
        <f aca="false">IFERROR((D178-N178)/N178,"")</f>
        <v/>
      </c>
      <c r="Q178" s="12"/>
      <c r="R178" s="12"/>
    </row>
    <row r="179" customFormat="false" ht="15" hidden="false" customHeight="true" outlineLevel="0" collapsed="false">
      <c r="B179" s="12"/>
      <c r="E179" s="1" t="str">
        <f aca="false">IFERROR((D179-C179)/C179,"")</f>
        <v/>
      </c>
      <c r="H179" s="1" t="str">
        <f aca="false">IFERROR((G179-F179)/F179,"")</f>
        <v/>
      </c>
      <c r="K179" s="1" t="str">
        <f aca="false">IFERROR((J179-I179)/I179,"")</f>
        <v/>
      </c>
      <c r="P179" s="1" t="str">
        <f aca="false">IFERROR((D179-N179)/N179,"")</f>
        <v/>
      </c>
      <c r="Q179" s="12"/>
      <c r="R179" s="12"/>
    </row>
    <row r="180" customFormat="false" ht="15" hidden="false" customHeight="true" outlineLevel="0" collapsed="false">
      <c r="B180" s="12"/>
      <c r="E180" s="1" t="str">
        <f aca="false">IFERROR((D180-C180)/C180,"")</f>
        <v/>
      </c>
      <c r="H180" s="1" t="str">
        <f aca="false">IFERROR((G180-F180)/F180,"")</f>
        <v/>
      </c>
      <c r="K180" s="1" t="str">
        <f aca="false">IFERROR((J180-I180)/I180,"")</f>
        <v/>
      </c>
      <c r="P180" s="1" t="str">
        <f aca="false">IFERROR((D180-N180)/N180,"")</f>
        <v/>
      </c>
      <c r="Q180" s="12"/>
      <c r="R180" s="12"/>
    </row>
    <row r="181" customFormat="false" ht="15" hidden="false" customHeight="true" outlineLevel="0" collapsed="false">
      <c r="B181" s="12"/>
      <c r="E181" s="1" t="str">
        <f aca="false">IFERROR((D181-C181)/C181,"")</f>
        <v/>
      </c>
      <c r="H181" s="1" t="str">
        <f aca="false">IFERROR((G181-F181)/F181,"")</f>
        <v/>
      </c>
      <c r="K181" s="1" t="str">
        <f aca="false">IFERROR((J181-I181)/I181,"")</f>
        <v/>
      </c>
      <c r="P181" s="1" t="str">
        <f aca="false">IFERROR((D181-N181)/N181,"")</f>
        <v/>
      </c>
      <c r="Q181" s="12"/>
      <c r="R181" s="12"/>
    </row>
    <row r="182" customFormat="false" ht="15" hidden="false" customHeight="true" outlineLevel="0" collapsed="false">
      <c r="B182" s="12"/>
      <c r="E182" s="1" t="str">
        <f aca="false">IFERROR((D182-C182)/C182,"")</f>
        <v/>
      </c>
      <c r="H182" s="1" t="str">
        <f aca="false">IFERROR((G182-F182)/F182,"")</f>
        <v/>
      </c>
      <c r="K182" s="1" t="str">
        <f aca="false">IFERROR((J182-I182)/I182,"")</f>
        <v/>
      </c>
      <c r="P182" s="1" t="str">
        <f aca="false">IFERROR((D182-N182)/N182,"")</f>
        <v/>
      </c>
      <c r="Q182" s="12"/>
      <c r="R182" s="12"/>
    </row>
    <row r="183" customFormat="false" ht="15" hidden="false" customHeight="true" outlineLevel="0" collapsed="false">
      <c r="B183" s="12"/>
      <c r="E183" s="1" t="str">
        <f aca="false">IFERROR((D183-C183)/C183,"")</f>
        <v/>
      </c>
      <c r="H183" s="1" t="str">
        <f aca="false">IFERROR((G183-F183)/F183,"")</f>
        <v/>
      </c>
      <c r="K183" s="1" t="str">
        <f aca="false">IFERROR((J183-I183)/I183,"")</f>
        <v/>
      </c>
      <c r="P183" s="1" t="str">
        <f aca="false">IFERROR((D183-N183)/N183,"")</f>
        <v/>
      </c>
      <c r="Q183" s="12"/>
      <c r="R183" s="12"/>
    </row>
    <row r="184" customFormat="false" ht="15" hidden="false" customHeight="true" outlineLevel="0" collapsed="false">
      <c r="B184" s="12"/>
      <c r="E184" s="1" t="str">
        <f aca="false">IFERROR((D184-C184)/C184,"")</f>
        <v/>
      </c>
      <c r="H184" s="1" t="str">
        <f aca="false">IFERROR((G184-F184)/F184,"")</f>
        <v/>
      </c>
      <c r="K184" s="1" t="str">
        <f aca="false">IFERROR((J184-I184)/I184,"")</f>
        <v/>
      </c>
      <c r="P184" s="1" t="str">
        <f aca="false">IFERROR((D184-N184)/N184,"")</f>
        <v/>
      </c>
      <c r="Q184" s="12"/>
      <c r="R184" s="12"/>
    </row>
    <row r="185" customFormat="false" ht="15" hidden="false" customHeight="true" outlineLevel="0" collapsed="false">
      <c r="B185" s="12"/>
      <c r="E185" s="1" t="str">
        <f aca="false">IFERROR((D185-C185)/C185,"")</f>
        <v/>
      </c>
      <c r="H185" s="1" t="str">
        <f aca="false">IFERROR((G185-F185)/F185,"")</f>
        <v/>
      </c>
      <c r="K185" s="1" t="str">
        <f aca="false">IFERROR((J185-I185)/I185,"")</f>
        <v/>
      </c>
      <c r="P185" s="1" t="str">
        <f aca="false">IFERROR((D185-N185)/N185,"")</f>
        <v/>
      </c>
      <c r="Q185" s="12"/>
      <c r="R185" s="12"/>
    </row>
    <row r="186" customFormat="false" ht="15" hidden="false" customHeight="true" outlineLevel="0" collapsed="false">
      <c r="B186" s="12"/>
      <c r="E186" s="1" t="str">
        <f aca="false">IFERROR((D186-C186)/C186,"")</f>
        <v/>
      </c>
      <c r="H186" s="1" t="str">
        <f aca="false">IFERROR((G186-F186)/F186,"")</f>
        <v/>
      </c>
      <c r="K186" s="1" t="str">
        <f aca="false">IFERROR((J186-I186)/I186,"")</f>
        <v/>
      </c>
      <c r="P186" s="1" t="str">
        <f aca="false">IFERROR((D186-N186)/N186,"")</f>
        <v/>
      </c>
      <c r="Q186" s="12"/>
      <c r="R186" s="12"/>
    </row>
    <row r="187" customFormat="false" ht="15" hidden="false" customHeight="true" outlineLevel="0" collapsed="false">
      <c r="B187" s="12"/>
      <c r="E187" s="1" t="str">
        <f aca="false">IFERROR((D187-C187)/C187,"")</f>
        <v/>
      </c>
      <c r="H187" s="1" t="str">
        <f aca="false">IFERROR((G187-F187)/F187,"")</f>
        <v/>
      </c>
      <c r="K187" s="1" t="str">
        <f aca="false">IFERROR((J187-I187)/I187,"")</f>
        <v/>
      </c>
      <c r="P187" s="1" t="str">
        <f aca="false">IFERROR((D187-N187)/N187,"")</f>
        <v/>
      </c>
      <c r="Q187" s="12"/>
      <c r="R187" s="12"/>
    </row>
    <row r="188" customFormat="false" ht="15" hidden="false" customHeight="true" outlineLevel="0" collapsed="false">
      <c r="B188" s="12"/>
      <c r="E188" s="1" t="str">
        <f aca="false">IFERROR((D188-C188)/C188,"")</f>
        <v/>
      </c>
      <c r="H188" s="1" t="str">
        <f aca="false">IFERROR((G188-F188)/F188,"")</f>
        <v/>
      </c>
      <c r="K188" s="1" t="str">
        <f aca="false">IFERROR((J188-I188)/I188,"")</f>
        <v/>
      </c>
      <c r="P188" s="1" t="str">
        <f aca="false">IFERROR((D188-N188)/N188,"")</f>
        <v/>
      </c>
      <c r="Q188" s="12"/>
      <c r="R188" s="12"/>
    </row>
    <row r="189" customFormat="false" ht="15" hidden="false" customHeight="true" outlineLevel="0" collapsed="false">
      <c r="B189" s="12"/>
      <c r="E189" s="1" t="str">
        <f aca="false">IFERROR((D189-C189)/C189,"")</f>
        <v/>
      </c>
      <c r="H189" s="1" t="str">
        <f aca="false">IFERROR((G189-F189)/F189,"")</f>
        <v/>
      </c>
      <c r="K189" s="1" t="str">
        <f aca="false">IFERROR((J189-I189)/I189,"")</f>
        <v/>
      </c>
      <c r="P189" s="1" t="str">
        <f aca="false">IFERROR((D189-N189)/N189,"")</f>
        <v/>
      </c>
      <c r="Q189" s="12"/>
      <c r="R189" s="12"/>
    </row>
    <row r="190" customFormat="false" ht="15" hidden="false" customHeight="true" outlineLevel="0" collapsed="false">
      <c r="B190" s="12"/>
      <c r="E190" s="1" t="str">
        <f aca="false">IFERROR((D190-C190)/C190,"")</f>
        <v/>
      </c>
      <c r="H190" s="1" t="str">
        <f aca="false">IFERROR((G190-F190)/F190,"")</f>
        <v/>
      </c>
      <c r="K190" s="1" t="str">
        <f aca="false">IFERROR((J190-I190)/I190,"")</f>
        <v/>
      </c>
      <c r="P190" s="1" t="str">
        <f aca="false">IFERROR((D190-N190)/N190,"")</f>
        <v/>
      </c>
      <c r="Q190" s="12"/>
      <c r="R190" s="12"/>
    </row>
    <row r="191" customFormat="false" ht="15" hidden="false" customHeight="true" outlineLevel="0" collapsed="false">
      <c r="B191" s="12"/>
      <c r="E191" s="1" t="str">
        <f aca="false">IFERROR((D191-C191)/C191,"")</f>
        <v/>
      </c>
      <c r="H191" s="1" t="str">
        <f aca="false">IFERROR((G191-F191)/F191,"")</f>
        <v/>
      </c>
      <c r="K191" s="1" t="str">
        <f aca="false">IFERROR((J191-I191)/I191,"")</f>
        <v/>
      </c>
      <c r="P191" s="1" t="str">
        <f aca="false">IFERROR((D191-N191)/N191,"")</f>
        <v/>
      </c>
      <c r="Q191" s="12"/>
      <c r="R191" s="12"/>
    </row>
    <row r="192" customFormat="false" ht="15" hidden="false" customHeight="true" outlineLevel="0" collapsed="false">
      <c r="B192" s="12"/>
      <c r="E192" s="1" t="str">
        <f aca="false">IFERROR((D192-C192)/C192,"")</f>
        <v/>
      </c>
      <c r="H192" s="1" t="str">
        <f aca="false">IFERROR((G192-F192)/F192,"")</f>
        <v/>
      </c>
      <c r="K192" s="1" t="str">
        <f aca="false">IFERROR((J192-I192)/I192,"")</f>
        <v/>
      </c>
      <c r="P192" s="1" t="str">
        <f aca="false">IFERROR((D192-N192)/N192,"")</f>
        <v/>
      </c>
      <c r="Q192" s="12"/>
      <c r="R192" s="12"/>
    </row>
    <row r="193" customFormat="false" ht="15" hidden="false" customHeight="true" outlineLevel="0" collapsed="false">
      <c r="B193" s="12"/>
      <c r="E193" s="1" t="str">
        <f aca="false">IFERROR((D193-C193)/C193,"")</f>
        <v/>
      </c>
      <c r="H193" s="1" t="str">
        <f aca="false">IFERROR((G193-F193)/F193,"")</f>
        <v/>
      </c>
      <c r="K193" s="1" t="str">
        <f aca="false">IFERROR((J193-I193)/I193,"")</f>
        <v/>
      </c>
      <c r="P193" s="1" t="str">
        <f aca="false">IFERROR((D193-N193)/N193,"")</f>
        <v/>
      </c>
      <c r="Q193" s="12"/>
      <c r="R193" s="12"/>
    </row>
    <row r="194" customFormat="false" ht="15" hidden="false" customHeight="true" outlineLevel="0" collapsed="false">
      <c r="B194" s="12"/>
      <c r="E194" s="1" t="str">
        <f aca="false">IFERROR((D194-C194)/C194,"")</f>
        <v/>
      </c>
      <c r="H194" s="1" t="str">
        <f aca="false">IFERROR((G194-F194)/F194,"")</f>
        <v/>
      </c>
      <c r="K194" s="1" t="str">
        <f aca="false">IFERROR((J194-I194)/I194,"")</f>
        <v/>
      </c>
      <c r="P194" s="1" t="str">
        <f aca="false">IFERROR((D194-N194)/N194,"")</f>
        <v/>
      </c>
      <c r="Q194" s="12"/>
      <c r="R194" s="12"/>
    </row>
    <row r="195" customFormat="false" ht="15" hidden="false" customHeight="true" outlineLevel="0" collapsed="false">
      <c r="B195" s="12"/>
      <c r="E195" s="1" t="str">
        <f aca="false">IFERROR((D195-C195)/C195,"")</f>
        <v/>
      </c>
      <c r="H195" s="1" t="str">
        <f aca="false">IFERROR((G195-F195)/F195,"")</f>
        <v/>
      </c>
      <c r="K195" s="1" t="str">
        <f aca="false">IFERROR((J195-I195)/I195,"")</f>
        <v/>
      </c>
      <c r="P195" s="1" t="str">
        <f aca="false">IFERROR((D195-N195)/N195,"")</f>
        <v/>
      </c>
      <c r="Q195" s="12"/>
      <c r="R195" s="12"/>
    </row>
    <row r="196" customFormat="false" ht="15" hidden="false" customHeight="true" outlineLevel="0" collapsed="false">
      <c r="B196" s="12"/>
      <c r="E196" s="1" t="str">
        <f aca="false">IFERROR((D196-C196)/C196,"")</f>
        <v/>
      </c>
      <c r="H196" s="1" t="str">
        <f aca="false">IFERROR((G196-F196)/F196,"")</f>
        <v/>
      </c>
      <c r="K196" s="1" t="str">
        <f aca="false">IFERROR((J196-I196)/I196,"")</f>
        <v/>
      </c>
      <c r="P196" s="1" t="str">
        <f aca="false">IFERROR((D196-N196)/N196,"")</f>
        <v/>
      </c>
      <c r="Q196" s="12"/>
      <c r="R196" s="12"/>
    </row>
    <row r="197" customFormat="false" ht="15" hidden="false" customHeight="true" outlineLevel="0" collapsed="false">
      <c r="B197" s="12"/>
      <c r="E197" s="1" t="str">
        <f aca="false">IFERROR((D197-C197)/C197,"")</f>
        <v/>
      </c>
      <c r="H197" s="1" t="str">
        <f aca="false">IFERROR((G197-F197)/F197,"")</f>
        <v/>
      </c>
      <c r="K197" s="1" t="str">
        <f aca="false">IFERROR((J197-I197)/I197,"")</f>
        <v/>
      </c>
      <c r="P197" s="1" t="str">
        <f aca="false">IFERROR((D197-N197)/N197,"")</f>
        <v/>
      </c>
      <c r="Q197" s="12"/>
      <c r="R197" s="12"/>
    </row>
    <row r="198" customFormat="false" ht="15" hidden="false" customHeight="true" outlineLevel="0" collapsed="false">
      <c r="B198" s="12"/>
      <c r="E198" s="1" t="str">
        <f aca="false">IFERROR((D198-C198)/C198,"")</f>
        <v/>
      </c>
      <c r="H198" s="1" t="str">
        <f aca="false">IFERROR((G198-F198)/F198,"")</f>
        <v/>
      </c>
      <c r="K198" s="1" t="str">
        <f aca="false">IFERROR((J198-I198)/I198,"")</f>
        <v/>
      </c>
      <c r="P198" s="1" t="str">
        <f aca="false">IFERROR((D198-N198)/N198,"")</f>
        <v/>
      </c>
      <c r="Q198" s="12"/>
      <c r="R198" s="12"/>
    </row>
    <row r="199" customFormat="false" ht="15" hidden="false" customHeight="true" outlineLevel="0" collapsed="false">
      <c r="B199" s="12"/>
      <c r="E199" s="1" t="str">
        <f aca="false">IFERROR((D199-C199)/C199,"")</f>
        <v/>
      </c>
      <c r="H199" s="1" t="str">
        <f aca="false">IFERROR((G199-F199)/F199,"")</f>
        <v/>
      </c>
      <c r="K199" s="1" t="str">
        <f aca="false">IFERROR((J199-I199)/I199,"")</f>
        <v/>
      </c>
      <c r="P199" s="1" t="str">
        <f aca="false">IFERROR((D199-N199)/N199,"")</f>
        <v/>
      </c>
      <c r="Q199" s="12"/>
      <c r="R199" s="12"/>
    </row>
    <row r="200" customFormat="false" ht="15" hidden="false" customHeight="true" outlineLevel="0" collapsed="false">
      <c r="B200" s="12"/>
      <c r="E200" s="1" t="str">
        <f aca="false">IFERROR((D200-C200)/C200,"")</f>
        <v/>
      </c>
      <c r="H200" s="1" t="str">
        <f aca="false">IFERROR((G200-F200)/F200,"")</f>
        <v/>
      </c>
      <c r="K200" s="1" t="str">
        <f aca="false">IFERROR((J200-I200)/I200,"")</f>
        <v/>
      </c>
      <c r="P200" s="1" t="str">
        <f aca="false">IFERROR((D200-N200)/N200,"")</f>
        <v/>
      </c>
      <c r="Q200" s="12"/>
      <c r="R200" s="12"/>
    </row>
    <row r="201" customFormat="false" ht="15" hidden="false" customHeight="true" outlineLevel="0" collapsed="false">
      <c r="B201" s="12"/>
      <c r="E201" s="1" t="str">
        <f aca="false">IFERROR((D201-C201)/C201,"")</f>
        <v/>
      </c>
      <c r="H201" s="1" t="str">
        <f aca="false">IFERROR((G201-F201)/F201,"")</f>
        <v/>
      </c>
      <c r="K201" s="1" t="str">
        <f aca="false">IFERROR((J201-I201)/I201,"")</f>
        <v/>
      </c>
      <c r="P201" s="1" t="str">
        <f aca="false">IFERROR((D201-N201)/N201,"")</f>
        <v/>
      </c>
      <c r="Q201" s="12"/>
      <c r="R201" s="12"/>
    </row>
    <row r="202" customFormat="false" ht="15" hidden="false" customHeight="true" outlineLevel="0" collapsed="false">
      <c r="B202" s="12"/>
      <c r="E202" s="1" t="str">
        <f aca="false">IFERROR((D202-C202)/C202,"")</f>
        <v/>
      </c>
      <c r="H202" s="1" t="str">
        <f aca="false">IFERROR((G202-F202)/F202,"")</f>
        <v/>
      </c>
      <c r="K202" s="1" t="str">
        <f aca="false">IFERROR((J202-I202)/I202,"")</f>
        <v/>
      </c>
      <c r="P202" s="1" t="str">
        <f aca="false">IFERROR((D202-N202)/N202,"")</f>
        <v/>
      </c>
      <c r="Q202" s="12"/>
      <c r="R202" s="12"/>
    </row>
    <row r="203" customFormat="false" ht="15" hidden="false" customHeight="true" outlineLevel="0" collapsed="false">
      <c r="B203" s="12"/>
      <c r="E203" s="1" t="str">
        <f aca="false">IFERROR((D203-C203)/C203,"")</f>
        <v/>
      </c>
      <c r="H203" s="1" t="str">
        <f aca="false">IFERROR((G203-F203)/F203,"")</f>
        <v/>
      </c>
      <c r="K203" s="1" t="str">
        <f aca="false">IFERROR((J203-I203)/I203,"")</f>
        <v/>
      </c>
      <c r="P203" s="1" t="str">
        <f aca="false">IFERROR((D203-N203)/N203,"")</f>
        <v/>
      </c>
      <c r="Q203" s="12"/>
      <c r="R203" s="12"/>
    </row>
    <row r="204" customFormat="false" ht="15" hidden="false" customHeight="true" outlineLevel="0" collapsed="false">
      <c r="B204" s="12"/>
      <c r="E204" s="1" t="str">
        <f aca="false">IFERROR((D204-C204)/C204,"")</f>
        <v/>
      </c>
      <c r="H204" s="1" t="str">
        <f aca="false">IFERROR((G204-F204)/F204,"")</f>
        <v/>
      </c>
      <c r="K204" s="1" t="str">
        <f aca="false">IFERROR((J204-I204)/I204,"")</f>
        <v/>
      </c>
      <c r="P204" s="1" t="str">
        <f aca="false">IFERROR((D204-N204)/N204,"")</f>
        <v/>
      </c>
      <c r="Q204" s="12"/>
      <c r="R204" s="12"/>
    </row>
    <row r="205" customFormat="false" ht="15" hidden="false" customHeight="true" outlineLevel="0" collapsed="false">
      <c r="B205" s="12"/>
      <c r="E205" s="1" t="str">
        <f aca="false">IFERROR((D205-C205)/C205,"")</f>
        <v/>
      </c>
      <c r="H205" s="1" t="str">
        <f aca="false">IFERROR((G205-F205)/F205,"")</f>
        <v/>
      </c>
      <c r="K205" s="1" t="str">
        <f aca="false">IFERROR((J205-I205)/I205,"")</f>
        <v/>
      </c>
      <c r="P205" s="1" t="str">
        <f aca="false">IFERROR((D205-N205)/N205,"")</f>
        <v/>
      </c>
      <c r="Q205" s="12"/>
      <c r="R205" s="12"/>
    </row>
    <row r="206" customFormat="false" ht="15" hidden="false" customHeight="true" outlineLevel="0" collapsed="false">
      <c r="B206" s="12"/>
      <c r="E206" s="1" t="str">
        <f aca="false">IFERROR((D206-C206)/C206,"")</f>
        <v/>
      </c>
      <c r="H206" s="1" t="str">
        <f aca="false">IFERROR((G206-F206)/F206,"")</f>
        <v/>
      </c>
      <c r="K206" s="1" t="str">
        <f aca="false">IFERROR((J206-I206)/I206,"")</f>
        <v/>
      </c>
      <c r="P206" s="1" t="str">
        <f aca="false">IFERROR((D206-N206)/N206,"")</f>
        <v/>
      </c>
      <c r="Q206" s="12"/>
      <c r="R206" s="12"/>
    </row>
    <row r="207" customFormat="false" ht="15" hidden="false" customHeight="true" outlineLevel="0" collapsed="false">
      <c r="B207" s="12"/>
      <c r="E207" s="1" t="str">
        <f aca="false">IFERROR((D207-C207)/C207,"")</f>
        <v/>
      </c>
      <c r="H207" s="1" t="str">
        <f aca="false">IFERROR((G207-F207)/F207,"")</f>
        <v/>
      </c>
      <c r="K207" s="1" t="str">
        <f aca="false">IFERROR((J207-I207)/I207,"")</f>
        <v/>
      </c>
      <c r="P207" s="1" t="str">
        <f aca="false">IFERROR((D207-N207)/N207,"")</f>
        <v/>
      </c>
      <c r="Q207" s="12"/>
      <c r="R207" s="12"/>
    </row>
    <row r="208" customFormat="false" ht="15" hidden="false" customHeight="true" outlineLevel="0" collapsed="false">
      <c r="B208" s="12"/>
      <c r="E208" s="1" t="str">
        <f aca="false">IFERROR((D208-C208)/C208,"")</f>
        <v/>
      </c>
      <c r="H208" s="1" t="str">
        <f aca="false">IFERROR((G208-F208)/F208,"")</f>
        <v/>
      </c>
      <c r="K208" s="1" t="str">
        <f aca="false">IFERROR((J208-I208)/I208,"")</f>
        <v/>
      </c>
      <c r="P208" s="1" t="str">
        <f aca="false">IFERROR((D208-N208)/N208,"")</f>
        <v/>
      </c>
      <c r="Q208" s="12"/>
      <c r="R208" s="12"/>
    </row>
    <row r="209" customFormat="false" ht="15" hidden="false" customHeight="true" outlineLevel="0" collapsed="false">
      <c r="B209" s="12"/>
      <c r="E209" s="1" t="str">
        <f aca="false">IFERROR((D209-C209)/C209,"")</f>
        <v/>
      </c>
      <c r="H209" s="1" t="str">
        <f aca="false">IFERROR((G209-F209)/F209,"")</f>
        <v/>
      </c>
      <c r="K209" s="1" t="str">
        <f aca="false">IFERROR((J209-I209)/I209,"")</f>
        <v/>
      </c>
      <c r="P209" s="1" t="str">
        <f aca="false">IFERROR((D209-N209)/N209,"")</f>
        <v/>
      </c>
      <c r="Q209" s="12"/>
      <c r="R209" s="12"/>
    </row>
    <row r="210" customFormat="false" ht="15" hidden="false" customHeight="true" outlineLevel="0" collapsed="false">
      <c r="B210" s="12"/>
      <c r="E210" s="1" t="str">
        <f aca="false">IFERROR((D210-C210)/C210,"")</f>
        <v/>
      </c>
      <c r="H210" s="1" t="str">
        <f aca="false">IFERROR((G210-F210)/F210,"")</f>
        <v/>
      </c>
      <c r="K210" s="1" t="str">
        <f aca="false">IFERROR((J210-I210)/I210,"")</f>
        <v/>
      </c>
      <c r="P210" s="1" t="str">
        <f aca="false">IFERROR((D210-N210)/N210,"")</f>
        <v/>
      </c>
      <c r="Q210" s="12"/>
      <c r="R210" s="12"/>
    </row>
    <row r="211" customFormat="false" ht="15" hidden="false" customHeight="true" outlineLevel="0" collapsed="false">
      <c r="B211" s="12"/>
      <c r="E211" s="1" t="str">
        <f aca="false">IFERROR((D211-C211)/C211,"")</f>
        <v/>
      </c>
      <c r="H211" s="1" t="str">
        <f aca="false">IFERROR((G211-F211)/F211,"")</f>
        <v/>
      </c>
      <c r="K211" s="1" t="str">
        <f aca="false">IFERROR((J211-I211)/I211,"")</f>
        <v/>
      </c>
      <c r="P211" s="1" t="str">
        <f aca="false">IFERROR((D211-N211)/N211,"")</f>
        <v/>
      </c>
      <c r="Q211" s="12"/>
      <c r="R211" s="12"/>
    </row>
    <row r="212" customFormat="false" ht="15" hidden="false" customHeight="true" outlineLevel="0" collapsed="false">
      <c r="B212" s="12"/>
      <c r="E212" s="1" t="str">
        <f aca="false">IFERROR((D212-C212)/C212,"")</f>
        <v/>
      </c>
      <c r="H212" s="1" t="str">
        <f aca="false">IFERROR((G212-F212)/F212,"")</f>
        <v/>
      </c>
      <c r="K212" s="1" t="str">
        <f aca="false">IFERROR((J212-I212)/I212,"")</f>
        <v/>
      </c>
      <c r="P212" s="1" t="str">
        <f aca="false">IFERROR((D212-N212)/N212,"")</f>
        <v/>
      </c>
      <c r="Q212" s="12"/>
      <c r="R212" s="12"/>
    </row>
    <row r="213" customFormat="false" ht="15" hidden="false" customHeight="true" outlineLevel="0" collapsed="false">
      <c r="B213" s="12"/>
      <c r="E213" s="1" t="str">
        <f aca="false">IFERROR((D213-C213)/C213,"")</f>
        <v/>
      </c>
      <c r="H213" s="1" t="str">
        <f aca="false">IFERROR((G213-F213)/F213,"")</f>
        <v/>
      </c>
      <c r="K213" s="1" t="str">
        <f aca="false">IFERROR((J213-I213)/I213,"")</f>
        <v/>
      </c>
      <c r="P213" s="1" t="str">
        <f aca="false">IFERROR((D213-N213)/N213,"")</f>
        <v/>
      </c>
      <c r="Q213" s="12"/>
      <c r="R213" s="12"/>
    </row>
    <row r="214" customFormat="false" ht="15" hidden="false" customHeight="true" outlineLevel="0" collapsed="false">
      <c r="B214" s="12"/>
      <c r="E214" s="1" t="str">
        <f aca="false">IFERROR((D214-C214)/C214,"")</f>
        <v/>
      </c>
      <c r="H214" s="1" t="str">
        <f aca="false">IFERROR((G214-F214)/F214,"")</f>
        <v/>
      </c>
      <c r="K214" s="1" t="str">
        <f aca="false">IFERROR((J214-I214)/I214,"")</f>
        <v/>
      </c>
      <c r="P214" s="1" t="str">
        <f aca="false">IFERROR((D214-N214)/N214,"")</f>
        <v/>
      </c>
      <c r="Q214" s="12"/>
      <c r="R214" s="12"/>
    </row>
    <row r="215" customFormat="false" ht="15" hidden="false" customHeight="true" outlineLevel="0" collapsed="false">
      <c r="B215" s="12"/>
      <c r="E215" s="1" t="str">
        <f aca="false">IFERROR((D215-C215)/C215,"")</f>
        <v/>
      </c>
      <c r="H215" s="1" t="str">
        <f aca="false">IFERROR((G215-F215)/F215,"")</f>
        <v/>
      </c>
      <c r="K215" s="1" t="str">
        <f aca="false">IFERROR((J215-I215)/I215,"")</f>
        <v/>
      </c>
      <c r="P215" s="1" t="str">
        <f aca="false">IFERROR((D215-N215)/N215,"")</f>
        <v/>
      </c>
      <c r="Q215" s="12"/>
      <c r="R215" s="12"/>
    </row>
    <row r="216" customFormat="false" ht="15" hidden="false" customHeight="true" outlineLevel="0" collapsed="false">
      <c r="B216" s="12"/>
      <c r="E216" s="1" t="str">
        <f aca="false">IFERROR((D216-C216)/C216,"")</f>
        <v/>
      </c>
      <c r="H216" s="1" t="str">
        <f aca="false">IFERROR((G216-F216)/F216,"")</f>
        <v/>
      </c>
      <c r="K216" s="1" t="str">
        <f aca="false">IFERROR((J216-I216)/I216,"")</f>
        <v/>
      </c>
      <c r="P216" s="1" t="str">
        <f aca="false">IFERROR((D216-N216)/N216,"")</f>
        <v/>
      </c>
      <c r="Q216" s="12"/>
      <c r="R216" s="12"/>
    </row>
    <row r="217" customFormat="false" ht="15" hidden="false" customHeight="true" outlineLevel="0" collapsed="false">
      <c r="B217" s="12"/>
      <c r="E217" s="1" t="str">
        <f aca="false">IFERROR((D217-C217)/C217,"")</f>
        <v/>
      </c>
      <c r="H217" s="1" t="str">
        <f aca="false">IFERROR((G217-F217)/F217,"")</f>
        <v/>
      </c>
      <c r="K217" s="1" t="str">
        <f aca="false">IFERROR((J217-I217)/I217,"")</f>
        <v/>
      </c>
      <c r="P217" s="1" t="str">
        <f aca="false">IFERROR((D217-N217)/N217,"")</f>
        <v/>
      </c>
      <c r="Q217" s="12"/>
      <c r="R217" s="12"/>
    </row>
    <row r="218" customFormat="false" ht="15" hidden="false" customHeight="true" outlineLevel="0" collapsed="false">
      <c r="B218" s="12"/>
      <c r="E218" s="1" t="str">
        <f aca="false">IFERROR((D218-C218)/C218,"")</f>
        <v/>
      </c>
      <c r="H218" s="1" t="str">
        <f aca="false">IFERROR((G218-F218)/F218,"")</f>
        <v/>
      </c>
      <c r="K218" s="1" t="str">
        <f aca="false">IFERROR((J218-I218)/I218,"")</f>
        <v/>
      </c>
      <c r="P218" s="1" t="str">
        <f aca="false">IFERROR((D218-N218)/N218,"")</f>
        <v/>
      </c>
      <c r="Q218" s="12"/>
      <c r="R218" s="12"/>
    </row>
    <row r="219" customFormat="false" ht="15" hidden="false" customHeight="true" outlineLevel="0" collapsed="false">
      <c r="B219" s="12"/>
      <c r="E219" s="1" t="str">
        <f aca="false">IFERROR((D219-C219)/C219,"")</f>
        <v/>
      </c>
      <c r="H219" s="1" t="str">
        <f aca="false">IFERROR((G219-F219)/F219,"")</f>
        <v/>
      </c>
      <c r="K219" s="1" t="str">
        <f aca="false">IFERROR((J219-I219)/I219,"")</f>
        <v/>
      </c>
      <c r="P219" s="1" t="str">
        <f aca="false">IFERROR((D219-N219)/N219,"")</f>
        <v/>
      </c>
      <c r="Q219" s="12"/>
      <c r="R219" s="12"/>
    </row>
    <row r="220" customFormat="false" ht="15" hidden="false" customHeight="true" outlineLevel="0" collapsed="false">
      <c r="B220" s="12"/>
      <c r="E220" s="1" t="str">
        <f aca="false">IFERROR((D220-C220)/C220,"")</f>
        <v/>
      </c>
      <c r="H220" s="1" t="str">
        <f aca="false">IFERROR((G220-F220)/F220,"")</f>
        <v/>
      </c>
      <c r="K220" s="1" t="str">
        <f aca="false">IFERROR((J220-I220)/I220,"")</f>
        <v/>
      </c>
      <c r="P220" s="1" t="str">
        <f aca="false">IFERROR((D220-N220)/N220,"")</f>
        <v/>
      </c>
      <c r="Q220" s="12"/>
      <c r="R220" s="12"/>
    </row>
    <row r="221" customFormat="false" ht="15" hidden="false" customHeight="true" outlineLevel="0" collapsed="false">
      <c r="B221" s="12"/>
      <c r="E221" s="1" t="str">
        <f aca="false">IFERROR((D221-C221)/C221,"")</f>
        <v/>
      </c>
      <c r="H221" s="1" t="str">
        <f aca="false">IFERROR((G221-F221)/F221,"")</f>
        <v/>
      </c>
      <c r="K221" s="1" t="str">
        <f aca="false">IFERROR((J221-I221)/I221,"")</f>
        <v/>
      </c>
      <c r="P221" s="1" t="str">
        <f aca="false">IFERROR((D221-N221)/N221,"")</f>
        <v/>
      </c>
      <c r="Q221" s="12"/>
      <c r="R221" s="12"/>
    </row>
    <row r="222" customFormat="false" ht="15" hidden="false" customHeight="true" outlineLevel="0" collapsed="false">
      <c r="B222" s="12"/>
      <c r="E222" s="1" t="str">
        <f aca="false">IFERROR((D222-C222)/C222,"")</f>
        <v/>
      </c>
      <c r="H222" s="1" t="str">
        <f aca="false">IFERROR((G222-F222)/F222,"")</f>
        <v/>
      </c>
      <c r="K222" s="1" t="str">
        <f aca="false">IFERROR((J222-I222)/I222,"")</f>
        <v/>
      </c>
      <c r="P222" s="1" t="str">
        <f aca="false">IFERROR((D222-N222)/N222,"")</f>
        <v/>
      </c>
      <c r="Q222" s="12"/>
      <c r="R222" s="12"/>
    </row>
    <row r="223" customFormat="false" ht="15" hidden="false" customHeight="true" outlineLevel="0" collapsed="false">
      <c r="B223" s="12"/>
      <c r="E223" s="1" t="str">
        <f aca="false">IFERROR((D223-C223)/C223,"")</f>
        <v/>
      </c>
      <c r="H223" s="1" t="str">
        <f aca="false">IFERROR((G223-F223)/F223,"")</f>
        <v/>
      </c>
      <c r="K223" s="1" t="str">
        <f aca="false">IFERROR((J223-I223)/I223,"")</f>
        <v/>
      </c>
      <c r="P223" s="1" t="str">
        <f aca="false">IFERROR((D223-N223)/N223,"")</f>
        <v/>
      </c>
      <c r="Q223" s="12"/>
      <c r="R223" s="12"/>
    </row>
    <row r="224" customFormat="false" ht="15" hidden="false" customHeight="true" outlineLevel="0" collapsed="false">
      <c r="B224" s="12"/>
      <c r="E224" s="1" t="str">
        <f aca="false">IFERROR((D224-C224)/C224,"")</f>
        <v/>
      </c>
      <c r="H224" s="1" t="str">
        <f aca="false">IFERROR((G224-F224)/F224,"")</f>
        <v/>
      </c>
      <c r="K224" s="1" t="str">
        <f aca="false">IFERROR((J224-I224)/I224,"")</f>
        <v/>
      </c>
      <c r="P224" s="1" t="str">
        <f aca="false">IFERROR((D224-N224)/N224,"")</f>
        <v/>
      </c>
      <c r="Q224" s="12"/>
      <c r="R224" s="12"/>
    </row>
    <row r="225" customFormat="false" ht="15" hidden="false" customHeight="true" outlineLevel="0" collapsed="false">
      <c r="B225" s="12"/>
      <c r="E225" s="1" t="str">
        <f aca="false">IFERROR((D225-C225)/C225,"")</f>
        <v/>
      </c>
      <c r="H225" s="1" t="str">
        <f aca="false">IFERROR((G225-F225)/F225,"")</f>
        <v/>
      </c>
      <c r="K225" s="1" t="str">
        <f aca="false">IFERROR((J225-I225)/I225,"")</f>
        <v/>
      </c>
      <c r="P225" s="1" t="str">
        <f aca="false">IFERROR((D225-N225)/N225,"")</f>
        <v/>
      </c>
      <c r="Q225" s="12"/>
      <c r="R225" s="12"/>
    </row>
    <row r="226" customFormat="false" ht="15" hidden="false" customHeight="true" outlineLevel="0" collapsed="false">
      <c r="B226" s="12"/>
      <c r="E226" s="1" t="str">
        <f aca="false">IFERROR((D226-C226)/C226,"")</f>
        <v/>
      </c>
      <c r="H226" s="1" t="str">
        <f aca="false">IFERROR((G226-F226)/F226,"")</f>
        <v/>
      </c>
      <c r="K226" s="1" t="str">
        <f aca="false">IFERROR((J226-I226)/I226,"")</f>
        <v/>
      </c>
      <c r="P226" s="1" t="str">
        <f aca="false">IFERROR((D226-N226)/N226,"")</f>
        <v/>
      </c>
      <c r="Q226" s="12"/>
      <c r="R226" s="12"/>
    </row>
    <row r="227" customFormat="false" ht="15" hidden="false" customHeight="true" outlineLevel="0" collapsed="false">
      <c r="B227" s="12"/>
      <c r="E227" s="1" t="str">
        <f aca="false">IFERROR((D227-C227)/C227,"")</f>
        <v/>
      </c>
      <c r="H227" s="1" t="str">
        <f aca="false">IFERROR((G227-F227)/F227,"")</f>
        <v/>
      </c>
      <c r="K227" s="1" t="str">
        <f aca="false">IFERROR((J227-I227)/I227,"")</f>
        <v/>
      </c>
      <c r="P227" s="1" t="str">
        <f aca="false">IFERROR((D227-N227)/N227,"")</f>
        <v/>
      </c>
      <c r="Q227" s="12"/>
      <c r="R227" s="12"/>
    </row>
    <row r="228" customFormat="false" ht="15" hidden="false" customHeight="true" outlineLevel="0" collapsed="false">
      <c r="B228" s="12"/>
      <c r="E228" s="1" t="str">
        <f aca="false">IFERROR((D228-C228)/C228,"")</f>
        <v/>
      </c>
      <c r="H228" s="1" t="str">
        <f aca="false">IFERROR((G228-F228)/F228,"")</f>
        <v/>
      </c>
      <c r="K228" s="1" t="str">
        <f aca="false">IFERROR((J228-I228)/I228,"")</f>
        <v/>
      </c>
      <c r="P228" s="1" t="str">
        <f aca="false">IFERROR((D228-N228)/N228,"")</f>
        <v/>
      </c>
      <c r="Q228" s="12"/>
      <c r="R228" s="12"/>
    </row>
    <row r="229" customFormat="false" ht="15" hidden="false" customHeight="true" outlineLevel="0" collapsed="false">
      <c r="B229" s="12"/>
      <c r="E229" s="1" t="str">
        <f aca="false">IFERROR((D229-C229)/C229,"")</f>
        <v/>
      </c>
      <c r="H229" s="1" t="str">
        <f aca="false">IFERROR((G229-F229)/F229,"")</f>
        <v/>
      </c>
      <c r="K229" s="1" t="str">
        <f aca="false">IFERROR((J229-I229)/I229,"")</f>
        <v/>
      </c>
      <c r="P229" s="1" t="str">
        <f aca="false">IFERROR((D229-N229)/N229,"")</f>
        <v/>
      </c>
      <c r="Q229" s="12"/>
      <c r="R229" s="12"/>
    </row>
    <row r="230" customFormat="false" ht="15" hidden="false" customHeight="true" outlineLevel="0" collapsed="false">
      <c r="B230" s="12"/>
      <c r="E230" s="1" t="str">
        <f aca="false">IFERROR((D230-C230)/C230,"")</f>
        <v/>
      </c>
      <c r="H230" s="1" t="str">
        <f aca="false">IFERROR((G230-F230)/F230,"")</f>
        <v/>
      </c>
      <c r="K230" s="1" t="str">
        <f aca="false">IFERROR((J230-I230)/I230,"")</f>
        <v/>
      </c>
      <c r="P230" s="1" t="str">
        <f aca="false">IFERROR((D230-N230)/N230,"")</f>
        <v/>
      </c>
      <c r="Q230" s="12"/>
      <c r="R230" s="12"/>
    </row>
    <row r="231" customFormat="false" ht="15" hidden="false" customHeight="true" outlineLevel="0" collapsed="false">
      <c r="B231" s="12"/>
      <c r="E231" s="1" t="str">
        <f aca="false">IFERROR((D231-C231)/C231,"")</f>
        <v/>
      </c>
      <c r="H231" s="1" t="str">
        <f aca="false">IFERROR((G231-F231)/F231,"")</f>
        <v/>
      </c>
      <c r="K231" s="1" t="str">
        <f aca="false">IFERROR((J231-I231)/I231,"")</f>
        <v/>
      </c>
      <c r="P231" s="1" t="str">
        <f aca="false">IFERROR((D231-N231)/N231,"")</f>
        <v/>
      </c>
      <c r="Q231" s="12"/>
      <c r="R231" s="12"/>
    </row>
    <row r="232" customFormat="false" ht="15" hidden="false" customHeight="true" outlineLevel="0" collapsed="false">
      <c r="B232" s="12"/>
      <c r="E232" s="1" t="str">
        <f aca="false">IFERROR((D232-C232)/C232,"")</f>
        <v/>
      </c>
      <c r="H232" s="1" t="str">
        <f aca="false">IFERROR((G232-F232)/F232,"")</f>
        <v/>
      </c>
      <c r="K232" s="1" t="str">
        <f aca="false">IFERROR((J232-I232)/I232,"")</f>
        <v/>
      </c>
      <c r="P232" s="1" t="str">
        <f aca="false">IFERROR((D232-N232)/N232,"")</f>
        <v/>
      </c>
      <c r="Q232" s="12"/>
      <c r="R232" s="12"/>
    </row>
    <row r="233" customFormat="false" ht="15" hidden="false" customHeight="true" outlineLevel="0" collapsed="false">
      <c r="B233" s="12"/>
      <c r="E233" s="1" t="str">
        <f aca="false">IFERROR((D233-C233)/C233,"")</f>
        <v/>
      </c>
      <c r="H233" s="1" t="str">
        <f aca="false">IFERROR((G233-F233)/F233,"")</f>
        <v/>
      </c>
      <c r="K233" s="1" t="str">
        <f aca="false">IFERROR((J233-I233)/I233,"")</f>
        <v/>
      </c>
      <c r="P233" s="1" t="str">
        <f aca="false">IFERROR((D233-N233)/N233,"")</f>
        <v/>
      </c>
      <c r="Q233" s="12"/>
      <c r="R233" s="12"/>
    </row>
    <row r="234" customFormat="false" ht="15" hidden="false" customHeight="true" outlineLevel="0" collapsed="false">
      <c r="B234" s="12"/>
      <c r="E234" s="1" t="str">
        <f aca="false">IFERROR((D234-C234)/C234,"")</f>
        <v/>
      </c>
      <c r="H234" s="1" t="str">
        <f aca="false">IFERROR((G234-F234)/F234,"")</f>
        <v/>
      </c>
      <c r="K234" s="1" t="str">
        <f aca="false">IFERROR((J234-I234)/I234,"")</f>
        <v/>
      </c>
      <c r="P234" s="1" t="str">
        <f aca="false">IFERROR((D234-N234)/N234,"")</f>
        <v/>
      </c>
      <c r="Q234" s="12"/>
      <c r="R234" s="12"/>
    </row>
    <row r="235" customFormat="false" ht="15" hidden="false" customHeight="true" outlineLevel="0" collapsed="false">
      <c r="B235" s="12"/>
      <c r="E235" s="1" t="str">
        <f aca="false">IFERROR((D235-C235)/C235,"")</f>
        <v/>
      </c>
      <c r="H235" s="1" t="str">
        <f aca="false">IFERROR((G235-F235)/F235,"")</f>
        <v/>
      </c>
      <c r="K235" s="1" t="str">
        <f aca="false">IFERROR((J235-I235)/I235,"")</f>
        <v/>
      </c>
      <c r="P235" s="1" t="str">
        <f aca="false">IFERROR((D235-N235)/N235,"")</f>
        <v/>
      </c>
      <c r="Q235" s="12"/>
      <c r="R235" s="12"/>
    </row>
    <row r="236" customFormat="false" ht="15" hidden="false" customHeight="true" outlineLevel="0" collapsed="false">
      <c r="B236" s="12"/>
      <c r="E236" s="1" t="str">
        <f aca="false">IFERROR((D236-C236)/C236,"")</f>
        <v/>
      </c>
      <c r="H236" s="1" t="str">
        <f aca="false">IFERROR((G236-F236)/F236,"")</f>
        <v/>
      </c>
      <c r="K236" s="1" t="str">
        <f aca="false">IFERROR((J236-I236)/I236,"")</f>
        <v/>
      </c>
      <c r="P236" s="1" t="str">
        <f aca="false">IFERROR((D236-N236)/N236,"")</f>
        <v/>
      </c>
      <c r="Q236" s="12"/>
      <c r="R236" s="12"/>
    </row>
    <row r="237" customFormat="false" ht="15" hidden="false" customHeight="true" outlineLevel="0" collapsed="false">
      <c r="B237" s="12"/>
      <c r="E237" s="1" t="str">
        <f aca="false">IFERROR((D237-C237)/C237,"")</f>
        <v/>
      </c>
      <c r="H237" s="1" t="str">
        <f aca="false">IFERROR((G237-F237)/F237,"")</f>
        <v/>
      </c>
      <c r="K237" s="1" t="str">
        <f aca="false">IFERROR((J237-I237)/I237,"")</f>
        <v/>
      </c>
      <c r="P237" s="1" t="str">
        <f aca="false">IFERROR((D237-N237)/N237,"")</f>
        <v/>
      </c>
      <c r="Q237" s="12"/>
      <c r="R237" s="12"/>
    </row>
    <row r="238" customFormat="false" ht="15" hidden="false" customHeight="true" outlineLevel="0" collapsed="false">
      <c r="B238" s="12"/>
      <c r="E238" s="1" t="str">
        <f aca="false">IFERROR((D238-C238)/C238,"")</f>
        <v/>
      </c>
      <c r="H238" s="1" t="str">
        <f aca="false">IFERROR((G238-F238)/F238,"")</f>
        <v/>
      </c>
      <c r="K238" s="1" t="str">
        <f aca="false">IFERROR((J238-I238)/I238,"")</f>
        <v/>
      </c>
      <c r="P238" s="1" t="str">
        <f aca="false">IFERROR((D238-N238)/N238,"")</f>
        <v/>
      </c>
      <c r="Q238" s="12"/>
      <c r="R238" s="12"/>
    </row>
    <row r="239" customFormat="false" ht="15" hidden="false" customHeight="true" outlineLevel="0" collapsed="false">
      <c r="B239" s="12"/>
      <c r="E239" s="1" t="str">
        <f aca="false">IFERROR((D239-C239)/C239,"")</f>
        <v/>
      </c>
      <c r="H239" s="1" t="str">
        <f aca="false">IFERROR((G239-F239)/F239,"")</f>
        <v/>
      </c>
      <c r="K239" s="1" t="str">
        <f aca="false">IFERROR((J239-I239)/I239,"")</f>
        <v/>
      </c>
      <c r="P239" s="1" t="str">
        <f aca="false">IFERROR((D239-N239)/N239,"")</f>
        <v/>
      </c>
      <c r="Q239" s="12"/>
      <c r="R239" s="12"/>
    </row>
    <row r="240" customFormat="false" ht="15" hidden="false" customHeight="true" outlineLevel="0" collapsed="false">
      <c r="B240" s="12"/>
      <c r="E240" s="1" t="str">
        <f aca="false">IFERROR((D240-C240)/C240,"")</f>
        <v/>
      </c>
      <c r="H240" s="1" t="str">
        <f aca="false">IFERROR((G240-F240)/F240,"")</f>
        <v/>
      </c>
      <c r="K240" s="1" t="str">
        <f aca="false">IFERROR((J240-I240)/I240,"")</f>
        <v/>
      </c>
      <c r="P240" s="1" t="str">
        <f aca="false">IFERROR((D240-N240)/N240,"")</f>
        <v/>
      </c>
      <c r="Q240" s="12"/>
      <c r="R240" s="12"/>
    </row>
    <row r="241" customFormat="false" ht="15" hidden="false" customHeight="true" outlineLevel="0" collapsed="false">
      <c r="B241" s="12"/>
      <c r="E241" s="1" t="str">
        <f aca="false">IFERROR((D241-C241)/C241,"")</f>
        <v/>
      </c>
      <c r="H241" s="1" t="str">
        <f aca="false">IFERROR((G241-F241)/F241,"")</f>
        <v/>
      </c>
      <c r="K241" s="1" t="str">
        <f aca="false">IFERROR((J241-I241)/I241,"")</f>
        <v/>
      </c>
      <c r="P241" s="1" t="str">
        <f aca="false">IFERROR((D241-N241)/N241,"")</f>
        <v/>
      </c>
      <c r="Q241" s="12"/>
      <c r="R241" s="12"/>
    </row>
    <row r="242" customFormat="false" ht="15" hidden="false" customHeight="true" outlineLevel="0" collapsed="false">
      <c r="B242" s="12"/>
      <c r="E242" s="1" t="str">
        <f aca="false">IFERROR((D242-C242)/C242,"")</f>
        <v/>
      </c>
      <c r="H242" s="1" t="str">
        <f aca="false">IFERROR((G242-F242)/F242,"")</f>
        <v/>
      </c>
      <c r="K242" s="1" t="str">
        <f aca="false">IFERROR((J242-I242)/I242,"")</f>
        <v/>
      </c>
      <c r="P242" s="1" t="str">
        <f aca="false">IFERROR((D242-N242)/N242,"")</f>
        <v/>
      </c>
      <c r="Q242" s="12"/>
      <c r="R242" s="12"/>
    </row>
    <row r="243" customFormat="false" ht="15" hidden="false" customHeight="true" outlineLevel="0" collapsed="false">
      <c r="B243" s="12"/>
      <c r="E243" s="1" t="str">
        <f aca="false">IFERROR((D243-C243)/C243,"")</f>
        <v/>
      </c>
      <c r="H243" s="1" t="str">
        <f aca="false">IFERROR((G243-F243)/F243,"")</f>
        <v/>
      </c>
      <c r="K243" s="1" t="str">
        <f aca="false">IFERROR((J243-I243)/I243,"")</f>
        <v/>
      </c>
      <c r="P243" s="1" t="str">
        <f aca="false">IFERROR((D243-N243)/N243,"")</f>
        <v/>
      </c>
      <c r="Q243" s="12"/>
      <c r="R243" s="12"/>
    </row>
    <row r="244" customFormat="false" ht="15" hidden="false" customHeight="true" outlineLevel="0" collapsed="false">
      <c r="B244" s="12"/>
      <c r="E244" s="1" t="str">
        <f aca="false">IFERROR((D244-C244)/C244,"")</f>
        <v/>
      </c>
      <c r="H244" s="1" t="str">
        <f aca="false">IFERROR((G244-F244)/F244,"")</f>
        <v/>
      </c>
      <c r="K244" s="1" t="str">
        <f aca="false">IFERROR((J244-I244)/I244,"")</f>
        <v/>
      </c>
      <c r="P244" s="1" t="str">
        <f aca="false">IFERROR((D244-N244)/N244,"")</f>
        <v/>
      </c>
      <c r="Q244" s="12"/>
      <c r="R244" s="12"/>
    </row>
    <row r="245" customFormat="false" ht="15" hidden="false" customHeight="true" outlineLevel="0" collapsed="false">
      <c r="B245" s="12"/>
      <c r="E245" s="1" t="str">
        <f aca="false">IFERROR((D245-C245)/C245,"")</f>
        <v/>
      </c>
      <c r="H245" s="1" t="str">
        <f aca="false">IFERROR((G245-F245)/F245,"")</f>
        <v/>
      </c>
      <c r="K245" s="1" t="str">
        <f aca="false">IFERROR((J245-I245)/I245,"")</f>
        <v/>
      </c>
      <c r="P245" s="1" t="str">
        <f aca="false">IFERROR((D245-N245)/N245,"")</f>
        <v/>
      </c>
      <c r="Q245" s="12"/>
      <c r="R245" s="12"/>
    </row>
    <row r="246" customFormat="false" ht="15" hidden="false" customHeight="true" outlineLevel="0" collapsed="false">
      <c r="B246" s="12"/>
      <c r="E246" s="1" t="str">
        <f aca="false">IFERROR((D246-C246)/C246,"")</f>
        <v/>
      </c>
      <c r="H246" s="1" t="str">
        <f aca="false">IFERROR((G246-F246)/F246,"")</f>
        <v/>
      </c>
      <c r="K246" s="1" t="str">
        <f aca="false">IFERROR((J246-I246)/I246,"")</f>
        <v/>
      </c>
      <c r="P246" s="1" t="str">
        <f aca="false">IFERROR((D246-N246)/N246,"")</f>
        <v/>
      </c>
      <c r="Q246" s="12"/>
      <c r="R246" s="12"/>
    </row>
    <row r="247" customFormat="false" ht="15" hidden="false" customHeight="true" outlineLevel="0" collapsed="false">
      <c r="B247" s="12"/>
      <c r="E247" s="1" t="str">
        <f aca="false">IFERROR((D247-C247)/C247,"")</f>
        <v/>
      </c>
      <c r="H247" s="1" t="str">
        <f aca="false">IFERROR((G247-F247)/F247,"")</f>
        <v/>
      </c>
      <c r="K247" s="1" t="str">
        <f aca="false">IFERROR((J247-I247)/I247,"")</f>
        <v/>
      </c>
      <c r="P247" s="1" t="str">
        <f aca="false">IFERROR((D247-N247)/N247,"")</f>
        <v/>
      </c>
      <c r="Q247" s="12"/>
      <c r="R247" s="12"/>
    </row>
    <row r="248" customFormat="false" ht="15" hidden="false" customHeight="true" outlineLevel="0" collapsed="false">
      <c r="B248" s="12"/>
      <c r="E248" s="1" t="str">
        <f aca="false">IFERROR((D248-C248)/C248,"")</f>
        <v/>
      </c>
      <c r="H248" s="1" t="str">
        <f aca="false">IFERROR((G248-F248)/F248,"")</f>
        <v/>
      </c>
      <c r="K248" s="1" t="str">
        <f aca="false">IFERROR((J248-I248)/I248,"")</f>
        <v/>
      </c>
      <c r="P248" s="1" t="str">
        <f aca="false">IFERROR((D248-N248)/N248,"")</f>
        <v/>
      </c>
      <c r="Q248" s="12"/>
      <c r="R248" s="12"/>
    </row>
    <row r="249" customFormat="false" ht="15" hidden="false" customHeight="true" outlineLevel="0" collapsed="false">
      <c r="B249" s="12"/>
      <c r="E249" s="1" t="str">
        <f aca="false">IFERROR((D249-C249)/C249,"")</f>
        <v/>
      </c>
      <c r="H249" s="1" t="str">
        <f aca="false">IFERROR((G249-F249)/F249,"")</f>
        <v/>
      </c>
      <c r="K249" s="1" t="str">
        <f aca="false">IFERROR((J249-I249)/I249,"")</f>
        <v/>
      </c>
      <c r="P249" s="1" t="str">
        <f aca="false">IFERROR((D249-N249)/N249,"")</f>
        <v/>
      </c>
      <c r="Q249" s="12"/>
      <c r="R249" s="12"/>
    </row>
    <row r="250" customFormat="false" ht="15" hidden="false" customHeight="true" outlineLevel="0" collapsed="false">
      <c r="B250" s="12"/>
      <c r="E250" s="1" t="str">
        <f aca="false">IFERROR((D250-C250)/C250,"")</f>
        <v/>
      </c>
      <c r="H250" s="1" t="str">
        <f aca="false">IFERROR((G250-F250)/F250,"")</f>
        <v/>
      </c>
      <c r="K250" s="1" t="str">
        <f aca="false">IFERROR((J250-I250)/I250,"")</f>
        <v/>
      </c>
      <c r="P250" s="1" t="str">
        <f aca="false">IFERROR((D250-N250)/N250,"")</f>
        <v/>
      </c>
      <c r="Q250" s="12"/>
      <c r="R250" s="12"/>
    </row>
    <row r="251" customFormat="false" ht="15" hidden="false" customHeight="true" outlineLevel="0" collapsed="false">
      <c r="B251" s="12"/>
      <c r="E251" s="1" t="str">
        <f aca="false">IFERROR((D251-C251)/C251,"")</f>
        <v/>
      </c>
      <c r="H251" s="1" t="str">
        <f aca="false">IFERROR((G251-F251)/F251,"")</f>
        <v/>
      </c>
      <c r="K251" s="1" t="str">
        <f aca="false">IFERROR((J251-I251)/I251,"")</f>
        <v/>
      </c>
      <c r="P251" s="1" t="str">
        <f aca="false">IFERROR((D251-N251)/N251,"")</f>
        <v/>
      </c>
      <c r="Q251" s="12"/>
      <c r="R251" s="12"/>
    </row>
    <row r="252" customFormat="false" ht="15" hidden="false" customHeight="true" outlineLevel="0" collapsed="false">
      <c r="B252" s="12"/>
      <c r="E252" s="1" t="str">
        <f aca="false">IFERROR((D252-C252)/C252,"")</f>
        <v/>
      </c>
      <c r="H252" s="1" t="str">
        <f aca="false">IFERROR((G252-F252)/F252,"")</f>
        <v/>
      </c>
      <c r="K252" s="1" t="str">
        <f aca="false">IFERROR((J252-I252)/I252,"")</f>
        <v/>
      </c>
      <c r="P252" s="1" t="str">
        <f aca="false">IFERROR((D252-N252)/N252,"")</f>
        <v/>
      </c>
      <c r="Q252" s="12"/>
      <c r="R252" s="12"/>
    </row>
    <row r="253" customFormat="false" ht="15" hidden="false" customHeight="true" outlineLevel="0" collapsed="false">
      <c r="B253" s="12"/>
      <c r="E253" s="1" t="str">
        <f aca="false">IFERROR((D253-C253)/C253,"")</f>
        <v/>
      </c>
      <c r="H253" s="1" t="str">
        <f aca="false">IFERROR((G253-F253)/F253,"")</f>
        <v/>
      </c>
      <c r="K253" s="1" t="str">
        <f aca="false">IFERROR((J253-I253)/I253,"")</f>
        <v/>
      </c>
      <c r="P253" s="1" t="str">
        <f aca="false">IFERROR((D253-N253)/N253,"")</f>
        <v/>
      </c>
      <c r="Q253" s="12"/>
      <c r="R253" s="12"/>
    </row>
    <row r="254" customFormat="false" ht="15" hidden="false" customHeight="true" outlineLevel="0" collapsed="false">
      <c r="B254" s="12"/>
      <c r="E254" s="1" t="str">
        <f aca="false">IFERROR((D254-C254)/C254,"")</f>
        <v/>
      </c>
      <c r="H254" s="1" t="str">
        <f aca="false">IFERROR((G254-F254)/F254,"")</f>
        <v/>
      </c>
      <c r="K254" s="1" t="str">
        <f aca="false">IFERROR((J254-I254)/I254,"")</f>
        <v/>
      </c>
      <c r="P254" s="1" t="str">
        <f aca="false">IFERROR((D254-N254)/N254,"")</f>
        <v/>
      </c>
      <c r="Q254" s="12"/>
      <c r="R254" s="12"/>
    </row>
    <row r="255" customFormat="false" ht="15" hidden="false" customHeight="true" outlineLevel="0" collapsed="false">
      <c r="B255" s="12"/>
      <c r="E255" s="1" t="str">
        <f aca="false">IFERROR((D255-C255)/C255,"")</f>
        <v/>
      </c>
      <c r="H255" s="1" t="str">
        <f aca="false">IFERROR((G255-F255)/F255,"")</f>
        <v/>
      </c>
      <c r="K255" s="1" t="str">
        <f aca="false">IFERROR((J255-I255)/I255,"")</f>
        <v/>
      </c>
      <c r="P255" s="1" t="str">
        <f aca="false">IFERROR((D255-N255)/N255,"")</f>
        <v/>
      </c>
      <c r="Q255" s="12"/>
      <c r="R255" s="12"/>
    </row>
    <row r="256" customFormat="false" ht="15" hidden="false" customHeight="true" outlineLevel="0" collapsed="false">
      <c r="B256" s="12"/>
      <c r="E256" s="1" t="str">
        <f aca="false">IFERROR((D256-C256)/C256,"")</f>
        <v/>
      </c>
      <c r="H256" s="1" t="str">
        <f aca="false">IFERROR((G256-F256)/F256,"")</f>
        <v/>
      </c>
      <c r="K256" s="1" t="str">
        <f aca="false">IFERROR((J256-I256)/I256,"")</f>
        <v/>
      </c>
      <c r="P256" s="1" t="str">
        <f aca="false">IFERROR((D256-N256)/N256,"")</f>
        <v/>
      </c>
      <c r="Q256" s="12"/>
      <c r="R256" s="12"/>
    </row>
    <row r="257" customFormat="false" ht="15" hidden="false" customHeight="true" outlineLevel="0" collapsed="false">
      <c r="B257" s="12"/>
      <c r="E257" s="1" t="str">
        <f aca="false">IFERROR((D257-C257)/C257,"")</f>
        <v/>
      </c>
      <c r="H257" s="1" t="str">
        <f aca="false">IFERROR((G257-F257)/F257,"")</f>
        <v/>
      </c>
      <c r="K257" s="1" t="str">
        <f aca="false">IFERROR((J257-I257)/I257,"")</f>
        <v/>
      </c>
      <c r="P257" s="1" t="str">
        <f aca="false">IFERROR((D257-N257)/N257,"")</f>
        <v/>
      </c>
      <c r="Q257" s="12"/>
      <c r="R257" s="12"/>
    </row>
    <row r="258" customFormat="false" ht="15" hidden="false" customHeight="true" outlineLevel="0" collapsed="false">
      <c r="B258" s="12"/>
      <c r="E258" s="1" t="str">
        <f aca="false">IFERROR((D258-C258)/C258,"")</f>
        <v/>
      </c>
      <c r="H258" s="1" t="str">
        <f aca="false">IFERROR((G258-F258)/F258,"")</f>
        <v/>
      </c>
      <c r="K258" s="1" t="str">
        <f aca="false">IFERROR((J258-I258)/I258,"")</f>
        <v/>
      </c>
      <c r="P258" s="1" t="str">
        <f aca="false">IFERROR((D258-N258)/N258,"")</f>
        <v/>
      </c>
      <c r="Q258" s="12"/>
      <c r="R258" s="12"/>
    </row>
    <row r="259" customFormat="false" ht="15" hidden="false" customHeight="true" outlineLevel="0" collapsed="false">
      <c r="B259" s="12"/>
      <c r="E259" s="1" t="str">
        <f aca="false">IFERROR((D259-C259)/C259,"")</f>
        <v/>
      </c>
      <c r="H259" s="1" t="str">
        <f aca="false">IFERROR((G259-F259)/F259,"")</f>
        <v/>
      </c>
      <c r="K259" s="1" t="str">
        <f aca="false">IFERROR((J259-I259)/I259,"")</f>
        <v/>
      </c>
      <c r="P259" s="1" t="str">
        <f aca="false">IFERROR((D259-N259)/N259,"")</f>
        <v/>
      </c>
      <c r="Q259" s="12"/>
      <c r="R259" s="12"/>
    </row>
    <row r="260" customFormat="false" ht="15" hidden="false" customHeight="true" outlineLevel="0" collapsed="false">
      <c r="B260" s="12"/>
      <c r="E260" s="1" t="str">
        <f aca="false">IFERROR((D260-C260)/C260,"")</f>
        <v/>
      </c>
      <c r="H260" s="1" t="str">
        <f aca="false">IFERROR((G260-F260)/F260,"")</f>
        <v/>
      </c>
      <c r="K260" s="1" t="str">
        <f aca="false">IFERROR((J260-I260)/I260,"")</f>
        <v/>
      </c>
      <c r="P260" s="1" t="str">
        <f aca="false">IFERROR((D260-N260)/N260,"")</f>
        <v/>
      </c>
      <c r="Q260" s="12"/>
      <c r="R260" s="12"/>
    </row>
    <row r="261" customFormat="false" ht="15" hidden="false" customHeight="true" outlineLevel="0" collapsed="false">
      <c r="B261" s="12"/>
      <c r="E261" s="1" t="str">
        <f aca="false">IFERROR((D261-C261)/C261,"")</f>
        <v/>
      </c>
      <c r="H261" s="1" t="str">
        <f aca="false">IFERROR((G261-F261)/F261,"")</f>
        <v/>
      </c>
      <c r="K261" s="1" t="str">
        <f aca="false">IFERROR((J261-I261)/I261,"")</f>
        <v/>
      </c>
      <c r="P261" s="1" t="str">
        <f aca="false">IFERROR((D261-N261)/N261,"")</f>
        <v/>
      </c>
      <c r="Q261" s="12"/>
      <c r="R261" s="12"/>
    </row>
    <row r="262" customFormat="false" ht="15" hidden="false" customHeight="true" outlineLevel="0" collapsed="false">
      <c r="B262" s="12"/>
      <c r="E262" s="1" t="str">
        <f aca="false">IFERROR((D262-C262)/C262,"")</f>
        <v/>
      </c>
      <c r="H262" s="1" t="str">
        <f aca="false">IFERROR((G262-F262)/F262,"")</f>
        <v/>
      </c>
      <c r="K262" s="1" t="str">
        <f aca="false">IFERROR((J262-I262)/I262,"")</f>
        <v/>
      </c>
      <c r="P262" s="1" t="str">
        <f aca="false">IFERROR((D262-N262)/N262,"")</f>
        <v/>
      </c>
      <c r="Q262" s="12"/>
      <c r="R262" s="12"/>
    </row>
    <row r="263" customFormat="false" ht="15" hidden="false" customHeight="true" outlineLevel="0" collapsed="false">
      <c r="B263" s="12"/>
      <c r="E263" s="1" t="str">
        <f aca="false">IFERROR((D263-C263)/C263,"")</f>
        <v/>
      </c>
      <c r="H263" s="1" t="str">
        <f aca="false">IFERROR((G263-F263)/F263,"")</f>
        <v/>
      </c>
      <c r="K263" s="1" t="str">
        <f aca="false">IFERROR((J263-I263)/I263,"")</f>
        <v/>
      </c>
      <c r="P263" s="1" t="str">
        <f aca="false">IFERROR((D263-N263)/N263,"")</f>
        <v/>
      </c>
      <c r="Q263" s="12"/>
      <c r="R263" s="12"/>
    </row>
    <row r="264" customFormat="false" ht="15" hidden="false" customHeight="true" outlineLevel="0" collapsed="false">
      <c r="B264" s="12"/>
      <c r="E264" s="1" t="str">
        <f aca="false">IFERROR((D264-C264)/C264,"")</f>
        <v/>
      </c>
      <c r="H264" s="1" t="str">
        <f aca="false">IFERROR((G264-F264)/F264,"")</f>
        <v/>
      </c>
      <c r="K264" s="1" t="str">
        <f aca="false">IFERROR((J264-I264)/I264,"")</f>
        <v/>
      </c>
      <c r="P264" s="1" t="str">
        <f aca="false">IFERROR((D264-N264)/N264,"")</f>
        <v/>
      </c>
      <c r="Q264" s="12"/>
      <c r="R264" s="12"/>
    </row>
    <row r="265" customFormat="false" ht="15" hidden="false" customHeight="true" outlineLevel="0" collapsed="false">
      <c r="B265" s="12"/>
      <c r="E265" s="1" t="str">
        <f aca="false">IFERROR((D265-C265)/C265,"")</f>
        <v/>
      </c>
      <c r="H265" s="1" t="str">
        <f aca="false">IFERROR((G265-F265)/F265,"")</f>
        <v/>
      </c>
      <c r="K265" s="1" t="str">
        <f aca="false">IFERROR((J265-I265)/I265,"")</f>
        <v/>
      </c>
      <c r="P265" s="1" t="str">
        <f aca="false">IFERROR((D265-N265)/N265,"")</f>
        <v/>
      </c>
      <c r="Q265" s="12"/>
      <c r="R265" s="12"/>
    </row>
    <row r="266" customFormat="false" ht="15" hidden="false" customHeight="true" outlineLevel="0" collapsed="false">
      <c r="B266" s="12"/>
      <c r="E266" s="1" t="str">
        <f aca="false">IFERROR((D266-C266)/C266,"")</f>
        <v/>
      </c>
      <c r="H266" s="1" t="str">
        <f aca="false">IFERROR((G266-F266)/F266,"")</f>
        <v/>
      </c>
      <c r="K266" s="1" t="str">
        <f aca="false">IFERROR((J266-I266)/I266,"")</f>
        <v/>
      </c>
      <c r="P266" s="1" t="str">
        <f aca="false">IFERROR((D266-N266)/N266,"")</f>
        <v/>
      </c>
      <c r="Q266" s="12"/>
      <c r="R266" s="12"/>
    </row>
    <row r="267" customFormat="false" ht="15" hidden="false" customHeight="true" outlineLevel="0" collapsed="false">
      <c r="B267" s="12"/>
      <c r="E267" s="1" t="str">
        <f aca="false">IFERROR((D267-C267)/C267,"")</f>
        <v/>
      </c>
      <c r="H267" s="1" t="str">
        <f aca="false">IFERROR((G267-F267)/F267,"")</f>
        <v/>
      </c>
      <c r="K267" s="1" t="str">
        <f aca="false">IFERROR((J267-I267)/I267,"")</f>
        <v/>
      </c>
      <c r="P267" s="1" t="str">
        <f aca="false">IFERROR((D267-N267)/N267,"")</f>
        <v/>
      </c>
      <c r="Q267" s="12"/>
      <c r="R267" s="12"/>
    </row>
    <row r="268" customFormat="false" ht="15" hidden="false" customHeight="true" outlineLevel="0" collapsed="false">
      <c r="B268" s="12"/>
      <c r="E268" s="1" t="str">
        <f aca="false">IFERROR((D268-C268)/C268,"")</f>
        <v/>
      </c>
      <c r="H268" s="1" t="str">
        <f aca="false">IFERROR((G268-F268)/F268,"")</f>
        <v/>
      </c>
      <c r="K268" s="1" t="str">
        <f aca="false">IFERROR((J268-I268)/I268,"")</f>
        <v/>
      </c>
      <c r="P268" s="1" t="str">
        <f aca="false">IFERROR((D268-N268)/N268,"")</f>
        <v/>
      </c>
      <c r="Q268" s="12"/>
      <c r="R268" s="12"/>
    </row>
    <row r="269" customFormat="false" ht="15" hidden="false" customHeight="true" outlineLevel="0" collapsed="false">
      <c r="B269" s="12"/>
      <c r="E269" s="1" t="str">
        <f aca="false">IFERROR((D269-C269)/C269,"")</f>
        <v/>
      </c>
      <c r="H269" s="1" t="str">
        <f aca="false">IFERROR((G269-F269)/F269,"")</f>
        <v/>
      </c>
      <c r="K269" s="1" t="str">
        <f aca="false">IFERROR((J269-I269)/I269,"")</f>
        <v/>
      </c>
      <c r="P269" s="1" t="str">
        <f aca="false">IFERROR((D269-N269)/N269,"")</f>
        <v/>
      </c>
      <c r="Q269" s="12"/>
      <c r="R269" s="12"/>
    </row>
    <row r="270" customFormat="false" ht="15" hidden="false" customHeight="true" outlineLevel="0" collapsed="false">
      <c r="B270" s="12"/>
      <c r="E270" s="1" t="str">
        <f aca="false">IFERROR((D270-C270)/C270,"")</f>
        <v/>
      </c>
      <c r="H270" s="1" t="str">
        <f aca="false">IFERROR((G270-F270)/F270,"")</f>
        <v/>
      </c>
      <c r="K270" s="1" t="str">
        <f aca="false">IFERROR((J270-I270)/I270,"")</f>
        <v/>
      </c>
      <c r="P270" s="1" t="str">
        <f aca="false">IFERROR((D270-N270)/N270,"")</f>
        <v/>
      </c>
      <c r="Q270" s="12"/>
      <c r="R270" s="12"/>
    </row>
    <row r="271" customFormat="false" ht="15" hidden="false" customHeight="true" outlineLevel="0" collapsed="false">
      <c r="B271" s="12"/>
      <c r="E271" s="1" t="str">
        <f aca="false">IFERROR((D271-C271)/C271,"")</f>
        <v/>
      </c>
      <c r="H271" s="1" t="str">
        <f aca="false">IFERROR((G271-F271)/F271,"")</f>
        <v/>
      </c>
      <c r="K271" s="1" t="str">
        <f aca="false">IFERROR((J271-I271)/I271,"")</f>
        <v/>
      </c>
      <c r="P271" s="1" t="str">
        <f aca="false">IFERROR((D271-N271)/N271,"")</f>
        <v/>
      </c>
      <c r="Q271" s="12"/>
      <c r="R271" s="12"/>
    </row>
    <row r="272" customFormat="false" ht="15" hidden="false" customHeight="true" outlineLevel="0" collapsed="false">
      <c r="B272" s="12"/>
      <c r="E272" s="1" t="str">
        <f aca="false">IFERROR((D272-C272)/C272,"")</f>
        <v/>
      </c>
      <c r="H272" s="1" t="str">
        <f aca="false">IFERROR((G272-F272)/F272,"")</f>
        <v/>
      </c>
      <c r="K272" s="1" t="str">
        <f aca="false">IFERROR((J272-I272)/I272,"")</f>
        <v/>
      </c>
      <c r="P272" s="1" t="str">
        <f aca="false">IFERROR((D272-N272)/N272,"")</f>
        <v/>
      </c>
      <c r="Q272" s="12"/>
      <c r="R272" s="12"/>
    </row>
    <row r="273" customFormat="false" ht="15" hidden="false" customHeight="true" outlineLevel="0" collapsed="false">
      <c r="B273" s="12"/>
      <c r="E273" s="1" t="str">
        <f aca="false">IFERROR((D273-C273)/C273,"")</f>
        <v/>
      </c>
      <c r="H273" s="1" t="str">
        <f aca="false">IFERROR((G273-F273)/F273,"")</f>
        <v/>
      </c>
      <c r="K273" s="1" t="str">
        <f aca="false">IFERROR((J273-I273)/I273,"")</f>
        <v/>
      </c>
      <c r="P273" s="1" t="str">
        <f aca="false">IFERROR((D273-N273)/N273,"")</f>
        <v/>
      </c>
      <c r="Q273" s="12"/>
      <c r="R273" s="12"/>
    </row>
    <row r="274" customFormat="false" ht="15" hidden="false" customHeight="true" outlineLevel="0" collapsed="false">
      <c r="B274" s="12"/>
      <c r="E274" s="1" t="str">
        <f aca="false">IFERROR((D274-C274)/C274,"")</f>
        <v/>
      </c>
      <c r="H274" s="1" t="str">
        <f aca="false">IFERROR((G274-F274)/F274,"")</f>
        <v/>
      </c>
      <c r="K274" s="1" t="str">
        <f aca="false">IFERROR((J274-I274)/I274,"")</f>
        <v/>
      </c>
      <c r="P274" s="1" t="str">
        <f aca="false">IFERROR((D274-N274)/N274,"")</f>
        <v/>
      </c>
      <c r="Q274" s="12"/>
      <c r="R274" s="12"/>
    </row>
    <row r="275" customFormat="false" ht="15" hidden="false" customHeight="true" outlineLevel="0" collapsed="false">
      <c r="B275" s="12"/>
      <c r="E275" s="1" t="str">
        <f aca="false">IFERROR((D275-C275)/C275,"")</f>
        <v/>
      </c>
      <c r="H275" s="1" t="str">
        <f aca="false">IFERROR((G275-F275)/F275,"")</f>
        <v/>
      </c>
      <c r="K275" s="1" t="str">
        <f aca="false">IFERROR((J275-I275)/I275,"")</f>
        <v/>
      </c>
      <c r="P275" s="1" t="str">
        <f aca="false">IFERROR((D275-N275)/N275,"")</f>
        <v/>
      </c>
      <c r="Q275" s="12"/>
      <c r="R275" s="12"/>
    </row>
    <row r="276" customFormat="false" ht="15" hidden="false" customHeight="true" outlineLevel="0" collapsed="false">
      <c r="B276" s="12"/>
      <c r="E276" s="1" t="str">
        <f aca="false">IFERROR((D276-C276)/C276,"")</f>
        <v/>
      </c>
      <c r="H276" s="1" t="str">
        <f aca="false">IFERROR((G276-F276)/F276,"")</f>
        <v/>
      </c>
      <c r="K276" s="1" t="str">
        <f aca="false">IFERROR((J276-I276)/I276,"")</f>
        <v/>
      </c>
      <c r="P276" s="1" t="str">
        <f aca="false">IFERROR((D276-N276)/N276,"")</f>
        <v/>
      </c>
      <c r="Q276" s="12"/>
      <c r="R276" s="12"/>
    </row>
    <row r="277" customFormat="false" ht="15" hidden="false" customHeight="true" outlineLevel="0" collapsed="false">
      <c r="B277" s="12"/>
      <c r="E277" s="1" t="str">
        <f aca="false">IFERROR((D277-C277)/C277,"")</f>
        <v/>
      </c>
      <c r="H277" s="1" t="str">
        <f aca="false">IFERROR((G277-F277)/F277,"")</f>
        <v/>
      </c>
      <c r="K277" s="1" t="str">
        <f aca="false">IFERROR((J277-I277)/I277,"")</f>
        <v/>
      </c>
      <c r="P277" s="1" t="str">
        <f aca="false">IFERROR((D277-N277)/N277,"")</f>
        <v/>
      </c>
      <c r="Q277" s="12"/>
      <c r="R277" s="12"/>
    </row>
    <row r="278" customFormat="false" ht="15" hidden="false" customHeight="true" outlineLevel="0" collapsed="false">
      <c r="B278" s="12"/>
      <c r="E278" s="1" t="str">
        <f aca="false">IFERROR((D278-C278)/C278,"")</f>
        <v/>
      </c>
      <c r="H278" s="1" t="str">
        <f aca="false">IFERROR((G278-F278)/F278,"")</f>
        <v/>
      </c>
      <c r="K278" s="1" t="str">
        <f aca="false">IFERROR((J278-I278)/I278,"")</f>
        <v/>
      </c>
      <c r="P278" s="1" t="str">
        <f aca="false">IFERROR((D278-N278)/N278,"")</f>
        <v/>
      </c>
      <c r="Q278" s="12"/>
      <c r="R278" s="12"/>
    </row>
    <row r="279" customFormat="false" ht="15" hidden="false" customHeight="true" outlineLevel="0" collapsed="false">
      <c r="B279" s="12"/>
      <c r="E279" s="1" t="str">
        <f aca="false">IFERROR((D279-C279)/C279,"")</f>
        <v/>
      </c>
      <c r="H279" s="1" t="str">
        <f aca="false">IFERROR((G279-F279)/F279,"")</f>
        <v/>
      </c>
      <c r="K279" s="1" t="str">
        <f aca="false">IFERROR((J279-I279)/I279,"")</f>
        <v/>
      </c>
      <c r="P279" s="1" t="str">
        <f aca="false">IFERROR((D279-N279)/N279,"")</f>
        <v/>
      </c>
      <c r="Q279" s="12"/>
      <c r="R279" s="12"/>
    </row>
    <row r="280" customFormat="false" ht="15" hidden="false" customHeight="true" outlineLevel="0" collapsed="false">
      <c r="B280" s="12"/>
      <c r="E280" s="1" t="str">
        <f aca="false">IFERROR((D280-C280)/C280,"")</f>
        <v/>
      </c>
      <c r="H280" s="1" t="str">
        <f aca="false">IFERROR((G280-F280)/F280,"")</f>
        <v/>
      </c>
      <c r="K280" s="1" t="str">
        <f aca="false">IFERROR((J280-I280)/I280,"")</f>
        <v/>
      </c>
      <c r="P280" s="1" t="str">
        <f aca="false">IFERROR((D280-N280)/N280,"")</f>
        <v/>
      </c>
      <c r="Q280" s="12"/>
      <c r="R280" s="12"/>
    </row>
    <row r="281" customFormat="false" ht="15" hidden="false" customHeight="true" outlineLevel="0" collapsed="false">
      <c r="B281" s="12"/>
      <c r="E281" s="1" t="str">
        <f aca="false">IFERROR((D281-C281)/C281,"")</f>
        <v/>
      </c>
      <c r="H281" s="1" t="str">
        <f aca="false">IFERROR((G281-F281)/F281,"")</f>
        <v/>
      </c>
      <c r="K281" s="1" t="str">
        <f aca="false">IFERROR((J281-I281)/I281,"")</f>
        <v/>
      </c>
      <c r="P281" s="1" t="str">
        <f aca="false">IFERROR((D281-N281)/N281,"")</f>
        <v/>
      </c>
      <c r="Q281" s="12"/>
      <c r="R281" s="12"/>
    </row>
    <row r="282" customFormat="false" ht="15" hidden="false" customHeight="true" outlineLevel="0" collapsed="false">
      <c r="B282" s="12"/>
      <c r="E282" s="1" t="str">
        <f aca="false">IFERROR((D282-C282)/C282,"")</f>
        <v/>
      </c>
      <c r="H282" s="1" t="str">
        <f aca="false">IFERROR((G282-F282)/F282,"")</f>
        <v/>
      </c>
      <c r="K282" s="1" t="str">
        <f aca="false">IFERROR((J282-I282)/I282,"")</f>
        <v/>
      </c>
      <c r="P282" s="1" t="str">
        <f aca="false">IFERROR((D282-N282)/N282,"")</f>
        <v/>
      </c>
      <c r="Q282" s="12"/>
      <c r="R282" s="12"/>
    </row>
    <row r="283" customFormat="false" ht="15" hidden="false" customHeight="true" outlineLevel="0" collapsed="false">
      <c r="B283" s="12"/>
      <c r="E283" s="1" t="str">
        <f aca="false">IFERROR((D283-C283)/C283,"")</f>
        <v/>
      </c>
      <c r="H283" s="1" t="str">
        <f aca="false">IFERROR((G283-F283)/F283,"")</f>
        <v/>
      </c>
      <c r="K283" s="1" t="str">
        <f aca="false">IFERROR((J283-I283)/I283,"")</f>
        <v/>
      </c>
      <c r="P283" s="1" t="str">
        <f aca="false">IFERROR((D283-N283)/N283,"")</f>
        <v/>
      </c>
      <c r="Q283" s="12"/>
      <c r="R283" s="12"/>
    </row>
    <row r="284" customFormat="false" ht="15" hidden="false" customHeight="true" outlineLevel="0" collapsed="false">
      <c r="B284" s="12"/>
      <c r="E284" s="1" t="str">
        <f aca="false">IFERROR((D284-C284)/C284,"")</f>
        <v/>
      </c>
      <c r="H284" s="1" t="str">
        <f aca="false">IFERROR((G284-F284)/F284,"")</f>
        <v/>
      </c>
      <c r="K284" s="1" t="str">
        <f aca="false">IFERROR((J284-I284)/I284,"")</f>
        <v/>
      </c>
      <c r="P284" s="1" t="str">
        <f aca="false">IFERROR((D284-N284)/N284,"")</f>
        <v/>
      </c>
      <c r="Q284" s="12"/>
      <c r="R284" s="12"/>
    </row>
    <row r="285" customFormat="false" ht="15" hidden="false" customHeight="true" outlineLevel="0" collapsed="false">
      <c r="B285" s="12"/>
      <c r="E285" s="1" t="str">
        <f aca="false">IFERROR((D285-C285)/C285,"")</f>
        <v/>
      </c>
      <c r="H285" s="1" t="str">
        <f aca="false">IFERROR((G285-F285)/F285,"")</f>
        <v/>
      </c>
      <c r="K285" s="1" t="str">
        <f aca="false">IFERROR((J285-I285)/I285,"")</f>
        <v/>
      </c>
      <c r="P285" s="1" t="str">
        <f aca="false">IFERROR((D285-N285)/N285,"")</f>
        <v/>
      </c>
      <c r="Q285" s="12"/>
      <c r="R285" s="12"/>
    </row>
    <row r="286" customFormat="false" ht="15" hidden="false" customHeight="true" outlineLevel="0" collapsed="false">
      <c r="B286" s="12"/>
      <c r="E286" s="1" t="str">
        <f aca="false">IFERROR((D286-C286)/C286,"")</f>
        <v/>
      </c>
      <c r="H286" s="1" t="str">
        <f aca="false">IFERROR((G286-F286)/F286,"")</f>
        <v/>
      </c>
      <c r="K286" s="1" t="str">
        <f aca="false">IFERROR((J286-I286)/I286,"")</f>
        <v/>
      </c>
      <c r="P286" s="1" t="str">
        <f aca="false">IFERROR((D286-N286)/N286,"")</f>
        <v/>
      </c>
      <c r="Q286" s="12"/>
      <c r="R286" s="12"/>
    </row>
    <row r="287" customFormat="false" ht="15" hidden="false" customHeight="true" outlineLevel="0" collapsed="false">
      <c r="B287" s="12"/>
      <c r="E287" s="1" t="str">
        <f aca="false">IFERROR((D287-C287)/C287,"")</f>
        <v/>
      </c>
      <c r="H287" s="1" t="str">
        <f aca="false">IFERROR((G287-F287)/F287,"")</f>
        <v/>
      </c>
      <c r="K287" s="1" t="str">
        <f aca="false">IFERROR((J287-I287)/I287,"")</f>
        <v/>
      </c>
      <c r="P287" s="1" t="str">
        <f aca="false">IFERROR((D287-N287)/N287,"")</f>
        <v/>
      </c>
      <c r="Q287" s="12"/>
      <c r="R287" s="12"/>
    </row>
    <row r="288" customFormat="false" ht="15" hidden="false" customHeight="true" outlineLevel="0" collapsed="false">
      <c r="B288" s="12"/>
      <c r="E288" s="1" t="str">
        <f aca="false">IFERROR((D288-C288)/C288,"")</f>
        <v/>
      </c>
      <c r="H288" s="1" t="str">
        <f aca="false">IFERROR((G288-F288)/F288,"")</f>
        <v/>
      </c>
      <c r="K288" s="1" t="str">
        <f aca="false">IFERROR((J288-I288)/I288,"")</f>
        <v/>
      </c>
      <c r="P288" s="1" t="str">
        <f aca="false">IFERROR((D288-N288)/N288,"")</f>
        <v/>
      </c>
      <c r="Q288" s="12"/>
      <c r="R288" s="12"/>
    </row>
    <row r="289" customFormat="false" ht="15" hidden="false" customHeight="true" outlineLevel="0" collapsed="false">
      <c r="B289" s="12"/>
      <c r="E289" s="1" t="str">
        <f aca="false">IFERROR((D289-C289)/C289,"")</f>
        <v/>
      </c>
      <c r="H289" s="1" t="str">
        <f aca="false">IFERROR((G289-F289)/F289,"")</f>
        <v/>
      </c>
      <c r="K289" s="1" t="str">
        <f aca="false">IFERROR((J289-I289)/I289,"")</f>
        <v/>
      </c>
      <c r="P289" s="1" t="str">
        <f aca="false">IFERROR((D289-N289)/N289,"")</f>
        <v/>
      </c>
      <c r="Q289" s="12"/>
      <c r="R289" s="12"/>
    </row>
    <row r="290" customFormat="false" ht="15" hidden="false" customHeight="true" outlineLevel="0" collapsed="false">
      <c r="B290" s="12"/>
      <c r="E290" s="1" t="str">
        <f aca="false">IFERROR((D290-C290)/C290,"")</f>
        <v/>
      </c>
      <c r="H290" s="1" t="str">
        <f aca="false">IFERROR((G290-F290)/F290,"")</f>
        <v/>
      </c>
      <c r="K290" s="1" t="str">
        <f aca="false">IFERROR((J290-I290)/I290,"")</f>
        <v/>
      </c>
      <c r="P290" s="1" t="str">
        <f aca="false">IFERROR((D290-N290)/N290,"")</f>
        <v/>
      </c>
      <c r="Q290" s="12"/>
      <c r="R290" s="12"/>
    </row>
    <row r="291" customFormat="false" ht="15" hidden="false" customHeight="true" outlineLevel="0" collapsed="false">
      <c r="B291" s="12"/>
      <c r="E291" s="1" t="str">
        <f aca="false">IFERROR((D291-C291)/C291,"")</f>
        <v/>
      </c>
      <c r="H291" s="1" t="str">
        <f aca="false">IFERROR((G291-F291)/F291,"")</f>
        <v/>
      </c>
      <c r="K291" s="1" t="str">
        <f aca="false">IFERROR((J291-I291)/I291,"")</f>
        <v/>
      </c>
      <c r="P291" s="1" t="str">
        <f aca="false">IFERROR((D291-N291)/N291,"")</f>
        <v/>
      </c>
      <c r="Q291" s="12"/>
      <c r="R291" s="12"/>
    </row>
    <row r="292" customFormat="false" ht="15" hidden="false" customHeight="true" outlineLevel="0" collapsed="false">
      <c r="B292" s="12"/>
      <c r="E292" s="1" t="str">
        <f aca="false">IFERROR((D292-C292)/C292,"")</f>
        <v/>
      </c>
      <c r="H292" s="1" t="str">
        <f aca="false">IFERROR((G292-F292)/F292,"")</f>
        <v/>
      </c>
      <c r="K292" s="1" t="str">
        <f aca="false">IFERROR((J292-I292)/I292,"")</f>
        <v/>
      </c>
      <c r="P292" s="1" t="str">
        <f aca="false">IFERROR((D292-N292)/N292,"")</f>
        <v/>
      </c>
      <c r="Q292" s="12"/>
      <c r="R292" s="12"/>
    </row>
    <row r="293" customFormat="false" ht="15" hidden="false" customHeight="true" outlineLevel="0" collapsed="false">
      <c r="B293" s="12"/>
      <c r="E293" s="1" t="str">
        <f aca="false">IFERROR((D293-C293)/C293,"")</f>
        <v/>
      </c>
      <c r="H293" s="1" t="str">
        <f aca="false">IFERROR((G293-F293)/F293,"")</f>
        <v/>
      </c>
      <c r="K293" s="1" t="str">
        <f aca="false">IFERROR((J293-I293)/I293,"")</f>
        <v/>
      </c>
      <c r="P293" s="1" t="str">
        <f aca="false">IFERROR((D293-N293)/N293,"")</f>
        <v/>
      </c>
      <c r="Q293" s="12"/>
      <c r="R293" s="12"/>
    </row>
    <row r="294" customFormat="false" ht="15" hidden="false" customHeight="true" outlineLevel="0" collapsed="false">
      <c r="B294" s="12"/>
      <c r="E294" s="1" t="str">
        <f aca="false">IFERROR((D294-C294)/C294,"")</f>
        <v/>
      </c>
      <c r="H294" s="1" t="str">
        <f aca="false">IFERROR((G294-F294)/F294,"")</f>
        <v/>
      </c>
      <c r="K294" s="1" t="str">
        <f aca="false">IFERROR((J294-I294)/I294,"")</f>
        <v/>
      </c>
      <c r="P294" s="1" t="str">
        <f aca="false">IFERROR((D294-N294)/N294,"")</f>
        <v/>
      </c>
      <c r="Q294" s="12"/>
      <c r="R294" s="12"/>
    </row>
    <row r="295" customFormat="false" ht="15" hidden="false" customHeight="true" outlineLevel="0" collapsed="false">
      <c r="B295" s="12"/>
      <c r="E295" s="1" t="str">
        <f aca="false">IFERROR((D295-C295)/C295,"")</f>
        <v/>
      </c>
      <c r="H295" s="1" t="str">
        <f aca="false">IFERROR((G295-F295)/F295,"")</f>
        <v/>
      </c>
      <c r="K295" s="1" t="str">
        <f aca="false">IFERROR((J295-I295)/I295,"")</f>
        <v/>
      </c>
      <c r="P295" s="1" t="str">
        <f aca="false">IFERROR((D295-N295)/N295,"")</f>
        <v/>
      </c>
      <c r="Q295" s="12"/>
      <c r="R295" s="12"/>
    </row>
    <row r="296" customFormat="false" ht="15" hidden="false" customHeight="true" outlineLevel="0" collapsed="false">
      <c r="B296" s="12"/>
      <c r="E296" s="1" t="str">
        <f aca="false">IFERROR((D296-C296)/C296,"")</f>
        <v/>
      </c>
      <c r="H296" s="1" t="str">
        <f aca="false">IFERROR((G296-F296)/F296,"")</f>
        <v/>
      </c>
      <c r="K296" s="1" t="str">
        <f aca="false">IFERROR((J296-I296)/I296,"")</f>
        <v/>
      </c>
      <c r="P296" s="1" t="str">
        <f aca="false">IFERROR((D296-N296)/N296,"")</f>
        <v/>
      </c>
      <c r="Q296" s="12"/>
      <c r="R296" s="12"/>
    </row>
    <row r="297" customFormat="false" ht="15" hidden="false" customHeight="true" outlineLevel="0" collapsed="false">
      <c r="B297" s="12"/>
      <c r="E297" s="1" t="str">
        <f aca="false">IFERROR((D297-C297)/C297,"")</f>
        <v/>
      </c>
      <c r="H297" s="1" t="str">
        <f aca="false">IFERROR((G297-F297)/F297,"")</f>
        <v/>
      </c>
      <c r="K297" s="1" t="str">
        <f aca="false">IFERROR((J297-I297)/I297,"")</f>
        <v/>
      </c>
      <c r="P297" s="1" t="str">
        <f aca="false">IFERROR((D297-N297)/N297,"")</f>
        <v/>
      </c>
      <c r="Q297" s="12"/>
      <c r="R297" s="12"/>
    </row>
    <row r="298" customFormat="false" ht="15" hidden="false" customHeight="true" outlineLevel="0" collapsed="false">
      <c r="B298" s="12"/>
      <c r="E298" s="1" t="str">
        <f aca="false">IFERROR((D298-C298)/C298,"")</f>
        <v/>
      </c>
      <c r="H298" s="1" t="str">
        <f aca="false">IFERROR((G298-F298)/F298,"")</f>
        <v/>
      </c>
      <c r="K298" s="1" t="str">
        <f aca="false">IFERROR((J298-I298)/I298,"")</f>
        <v/>
      </c>
      <c r="P298" s="1" t="str">
        <f aca="false">IFERROR((D298-N298)/N298,"")</f>
        <v/>
      </c>
      <c r="Q298" s="12"/>
      <c r="R298" s="12"/>
    </row>
    <row r="299" customFormat="false" ht="15" hidden="false" customHeight="true" outlineLevel="0" collapsed="false">
      <c r="B299" s="12"/>
      <c r="E299" s="1" t="str">
        <f aca="false">IFERROR((D299-C299)/C299,"")</f>
        <v/>
      </c>
      <c r="H299" s="1" t="str">
        <f aca="false">IFERROR((G299-F299)/F299,"")</f>
        <v/>
      </c>
      <c r="K299" s="1" t="str">
        <f aca="false">IFERROR((J299-I299)/I299,"")</f>
        <v/>
      </c>
      <c r="P299" s="1" t="str">
        <f aca="false">IFERROR((D299-N299)/N299,"")</f>
        <v/>
      </c>
      <c r="Q299" s="12"/>
      <c r="R299" s="12"/>
    </row>
    <row r="300" customFormat="false" ht="15" hidden="false" customHeight="true" outlineLevel="0" collapsed="false">
      <c r="B300" s="12"/>
      <c r="E300" s="1" t="str">
        <f aca="false">IFERROR((D300-C300)/C300,"")</f>
        <v/>
      </c>
      <c r="H300" s="1" t="str">
        <f aca="false">IFERROR((G300-F300)/F300,"")</f>
        <v/>
      </c>
      <c r="K300" s="1" t="str">
        <f aca="false">IFERROR((J300-I300)/I300,"")</f>
        <v/>
      </c>
      <c r="P300" s="1" t="str">
        <f aca="false">IFERROR((D300-N300)/N300,"")</f>
        <v/>
      </c>
      <c r="Q300" s="12"/>
      <c r="R300" s="12"/>
    </row>
    <row r="301" customFormat="false" ht="15" hidden="false" customHeight="true" outlineLevel="0" collapsed="false">
      <c r="B301" s="12"/>
      <c r="E301" s="1" t="str">
        <f aca="false">IFERROR((D301-C301)/C301,"")</f>
        <v/>
      </c>
      <c r="H301" s="1" t="str">
        <f aca="false">IFERROR((G301-F301)/F301,"")</f>
        <v/>
      </c>
      <c r="K301" s="1" t="str">
        <f aca="false">IFERROR((J301-I301)/I301,"")</f>
        <v/>
      </c>
      <c r="P301" s="1" t="str">
        <f aca="false">IFERROR((D301-N301)/N301,"")</f>
        <v/>
      </c>
      <c r="Q301" s="12"/>
      <c r="R301" s="12"/>
    </row>
    <row r="302" customFormat="false" ht="15" hidden="false" customHeight="true" outlineLevel="0" collapsed="false">
      <c r="B302" s="12"/>
      <c r="E302" s="1" t="str">
        <f aca="false">IFERROR((D302-C302)/C302,"")</f>
        <v/>
      </c>
      <c r="H302" s="1" t="str">
        <f aca="false">IFERROR((G302-F302)/F302,"")</f>
        <v/>
      </c>
      <c r="K302" s="1" t="str">
        <f aca="false">IFERROR((J302-I302)/I302,"")</f>
        <v/>
      </c>
      <c r="P302" s="1" t="str">
        <f aca="false">IFERROR((D302-N302)/N302,"")</f>
        <v/>
      </c>
      <c r="Q302" s="12"/>
      <c r="R302" s="12"/>
    </row>
    <row r="303" customFormat="false" ht="15" hidden="false" customHeight="true" outlineLevel="0" collapsed="false">
      <c r="B303" s="12"/>
      <c r="E303" s="1" t="str">
        <f aca="false">IFERROR((D303-C303)/C303,"")</f>
        <v/>
      </c>
      <c r="H303" s="1" t="str">
        <f aca="false">IFERROR((G303-F303)/F303,"")</f>
        <v/>
      </c>
      <c r="K303" s="1" t="str">
        <f aca="false">IFERROR((J303-I303)/I303,"")</f>
        <v/>
      </c>
      <c r="P303" s="1" t="str">
        <f aca="false">IFERROR((D303-N303)/N303,"")</f>
        <v/>
      </c>
      <c r="Q303" s="12"/>
      <c r="R303" s="12"/>
    </row>
    <row r="304" customFormat="false" ht="15" hidden="false" customHeight="true" outlineLevel="0" collapsed="false">
      <c r="B304" s="12"/>
      <c r="E304" s="1" t="str">
        <f aca="false">IFERROR((D304-C304)/C304,"")</f>
        <v/>
      </c>
      <c r="H304" s="1" t="str">
        <f aca="false">IFERROR((G304-F304)/F304,"")</f>
        <v/>
      </c>
      <c r="K304" s="1" t="str">
        <f aca="false">IFERROR((J304-I304)/I304,"")</f>
        <v/>
      </c>
      <c r="P304" s="1" t="str">
        <f aca="false">IFERROR((D304-N304)/N304,"")</f>
        <v/>
      </c>
      <c r="Q304" s="12"/>
      <c r="R304" s="12"/>
    </row>
    <row r="305" customFormat="false" ht="15" hidden="false" customHeight="true" outlineLevel="0" collapsed="false">
      <c r="B305" s="12"/>
      <c r="E305" s="1" t="str">
        <f aca="false">IFERROR((D305-C305)/C305,"")</f>
        <v/>
      </c>
      <c r="H305" s="1" t="str">
        <f aca="false">IFERROR((G305-F305)/F305,"")</f>
        <v/>
      </c>
      <c r="K305" s="1" t="str">
        <f aca="false">IFERROR((J305-I305)/I305,"")</f>
        <v/>
      </c>
      <c r="P305" s="1" t="str">
        <f aca="false">IFERROR((D305-N305)/N305,"")</f>
        <v/>
      </c>
      <c r="Q305" s="12"/>
      <c r="R305" s="12"/>
    </row>
    <row r="306" customFormat="false" ht="15" hidden="false" customHeight="true" outlineLevel="0" collapsed="false">
      <c r="B306" s="12"/>
      <c r="E306" s="1" t="str">
        <f aca="false">IFERROR((D306-C306)/C306,"")</f>
        <v/>
      </c>
      <c r="H306" s="1" t="str">
        <f aca="false">IFERROR((G306-F306)/F306,"")</f>
        <v/>
      </c>
      <c r="K306" s="1" t="str">
        <f aca="false">IFERROR((J306-I306)/I306,"")</f>
        <v/>
      </c>
      <c r="P306" s="1" t="str">
        <f aca="false">IFERROR((D306-N306)/N306,"")</f>
        <v/>
      </c>
      <c r="Q306" s="12"/>
      <c r="R306" s="12"/>
    </row>
    <row r="307" customFormat="false" ht="15" hidden="false" customHeight="true" outlineLevel="0" collapsed="false">
      <c r="B307" s="12"/>
      <c r="E307" s="1" t="str">
        <f aca="false">IFERROR((D307-C307)/C307,"")</f>
        <v/>
      </c>
      <c r="H307" s="1" t="str">
        <f aca="false">IFERROR((G307-F307)/F307,"")</f>
        <v/>
      </c>
      <c r="K307" s="1" t="str">
        <f aca="false">IFERROR((J307-I307)/I307,"")</f>
        <v/>
      </c>
      <c r="P307" s="1" t="str">
        <f aca="false">IFERROR((D307-N307)/N307,"")</f>
        <v/>
      </c>
      <c r="Q307" s="12"/>
      <c r="R307" s="12"/>
    </row>
    <row r="308" customFormat="false" ht="15" hidden="false" customHeight="true" outlineLevel="0" collapsed="false">
      <c r="B308" s="12"/>
      <c r="E308" s="1" t="str">
        <f aca="false">IFERROR((D308-C308)/C308,"")</f>
        <v/>
      </c>
      <c r="H308" s="1" t="str">
        <f aca="false">IFERROR((G308-F308)/F308,"")</f>
        <v/>
      </c>
      <c r="K308" s="1" t="str">
        <f aca="false">IFERROR((J308-I308)/I308,"")</f>
        <v/>
      </c>
      <c r="P308" s="1" t="str">
        <f aca="false">IFERROR((D308-N308)/N308,"")</f>
        <v/>
      </c>
      <c r="Q308" s="12"/>
      <c r="R308" s="12"/>
    </row>
    <row r="309" customFormat="false" ht="15" hidden="false" customHeight="true" outlineLevel="0" collapsed="false">
      <c r="B309" s="12"/>
      <c r="E309" s="1" t="str">
        <f aca="false">IFERROR((D309-C309)/C309,"")</f>
        <v/>
      </c>
      <c r="H309" s="1" t="str">
        <f aca="false">IFERROR((G309-F309)/F309,"")</f>
        <v/>
      </c>
      <c r="K309" s="1" t="str">
        <f aca="false">IFERROR((J309-I309)/I309,"")</f>
        <v/>
      </c>
      <c r="P309" s="1" t="str">
        <f aca="false">IFERROR((D309-N309)/N309,"")</f>
        <v/>
      </c>
      <c r="Q309" s="12"/>
      <c r="R309" s="12"/>
    </row>
    <row r="310" customFormat="false" ht="15" hidden="false" customHeight="true" outlineLevel="0" collapsed="false">
      <c r="B310" s="12"/>
      <c r="E310" s="1" t="str">
        <f aca="false">IFERROR((D310-C310)/C310,"")</f>
        <v/>
      </c>
      <c r="H310" s="1" t="str">
        <f aca="false">IFERROR((G310-F310)/F310,"")</f>
        <v/>
      </c>
      <c r="K310" s="1" t="str">
        <f aca="false">IFERROR((J310-I310)/I310,"")</f>
        <v/>
      </c>
      <c r="P310" s="1" t="str">
        <f aca="false">IFERROR((D310-N310)/N310,"")</f>
        <v/>
      </c>
      <c r="Q310" s="12"/>
      <c r="R310" s="12"/>
    </row>
    <row r="311" customFormat="false" ht="15" hidden="false" customHeight="true" outlineLevel="0" collapsed="false">
      <c r="B311" s="12"/>
      <c r="E311" s="1" t="str">
        <f aca="false">IFERROR((D311-C311)/C311,"")</f>
        <v/>
      </c>
      <c r="H311" s="1" t="str">
        <f aca="false">IFERROR((G311-F311)/F311,"")</f>
        <v/>
      </c>
      <c r="K311" s="1" t="str">
        <f aca="false">IFERROR((J311-I311)/I311,"")</f>
        <v/>
      </c>
      <c r="P311" s="1" t="str">
        <f aca="false">IFERROR((D311-N311)/N311,"")</f>
        <v/>
      </c>
      <c r="Q311" s="12"/>
      <c r="R311" s="12"/>
    </row>
    <row r="312" customFormat="false" ht="15" hidden="false" customHeight="true" outlineLevel="0" collapsed="false">
      <c r="B312" s="12"/>
      <c r="E312" s="1" t="str">
        <f aca="false">IFERROR((D312-C312)/C312,"")</f>
        <v/>
      </c>
      <c r="H312" s="1" t="str">
        <f aca="false">IFERROR((G312-F312)/F312,"")</f>
        <v/>
      </c>
      <c r="K312" s="1" t="str">
        <f aca="false">IFERROR((J312-I312)/I312,"")</f>
        <v/>
      </c>
      <c r="P312" s="1" t="str">
        <f aca="false">IFERROR((D312-N312)/N312,"")</f>
        <v/>
      </c>
      <c r="Q312" s="12"/>
      <c r="R312" s="12"/>
    </row>
    <row r="313" customFormat="false" ht="15" hidden="false" customHeight="true" outlineLevel="0" collapsed="false">
      <c r="B313" s="12"/>
      <c r="E313" s="1" t="str">
        <f aca="false">IFERROR((D313-C313)/C313,"")</f>
        <v/>
      </c>
      <c r="H313" s="1" t="str">
        <f aca="false">IFERROR((G313-F313)/F313,"")</f>
        <v/>
      </c>
      <c r="K313" s="1" t="str">
        <f aca="false">IFERROR((J313-I313)/I313,"")</f>
        <v/>
      </c>
      <c r="P313" s="1" t="str">
        <f aca="false">IFERROR((D313-N313)/N313,"")</f>
        <v/>
      </c>
      <c r="Q313" s="12"/>
      <c r="R313" s="12"/>
    </row>
    <row r="314" customFormat="false" ht="15" hidden="false" customHeight="true" outlineLevel="0" collapsed="false">
      <c r="B314" s="12"/>
      <c r="E314" s="1" t="str">
        <f aca="false">IFERROR((D314-C314)/C314,"")</f>
        <v/>
      </c>
      <c r="H314" s="1" t="str">
        <f aca="false">IFERROR((G314-F314)/F314,"")</f>
        <v/>
      </c>
      <c r="K314" s="1" t="str">
        <f aca="false">IFERROR((J314-I314)/I314,"")</f>
        <v/>
      </c>
      <c r="P314" s="1" t="str">
        <f aca="false">IFERROR((D314-N314)/N314,"")</f>
        <v/>
      </c>
      <c r="Q314" s="12"/>
      <c r="R314" s="12"/>
    </row>
    <row r="315" customFormat="false" ht="15" hidden="false" customHeight="true" outlineLevel="0" collapsed="false">
      <c r="B315" s="12"/>
      <c r="E315" s="1" t="str">
        <f aca="false">IFERROR((D315-C315)/C315,"")</f>
        <v/>
      </c>
      <c r="H315" s="1" t="str">
        <f aca="false">IFERROR((G315-F315)/F315,"")</f>
        <v/>
      </c>
      <c r="K315" s="1" t="str">
        <f aca="false">IFERROR((J315-I315)/I315,"")</f>
        <v/>
      </c>
      <c r="P315" s="1" t="str">
        <f aca="false">IFERROR((D315-N315)/N315,"")</f>
        <v/>
      </c>
      <c r="Q315" s="12"/>
      <c r="R315" s="12"/>
    </row>
    <row r="316" customFormat="false" ht="15" hidden="false" customHeight="true" outlineLevel="0" collapsed="false">
      <c r="B316" s="12"/>
      <c r="E316" s="1" t="str">
        <f aca="false">IFERROR((D316-C316)/C316,"")</f>
        <v/>
      </c>
      <c r="H316" s="1" t="str">
        <f aca="false">IFERROR((G316-F316)/F316,"")</f>
        <v/>
      </c>
      <c r="K316" s="1" t="str">
        <f aca="false">IFERROR((J316-I316)/I316,"")</f>
        <v/>
      </c>
      <c r="P316" s="1" t="str">
        <f aca="false">IFERROR((D316-N316)/N316,"")</f>
        <v/>
      </c>
      <c r="Q316" s="12"/>
      <c r="R316" s="12"/>
    </row>
    <row r="317" customFormat="false" ht="15" hidden="false" customHeight="true" outlineLevel="0" collapsed="false">
      <c r="B317" s="12"/>
      <c r="E317" s="1" t="str">
        <f aca="false">IFERROR((D317-C317)/C317,"")</f>
        <v/>
      </c>
      <c r="H317" s="1" t="str">
        <f aca="false">IFERROR((G317-F317)/F317,"")</f>
        <v/>
      </c>
      <c r="K317" s="1" t="str">
        <f aca="false">IFERROR((J317-I317)/I317,"")</f>
        <v/>
      </c>
      <c r="P317" s="1" t="str">
        <f aca="false">IFERROR((D317-N317)/N317,"")</f>
        <v/>
      </c>
      <c r="Q317" s="12"/>
      <c r="R317" s="12"/>
    </row>
    <row r="318" customFormat="false" ht="15" hidden="false" customHeight="true" outlineLevel="0" collapsed="false">
      <c r="B318" s="12"/>
      <c r="E318" s="1" t="str">
        <f aca="false">IFERROR((D318-C318)/C318,"")</f>
        <v/>
      </c>
      <c r="H318" s="1" t="str">
        <f aca="false">IFERROR((G318-F318)/F318,"")</f>
        <v/>
      </c>
      <c r="K318" s="1" t="str">
        <f aca="false">IFERROR((J318-I318)/I318,"")</f>
        <v/>
      </c>
      <c r="P318" s="1" t="str">
        <f aca="false">IFERROR((D318-N318)/N318,"")</f>
        <v/>
      </c>
      <c r="Q318" s="12"/>
      <c r="R318" s="12"/>
    </row>
    <row r="319" customFormat="false" ht="15" hidden="false" customHeight="true" outlineLevel="0" collapsed="false">
      <c r="B319" s="12"/>
      <c r="E319" s="1" t="str">
        <f aca="false">IFERROR((D319-C319)/C319,"")</f>
        <v/>
      </c>
      <c r="H319" s="1" t="str">
        <f aca="false">IFERROR((G319-F319)/F319,"")</f>
        <v/>
      </c>
      <c r="K319" s="1" t="str">
        <f aca="false">IFERROR((J319-I319)/I319,"")</f>
        <v/>
      </c>
      <c r="P319" s="1" t="str">
        <f aca="false">IFERROR((D319-N319)/N319,"")</f>
        <v/>
      </c>
      <c r="Q319" s="12"/>
      <c r="R319" s="12"/>
    </row>
    <row r="320" customFormat="false" ht="15" hidden="false" customHeight="true" outlineLevel="0" collapsed="false">
      <c r="B320" s="12"/>
      <c r="E320" s="1" t="str">
        <f aca="false">IFERROR((D320-C320)/C320,"")</f>
        <v/>
      </c>
      <c r="H320" s="1" t="str">
        <f aca="false">IFERROR((G320-F320)/F320,"")</f>
        <v/>
      </c>
      <c r="K320" s="1" t="str">
        <f aca="false">IFERROR((J320-I320)/I320,"")</f>
        <v/>
      </c>
      <c r="P320" s="1" t="str">
        <f aca="false">IFERROR((D320-N320)/N320,"")</f>
        <v/>
      </c>
      <c r="Q320" s="12"/>
      <c r="R320" s="12"/>
    </row>
    <row r="321" customFormat="false" ht="15" hidden="false" customHeight="true" outlineLevel="0" collapsed="false">
      <c r="B321" s="12"/>
      <c r="E321" s="1" t="str">
        <f aca="false">IFERROR((D321-C321)/C321,"")</f>
        <v/>
      </c>
      <c r="H321" s="1" t="str">
        <f aca="false">IFERROR((G321-F321)/F321,"")</f>
        <v/>
      </c>
      <c r="K321" s="1" t="str">
        <f aca="false">IFERROR((J321-I321)/I321,"")</f>
        <v/>
      </c>
      <c r="P321" s="1" t="str">
        <f aca="false">IFERROR((D321-N321)/N321,"")</f>
        <v/>
      </c>
      <c r="Q321" s="12"/>
      <c r="R321" s="12"/>
    </row>
    <row r="322" customFormat="false" ht="15" hidden="false" customHeight="true" outlineLevel="0" collapsed="false">
      <c r="B322" s="12"/>
      <c r="E322" s="1" t="str">
        <f aca="false">IFERROR((D322-C322)/C322,"")</f>
        <v/>
      </c>
      <c r="H322" s="1" t="str">
        <f aca="false">IFERROR((G322-F322)/F322,"")</f>
        <v/>
      </c>
      <c r="K322" s="1" t="str">
        <f aca="false">IFERROR((J322-I322)/I322,"")</f>
        <v/>
      </c>
      <c r="P322" s="1" t="str">
        <f aca="false">IFERROR((D322-N322)/N322,"")</f>
        <v/>
      </c>
      <c r="Q322" s="12"/>
      <c r="R322" s="12"/>
    </row>
    <row r="323" customFormat="false" ht="15" hidden="false" customHeight="true" outlineLevel="0" collapsed="false">
      <c r="B323" s="12"/>
      <c r="E323" s="1" t="str">
        <f aca="false">IFERROR((D323-C323)/C323,"")</f>
        <v/>
      </c>
      <c r="H323" s="1" t="str">
        <f aca="false">IFERROR((G323-F323)/F323,"")</f>
        <v/>
      </c>
      <c r="K323" s="1" t="str">
        <f aca="false">IFERROR((J323-I323)/I323,"")</f>
        <v/>
      </c>
      <c r="P323" s="1" t="str">
        <f aca="false">IFERROR((D323-N323)/N323,"")</f>
        <v/>
      </c>
      <c r="Q323" s="12"/>
      <c r="R323" s="12"/>
    </row>
    <row r="324" customFormat="false" ht="15" hidden="false" customHeight="true" outlineLevel="0" collapsed="false">
      <c r="B324" s="12"/>
      <c r="E324" s="1" t="str">
        <f aca="false">IFERROR((D324-C324)/C324,"")</f>
        <v/>
      </c>
      <c r="H324" s="1" t="str">
        <f aca="false">IFERROR((G324-F324)/F324,"")</f>
        <v/>
      </c>
      <c r="K324" s="1" t="str">
        <f aca="false">IFERROR((J324-I324)/I324,"")</f>
        <v/>
      </c>
      <c r="P324" s="1" t="str">
        <f aca="false">IFERROR((D324-N324)/N324,"")</f>
        <v/>
      </c>
      <c r="Q324" s="12"/>
      <c r="R324" s="12"/>
    </row>
    <row r="325" customFormat="false" ht="15" hidden="false" customHeight="true" outlineLevel="0" collapsed="false">
      <c r="B325" s="12"/>
      <c r="E325" s="1" t="str">
        <f aca="false">IFERROR((D325-C325)/C325,"")</f>
        <v/>
      </c>
      <c r="H325" s="1" t="str">
        <f aca="false">IFERROR((G325-F325)/F325,"")</f>
        <v/>
      </c>
      <c r="K325" s="1" t="str">
        <f aca="false">IFERROR((J325-I325)/I325,"")</f>
        <v/>
      </c>
      <c r="P325" s="1" t="str">
        <f aca="false">IFERROR((D325-N325)/N325,"")</f>
        <v/>
      </c>
      <c r="Q325" s="12"/>
      <c r="R325" s="12"/>
    </row>
    <row r="326" customFormat="false" ht="15" hidden="false" customHeight="true" outlineLevel="0" collapsed="false">
      <c r="B326" s="12"/>
      <c r="E326" s="1" t="str">
        <f aca="false">IFERROR((D326-C326)/C326,"")</f>
        <v/>
      </c>
      <c r="H326" s="1" t="str">
        <f aca="false">IFERROR((G326-F326)/F326,"")</f>
        <v/>
      </c>
      <c r="K326" s="1" t="str">
        <f aca="false">IFERROR((J326-I326)/I326,"")</f>
        <v/>
      </c>
      <c r="P326" s="1" t="str">
        <f aca="false">IFERROR((D326-N326)/N326,"")</f>
        <v/>
      </c>
      <c r="Q326" s="12"/>
      <c r="R326" s="12"/>
    </row>
    <row r="327" customFormat="false" ht="15" hidden="false" customHeight="true" outlineLevel="0" collapsed="false">
      <c r="B327" s="12"/>
      <c r="E327" s="1" t="str">
        <f aca="false">IFERROR((D327-C327)/C327,"")</f>
        <v/>
      </c>
      <c r="H327" s="1" t="str">
        <f aca="false">IFERROR((G327-F327)/F327,"")</f>
        <v/>
      </c>
      <c r="K327" s="1" t="str">
        <f aca="false">IFERROR((J327-I327)/I327,"")</f>
        <v/>
      </c>
      <c r="P327" s="1" t="str">
        <f aca="false">IFERROR((D327-N327)/N327,"")</f>
        <v/>
      </c>
      <c r="Q327" s="12"/>
      <c r="R327" s="12"/>
    </row>
    <row r="328" customFormat="false" ht="15" hidden="false" customHeight="true" outlineLevel="0" collapsed="false">
      <c r="B328" s="12"/>
      <c r="E328" s="1" t="str">
        <f aca="false">IFERROR((D328-C328)/C328,"")</f>
        <v/>
      </c>
      <c r="H328" s="1" t="str">
        <f aca="false">IFERROR((G328-F328)/F328,"")</f>
        <v/>
      </c>
      <c r="K328" s="1" t="str">
        <f aca="false">IFERROR((J328-I328)/I328,"")</f>
        <v/>
      </c>
      <c r="P328" s="1" t="str">
        <f aca="false">IFERROR((D328-N328)/N328,"")</f>
        <v/>
      </c>
      <c r="Q328" s="12"/>
      <c r="R328" s="12"/>
    </row>
    <row r="329" customFormat="false" ht="15" hidden="false" customHeight="true" outlineLevel="0" collapsed="false">
      <c r="B329" s="12"/>
      <c r="E329" s="1" t="str">
        <f aca="false">IFERROR((D329-C329)/C329,"")</f>
        <v/>
      </c>
      <c r="H329" s="1" t="str">
        <f aca="false">IFERROR((G329-F329)/F329,"")</f>
        <v/>
      </c>
      <c r="K329" s="1" t="str">
        <f aca="false">IFERROR((J329-I329)/I329,"")</f>
        <v/>
      </c>
      <c r="P329" s="1" t="str">
        <f aca="false">IFERROR((D329-N329)/N329,"")</f>
        <v/>
      </c>
      <c r="Q329" s="12"/>
      <c r="R329" s="12"/>
    </row>
    <row r="330" customFormat="false" ht="15" hidden="false" customHeight="true" outlineLevel="0" collapsed="false">
      <c r="B330" s="12"/>
      <c r="E330" s="1" t="str">
        <f aca="false">IFERROR((D330-C330)/C330,"")</f>
        <v/>
      </c>
      <c r="H330" s="1" t="str">
        <f aca="false">IFERROR((G330-F330)/F330,"")</f>
        <v/>
      </c>
      <c r="K330" s="1" t="str">
        <f aca="false">IFERROR((J330-I330)/I330,"")</f>
        <v/>
      </c>
      <c r="P330" s="1" t="str">
        <f aca="false">IFERROR((D330-N330)/N330,"")</f>
        <v/>
      </c>
      <c r="Q330" s="12"/>
      <c r="R330" s="12"/>
    </row>
    <row r="331" customFormat="false" ht="15" hidden="false" customHeight="true" outlineLevel="0" collapsed="false">
      <c r="B331" s="12"/>
      <c r="E331" s="1" t="str">
        <f aca="false">IFERROR((D331-C331)/C331,"")</f>
        <v/>
      </c>
      <c r="H331" s="1" t="str">
        <f aca="false">IFERROR((G331-F331)/F331,"")</f>
        <v/>
      </c>
      <c r="K331" s="1" t="str">
        <f aca="false">IFERROR((J331-I331)/I331,"")</f>
        <v/>
      </c>
      <c r="P331" s="1" t="str">
        <f aca="false">IFERROR((D331-N331)/N331,"")</f>
        <v/>
      </c>
      <c r="Q331" s="12"/>
      <c r="R331" s="12"/>
    </row>
    <row r="332" customFormat="false" ht="15" hidden="false" customHeight="true" outlineLevel="0" collapsed="false">
      <c r="B332" s="12"/>
      <c r="E332" s="1" t="str">
        <f aca="false">IFERROR((D332-C332)/C332,"")</f>
        <v/>
      </c>
      <c r="H332" s="1" t="str">
        <f aca="false">IFERROR((G332-F332)/F332,"")</f>
        <v/>
      </c>
      <c r="K332" s="1" t="str">
        <f aca="false">IFERROR((J332-I332)/I332,"")</f>
        <v/>
      </c>
      <c r="P332" s="1" t="str">
        <f aca="false">IFERROR((D332-N332)/N332,"")</f>
        <v/>
      </c>
      <c r="Q332" s="12"/>
      <c r="R332" s="12"/>
    </row>
    <row r="333" customFormat="false" ht="15" hidden="false" customHeight="true" outlineLevel="0" collapsed="false">
      <c r="B333" s="12"/>
      <c r="E333" s="1" t="str">
        <f aca="false">IFERROR((D333-C333)/C333,"")</f>
        <v/>
      </c>
      <c r="H333" s="1" t="str">
        <f aca="false">IFERROR((G333-F333)/F333,"")</f>
        <v/>
      </c>
      <c r="K333" s="1" t="str">
        <f aca="false">IFERROR((J333-I333)/I333,"")</f>
        <v/>
      </c>
      <c r="P333" s="1" t="str">
        <f aca="false">IFERROR((D333-N333)/N333,"")</f>
        <v/>
      </c>
      <c r="Q333" s="12"/>
      <c r="R333" s="12"/>
    </row>
    <row r="334" customFormat="false" ht="15" hidden="false" customHeight="true" outlineLevel="0" collapsed="false">
      <c r="B334" s="12"/>
      <c r="E334" s="1" t="str">
        <f aca="false">IFERROR((D334-C334)/C334,"")</f>
        <v/>
      </c>
      <c r="H334" s="1" t="str">
        <f aca="false">IFERROR((G334-F334)/F334,"")</f>
        <v/>
      </c>
      <c r="K334" s="1" t="str">
        <f aca="false">IFERROR((J334-I334)/I334,"")</f>
        <v/>
      </c>
      <c r="P334" s="1" t="str">
        <f aca="false">IFERROR((D334-N334)/N334,"")</f>
        <v/>
      </c>
      <c r="Q334" s="12"/>
      <c r="R334" s="12"/>
    </row>
    <row r="335" customFormat="false" ht="15" hidden="false" customHeight="true" outlineLevel="0" collapsed="false">
      <c r="B335" s="12"/>
      <c r="E335" s="1" t="str">
        <f aca="false">IFERROR((D335-C335)/C335,"")</f>
        <v/>
      </c>
      <c r="H335" s="1" t="str">
        <f aca="false">IFERROR((G335-F335)/F335,"")</f>
        <v/>
      </c>
      <c r="K335" s="1" t="str">
        <f aca="false">IFERROR((J335-I335)/I335,"")</f>
        <v/>
      </c>
      <c r="P335" s="1" t="str">
        <f aca="false">IFERROR((D335-N335)/N335,"")</f>
        <v/>
      </c>
      <c r="Q335" s="12"/>
      <c r="R335" s="12"/>
    </row>
    <row r="336" customFormat="false" ht="15" hidden="false" customHeight="true" outlineLevel="0" collapsed="false">
      <c r="B336" s="12"/>
      <c r="E336" s="1" t="str">
        <f aca="false">IFERROR((D336-C336)/C336,"")</f>
        <v/>
      </c>
      <c r="H336" s="1" t="str">
        <f aca="false">IFERROR((G336-F336)/F336,"")</f>
        <v/>
      </c>
      <c r="K336" s="1" t="str">
        <f aca="false">IFERROR((J336-I336)/I336,"")</f>
        <v/>
      </c>
      <c r="P336" s="1" t="str">
        <f aca="false">IFERROR((D336-N336)/N336,"")</f>
        <v/>
      </c>
      <c r="Q336" s="12"/>
      <c r="R336" s="12"/>
    </row>
    <row r="337" customFormat="false" ht="15" hidden="false" customHeight="true" outlineLevel="0" collapsed="false">
      <c r="B337" s="12"/>
      <c r="E337" s="1" t="str">
        <f aca="false">IFERROR((D337-C337)/C337,"")</f>
        <v/>
      </c>
      <c r="H337" s="1" t="str">
        <f aca="false">IFERROR((G337-F337)/F337,"")</f>
        <v/>
      </c>
      <c r="K337" s="1" t="str">
        <f aca="false">IFERROR((J337-I337)/I337,"")</f>
        <v/>
      </c>
      <c r="P337" s="1" t="str">
        <f aca="false">IFERROR((D337-N337)/N337,"")</f>
        <v/>
      </c>
      <c r="Q337" s="12"/>
      <c r="R337" s="12"/>
    </row>
    <row r="338" customFormat="false" ht="15" hidden="false" customHeight="true" outlineLevel="0" collapsed="false">
      <c r="B338" s="12"/>
      <c r="E338" s="1" t="str">
        <f aca="false">IFERROR((D338-C338)/C338,"")</f>
        <v/>
      </c>
      <c r="H338" s="1" t="str">
        <f aca="false">IFERROR((G338-F338)/F338,"")</f>
        <v/>
      </c>
      <c r="K338" s="1" t="str">
        <f aca="false">IFERROR((J338-I338)/I338,"")</f>
        <v/>
      </c>
      <c r="P338" s="1" t="str">
        <f aca="false">IFERROR((D338-N338)/N338,"")</f>
        <v/>
      </c>
      <c r="Q338" s="12"/>
      <c r="R338" s="12"/>
    </row>
    <row r="339" customFormat="false" ht="15" hidden="false" customHeight="true" outlineLevel="0" collapsed="false">
      <c r="B339" s="12"/>
      <c r="E339" s="1" t="str">
        <f aca="false">IFERROR((D339-C339)/C339,"")</f>
        <v/>
      </c>
      <c r="H339" s="1" t="str">
        <f aca="false">IFERROR((G339-F339)/F339,"")</f>
        <v/>
      </c>
      <c r="K339" s="1" t="str">
        <f aca="false">IFERROR((J339-I339)/I339,"")</f>
        <v/>
      </c>
      <c r="P339" s="1" t="str">
        <f aca="false">IFERROR((D339-N339)/N339,"")</f>
        <v/>
      </c>
      <c r="Q339" s="12"/>
      <c r="R339" s="12"/>
    </row>
    <row r="340" customFormat="false" ht="15" hidden="false" customHeight="true" outlineLevel="0" collapsed="false">
      <c r="B340" s="12"/>
      <c r="E340" s="1" t="str">
        <f aca="false">IFERROR((D340-C340)/C340,"")</f>
        <v/>
      </c>
      <c r="H340" s="1" t="str">
        <f aca="false">IFERROR((G340-F340)/F340,"")</f>
        <v/>
      </c>
      <c r="K340" s="1" t="str">
        <f aca="false">IFERROR((J340-I340)/I340,"")</f>
        <v/>
      </c>
      <c r="P340" s="1" t="str">
        <f aca="false">IFERROR((D340-N340)/N340,"")</f>
        <v/>
      </c>
      <c r="Q340" s="12"/>
      <c r="R340" s="12"/>
    </row>
    <row r="341" customFormat="false" ht="15" hidden="false" customHeight="true" outlineLevel="0" collapsed="false">
      <c r="B341" s="12"/>
      <c r="E341" s="1" t="str">
        <f aca="false">IFERROR((D341-C341)/C341,"")</f>
        <v/>
      </c>
      <c r="H341" s="1" t="str">
        <f aca="false">IFERROR((G341-F341)/F341,"")</f>
        <v/>
      </c>
      <c r="K341" s="1" t="str">
        <f aca="false">IFERROR((J341-I341)/I341,"")</f>
        <v/>
      </c>
      <c r="P341" s="1" t="str">
        <f aca="false">IFERROR((D341-N341)/N341,"")</f>
        <v/>
      </c>
      <c r="Q341" s="12"/>
      <c r="R341" s="12"/>
    </row>
    <row r="342" customFormat="false" ht="15" hidden="false" customHeight="true" outlineLevel="0" collapsed="false">
      <c r="B342" s="12"/>
      <c r="E342" s="1" t="str">
        <f aca="false">IFERROR((D342-C342)/C342,"")</f>
        <v/>
      </c>
      <c r="H342" s="1" t="str">
        <f aca="false">IFERROR((G342-F342)/F342,"")</f>
        <v/>
      </c>
      <c r="K342" s="1" t="str">
        <f aca="false">IFERROR((J342-I342)/I342,"")</f>
        <v/>
      </c>
      <c r="P342" s="1" t="str">
        <f aca="false">IFERROR((D342-N342)/N342,"")</f>
        <v/>
      </c>
      <c r="Q342" s="12"/>
      <c r="R342" s="12"/>
    </row>
    <row r="343" customFormat="false" ht="15" hidden="false" customHeight="true" outlineLevel="0" collapsed="false">
      <c r="B343" s="12"/>
      <c r="E343" s="1" t="str">
        <f aca="false">IFERROR((D343-C343)/C343,"")</f>
        <v/>
      </c>
      <c r="H343" s="1" t="str">
        <f aca="false">IFERROR((G343-F343)/F343,"")</f>
        <v/>
      </c>
      <c r="K343" s="1" t="str">
        <f aca="false">IFERROR((J343-I343)/I343,"")</f>
        <v/>
      </c>
      <c r="P343" s="1" t="str">
        <f aca="false">IFERROR((D343-N343)/N343,"")</f>
        <v/>
      </c>
      <c r="Q343" s="12"/>
      <c r="R343" s="12"/>
    </row>
    <row r="344" customFormat="false" ht="15" hidden="false" customHeight="true" outlineLevel="0" collapsed="false">
      <c r="B344" s="12"/>
      <c r="E344" s="1" t="str">
        <f aca="false">IFERROR((D344-C344)/C344,"")</f>
        <v/>
      </c>
      <c r="H344" s="1" t="str">
        <f aca="false">IFERROR((G344-F344)/F344,"")</f>
        <v/>
      </c>
      <c r="K344" s="1" t="str">
        <f aca="false">IFERROR((J344-I344)/I344,"")</f>
        <v/>
      </c>
      <c r="P344" s="1" t="str">
        <f aca="false">IFERROR((D344-N344)/N344,"")</f>
        <v/>
      </c>
      <c r="Q344" s="12"/>
      <c r="R344" s="12"/>
    </row>
    <row r="345" customFormat="false" ht="15" hidden="false" customHeight="true" outlineLevel="0" collapsed="false">
      <c r="B345" s="12"/>
      <c r="E345" s="1" t="str">
        <f aca="false">IFERROR((D345-C345)/C345,"")</f>
        <v/>
      </c>
      <c r="H345" s="1" t="str">
        <f aca="false">IFERROR((G345-F345)/F345,"")</f>
        <v/>
      </c>
      <c r="K345" s="1" t="str">
        <f aca="false">IFERROR((J345-I345)/I345,"")</f>
        <v/>
      </c>
      <c r="P345" s="1" t="str">
        <f aca="false">IFERROR((D345-N345)/N345,"")</f>
        <v/>
      </c>
      <c r="Q345" s="12"/>
      <c r="R345" s="12"/>
    </row>
    <row r="346" customFormat="false" ht="15" hidden="false" customHeight="true" outlineLevel="0" collapsed="false">
      <c r="B346" s="12"/>
      <c r="E346" s="1" t="str">
        <f aca="false">IFERROR((D346-C346)/C346,"")</f>
        <v/>
      </c>
      <c r="H346" s="1" t="str">
        <f aca="false">IFERROR((G346-F346)/F346,"")</f>
        <v/>
      </c>
      <c r="K346" s="1" t="str">
        <f aca="false">IFERROR((J346-I346)/I346,"")</f>
        <v/>
      </c>
      <c r="P346" s="1" t="str">
        <f aca="false">IFERROR((D346-N346)/N346,"")</f>
        <v/>
      </c>
      <c r="Q346" s="12"/>
      <c r="R346" s="12"/>
    </row>
    <row r="347" customFormat="false" ht="15" hidden="false" customHeight="true" outlineLevel="0" collapsed="false">
      <c r="B347" s="12"/>
      <c r="E347" s="1" t="str">
        <f aca="false">IFERROR((D347-C347)/C347,"")</f>
        <v/>
      </c>
      <c r="H347" s="1" t="str">
        <f aca="false">IFERROR((G347-F347)/F347,"")</f>
        <v/>
      </c>
      <c r="K347" s="1" t="str">
        <f aca="false">IFERROR((J347-I347)/I347,"")</f>
        <v/>
      </c>
      <c r="P347" s="1" t="str">
        <f aca="false">IFERROR((D347-N347)/N347,"")</f>
        <v/>
      </c>
      <c r="Q347" s="12"/>
      <c r="R347" s="12"/>
    </row>
    <row r="348" customFormat="false" ht="15" hidden="false" customHeight="true" outlineLevel="0" collapsed="false">
      <c r="B348" s="12"/>
      <c r="E348" s="1" t="str">
        <f aca="false">IFERROR((D348-C348)/C348,"")</f>
        <v/>
      </c>
      <c r="H348" s="1" t="str">
        <f aca="false">IFERROR((G348-F348)/F348,"")</f>
        <v/>
      </c>
      <c r="K348" s="1" t="str">
        <f aca="false">IFERROR((J348-I348)/I348,"")</f>
        <v/>
      </c>
      <c r="P348" s="1" t="str">
        <f aca="false">IFERROR((D348-N348)/N348,"")</f>
        <v/>
      </c>
      <c r="Q348" s="12"/>
      <c r="R348" s="12"/>
    </row>
    <row r="349" customFormat="false" ht="15" hidden="false" customHeight="true" outlineLevel="0" collapsed="false">
      <c r="B349" s="12"/>
      <c r="E349" s="1" t="str">
        <f aca="false">IFERROR((D349-C349)/C349,"")</f>
        <v/>
      </c>
      <c r="H349" s="1" t="str">
        <f aca="false">IFERROR((G349-F349)/F349,"")</f>
        <v/>
      </c>
      <c r="K349" s="1" t="str">
        <f aca="false">IFERROR((J349-I349)/I349,"")</f>
        <v/>
      </c>
      <c r="P349" s="1" t="str">
        <f aca="false">IFERROR((D349-N349)/N349,"")</f>
        <v/>
      </c>
      <c r="Q349" s="12"/>
      <c r="R349" s="12"/>
    </row>
    <row r="350" customFormat="false" ht="15" hidden="false" customHeight="true" outlineLevel="0" collapsed="false">
      <c r="B350" s="12"/>
      <c r="E350" s="1" t="str">
        <f aca="false">IFERROR((D350-C350)/C350,"")</f>
        <v/>
      </c>
      <c r="H350" s="1" t="str">
        <f aca="false">IFERROR((G350-F350)/F350,"")</f>
        <v/>
      </c>
      <c r="K350" s="1" t="str">
        <f aca="false">IFERROR((J350-I350)/I350,"")</f>
        <v/>
      </c>
      <c r="P350" s="1" t="str">
        <f aca="false">IFERROR((D350-N350)/N350,"")</f>
        <v/>
      </c>
      <c r="Q350" s="12"/>
      <c r="R350" s="12"/>
    </row>
    <row r="351" customFormat="false" ht="15" hidden="false" customHeight="true" outlineLevel="0" collapsed="false">
      <c r="B351" s="12"/>
      <c r="E351" s="1" t="str">
        <f aca="false">IFERROR((D351-C351)/C351,"")</f>
        <v/>
      </c>
      <c r="H351" s="1" t="str">
        <f aca="false">IFERROR((G351-F351)/F351,"")</f>
        <v/>
      </c>
      <c r="K351" s="1" t="str">
        <f aca="false">IFERROR((J351-I351)/I351,"")</f>
        <v/>
      </c>
      <c r="P351" s="1" t="str">
        <f aca="false">IFERROR((D351-N351)/N351,"")</f>
        <v/>
      </c>
      <c r="Q351" s="12"/>
      <c r="R351" s="12"/>
    </row>
    <row r="352" customFormat="false" ht="15" hidden="false" customHeight="true" outlineLevel="0" collapsed="false">
      <c r="B352" s="12"/>
      <c r="E352" s="1" t="str">
        <f aca="false">IFERROR((D352-C352)/C352,"")</f>
        <v/>
      </c>
      <c r="H352" s="1" t="str">
        <f aca="false">IFERROR((G352-F352)/F352,"")</f>
        <v/>
      </c>
      <c r="K352" s="1" t="str">
        <f aca="false">IFERROR((J352-I352)/I352,"")</f>
        <v/>
      </c>
      <c r="P352" s="1" t="str">
        <f aca="false">IFERROR((D352-N352)/N352,"")</f>
        <v/>
      </c>
      <c r="Q352" s="12"/>
      <c r="R352" s="12"/>
    </row>
    <row r="353" customFormat="false" ht="15" hidden="false" customHeight="true" outlineLevel="0" collapsed="false">
      <c r="B353" s="12"/>
      <c r="E353" s="1" t="str">
        <f aca="false">IFERROR((D353-C353)/C353,"")</f>
        <v/>
      </c>
      <c r="H353" s="1" t="str">
        <f aca="false">IFERROR((G353-F353)/F353,"")</f>
        <v/>
      </c>
      <c r="K353" s="1" t="str">
        <f aca="false">IFERROR((J353-I353)/I353,"")</f>
        <v/>
      </c>
      <c r="P353" s="1" t="str">
        <f aca="false">IFERROR((D353-N353)/N353,"")</f>
        <v/>
      </c>
      <c r="Q353" s="12"/>
      <c r="R353" s="12"/>
    </row>
    <row r="354" customFormat="false" ht="15" hidden="false" customHeight="true" outlineLevel="0" collapsed="false">
      <c r="B354" s="12"/>
      <c r="E354" s="1" t="str">
        <f aca="false">IFERROR((D354-C354)/C354,"")</f>
        <v/>
      </c>
      <c r="H354" s="1" t="str">
        <f aca="false">IFERROR((G354-F354)/F354,"")</f>
        <v/>
      </c>
      <c r="K354" s="1" t="str">
        <f aca="false">IFERROR((J354-I354)/I354,"")</f>
        <v/>
      </c>
      <c r="P354" s="1" t="str">
        <f aca="false">IFERROR((D354-N354)/N354,"")</f>
        <v/>
      </c>
      <c r="Q354" s="12"/>
      <c r="R354" s="12"/>
    </row>
    <row r="355" customFormat="false" ht="15" hidden="false" customHeight="true" outlineLevel="0" collapsed="false">
      <c r="B355" s="12"/>
      <c r="E355" s="1" t="str">
        <f aca="false">IFERROR((D355-C355)/C355,"")</f>
        <v/>
      </c>
      <c r="H355" s="1" t="str">
        <f aca="false">IFERROR((G355-F355)/F355,"")</f>
        <v/>
      </c>
      <c r="K355" s="1" t="str">
        <f aca="false">IFERROR((J355-I355)/I355,"")</f>
        <v/>
      </c>
      <c r="P355" s="1" t="str">
        <f aca="false">IFERROR((D355-N355)/N355,"")</f>
        <v/>
      </c>
      <c r="Q355" s="12"/>
      <c r="R355" s="12"/>
    </row>
    <row r="356" customFormat="false" ht="15" hidden="false" customHeight="true" outlineLevel="0" collapsed="false">
      <c r="B356" s="12"/>
      <c r="E356" s="1" t="str">
        <f aca="false">IFERROR((D356-C356)/C356,"")</f>
        <v/>
      </c>
      <c r="H356" s="1" t="str">
        <f aca="false">IFERROR((G356-F356)/F356,"")</f>
        <v/>
      </c>
      <c r="K356" s="1" t="str">
        <f aca="false">IFERROR((J356-I356)/I356,"")</f>
        <v/>
      </c>
      <c r="P356" s="1" t="str">
        <f aca="false">IFERROR((D356-N356)/N356,"")</f>
        <v/>
      </c>
      <c r="Q356" s="12"/>
      <c r="R356" s="12"/>
    </row>
    <row r="357" customFormat="false" ht="15" hidden="false" customHeight="true" outlineLevel="0" collapsed="false">
      <c r="B357" s="12"/>
      <c r="E357" s="1" t="str">
        <f aca="false">IFERROR((D357-C357)/C357,"")</f>
        <v/>
      </c>
      <c r="H357" s="1" t="str">
        <f aca="false">IFERROR((G357-F357)/F357,"")</f>
        <v/>
      </c>
      <c r="K357" s="1" t="str">
        <f aca="false">IFERROR((J357-I357)/I357,"")</f>
        <v/>
      </c>
      <c r="P357" s="1" t="str">
        <f aca="false">IFERROR((D357-N357)/N357,"")</f>
        <v/>
      </c>
      <c r="Q357" s="12"/>
      <c r="R357" s="12"/>
    </row>
    <row r="358" customFormat="false" ht="15" hidden="false" customHeight="true" outlineLevel="0" collapsed="false">
      <c r="B358" s="12"/>
      <c r="E358" s="1" t="str">
        <f aca="false">IFERROR((D358-C358)/C358,"")</f>
        <v/>
      </c>
      <c r="H358" s="1" t="str">
        <f aca="false">IFERROR((G358-F358)/F358,"")</f>
        <v/>
      </c>
      <c r="K358" s="1" t="str">
        <f aca="false">IFERROR((J358-I358)/I358,"")</f>
        <v/>
      </c>
      <c r="P358" s="1" t="str">
        <f aca="false">IFERROR((D358-N358)/N358,"")</f>
        <v/>
      </c>
      <c r="Q358" s="12"/>
      <c r="R358" s="12"/>
    </row>
    <row r="359" customFormat="false" ht="15" hidden="false" customHeight="true" outlineLevel="0" collapsed="false">
      <c r="B359" s="12"/>
      <c r="E359" s="1" t="str">
        <f aca="false">IFERROR((D359-C359)/C359,"")</f>
        <v/>
      </c>
      <c r="H359" s="1" t="str">
        <f aca="false">IFERROR((G359-F359)/F359,"")</f>
        <v/>
      </c>
      <c r="K359" s="1" t="str">
        <f aca="false">IFERROR((J359-I359)/I359,"")</f>
        <v/>
      </c>
      <c r="P359" s="1" t="str">
        <f aca="false">IFERROR((D359-N359)/N359,"")</f>
        <v/>
      </c>
      <c r="Q359" s="12"/>
      <c r="R359" s="12"/>
    </row>
    <row r="360" customFormat="false" ht="15" hidden="false" customHeight="true" outlineLevel="0" collapsed="false">
      <c r="B360" s="12"/>
      <c r="E360" s="1" t="str">
        <f aca="false">IFERROR((D360-C360)/C360,"")</f>
        <v/>
      </c>
      <c r="H360" s="1" t="str">
        <f aca="false">IFERROR((G360-F360)/F360,"")</f>
        <v/>
      </c>
      <c r="K360" s="1" t="str">
        <f aca="false">IFERROR((J360-I360)/I360,"")</f>
        <v/>
      </c>
      <c r="P360" s="1" t="str">
        <f aca="false">IFERROR((D360-N360)/N360,"")</f>
        <v/>
      </c>
      <c r="Q360" s="12"/>
      <c r="R360" s="12"/>
    </row>
    <row r="361" customFormat="false" ht="15" hidden="false" customHeight="true" outlineLevel="0" collapsed="false">
      <c r="B361" s="12"/>
      <c r="E361" s="1" t="str">
        <f aca="false">IFERROR((D361-C361)/C361,"")</f>
        <v/>
      </c>
      <c r="H361" s="1" t="str">
        <f aca="false">IFERROR((G361-F361)/F361,"")</f>
        <v/>
      </c>
      <c r="K361" s="1" t="str">
        <f aca="false">IFERROR((J361-I361)/I361,"")</f>
        <v/>
      </c>
      <c r="P361" s="1" t="str">
        <f aca="false">IFERROR((D361-N361)/N361,"")</f>
        <v/>
      </c>
      <c r="Q361" s="12"/>
      <c r="R361" s="12"/>
    </row>
    <row r="362" customFormat="false" ht="15" hidden="false" customHeight="true" outlineLevel="0" collapsed="false">
      <c r="B362" s="12"/>
      <c r="E362" s="1" t="str">
        <f aca="false">IFERROR((D362-C362)/C362,"")</f>
        <v/>
      </c>
      <c r="H362" s="1" t="str">
        <f aca="false">IFERROR((G362-F362)/F362,"")</f>
        <v/>
      </c>
      <c r="K362" s="1" t="str">
        <f aca="false">IFERROR((J362-I362)/I362,"")</f>
        <v/>
      </c>
      <c r="P362" s="1" t="str">
        <f aca="false">IFERROR((D362-N362)/N362,"")</f>
        <v/>
      </c>
      <c r="Q362" s="12"/>
      <c r="R362" s="12"/>
    </row>
    <row r="363" customFormat="false" ht="15" hidden="false" customHeight="true" outlineLevel="0" collapsed="false">
      <c r="B363" s="12"/>
      <c r="E363" s="1" t="str">
        <f aca="false">IFERROR((D363-C363)/C363,"")</f>
        <v/>
      </c>
      <c r="H363" s="1" t="str">
        <f aca="false">IFERROR((G363-F363)/F363,"")</f>
        <v/>
      </c>
      <c r="K363" s="1" t="str">
        <f aca="false">IFERROR((J363-I363)/I363,"")</f>
        <v/>
      </c>
      <c r="P363" s="1" t="str">
        <f aca="false">IFERROR((D363-N363)/N363,"")</f>
        <v/>
      </c>
      <c r="Q363" s="12"/>
      <c r="R363" s="12"/>
    </row>
    <row r="364" customFormat="false" ht="15" hidden="false" customHeight="true" outlineLevel="0" collapsed="false">
      <c r="B364" s="12"/>
      <c r="E364" s="1" t="str">
        <f aca="false">IFERROR((D364-C364)/C364,"")</f>
        <v/>
      </c>
      <c r="H364" s="1" t="str">
        <f aca="false">IFERROR((G364-F364)/F364,"")</f>
        <v/>
      </c>
      <c r="K364" s="1" t="str">
        <f aca="false">IFERROR((J364-I364)/I364,"")</f>
        <v/>
      </c>
      <c r="P364" s="1" t="str">
        <f aca="false">IFERROR((D364-N364)/N364,"")</f>
        <v/>
      </c>
      <c r="Q364" s="12"/>
      <c r="R364" s="12"/>
    </row>
    <row r="365" customFormat="false" ht="15" hidden="false" customHeight="true" outlineLevel="0" collapsed="false">
      <c r="B365" s="12"/>
      <c r="E365" s="1" t="str">
        <f aca="false">IFERROR((D365-C365)/C365,"")</f>
        <v/>
      </c>
      <c r="H365" s="1" t="str">
        <f aca="false">IFERROR((G365-F365)/F365,"")</f>
        <v/>
      </c>
      <c r="K365" s="1" t="str">
        <f aca="false">IFERROR((J365-I365)/I365,"")</f>
        <v/>
      </c>
      <c r="P365" s="1" t="str">
        <f aca="false">IFERROR((D365-N365)/N365,"")</f>
        <v/>
      </c>
      <c r="Q365" s="12"/>
      <c r="R365" s="12"/>
    </row>
    <row r="366" customFormat="false" ht="15" hidden="false" customHeight="true" outlineLevel="0" collapsed="false">
      <c r="B366" s="12"/>
      <c r="E366" s="1" t="str">
        <f aca="false">IFERROR((D366-C366)/C366,"")</f>
        <v/>
      </c>
      <c r="H366" s="1" t="str">
        <f aca="false">IFERROR((G366-F366)/F366,"")</f>
        <v/>
      </c>
      <c r="K366" s="1" t="str">
        <f aca="false">IFERROR((J366-I366)/I366,"")</f>
        <v/>
      </c>
      <c r="P366" s="1" t="str">
        <f aca="false">IFERROR((D366-N366)/N366,"")</f>
        <v/>
      </c>
      <c r="Q366" s="12"/>
      <c r="R366" s="12"/>
    </row>
    <row r="367" customFormat="false" ht="15" hidden="false" customHeight="true" outlineLevel="0" collapsed="false">
      <c r="B367" s="12"/>
      <c r="E367" s="1" t="str">
        <f aca="false">IFERROR((D367-C367)/C367,"")</f>
        <v/>
      </c>
      <c r="H367" s="1" t="str">
        <f aca="false">IFERROR((G367-F367)/F367,"")</f>
        <v/>
      </c>
      <c r="K367" s="1" t="str">
        <f aca="false">IFERROR((J367-I367)/I367,"")</f>
        <v/>
      </c>
      <c r="P367" s="1" t="str">
        <f aca="false">IFERROR((D367-N367)/N367,"")</f>
        <v/>
      </c>
      <c r="Q367" s="12"/>
      <c r="R367" s="12"/>
    </row>
    <row r="368" customFormat="false" ht="15" hidden="false" customHeight="true" outlineLevel="0" collapsed="false">
      <c r="B368" s="12"/>
      <c r="E368" s="1" t="str">
        <f aca="false">IFERROR((D368-C368)/C368,"")</f>
        <v/>
      </c>
      <c r="H368" s="1" t="str">
        <f aca="false">IFERROR((G368-F368)/F368,"")</f>
        <v/>
      </c>
      <c r="K368" s="1" t="str">
        <f aca="false">IFERROR((J368-I368)/I368,"")</f>
        <v/>
      </c>
      <c r="P368" s="1" t="str">
        <f aca="false">IFERROR((D368-N368)/N368,"")</f>
        <v/>
      </c>
      <c r="Q368" s="12"/>
      <c r="R368" s="12"/>
    </row>
    <row r="369" customFormat="false" ht="15" hidden="false" customHeight="true" outlineLevel="0" collapsed="false">
      <c r="B369" s="12"/>
      <c r="E369" s="1" t="str">
        <f aca="false">IFERROR((D369-C369)/C369,"")</f>
        <v/>
      </c>
      <c r="H369" s="1" t="str">
        <f aca="false">IFERROR((G369-F369)/F369,"")</f>
        <v/>
      </c>
      <c r="K369" s="1" t="str">
        <f aca="false">IFERROR((J369-I369)/I369,"")</f>
        <v/>
      </c>
      <c r="P369" s="1" t="str">
        <f aca="false">IFERROR((D369-N369)/N369,"")</f>
        <v/>
      </c>
      <c r="Q369" s="12"/>
      <c r="R369" s="12"/>
    </row>
    <row r="370" customFormat="false" ht="15" hidden="false" customHeight="true" outlineLevel="0" collapsed="false">
      <c r="B370" s="12"/>
      <c r="E370" s="1" t="str">
        <f aca="false">IFERROR((D370-C370)/C370,"")</f>
        <v/>
      </c>
      <c r="H370" s="1" t="str">
        <f aca="false">IFERROR((G370-F370)/F370,"")</f>
        <v/>
      </c>
      <c r="K370" s="1" t="str">
        <f aca="false">IFERROR((J370-I370)/I370,"")</f>
        <v/>
      </c>
      <c r="P370" s="1" t="str">
        <f aca="false">IFERROR((D370-N370)/N370,"")</f>
        <v/>
      </c>
      <c r="Q370" s="12"/>
      <c r="R370" s="12"/>
    </row>
    <row r="371" customFormat="false" ht="15" hidden="false" customHeight="true" outlineLevel="0" collapsed="false">
      <c r="B371" s="12"/>
      <c r="E371" s="1" t="str">
        <f aca="false">IFERROR((D371-C371)/C371,"")</f>
        <v/>
      </c>
      <c r="H371" s="1" t="str">
        <f aca="false">IFERROR((G371-F371)/F371,"")</f>
        <v/>
      </c>
      <c r="K371" s="1" t="str">
        <f aca="false">IFERROR((J371-I371)/I371,"")</f>
        <v/>
      </c>
      <c r="P371" s="1" t="str">
        <f aca="false">IFERROR((D371-N371)/N371,"")</f>
        <v/>
      </c>
      <c r="Q371" s="12"/>
      <c r="R371" s="12"/>
    </row>
    <row r="372" customFormat="false" ht="15" hidden="false" customHeight="true" outlineLevel="0" collapsed="false">
      <c r="B372" s="12"/>
      <c r="E372" s="1" t="str">
        <f aca="false">IFERROR((D372-C372)/C372,"")</f>
        <v/>
      </c>
      <c r="H372" s="1" t="str">
        <f aca="false">IFERROR((G372-F372)/F372,"")</f>
        <v/>
      </c>
      <c r="K372" s="1" t="str">
        <f aca="false">IFERROR((J372-I372)/I372,"")</f>
        <v/>
      </c>
      <c r="P372" s="1" t="str">
        <f aca="false">IFERROR((D372-N372)/N372,"")</f>
        <v/>
      </c>
      <c r="Q372" s="12"/>
      <c r="R372" s="12"/>
    </row>
    <row r="373" customFormat="false" ht="15" hidden="false" customHeight="true" outlineLevel="0" collapsed="false">
      <c r="B373" s="12"/>
      <c r="E373" s="1" t="str">
        <f aca="false">IFERROR((D373-C373)/C373,"")</f>
        <v/>
      </c>
      <c r="H373" s="1" t="str">
        <f aca="false">IFERROR((G373-F373)/F373,"")</f>
        <v/>
      </c>
      <c r="K373" s="1" t="str">
        <f aca="false">IFERROR((J373-I373)/I373,"")</f>
        <v/>
      </c>
      <c r="P373" s="1" t="str">
        <f aca="false">IFERROR((D373-N373)/N373,"")</f>
        <v/>
      </c>
      <c r="Q373" s="12"/>
      <c r="R373" s="12"/>
    </row>
    <row r="374" customFormat="false" ht="15" hidden="false" customHeight="true" outlineLevel="0" collapsed="false">
      <c r="B374" s="12"/>
      <c r="E374" s="1" t="str">
        <f aca="false">IFERROR((D374-C374)/C374,"")</f>
        <v/>
      </c>
      <c r="H374" s="1" t="str">
        <f aca="false">IFERROR((G374-F374)/F374,"")</f>
        <v/>
      </c>
      <c r="K374" s="1" t="str">
        <f aca="false">IFERROR((J374-I374)/I374,"")</f>
        <v/>
      </c>
      <c r="P374" s="1" t="str">
        <f aca="false">IFERROR((D374-N374)/N374,"")</f>
        <v/>
      </c>
      <c r="Q374" s="12"/>
      <c r="R374" s="12"/>
    </row>
    <row r="375" customFormat="false" ht="15" hidden="false" customHeight="true" outlineLevel="0" collapsed="false">
      <c r="B375" s="12"/>
      <c r="E375" s="1" t="str">
        <f aca="false">IFERROR((D375-C375)/C375,"")</f>
        <v/>
      </c>
      <c r="H375" s="1" t="str">
        <f aca="false">IFERROR((G375-F375)/F375,"")</f>
        <v/>
      </c>
      <c r="K375" s="1" t="str">
        <f aca="false">IFERROR((J375-I375)/I375,"")</f>
        <v/>
      </c>
      <c r="P375" s="1" t="str">
        <f aca="false">IFERROR((D375-N375)/N375,"")</f>
        <v/>
      </c>
      <c r="Q375" s="12"/>
      <c r="R375" s="12"/>
    </row>
    <row r="376" customFormat="false" ht="15" hidden="false" customHeight="true" outlineLevel="0" collapsed="false">
      <c r="B376" s="12"/>
      <c r="E376" s="1" t="str">
        <f aca="false">IFERROR((D376-C376)/C376,"")</f>
        <v/>
      </c>
      <c r="H376" s="1" t="str">
        <f aca="false">IFERROR((G376-F376)/F376,"")</f>
        <v/>
      </c>
      <c r="K376" s="1" t="str">
        <f aca="false">IFERROR((J376-I376)/I376,"")</f>
        <v/>
      </c>
      <c r="P376" s="1" t="str">
        <f aca="false">IFERROR((D376-N376)/N376,"")</f>
        <v/>
      </c>
      <c r="Q376" s="12"/>
      <c r="R376" s="12"/>
    </row>
    <row r="377" customFormat="false" ht="15" hidden="false" customHeight="true" outlineLevel="0" collapsed="false">
      <c r="B377" s="12"/>
      <c r="E377" s="1" t="str">
        <f aca="false">IFERROR((D377-C377)/C377,"")</f>
        <v/>
      </c>
      <c r="H377" s="1" t="str">
        <f aca="false">IFERROR((G377-F377)/F377,"")</f>
        <v/>
      </c>
      <c r="K377" s="1" t="str">
        <f aca="false">IFERROR((J377-I377)/I377,"")</f>
        <v/>
      </c>
      <c r="P377" s="1" t="str">
        <f aca="false">IFERROR((D377-N377)/N377,"")</f>
        <v/>
      </c>
      <c r="Q377" s="12"/>
      <c r="R377" s="12"/>
    </row>
    <row r="378" customFormat="false" ht="15" hidden="false" customHeight="true" outlineLevel="0" collapsed="false">
      <c r="B378" s="12"/>
      <c r="E378" s="1" t="str">
        <f aca="false">IFERROR((D378-C378)/C378,"")</f>
        <v/>
      </c>
      <c r="H378" s="1" t="str">
        <f aca="false">IFERROR((G378-F378)/F378,"")</f>
        <v/>
      </c>
      <c r="K378" s="1" t="str">
        <f aca="false">IFERROR((J378-I378)/I378,"")</f>
        <v/>
      </c>
      <c r="P378" s="1" t="str">
        <f aca="false">IFERROR((D378-N378)/N378,"")</f>
        <v/>
      </c>
      <c r="Q378" s="12"/>
      <c r="R378" s="12"/>
    </row>
    <row r="379" customFormat="false" ht="15" hidden="false" customHeight="true" outlineLevel="0" collapsed="false">
      <c r="B379" s="12"/>
      <c r="E379" s="1" t="str">
        <f aca="false">IFERROR((D379-C379)/C379,"")</f>
        <v/>
      </c>
      <c r="H379" s="1" t="str">
        <f aca="false">IFERROR((G379-F379)/F379,"")</f>
        <v/>
      </c>
      <c r="K379" s="1" t="str">
        <f aca="false">IFERROR((J379-I379)/I379,"")</f>
        <v/>
      </c>
      <c r="P379" s="1" t="str">
        <f aca="false">IFERROR((D379-N379)/N379,"")</f>
        <v/>
      </c>
      <c r="Q379" s="12"/>
      <c r="R379" s="12"/>
    </row>
    <row r="380" customFormat="false" ht="15" hidden="false" customHeight="true" outlineLevel="0" collapsed="false">
      <c r="B380" s="12"/>
      <c r="E380" s="1" t="str">
        <f aca="false">IFERROR((D380-C380)/C380,"")</f>
        <v/>
      </c>
      <c r="H380" s="1" t="str">
        <f aca="false">IFERROR((G380-F380)/F380,"")</f>
        <v/>
      </c>
      <c r="K380" s="1" t="str">
        <f aca="false">IFERROR((J380-I380)/I380,"")</f>
        <v/>
      </c>
      <c r="P380" s="1" t="str">
        <f aca="false">IFERROR((D380-N380)/N380,"")</f>
        <v/>
      </c>
      <c r="Q380" s="12"/>
      <c r="R380" s="12"/>
    </row>
    <row r="381" customFormat="false" ht="15" hidden="false" customHeight="true" outlineLevel="0" collapsed="false">
      <c r="B381" s="12"/>
      <c r="E381" s="1" t="str">
        <f aca="false">IFERROR((D381-C381)/C381,"")</f>
        <v/>
      </c>
      <c r="H381" s="1" t="str">
        <f aca="false">IFERROR((G381-F381)/F381,"")</f>
        <v/>
      </c>
      <c r="K381" s="1" t="str">
        <f aca="false">IFERROR((J381-I381)/I381,"")</f>
        <v/>
      </c>
      <c r="P381" s="1" t="str">
        <f aca="false">IFERROR((D381-N381)/N381,"")</f>
        <v/>
      </c>
      <c r="Q381" s="12"/>
      <c r="R381" s="12"/>
    </row>
    <row r="382" customFormat="false" ht="15" hidden="false" customHeight="true" outlineLevel="0" collapsed="false">
      <c r="B382" s="12"/>
      <c r="E382" s="1" t="str">
        <f aca="false">IFERROR((D382-C382)/C382,"")</f>
        <v/>
      </c>
      <c r="H382" s="1" t="str">
        <f aca="false">IFERROR((G382-F382)/F382,"")</f>
        <v/>
      </c>
      <c r="K382" s="1" t="str">
        <f aca="false">IFERROR((J382-I382)/I382,"")</f>
        <v/>
      </c>
      <c r="P382" s="1" t="str">
        <f aca="false">IFERROR((D382-N382)/N382,"")</f>
        <v/>
      </c>
      <c r="Q382" s="12"/>
      <c r="R382" s="12"/>
    </row>
    <row r="383" customFormat="false" ht="15" hidden="false" customHeight="true" outlineLevel="0" collapsed="false">
      <c r="B383" s="12"/>
      <c r="E383" s="1" t="str">
        <f aca="false">IFERROR((D383-C383)/C383,"")</f>
        <v/>
      </c>
      <c r="H383" s="1" t="str">
        <f aca="false">IFERROR((G383-F383)/F383,"")</f>
        <v/>
      </c>
      <c r="K383" s="1" t="str">
        <f aca="false">IFERROR((J383-I383)/I383,"")</f>
        <v/>
      </c>
      <c r="P383" s="1" t="str">
        <f aca="false">IFERROR((D383-N383)/N383,"")</f>
        <v/>
      </c>
      <c r="Q383" s="12"/>
      <c r="R383" s="12"/>
    </row>
    <row r="384" customFormat="false" ht="15" hidden="false" customHeight="true" outlineLevel="0" collapsed="false">
      <c r="B384" s="12"/>
      <c r="E384" s="1" t="str">
        <f aca="false">IFERROR((D384-C384)/C384,"")</f>
        <v/>
      </c>
      <c r="H384" s="1" t="str">
        <f aca="false">IFERROR((G384-F384)/F384,"")</f>
        <v/>
      </c>
      <c r="K384" s="1" t="str">
        <f aca="false">IFERROR((J384-I384)/I384,"")</f>
        <v/>
      </c>
      <c r="P384" s="1" t="str">
        <f aca="false">IFERROR((D384-N384)/N384,"")</f>
        <v/>
      </c>
      <c r="Q384" s="12"/>
      <c r="R384" s="12"/>
    </row>
    <row r="385" customFormat="false" ht="15" hidden="false" customHeight="true" outlineLevel="0" collapsed="false">
      <c r="B385" s="12"/>
      <c r="E385" s="1" t="str">
        <f aca="false">IFERROR((D385-C385)/C385,"")</f>
        <v/>
      </c>
      <c r="H385" s="1" t="str">
        <f aca="false">IFERROR((G385-F385)/F385,"")</f>
        <v/>
      </c>
      <c r="K385" s="1" t="str">
        <f aca="false">IFERROR((J385-I385)/I385,"")</f>
        <v/>
      </c>
      <c r="P385" s="1" t="str">
        <f aca="false">IFERROR((D385-N385)/N385,"")</f>
        <v/>
      </c>
      <c r="Q385" s="12"/>
      <c r="R385" s="12"/>
    </row>
    <row r="386" customFormat="false" ht="15" hidden="false" customHeight="true" outlineLevel="0" collapsed="false">
      <c r="B386" s="12"/>
      <c r="E386" s="1" t="str">
        <f aca="false">IFERROR((D386-C386)/C386,"")</f>
        <v/>
      </c>
      <c r="H386" s="1" t="str">
        <f aca="false">IFERROR((G386-F386)/F386,"")</f>
        <v/>
      </c>
      <c r="K386" s="1" t="str">
        <f aca="false">IFERROR((J386-I386)/I386,"")</f>
        <v/>
      </c>
      <c r="P386" s="1" t="str">
        <f aca="false">IFERROR((D386-N386)/N386,"")</f>
        <v/>
      </c>
      <c r="Q386" s="12"/>
      <c r="R386" s="12"/>
    </row>
    <row r="387" customFormat="false" ht="15" hidden="false" customHeight="true" outlineLevel="0" collapsed="false">
      <c r="B387" s="12"/>
      <c r="E387" s="1" t="str">
        <f aca="false">IFERROR((D387-C387)/C387,"")</f>
        <v/>
      </c>
      <c r="H387" s="1" t="str">
        <f aca="false">IFERROR((G387-F387)/F387,"")</f>
        <v/>
      </c>
      <c r="K387" s="1" t="str">
        <f aca="false">IFERROR((J387-I387)/I387,"")</f>
        <v/>
      </c>
      <c r="P387" s="1" t="str">
        <f aca="false">IFERROR((D387-N387)/N387,"")</f>
        <v/>
      </c>
      <c r="Q387" s="12"/>
      <c r="R387" s="12"/>
    </row>
    <row r="388" customFormat="false" ht="15" hidden="false" customHeight="true" outlineLevel="0" collapsed="false">
      <c r="B388" s="12"/>
      <c r="E388" s="1" t="str">
        <f aca="false">IFERROR((D388-C388)/C388,"")</f>
        <v/>
      </c>
      <c r="H388" s="1" t="str">
        <f aca="false">IFERROR((G388-F388)/F388,"")</f>
        <v/>
      </c>
      <c r="K388" s="1" t="str">
        <f aca="false">IFERROR((J388-I388)/I388,"")</f>
        <v/>
      </c>
      <c r="P388" s="1" t="str">
        <f aca="false">IFERROR((D388-N388)/N388,"")</f>
        <v/>
      </c>
      <c r="Q388" s="12"/>
      <c r="R388" s="12"/>
    </row>
    <row r="389" customFormat="false" ht="15" hidden="false" customHeight="true" outlineLevel="0" collapsed="false">
      <c r="B389" s="12"/>
      <c r="E389" s="1" t="str">
        <f aca="false">IFERROR((D389-C389)/C389,"")</f>
        <v/>
      </c>
      <c r="H389" s="1" t="str">
        <f aca="false">IFERROR((G389-F389)/F389,"")</f>
        <v/>
      </c>
      <c r="K389" s="1" t="str">
        <f aca="false">IFERROR((J389-I389)/I389,"")</f>
        <v/>
      </c>
      <c r="P389" s="1" t="str">
        <f aca="false">IFERROR((D389-N389)/N389,"")</f>
        <v/>
      </c>
      <c r="Q389" s="12"/>
      <c r="R389" s="12"/>
    </row>
    <row r="390" customFormat="false" ht="15" hidden="false" customHeight="true" outlineLevel="0" collapsed="false">
      <c r="B390" s="12"/>
      <c r="E390" s="1" t="str">
        <f aca="false">IFERROR((D390-C390)/C390,"")</f>
        <v/>
      </c>
      <c r="H390" s="1" t="str">
        <f aca="false">IFERROR((G390-F390)/F390,"")</f>
        <v/>
      </c>
      <c r="K390" s="1" t="str">
        <f aca="false">IFERROR((J390-I390)/I390,"")</f>
        <v/>
      </c>
      <c r="P390" s="1" t="str">
        <f aca="false">IFERROR((D390-N390)/N390,"")</f>
        <v/>
      </c>
      <c r="Q390" s="12"/>
      <c r="R390" s="12"/>
    </row>
    <row r="391" customFormat="false" ht="15" hidden="false" customHeight="true" outlineLevel="0" collapsed="false">
      <c r="B391" s="12"/>
      <c r="E391" s="1" t="str">
        <f aca="false">IFERROR((D391-C391)/C391,"")</f>
        <v/>
      </c>
      <c r="H391" s="1" t="str">
        <f aca="false">IFERROR((G391-F391)/F391,"")</f>
        <v/>
      </c>
      <c r="K391" s="1" t="str">
        <f aca="false">IFERROR((J391-I391)/I391,"")</f>
        <v/>
      </c>
      <c r="P391" s="1" t="str">
        <f aca="false">IFERROR((D391-N391)/N391,"")</f>
        <v/>
      </c>
      <c r="Q391" s="12"/>
      <c r="R391" s="12"/>
    </row>
    <row r="392" customFormat="false" ht="15" hidden="false" customHeight="true" outlineLevel="0" collapsed="false">
      <c r="B392" s="12"/>
      <c r="E392" s="1" t="str">
        <f aca="false">IFERROR((D392-C392)/C392,"")</f>
        <v/>
      </c>
      <c r="H392" s="1" t="str">
        <f aca="false">IFERROR((G392-F392)/F392,"")</f>
        <v/>
      </c>
      <c r="K392" s="1" t="str">
        <f aca="false">IFERROR((J392-I392)/I392,"")</f>
        <v/>
      </c>
      <c r="P392" s="1" t="str">
        <f aca="false">IFERROR((D392-N392)/N392,"")</f>
        <v/>
      </c>
      <c r="Q392" s="12"/>
      <c r="R392" s="12"/>
    </row>
    <row r="393" customFormat="false" ht="15" hidden="false" customHeight="true" outlineLevel="0" collapsed="false">
      <c r="B393" s="12"/>
      <c r="E393" s="1" t="str">
        <f aca="false">IFERROR((D393-C393)/C393,"")</f>
        <v/>
      </c>
      <c r="H393" s="1" t="str">
        <f aca="false">IFERROR((G393-F393)/F393,"")</f>
        <v/>
      </c>
      <c r="K393" s="1" t="str">
        <f aca="false">IFERROR((J393-I393)/I393,"")</f>
        <v/>
      </c>
      <c r="P393" s="1" t="str">
        <f aca="false">IFERROR((D393-N393)/N393,"")</f>
        <v/>
      </c>
      <c r="Q393" s="12"/>
      <c r="R393" s="12"/>
    </row>
    <row r="394" customFormat="false" ht="15" hidden="false" customHeight="true" outlineLevel="0" collapsed="false">
      <c r="B394" s="12"/>
      <c r="E394" s="1" t="str">
        <f aca="false">IFERROR((D394-C394)/C394,"")</f>
        <v/>
      </c>
      <c r="H394" s="1" t="str">
        <f aca="false">IFERROR((G394-F394)/F394,"")</f>
        <v/>
      </c>
      <c r="K394" s="1" t="str">
        <f aca="false">IFERROR((J394-I394)/I394,"")</f>
        <v/>
      </c>
      <c r="P394" s="1" t="str">
        <f aca="false">IFERROR((D394-N394)/N394,"")</f>
        <v/>
      </c>
      <c r="Q394" s="12"/>
      <c r="R394" s="12"/>
    </row>
    <row r="395" customFormat="false" ht="15" hidden="false" customHeight="true" outlineLevel="0" collapsed="false">
      <c r="B395" s="12"/>
      <c r="E395" s="1" t="str">
        <f aca="false">IFERROR((D395-C395)/C395,"")</f>
        <v/>
      </c>
      <c r="H395" s="1" t="str">
        <f aca="false">IFERROR((G395-F395)/F395,"")</f>
        <v/>
      </c>
      <c r="K395" s="1" t="str">
        <f aca="false">IFERROR((J395-I395)/I395,"")</f>
        <v/>
      </c>
      <c r="P395" s="1" t="str">
        <f aca="false">IFERROR((D395-N395)/N395,"")</f>
        <v/>
      </c>
      <c r="Q395" s="12"/>
      <c r="R395" s="12"/>
    </row>
    <row r="396" customFormat="false" ht="15" hidden="false" customHeight="true" outlineLevel="0" collapsed="false">
      <c r="B396" s="12"/>
      <c r="E396" s="1" t="str">
        <f aca="false">IFERROR((D396-C396)/C396,"")</f>
        <v/>
      </c>
      <c r="H396" s="1" t="str">
        <f aca="false">IFERROR((G396-F396)/F396,"")</f>
        <v/>
      </c>
      <c r="K396" s="1" t="str">
        <f aca="false">IFERROR((J396-I396)/I396,"")</f>
        <v/>
      </c>
      <c r="P396" s="1" t="str">
        <f aca="false">IFERROR((D396-N396)/N396,"")</f>
        <v/>
      </c>
      <c r="Q396" s="12"/>
      <c r="R396" s="12"/>
    </row>
    <row r="397" customFormat="false" ht="15" hidden="false" customHeight="true" outlineLevel="0" collapsed="false">
      <c r="B397" s="12"/>
      <c r="E397" s="1" t="str">
        <f aca="false">IFERROR((D397-C397)/C397,"")</f>
        <v/>
      </c>
      <c r="H397" s="1" t="str">
        <f aca="false">IFERROR((G397-F397)/F397,"")</f>
        <v/>
      </c>
      <c r="K397" s="1" t="str">
        <f aca="false">IFERROR((J397-I397)/I397,"")</f>
        <v/>
      </c>
      <c r="P397" s="1" t="str">
        <f aca="false">IFERROR((D397-N397)/N397,"")</f>
        <v/>
      </c>
      <c r="Q397" s="12"/>
      <c r="R397" s="12"/>
    </row>
    <row r="398" customFormat="false" ht="15" hidden="false" customHeight="true" outlineLevel="0" collapsed="false">
      <c r="B398" s="12"/>
      <c r="E398" s="1" t="str">
        <f aca="false">IFERROR((D398-C398)/C398,"")</f>
        <v/>
      </c>
      <c r="H398" s="1" t="str">
        <f aca="false">IFERROR((G398-F398)/F398,"")</f>
        <v/>
      </c>
      <c r="K398" s="1" t="str">
        <f aca="false">IFERROR((J398-I398)/I398,"")</f>
        <v/>
      </c>
      <c r="P398" s="1" t="str">
        <f aca="false">IFERROR((D398-N398)/N398,"")</f>
        <v/>
      </c>
      <c r="Q398" s="12"/>
      <c r="R398" s="12"/>
    </row>
    <row r="399" customFormat="false" ht="15" hidden="false" customHeight="true" outlineLevel="0" collapsed="false">
      <c r="B399" s="12"/>
      <c r="E399" s="1" t="str">
        <f aca="false">IFERROR((D399-C399)/C399,"")</f>
        <v/>
      </c>
      <c r="H399" s="1" t="str">
        <f aca="false">IFERROR((G399-F399)/F399,"")</f>
        <v/>
      </c>
      <c r="K399" s="1" t="str">
        <f aca="false">IFERROR((J399-I399)/I399,"")</f>
        <v/>
      </c>
      <c r="P399" s="1" t="str">
        <f aca="false">IFERROR((D399-N399)/N399,"")</f>
        <v/>
      </c>
      <c r="Q399" s="12"/>
      <c r="R399" s="12"/>
    </row>
    <row r="400" customFormat="false" ht="15" hidden="false" customHeight="true" outlineLevel="0" collapsed="false">
      <c r="B400" s="12"/>
      <c r="E400" s="1" t="str">
        <f aca="false">IFERROR((D400-C400)/C400,"")</f>
        <v/>
      </c>
      <c r="H400" s="1" t="str">
        <f aca="false">IFERROR((G400-F400)/F400,"")</f>
        <v/>
      </c>
      <c r="K400" s="1" t="str">
        <f aca="false">IFERROR((J400-I400)/I400,"")</f>
        <v/>
      </c>
      <c r="P400" s="1" t="str">
        <f aca="false">IFERROR((D400-N400)/N400,"")</f>
        <v/>
      </c>
      <c r="Q400" s="12"/>
      <c r="R400" s="12"/>
    </row>
    <row r="401" customFormat="false" ht="15" hidden="false" customHeight="true" outlineLevel="0" collapsed="false">
      <c r="B401" s="12"/>
      <c r="E401" s="1" t="str">
        <f aca="false">IFERROR((D401-C401)/C401,"")</f>
        <v/>
      </c>
      <c r="H401" s="1" t="str">
        <f aca="false">IFERROR((G401-F401)/F401,"")</f>
        <v/>
      </c>
      <c r="K401" s="1" t="str">
        <f aca="false">IFERROR((J401-I401)/I401,"")</f>
        <v/>
      </c>
      <c r="P401" s="1" t="str">
        <f aca="false">IFERROR((D401-N401)/N401,"")</f>
        <v/>
      </c>
      <c r="Q401" s="12"/>
      <c r="R401" s="12"/>
    </row>
    <row r="402" customFormat="false" ht="15" hidden="false" customHeight="true" outlineLevel="0" collapsed="false">
      <c r="B402" s="12"/>
      <c r="E402" s="1" t="str">
        <f aca="false">IFERROR((D402-C402)/C402,"")</f>
        <v/>
      </c>
      <c r="H402" s="1" t="str">
        <f aca="false">IFERROR((G402-F402)/F402,"")</f>
        <v/>
      </c>
      <c r="K402" s="1" t="str">
        <f aca="false">IFERROR((J402-I402)/I402,"")</f>
        <v/>
      </c>
      <c r="P402" s="1" t="str">
        <f aca="false">IFERROR((D402-N402)/N402,"")</f>
        <v/>
      </c>
      <c r="Q402" s="12"/>
      <c r="R402" s="12"/>
    </row>
    <row r="403" customFormat="false" ht="15" hidden="false" customHeight="true" outlineLevel="0" collapsed="false">
      <c r="B403" s="12"/>
      <c r="E403" s="1" t="str">
        <f aca="false">IFERROR((D403-C403)/C403,"")</f>
        <v/>
      </c>
      <c r="H403" s="1" t="str">
        <f aca="false">IFERROR((G403-F403)/F403,"")</f>
        <v/>
      </c>
      <c r="K403" s="1" t="str">
        <f aca="false">IFERROR((J403-I403)/I403,"")</f>
        <v/>
      </c>
      <c r="P403" s="1" t="str">
        <f aca="false">IFERROR((D403-N403)/N403,"")</f>
        <v/>
      </c>
      <c r="Q403" s="12"/>
      <c r="R403" s="12"/>
    </row>
    <row r="404" customFormat="false" ht="15" hidden="false" customHeight="true" outlineLevel="0" collapsed="false">
      <c r="B404" s="12"/>
      <c r="E404" s="1" t="str">
        <f aca="false">IFERROR((D404-C404)/C404,"")</f>
        <v/>
      </c>
      <c r="H404" s="1" t="str">
        <f aca="false">IFERROR((G404-F404)/F404,"")</f>
        <v/>
      </c>
      <c r="K404" s="1" t="str">
        <f aca="false">IFERROR((J404-I404)/I404,"")</f>
        <v/>
      </c>
      <c r="P404" s="1" t="str">
        <f aca="false">IFERROR((D404-N404)/N404,"")</f>
        <v/>
      </c>
      <c r="Q404" s="12"/>
      <c r="R404" s="12"/>
    </row>
    <row r="405" customFormat="false" ht="15" hidden="false" customHeight="true" outlineLevel="0" collapsed="false">
      <c r="B405" s="12"/>
      <c r="E405" s="1" t="str">
        <f aca="false">IFERROR((D405-C405)/C405,"")</f>
        <v/>
      </c>
      <c r="H405" s="1" t="str">
        <f aca="false">IFERROR((G405-F405)/F405,"")</f>
        <v/>
      </c>
      <c r="K405" s="1" t="str">
        <f aca="false">IFERROR((J405-I405)/I405,"")</f>
        <v/>
      </c>
      <c r="P405" s="1" t="str">
        <f aca="false">IFERROR((D405-N405)/N405,"")</f>
        <v/>
      </c>
      <c r="Q405" s="12"/>
      <c r="R405" s="12"/>
    </row>
    <row r="406" customFormat="false" ht="15" hidden="false" customHeight="true" outlineLevel="0" collapsed="false">
      <c r="B406" s="12"/>
      <c r="E406" s="1" t="str">
        <f aca="false">IFERROR((D406-C406)/C406,"")</f>
        <v/>
      </c>
      <c r="H406" s="1" t="str">
        <f aca="false">IFERROR((G406-F406)/F406,"")</f>
        <v/>
      </c>
      <c r="K406" s="1" t="str">
        <f aca="false">IFERROR((J406-I406)/I406,"")</f>
        <v/>
      </c>
      <c r="P406" s="1" t="str">
        <f aca="false">IFERROR((D406-N406)/N406,"")</f>
        <v/>
      </c>
      <c r="Q406" s="12"/>
      <c r="R406" s="12"/>
    </row>
    <row r="407" customFormat="false" ht="15" hidden="false" customHeight="true" outlineLevel="0" collapsed="false">
      <c r="B407" s="12"/>
      <c r="E407" s="1" t="str">
        <f aca="false">IFERROR((D407-C407)/C407,"")</f>
        <v/>
      </c>
      <c r="H407" s="1" t="str">
        <f aca="false">IFERROR((G407-F407)/F407,"")</f>
        <v/>
      </c>
      <c r="K407" s="1" t="str">
        <f aca="false">IFERROR((J407-I407)/I407,"")</f>
        <v/>
      </c>
      <c r="P407" s="1" t="str">
        <f aca="false">IFERROR((D407-N407)/N407,"")</f>
        <v/>
      </c>
      <c r="Q407" s="12"/>
      <c r="R407" s="12"/>
    </row>
    <row r="408" customFormat="false" ht="15" hidden="false" customHeight="true" outlineLevel="0" collapsed="false">
      <c r="B408" s="12"/>
      <c r="E408" s="1" t="str">
        <f aca="false">IFERROR((D408-C408)/C408,"")</f>
        <v/>
      </c>
      <c r="H408" s="1" t="str">
        <f aca="false">IFERROR((G408-F408)/F408,"")</f>
        <v/>
      </c>
      <c r="K408" s="1" t="str">
        <f aca="false">IFERROR((J408-I408)/I408,"")</f>
        <v/>
      </c>
      <c r="P408" s="1" t="str">
        <f aca="false">IFERROR((D408-N408)/N408,"")</f>
        <v/>
      </c>
      <c r="Q408" s="12"/>
      <c r="R408" s="12"/>
    </row>
    <row r="409" customFormat="false" ht="15" hidden="false" customHeight="true" outlineLevel="0" collapsed="false">
      <c r="B409" s="12"/>
      <c r="E409" s="1" t="str">
        <f aca="false">IFERROR((D409-C409)/C409,"")</f>
        <v/>
      </c>
      <c r="H409" s="1" t="str">
        <f aca="false">IFERROR((G409-F409)/F409,"")</f>
        <v/>
      </c>
      <c r="K409" s="1" t="str">
        <f aca="false">IFERROR((J409-I409)/I409,"")</f>
        <v/>
      </c>
      <c r="P409" s="1" t="str">
        <f aca="false">IFERROR((D409-N409)/N409,"")</f>
        <v/>
      </c>
      <c r="Q409" s="12"/>
      <c r="R409" s="12"/>
    </row>
    <row r="410" customFormat="false" ht="15" hidden="false" customHeight="true" outlineLevel="0" collapsed="false">
      <c r="B410" s="12"/>
      <c r="E410" s="1" t="str">
        <f aca="false">IFERROR((D410-C410)/C410,"")</f>
        <v/>
      </c>
      <c r="H410" s="1" t="str">
        <f aca="false">IFERROR((G410-F410)/F410,"")</f>
        <v/>
      </c>
      <c r="K410" s="1" t="str">
        <f aca="false">IFERROR((J410-I410)/I410,"")</f>
        <v/>
      </c>
      <c r="P410" s="1" t="str">
        <f aca="false">IFERROR((D410-N410)/N410,"")</f>
        <v/>
      </c>
      <c r="Q410" s="12"/>
      <c r="R410" s="12"/>
    </row>
    <row r="411" customFormat="false" ht="15" hidden="false" customHeight="true" outlineLevel="0" collapsed="false">
      <c r="B411" s="12"/>
      <c r="E411" s="1" t="str">
        <f aca="false">IFERROR((D411-C411)/C411,"")</f>
        <v/>
      </c>
      <c r="H411" s="1" t="str">
        <f aca="false">IFERROR((G411-F411)/F411,"")</f>
        <v/>
      </c>
      <c r="K411" s="1" t="str">
        <f aca="false">IFERROR((J411-I411)/I411,"")</f>
        <v/>
      </c>
      <c r="P411" s="1" t="str">
        <f aca="false">IFERROR((D411-N411)/N411,"")</f>
        <v/>
      </c>
      <c r="Q411" s="12"/>
      <c r="R411" s="12"/>
    </row>
    <row r="412" customFormat="false" ht="15" hidden="false" customHeight="true" outlineLevel="0" collapsed="false">
      <c r="B412" s="12"/>
      <c r="E412" s="1" t="str">
        <f aca="false">IFERROR((D412-C412)/C412,"")</f>
        <v/>
      </c>
      <c r="H412" s="1" t="str">
        <f aca="false">IFERROR((G412-F412)/F412,"")</f>
        <v/>
      </c>
      <c r="K412" s="1" t="str">
        <f aca="false">IFERROR((J412-I412)/I412,"")</f>
        <v/>
      </c>
      <c r="P412" s="1" t="str">
        <f aca="false">IFERROR((D412-N412)/N412,"")</f>
        <v/>
      </c>
      <c r="Q412" s="12"/>
      <c r="R412" s="12"/>
    </row>
    <row r="413" customFormat="false" ht="15" hidden="false" customHeight="true" outlineLevel="0" collapsed="false">
      <c r="B413" s="12"/>
      <c r="E413" s="1" t="str">
        <f aca="false">IFERROR((D413-C413)/C413,"")</f>
        <v/>
      </c>
      <c r="H413" s="1" t="str">
        <f aca="false">IFERROR((G413-F413)/F413,"")</f>
        <v/>
      </c>
      <c r="K413" s="1" t="str">
        <f aca="false">IFERROR((J413-I413)/I413,"")</f>
        <v/>
      </c>
      <c r="P413" s="1" t="str">
        <f aca="false">IFERROR((D413-N413)/N413,"")</f>
        <v/>
      </c>
      <c r="Q413" s="12"/>
      <c r="R413" s="12"/>
    </row>
    <row r="414" customFormat="false" ht="15" hidden="false" customHeight="true" outlineLevel="0" collapsed="false">
      <c r="B414" s="12"/>
      <c r="E414" s="1" t="str">
        <f aca="false">IFERROR((D414-C414)/C414,"")</f>
        <v/>
      </c>
      <c r="H414" s="1" t="str">
        <f aca="false">IFERROR((G414-F414)/F414,"")</f>
        <v/>
      </c>
      <c r="K414" s="1" t="str">
        <f aca="false">IFERROR((J414-I414)/I414,"")</f>
        <v/>
      </c>
      <c r="P414" s="1" t="str">
        <f aca="false">IFERROR((D414-N414)/N414,"")</f>
        <v/>
      </c>
      <c r="Q414" s="12"/>
      <c r="R414" s="12"/>
    </row>
    <row r="415" customFormat="false" ht="15" hidden="false" customHeight="true" outlineLevel="0" collapsed="false">
      <c r="B415" s="12"/>
      <c r="E415" s="1" t="str">
        <f aca="false">IFERROR((D415-C415)/C415,"")</f>
        <v/>
      </c>
      <c r="H415" s="1" t="str">
        <f aca="false">IFERROR((G415-F415)/F415,"")</f>
        <v/>
      </c>
      <c r="K415" s="1" t="str">
        <f aca="false">IFERROR((J415-I415)/I415,"")</f>
        <v/>
      </c>
      <c r="P415" s="1" t="str">
        <f aca="false">IFERROR((D415-N415)/N415,"")</f>
        <v/>
      </c>
      <c r="Q415" s="12"/>
      <c r="R415" s="12"/>
    </row>
    <row r="416" customFormat="false" ht="15" hidden="false" customHeight="true" outlineLevel="0" collapsed="false">
      <c r="B416" s="12"/>
      <c r="E416" s="1" t="str">
        <f aca="false">IFERROR((D416-C416)/C416,"")</f>
        <v/>
      </c>
      <c r="H416" s="1" t="str">
        <f aca="false">IFERROR((G416-F416)/F416,"")</f>
        <v/>
      </c>
      <c r="K416" s="1" t="str">
        <f aca="false">IFERROR((J416-I416)/I416,"")</f>
        <v/>
      </c>
      <c r="P416" s="1" t="str">
        <f aca="false">IFERROR((D416-N416)/N416,"")</f>
        <v/>
      </c>
      <c r="Q416" s="12"/>
      <c r="R416" s="12"/>
    </row>
    <row r="417" customFormat="false" ht="15" hidden="false" customHeight="true" outlineLevel="0" collapsed="false">
      <c r="B417" s="12"/>
      <c r="E417" s="1" t="str">
        <f aca="false">IFERROR((D417-C417)/C417,"")</f>
        <v/>
      </c>
      <c r="H417" s="1" t="str">
        <f aca="false">IFERROR((G417-F417)/F417,"")</f>
        <v/>
      </c>
      <c r="K417" s="1" t="str">
        <f aca="false">IFERROR((J417-I417)/I417,"")</f>
        <v/>
      </c>
      <c r="P417" s="1" t="str">
        <f aca="false">IFERROR((D417-N417)/N417,"")</f>
        <v/>
      </c>
      <c r="Q417" s="12"/>
      <c r="R417" s="12"/>
    </row>
    <row r="418" customFormat="false" ht="15" hidden="false" customHeight="true" outlineLevel="0" collapsed="false">
      <c r="B418" s="12"/>
      <c r="E418" s="1" t="str">
        <f aca="false">IFERROR((D418-C418)/C418,"")</f>
        <v/>
      </c>
      <c r="H418" s="1" t="str">
        <f aca="false">IFERROR((G418-F418)/F418,"")</f>
        <v/>
      </c>
      <c r="K418" s="1" t="str">
        <f aca="false">IFERROR((J418-I418)/I418,"")</f>
        <v/>
      </c>
      <c r="P418" s="1" t="str">
        <f aca="false">IFERROR((D418-N418)/N418,"")</f>
        <v/>
      </c>
      <c r="Q418" s="12"/>
      <c r="R418" s="12"/>
    </row>
    <row r="419" customFormat="false" ht="15" hidden="false" customHeight="true" outlineLevel="0" collapsed="false">
      <c r="B419" s="12"/>
      <c r="E419" s="1" t="str">
        <f aca="false">IFERROR((D419-C419)/C419,"")</f>
        <v/>
      </c>
      <c r="H419" s="1" t="str">
        <f aca="false">IFERROR((G419-F419)/F419,"")</f>
        <v/>
      </c>
      <c r="K419" s="1" t="str">
        <f aca="false">IFERROR((J419-I419)/I419,"")</f>
        <v/>
      </c>
      <c r="P419" s="1" t="str">
        <f aca="false">IFERROR((D419-N419)/N419,"")</f>
        <v/>
      </c>
      <c r="Q419" s="12"/>
      <c r="R419" s="12"/>
    </row>
    <row r="420" customFormat="false" ht="15" hidden="false" customHeight="true" outlineLevel="0" collapsed="false">
      <c r="B420" s="12"/>
      <c r="E420" s="1" t="str">
        <f aca="false">IFERROR((D420-C420)/C420,"")</f>
        <v/>
      </c>
      <c r="H420" s="1" t="str">
        <f aca="false">IFERROR((G420-F420)/F420,"")</f>
        <v/>
      </c>
      <c r="K420" s="1" t="str">
        <f aca="false">IFERROR((J420-I420)/I420,"")</f>
        <v/>
      </c>
      <c r="P420" s="1" t="str">
        <f aca="false">IFERROR((D420-N420)/N420,"")</f>
        <v/>
      </c>
      <c r="Q420" s="12"/>
      <c r="R420" s="12"/>
    </row>
    <row r="421" customFormat="false" ht="15" hidden="false" customHeight="true" outlineLevel="0" collapsed="false">
      <c r="B421" s="12"/>
      <c r="E421" s="1" t="str">
        <f aca="false">IFERROR((D421-C421)/C421,"")</f>
        <v/>
      </c>
      <c r="H421" s="1" t="str">
        <f aca="false">IFERROR((G421-F421)/F421,"")</f>
        <v/>
      </c>
      <c r="K421" s="1" t="str">
        <f aca="false">IFERROR((J421-I421)/I421,"")</f>
        <v/>
      </c>
      <c r="P421" s="1" t="str">
        <f aca="false">IFERROR((D421-N421)/N421,"")</f>
        <v/>
      </c>
      <c r="Q421" s="12"/>
      <c r="R421" s="12"/>
    </row>
    <row r="422" customFormat="false" ht="15" hidden="false" customHeight="true" outlineLevel="0" collapsed="false">
      <c r="B422" s="12"/>
      <c r="E422" s="1" t="str">
        <f aca="false">IFERROR((D422-C422)/C422,"")</f>
        <v/>
      </c>
      <c r="H422" s="1" t="str">
        <f aca="false">IFERROR((G422-F422)/F422,"")</f>
        <v/>
      </c>
      <c r="K422" s="1" t="str">
        <f aca="false">IFERROR((J422-I422)/I422,"")</f>
        <v/>
      </c>
      <c r="P422" s="1" t="str">
        <f aca="false">IFERROR((D422-N422)/N422,"")</f>
        <v/>
      </c>
      <c r="Q422" s="12"/>
      <c r="R422" s="12"/>
    </row>
    <row r="423" customFormat="false" ht="15" hidden="false" customHeight="true" outlineLevel="0" collapsed="false">
      <c r="B423" s="12"/>
      <c r="E423" s="1" t="str">
        <f aca="false">IFERROR((D423-C423)/C423,"")</f>
        <v/>
      </c>
      <c r="H423" s="1" t="str">
        <f aca="false">IFERROR((G423-F423)/F423,"")</f>
        <v/>
      </c>
      <c r="K423" s="1" t="str">
        <f aca="false">IFERROR((J423-I423)/I423,"")</f>
        <v/>
      </c>
      <c r="P423" s="1" t="str">
        <f aca="false">IFERROR((D423-N423)/N423,"")</f>
        <v/>
      </c>
      <c r="Q423" s="12"/>
      <c r="R423" s="12"/>
    </row>
    <row r="424" customFormat="false" ht="15" hidden="false" customHeight="true" outlineLevel="0" collapsed="false">
      <c r="B424" s="12"/>
      <c r="E424" s="1" t="str">
        <f aca="false">IFERROR((D424-C424)/C424,"")</f>
        <v/>
      </c>
      <c r="H424" s="1" t="str">
        <f aca="false">IFERROR((G424-F424)/F424,"")</f>
        <v/>
      </c>
      <c r="K424" s="1" t="str">
        <f aca="false">IFERROR((J424-I424)/I424,"")</f>
        <v/>
      </c>
      <c r="P424" s="1" t="str">
        <f aca="false">IFERROR((D424-N424)/N424,"")</f>
        <v/>
      </c>
      <c r="Q424" s="12"/>
      <c r="R424" s="12"/>
    </row>
    <row r="425" customFormat="false" ht="15" hidden="false" customHeight="true" outlineLevel="0" collapsed="false">
      <c r="B425" s="12"/>
      <c r="E425" s="1" t="str">
        <f aca="false">IFERROR((D425-C425)/C425,"")</f>
        <v/>
      </c>
      <c r="H425" s="1" t="str">
        <f aca="false">IFERROR((G425-F425)/F425,"")</f>
        <v/>
      </c>
      <c r="K425" s="1" t="str">
        <f aca="false">IFERROR((J425-I425)/I425,"")</f>
        <v/>
      </c>
      <c r="P425" s="1" t="str">
        <f aca="false">IFERROR((D425-N425)/N425,"")</f>
        <v/>
      </c>
      <c r="Q425" s="12"/>
      <c r="R425" s="12"/>
    </row>
    <row r="426" customFormat="false" ht="15" hidden="false" customHeight="true" outlineLevel="0" collapsed="false">
      <c r="B426" s="12"/>
      <c r="E426" s="1" t="str">
        <f aca="false">IFERROR((D426-C426)/C426,"")</f>
        <v/>
      </c>
      <c r="H426" s="1" t="str">
        <f aca="false">IFERROR((G426-F426)/F426,"")</f>
        <v/>
      </c>
      <c r="K426" s="1" t="str">
        <f aca="false">IFERROR((J426-I426)/I426,"")</f>
        <v/>
      </c>
      <c r="P426" s="1" t="str">
        <f aca="false">IFERROR((D426-N426)/N426,"")</f>
        <v/>
      </c>
      <c r="Q426" s="12"/>
      <c r="R426" s="12"/>
    </row>
    <row r="427" customFormat="false" ht="15" hidden="false" customHeight="true" outlineLevel="0" collapsed="false">
      <c r="B427" s="12"/>
      <c r="E427" s="1" t="str">
        <f aca="false">IFERROR((D427-C427)/C427,"")</f>
        <v/>
      </c>
      <c r="H427" s="1" t="str">
        <f aca="false">IFERROR((G427-F427)/F427,"")</f>
        <v/>
      </c>
      <c r="K427" s="1" t="str">
        <f aca="false">IFERROR((J427-I427)/I427,"")</f>
        <v/>
      </c>
      <c r="P427" s="1" t="str">
        <f aca="false">IFERROR((D427-N427)/N427,"")</f>
        <v/>
      </c>
      <c r="Q427" s="12"/>
      <c r="R427" s="12"/>
    </row>
    <row r="428" customFormat="false" ht="15" hidden="false" customHeight="true" outlineLevel="0" collapsed="false">
      <c r="B428" s="12"/>
      <c r="E428" s="1" t="str">
        <f aca="false">IFERROR((D428-C428)/C428,"")</f>
        <v/>
      </c>
      <c r="H428" s="1" t="str">
        <f aca="false">IFERROR((G428-F428)/F428,"")</f>
        <v/>
      </c>
      <c r="K428" s="1" t="str">
        <f aca="false">IFERROR((J428-I428)/I428,"")</f>
        <v/>
      </c>
      <c r="P428" s="1" t="str">
        <f aca="false">IFERROR((D428-N428)/N428,"")</f>
        <v/>
      </c>
      <c r="Q428" s="12"/>
      <c r="R428" s="12"/>
    </row>
    <row r="429" customFormat="false" ht="15" hidden="false" customHeight="true" outlineLevel="0" collapsed="false">
      <c r="B429" s="12"/>
      <c r="E429" s="1" t="str">
        <f aca="false">IFERROR((D429-C429)/C429,"")</f>
        <v/>
      </c>
      <c r="H429" s="1" t="str">
        <f aca="false">IFERROR((G429-F429)/F429,"")</f>
        <v/>
      </c>
      <c r="K429" s="1" t="str">
        <f aca="false">IFERROR((J429-I429)/I429,"")</f>
        <v/>
      </c>
      <c r="P429" s="1" t="str">
        <f aca="false">IFERROR((D429-N429)/N429,"")</f>
        <v/>
      </c>
      <c r="Q429" s="12"/>
      <c r="R429" s="12"/>
    </row>
    <row r="430" customFormat="false" ht="15" hidden="false" customHeight="true" outlineLevel="0" collapsed="false">
      <c r="B430" s="12"/>
      <c r="E430" s="1" t="str">
        <f aca="false">IFERROR((D430-C430)/C430,"")</f>
        <v/>
      </c>
      <c r="H430" s="1" t="str">
        <f aca="false">IFERROR((G430-F430)/F430,"")</f>
        <v/>
      </c>
      <c r="K430" s="1" t="str">
        <f aca="false">IFERROR((J430-I430)/I430,"")</f>
        <v/>
      </c>
      <c r="P430" s="1" t="str">
        <f aca="false">IFERROR((D430-N430)/N430,"")</f>
        <v/>
      </c>
      <c r="Q430" s="12"/>
      <c r="R430" s="12"/>
    </row>
    <row r="431" customFormat="false" ht="15" hidden="false" customHeight="true" outlineLevel="0" collapsed="false">
      <c r="B431" s="12"/>
      <c r="E431" s="1" t="str">
        <f aca="false">IFERROR((D431-C431)/C431,"")</f>
        <v/>
      </c>
      <c r="H431" s="1" t="str">
        <f aca="false">IFERROR((G431-F431)/F431,"")</f>
        <v/>
      </c>
      <c r="K431" s="1" t="str">
        <f aca="false">IFERROR((J431-I431)/I431,"")</f>
        <v/>
      </c>
      <c r="P431" s="1" t="str">
        <f aca="false">IFERROR((D431-N431)/N431,"")</f>
        <v/>
      </c>
      <c r="Q431" s="12"/>
      <c r="R431" s="12"/>
    </row>
    <row r="432" customFormat="false" ht="15" hidden="false" customHeight="true" outlineLevel="0" collapsed="false">
      <c r="B432" s="12"/>
      <c r="E432" s="1" t="str">
        <f aca="false">IFERROR((D432-C432)/C432,"")</f>
        <v/>
      </c>
      <c r="H432" s="1" t="str">
        <f aca="false">IFERROR((G432-F432)/F432,"")</f>
        <v/>
      </c>
      <c r="K432" s="1" t="str">
        <f aca="false">IFERROR((J432-I432)/I432,"")</f>
        <v/>
      </c>
      <c r="P432" s="1" t="str">
        <f aca="false">IFERROR((D432-N432)/N432,"")</f>
        <v/>
      </c>
      <c r="Q432" s="12"/>
      <c r="R432" s="12"/>
    </row>
    <row r="433" customFormat="false" ht="15" hidden="false" customHeight="true" outlineLevel="0" collapsed="false">
      <c r="B433" s="12"/>
      <c r="E433" s="1" t="str">
        <f aca="false">IFERROR((D433-C433)/C433,"")</f>
        <v/>
      </c>
      <c r="H433" s="1" t="str">
        <f aca="false">IFERROR((G433-F433)/F433,"")</f>
        <v/>
      </c>
      <c r="K433" s="1" t="str">
        <f aca="false">IFERROR((J433-I433)/I433,"")</f>
        <v/>
      </c>
      <c r="P433" s="1" t="str">
        <f aca="false">IFERROR((D433-N433)/N433,"")</f>
        <v/>
      </c>
      <c r="Q433" s="12"/>
      <c r="R433" s="12"/>
    </row>
    <row r="434" customFormat="false" ht="15" hidden="false" customHeight="true" outlineLevel="0" collapsed="false">
      <c r="B434" s="12"/>
      <c r="E434" s="1" t="str">
        <f aca="false">IFERROR((D434-C434)/C434,"")</f>
        <v/>
      </c>
      <c r="H434" s="1" t="str">
        <f aca="false">IFERROR((G434-F434)/F434,"")</f>
        <v/>
      </c>
      <c r="K434" s="1" t="str">
        <f aca="false">IFERROR((J434-I434)/I434,"")</f>
        <v/>
      </c>
      <c r="P434" s="1" t="str">
        <f aca="false">IFERROR((D434-N434)/N434,"")</f>
        <v/>
      </c>
      <c r="Q434" s="12"/>
      <c r="R434" s="12"/>
    </row>
    <row r="435" customFormat="false" ht="15" hidden="false" customHeight="true" outlineLevel="0" collapsed="false">
      <c r="B435" s="12"/>
      <c r="E435" s="1" t="str">
        <f aca="false">IFERROR((D435-C435)/C435,"")</f>
        <v/>
      </c>
      <c r="H435" s="1" t="str">
        <f aca="false">IFERROR((G435-F435)/F435,"")</f>
        <v/>
      </c>
      <c r="K435" s="1" t="str">
        <f aca="false">IFERROR((J435-I435)/I435,"")</f>
        <v/>
      </c>
      <c r="P435" s="1" t="str">
        <f aca="false">IFERROR((D435-N435)/N435,"")</f>
        <v/>
      </c>
      <c r="Q435" s="12"/>
      <c r="R435" s="12"/>
    </row>
    <row r="436" customFormat="false" ht="15" hidden="false" customHeight="true" outlineLevel="0" collapsed="false">
      <c r="B436" s="12"/>
      <c r="E436" s="1" t="str">
        <f aca="false">IFERROR((D436-C436)/C436,"")</f>
        <v/>
      </c>
      <c r="H436" s="1" t="str">
        <f aca="false">IFERROR((G436-F436)/F436,"")</f>
        <v/>
      </c>
      <c r="K436" s="1" t="str">
        <f aca="false">IFERROR((J436-I436)/I436,"")</f>
        <v/>
      </c>
      <c r="P436" s="1" t="str">
        <f aca="false">IFERROR((D436-N436)/N436,"")</f>
        <v/>
      </c>
      <c r="Q436" s="12"/>
      <c r="R436" s="12"/>
    </row>
    <row r="437" customFormat="false" ht="15" hidden="false" customHeight="true" outlineLevel="0" collapsed="false">
      <c r="B437" s="12"/>
      <c r="E437" s="1" t="str">
        <f aca="false">IFERROR((D437-C437)/C437,"")</f>
        <v/>
      </c>
      <c r="H437" s="1" t="str">
        <f aca="false">IFERROR((G437-F437)/F437,"")</f>
        <v/>
      </c>
      <c r="K437" s="1" t="str">
        <f aca="false">IFERROR((J437-I437)/I437,"")</f>
        <v/>
      </c>
      <c r="P437" s="1" t="str">
        <f aca="false">IFERROR((D437-N437)/N437,"")</f>
        <v/>
      </c>
      <c r="Q437" s="12"/>
      <c r="R437" s="12"/>
    </row>
    <row r="438" customFormat="false" ht="15" hidden="false" customHeight="true" outlineLevel="0" collapsed="false">
      <c r="B438" s="12"/>
      <c r="E438" s="1" t="str">
        <f aca="false">IFERROR((D438-C438)/C438,"")</f>
        <v/>
      </c>
      <c r="H438" s="1" t="str">
        <f aca="false">IFERROR((G438-F438)/F438,"")</f>
        <v/>
      </c>
      <c r="K438" s="1" t="str">
        <f aca="false">IFERROR((J438-I438)/I438,"")</f>
        <v/>
      </c>
      <c r="P438" s="1" t="str">
        <f aca="false">IFERROR((D438-N438)/N438,"")</f>
        <v/>
      </c>
      <c r="Q438" s="12"/>
      <c r="R438" s="12"/>
    </row>
    <row r="439" customFormat="false" ht="15" hidden="false" customHeight="true" outlineLevel="0" collapsed="false">
      <c r="B439" s="12"/>
      <c r="E439" s="1" t="str">
        <f aca="false">IFERROR((D439-C439)/C439,"")</f>
        <v/>
      </c>
      <c r="H439" s="1" t="str">
        <f aca="false">IFERROR((G439-F439)/F439,"")</f>
        <v/>
      </c>
      <c r="K439" s="1" t="str">
        <f aca="false">IFERROR((J439-I439)/I439,"")</f>
        <v/>
      </c>
      <c r="P439" s="1" t="str">
        <f aca="false">IFERROR((D439-N439)/N439,"")</f>
        <v/>
      </c>
      <c r="Q439" s="12"/>
      <c r="R439" s="12"/>
    </row>
    <row r="440" customFormat="false" ht="15" hidden="false" customHeight="true" outlineLevel="0" collapsed="false">
      <c r="B440" s="12"/>
      <c r="E440" s="1" t="str">
        <f aca="false">IFERROR((D440-C440)/C440,"")</f>
        <v/>
      </c>
      <c r="H440" s="1" t="str">
        <f aca="false">IFERROR((G440-F440)/F440,"")</f>
        <v/>
      </c>
      <c r="K440" s="1" t="str">
        <f aca="false">IFERROR((J440-I440)/I440,"")</f>
        <v/>
      </c>
      <c r="P440" s="1" t="str">
        <f aca="false">IFERROR((D440-N440)/N440,"")</f>
        <v/>
      </c>
      <c r="Q440" s="12"/>
      <c r="R440" s="12"/>
    </row>
    <row r="441" customFormat="false" ht="15" hidden="false" customHeight="true" outlineLevel="0" collapsed="false">
      <c r="B441" s="12"/>
      <c r="E441" s="1" t="str">
        <f aca="false">IFERROR((D441-C441)/C441,"")</f>
        <v/>
      </c>
      <c r="H441" s="1" t="str">
        <f aca="false">IFERROR((G441-F441)/F441,"")</f>
        <v/>
      </c>
      <c r="K441" s="1" t="str">
        <f aca="false">IFERROR((J441-I441)/I441,"")</f>
        <v/>
      </c>
      <c r="P441" s="1" t="str">
        <f aca="false">IFERROR((D441-N441)/N441,"")</f>
        <v/>
      </c>
      <c r="Q441" s="12"/>
      <c r="R441" s="12"/>
    </row>
    <row r="442" customFormat="false" ht="15" hidden="false" customHeight="true" outlineLevel="0" collapsed="false">
      <c r="B442" s="12"/>
      <c r="E442" s="1" t="str">
        <f aca="false">IFERROR((D442-C442)/C442,"")</f>
        <v/>
      </c>
      <c r="H442" s="1" t="str">
        <f aca="false">IFERROR((G442-F442)/F442,"")</f>
        <v/>
      </c>
      <c r="K442" s="1" t="str">
        <f aca="false">IFERROR((J442-I442)/I442,"")</f>
        <v/>
      </c>
      <c r="P442" s="1" t="str">
        <f aca="false">IFERROR((D442-N442)/N442,"")</f>
        <v/>
      </c>
      <c r="Q442" s="12"/>
      <c r="R442" s="12"/>
    </row>
    <row r="443" customFormat="false" ht="15" hidden="false" customHeight="true" outlineLevel="0" collapsed="false">
      <c r="B443" s="12"/>
      <c r="E443" s="1" t="str">
        <f aca="false">IFERROR((D443-C443)/C443,"")</f>
        <v/>
      </c>
      <c r="H443" s="1" t="str">
        <f aca="false">IFERROR((G443-F443)/F443,"")</f>
        <v/>
      </c>
      <c r="K443" s="1" t="str">
        <f aca="false">IFERROR((J443-I443)/I443,"")</f>
        <v/>
      </c>
      <c r="P443" s="1" t="str">
        <f aca="false">IFERROR((D443-N443)/N443,"")</f>
        <v/>
      </c>
      <c r="Q443" s="12"/>
      <c r="R443" s="12"/>
    </row>
    <row r="444" customFormat="false" ht="15" hidden="false" customHeight="true" outlineLevel="0" collapsed="false">
      <c r="B444" s="12"/>
      <c r="E444" s="1" t="str">
        <f aca="false">IFERROR((D444-C444)/C444,"")</f>
        <v/>
      </c>
      <c r="H444" s="1" t="str">
        <f aca="false">IFERROR((G444-F444)/F444,"")</f>
        <v/>
      </c>
      <c r="K444" s="1" t="str">
        <f aca="false">IFERROR((J444-I444)/I444,"")</f>
        <v/>
      </c>
      <c r="P444" s="1" t="str">
        <f aca="false">IFERROR((D444-N444)/N444,"")</f>
        <v/>
      </c>
      <c r="Q444" s="12"/>
      <c r="R444" s="12"/>
    </row>
    <row r="445" customFormat="false" ht="15" hidden="false" customHeight="true" outlineLevel="0" collapsed="false">
      <c r="B445" s="12"/>
      <c r="E445" s="1" t="str">
        <f aca="false">IFERROR((D445-C445)/C445,"")</f>
        <v/>
      </c>
      <c r="H445" s="1" t="str">
        <f aca="false">IFERROR((G445-F445)/F445,"")</f>
        <v/>
      </c>
      <c r="K445" s="1" t="str">
        <f aca="false">IFERROR((J445-I445)/I445,"")</f>
        <v/>
      </c>
      <c r="P445" s="1" t="str">
        <f aca="false">IFERROR((D445-N445)/N445,"")</f>
        <v/>
      </c>
      <c r="Q445" s="12"/>
      <c r="R445" s="12"/>
    </row>
    <row r="446" customFormat="false" ht="15" hidden="false" customHeight="true" outlineLevel="0" collapsed="false">
      <c r="B446" s="12"/>
      <c r="E446" s="1" t="str">
        <f aca="false">IFERROR((D446-C446)/C446,"")</f>
        <v/>
      </c>
      <c r="H446" s="1" t="str">
        <f aca="false">IFERROR((G446-F446)/F446,"")</f>
        <v/>
      </c>
      <c r="K446" s="1" t="str">
        <f aca="false">IFERROR((J446-I446)/I446,"")</f>
        <v/>
      </c>
      <c r="P446" s="1" t="str">
        <f aca="false">IFERROR((D446-N446)/N446,"")</f>
        <v/>
      </c>
      <c r="Q446" s="12"/>
      <c r="R446" s="12"/>
    </row>
    <row r="447" customFormat="false" ht="15" hidden="false" customHeight="true" outlineLevel="0" collapsed="false">
      <c r="B447" s="12"/>
      <c r="E447" s="1" t="str">
        <f aca="false">IFERROR((D447-C447)/C447,"")</f>
        <v/>
      </c>
      <c r="H447" s="1" t="str">
        <f aca="false">IFERROR((G447-F447)/F447,"")</f>
        <v/>
      </c>
      <c r="K447" s="1" t="str">
        <f aca="false">IFERROR((J447-I447)/I447,"")</f>
        <v/>
      </c>
      <c r="P447" s="1" t="str">
        <f aca="false">IFERROR((D447-N447)/N447,"")</f>
        <v/>
      </c>
      <c r="Q447" s="12"/>
      <c r="R447" s="12"/>
    </row>
    <row r="448" customFormat="false" ht="15" hidden="false" customHeight="true" outlineLevel="0" collapsed="false">
      <c r="B448" s="12"/>
      <c r="E448" s="1" t="str">
        <f aca="false">IFERROR((D448-C448)/C448,"")</f>
        <v/>
      </c>
      <c r="H448" s="1" t="str">
        <f aca="false">IFERROR((G448-F448)/F448,"")</f>
        <v/>
      </c>
      <c r="K448" s="1" t="str">
        <f aca="false">IFERROR((J448-I448)/I448,"")</f>
        <v/>
      </c>
      <c r="P448" s="1" t="str">
        <f aca="false">IFERROR((D448-N448)/N448,"")</f>
        <v/>
      </c>
      <c r="Q448" s="12"/>
      <c r="R448" s="12"/>
    </row>
    <row r="449" customFormat="false" ht="15" hidden="false" customHeight="true" outlineLevel="0" collapsed="false">
      <c r="B449" s="12"/>
      <c r="E449" s="1" t="str">
        <f aca="false">IFERROR((D449-C449)/C449,"")</f>
        <v/>
      </c>
      <c r="H449" s="1" t="str">
        <f aca="false">IFERROR((G449-F449)/F449,"")</f>
        <v/>
      </c>
      <c r="K449" s="1" t="str">
        <f aca="false">IFERROR((J449-I449)/I449,"")</f>
        <v/>
      </c>
      <c r="P449" s="1" t="str">
        <f aca="false">IFERROR((D449-N449)/N449,"")</f>
        <v/>
      </c>
      <c r="Q449" s="12"/>
      <c r="R449" s="12"/>
    </row>
    <row r="450" customFormat="false" ht="15" hidden="false" customHeight="true" outlineLevel="0" collapsed="false">
      <c r="B450" s="12"/>
      <c r="E450" s="1" t="str">
        <f aca="false">IFERROR((D450-C450)/C450,"")</f>
        <v/>
      </c>
      <c r="H450" s="1" t="str">
        <f aca="false">IFERROR((G450-F450)/F450,"")</f>
        <v/>
      </c>
      <c r="K450" s="1" t="str">
        <f aca="false">IFERROR((J450-I450)/I450,"")</f>
        <v/>
      </c>
      <c r="P450" s="1" t="str">
        <f aca="false">IFERROR((D450-N450)/N450,"")</f>
        <v/>
      </c>
      <c r="Q450" s="12"/>
      <c r="R450" s="12"/>
    </row>
    <row r="451" customFormat="false" ht="15" hidden="false" customHeight="true" outlineLevel="0" collapsed="false">
      <c r="B451" s="12"/>
      <c r="E451" s="1" t="str">
        <f aca="false">IFERROR((D451-C451)/C451,"")</f>
        <v/>
      </c>
      <c r="H451" s="1" t="str">
        <f aca="false">IFERROR((G451-F451)/F451,"")</f>
        <v/>
      </c>
      <c r="K451" s="1" t="str">
        <f aca="false">IFERROR((J451-I451)/I451,"")</f>
        <v/>
      </c>
      <c r="P451" s="1" t="str">
        <f aca="false">IFERROR((D451-N451)/N451,"")</f>
        <v/>
      </c>
      <c r="Q451" s="12"/>
      <c r="R451" s="12"/>
    </row>
    <row r="452" customFormat="false" ht="15" hidden="false" customHeight="true" outlineLevel="0" collapsed="false">
      <c r="B452" s="12"/>
      <c r="E452" s="1" t="str">
        <f aca="false">IFERROR((D452-C452)/C452,"")</f>
        <v/>
      </c>
      <c r="H452" s="1" t="str">
        <f aca="false">IFERROR((G452-F452)/F452,"")</f>
        <v/>
      </c>
      <c r="K452" s="1" t="str">
        <f aca="false">IFERROR((J452-I452)/I452,"")</f>
        <v/>
      </c>
      <c r="P452" s="1" t="str">
        <f aca="false">IFERROR((D452-N452)/N452,"")</f>
        <v/>
      </c>
      <c r="Q452" s="12"/>
      <c r="R452" s="12"/>
    </row>
    <row r="453" customFormat="false" ht="15" hidden="false" customHeight="true" outlineLevel="0" collapsed="false">
      <c r="B453" s="12"/>
      <c r="E453" s="1" t="str">
        <f aca="false">IFERROR((D453-C453)/C453,"")</f>
        <v/>
      </c>
      <c r="H453" s="1" t="str">
        <f aca="false">IFERROR((G453-F453)/F453,"")</f>
        <v/>
      </c>
      <c r="K453" s="1" t="str">
        <f aca="false">IFERROR((J453-I453)/I453,"")</f>
        <v/>
      </c>
      <c r="P453" s="1" t="str">
        <f aca="false">IFERROR((D453-N453)/N453,"")</f>
        <v/>
      </c>
      <c r="Q453" s="12"/>
      <c r="R453" s="12"/>
    </row>
    <row r="454" customFormat="false" ht="15" hidden="false" customHeight="true" outlineLevel="0" collapsed="false">
      <c r="B454" s="12"/>
      <c r="E454" s="1" t="str">
        <f aca="false">IFERROR((D454-C454)/C454,"")</f>
        <v/>
      </c>
      <c r="H454" s="1" t="str">
        <f aca="false">IFERROR((G454-F454)/F454,"")</f>
        <v/>
      </c>
      <c r="K454" s="1" t="str">
        <f aca="false">IFERROR((J454-I454)/I454,"")</f>
        <v/>
      </c>
      <c r="P454" s="1" t="str">
        <f aca="false">IFERROR((D454-N454)/N454,"")</f>
        <v/>
      </c>
      <c r="Q454" s="12"/>
      <c r="R454" s="12"/>
    </row>
    <row r="455" customFormat="false" ht="15" hidden="false" customHeight="true" outlineLevel="0" collapsed="false">
      <c r="B455" s="12"/>
      <c r="E455" s="1" t="str">
        <f aca="false">IFERROR((D455-C455)/C455,"")</f>
        <v/>
      </c>
      <c r="H455" s="1" t="str">
        <f aca="false">IFERROR((G455-F455)/F455,"")</f>
        <v/>
      </c>
      <c r="K455" s="1" t="str">
        <f aca="false">IFERROR((J455-I455)/I455,"")</f>
        <v/>
      </c>
      <c r="P455" s="1" t="str">
        <f aca="false">IFERROR((D455-N455)/N455,"")</f>
        <v/>
      </c>
      <c r="Q455" s="12"/>
      <c r="R455" s="12"/>
    </row>
    <row r="456" customFormat="false" ht="15" hidden="false" customHeight="true" outlineLevel="0" collapsed="false">
      <c r="B456" s="12"/>
      <c r="E456" s="1" t="str">
        <f aca="false">IFERROR((D456-C456)/C456,"")</f>
        <v/>
      </c>
      <c r="H456" s="1" t="str">
        <f aca="false">IFERROR((G456-F456)/F456,"")</f>
        <v/>
      </c>
      <c r="K456" s="1" t="str">
        <f aca="false">IFERROR((J456-I456)/I456,"")</f>
        <v/>
      </c>
      <c r="P456" s="1" t="str">
        <f aca="false">IFERROR((D456-N456)/N456,"")</f>
        <v/>
      </c>
      <c r="Q456" s="12"/>
      <c r="R456" s="12"/>
    </row>
    <row r="457" customFormat="false" ht="15" hidden="false" customHeight="true" outlineLevel="0" collapsed="false">
      <c r="B457" s="12"/>
      <c r="E457" s="1" t="str">
        <f aca="false">IFERROR((D457-C457)/C457,"")</f>
        <v/>
      </c>
      <c r="H457" s="1" t="str">
        <f aca="false">IFERROR((G457-F457)/F457,"")</f>
        <v/>
      </c>
      <c r="K457" s="1" t="str">
        <f aca="false">IFERROR((J457-I457)/I457,"")</f>
        <v/>
      </c>
      <c r="P457" s="1" t="str">
        <f aca="false">IFERROR((D457-N457)/N457,"")</f>
        <v/>
      </c>
      <c r="Q457" s="12"/>
      <c r="R457" s="12"/>
    </row>
    <row r="458" customFormat="false" ht="15" hidden="false" customHeight="true" outlineLevel="0" collapsed="false">
      <c r="B458" s="12"/>
      <c r="E458" s="1" t="str">
        <f aca="false">IFERROR((D458-C458)/C458,"")</f>
        <v/>
      </c>
      <c r="H458" s="1" t="str">
        <f aca="false">IFERROR((G458-F458)/F458,"")</f>
        <v/>
      </c>
      <c r="K458" s="1" t="str">
        <f aca="false">IFERROR((J458-I458)/I458,"")</f>
        <v/>
      </c>
      <c r="P458" s="1" t="str">
        <f aca="false">IFERROR((D458-N458)/N458,"")</f>
        <v/>
      </c>
      <c r="Q458" s="12"/>
      <c r="R458" s="12"/>
    </row>
    <row r="459" customFormat="false" ht="15" hidden="false" customHeight="true" outlineLevel="0" collapsed="false">
      <c r="B459" s="12"/>
      <c r="E459" s="1" t="str">
        <f aca="false">IFERROR((D459-C459)/C459,"")</f>
        <v/>
      </c>
      <c r="H459" s="1" t="str">
        <f aca="false">IFERROR((G459-F459)/F459,"")</f>
        <v/>
      </c>
      <c r="K459" s="1" t="str">
        <f aca="false">IFERROR((J459-I459)/I459,"")</f>
        <v/>
      </c>
      <c r="P459" s="1" t="str">
        <f aca="false">IFERROR((D459-N459)/N459,"")</f>
        <v/>
      </c>
      <c r="Q459" s="12"/>
      <c r="R459" s="12"/>
    </row>
    <row r="460" customFormat="false" ht="15" hidden="false" customHeight="true" outlineLevel="0" collapsed="false">
      <c r="B460" s="12"/>
      <c r="E460" s="1" t="str">
        <f aca="false">IFERROR((D460-C460)/C460,"")</f>
        <v/>
      </c>
      <c r="H460" s="1" t="str">
        <f aca="false">IFERROR((G460-F460)/F460,"")</f>
        <v/>
      </c>
      <c r="K460" s="1" t="str">
        <f aca="false">IFERROR((J460-I460)/I460,"")</f>
        <v/>
      </c>
      <c r="P460" s="1" t="str">
        <f aca="false">IFERROR((D460-N460)/N460,"")</f>
        <v/>
      </c>
      <c r="Q460" s="12"/>
      <c r="R460" s="12"/>
    </row>
    <row r="461" customFormat="false" ht="15" hidden="false" customHeight="true" outlineLevel="0" collapsed="false">
      <c r="B461" s="12"/>
      <c r="E461" s="1" t="str">
        <f aca="false">IFERROR((D461-C461)/C461,"")</f>
        <v/>
      </c>
      <c r="H461" s="1" t="str">
        <f aca="false">IFERROR((G461-F461)/F461,"")</f>
        <v/>
      </c>
      <c r="K461" s="1" t="str">
        <f aca="false">IFERROR((J461-I461)/I461,"")</f>
        <v/>
      </c>
      <c r="P461" s="1" t="str">
        <f aca="false">IFERROR((D461-N461)/N461,"")</f>
        <v/>
      </c>
      <c r="Q461" s="12"/>
      <c r="R461" s="12"/>
    </row>
    <row r="462" customFormat="false" ht="15" hidden="false" customHeight="true" outlineLevel="0" collapsed="false">
      <c r="B462" s="12"/>
      <c r="E462" s="1" t="str">
        <f aca="false">IFERROR((D462-C462)/C462,"")</f>
        <v/>
      </c>
      <c r="H462" s="1" t="str">
        <f aca="false">IFERROR((G462-F462)/F462,"")</f>
        <v/>
      </c>
      <c r="K462" s="1" t="str">
        <f aca="false">IFERROR((J462-I462)/I462,"")</f>
        <v/>
      </c>
      <c r="P462" s="1" t="str">
        <f aca="false">IFERROR((D462-N462)/N462,"")</f>
        <v/>
      </c>
      <c r="Q462" s="12"/>
      <c r="R462" s="12"/>
    </row>
    <row r="463" customFormat="false" ht="15" hidden="false" customHeight="true" outlineLevel="0" collapsed="false">
      <c r="B463" s="12"/>
      <c r="E463" s="1" t="str">
        <f aca="false">IFERROR((D463-C463)/C463,"")</f>
        <v/>
      </c>
      <c r="H463" s="1" t="str">
        <f aca="false">IFERROR((G463-F463)/F463,"")</f>
        <v/>
      </c>
      <c r="K463" s="1" t="str">
        <f aca="false">IFERROR((J463-I463)/I463,"")</f>
        <v/>
      </c>
      <c r="P463" s="1" t="str">
        <f aca="false">IFERROR((D463-N463)/N463,"")</f>
        <v/>
      </c>
      <c r="Q463" s="12"/>
      <c r="R463" s="12"/>
    </row>
    <row r="464" customFormat="false" ht="15" hidden="false" customHeight="true" outlineLevel="0" collapsed="false">
      <c r="B464" s="12"/>
      <c r="E464" s="1" t="str">
        <f aca="false">IFERROR((D464-C464)/C464,"")</f>
        <v/>
      </c>
      <c r="H464" s="1" t="str">
        <f aca="false">IFERROR((G464-F464)/F464,"")</f>
        <v/>
      </c>
      <c r="K464" s="1" t="str">
        <f aca="false">IFERROR((J464-I464)/I464,"")</f>
        <v/>
      </c>
      <c r="P464" s="1" t="str">
        <f aca="false">IFERROR((D464-N464)/N464,"")</f>
        <v/>
      </c>
      <c r="Q464" s="12"/>
      <c r="R464" s="12"/>
    </row>
    <row r="465" customFormat="false" ht="15" hidden="false" customHeight="true" outlineLevel="0" collapsed="false">
      <c r="B465" s="12"/>
      <c r="E465" s="1" t="str">
        <f aca="false">IFERROR((D465-C465)/C465,"")</f>
        <v/>
      </c>
      <c r="H465" s="1" t="str">
        <f aca="false">IFERROR((G465-F465)/F465,"")</f>
        <v/>
      </c>
      <c r="K465" s="1" t="str">
        <f aca="false">IFERROR((J465-I465)/I465,"")</f>
        <v/>
      </c>
      <c r="P465" s="1" t="str">
        <f aca="false">IFERROR((D465-N465)/N465,"")</f>
        <v/>
      </c>
      <c r="Q465" s="12"/>
      <c r="R465" s="12"/>
    </row>
    <row r="466" customFormat="false" ht="15" hidden="false" customHeight="true" outlineLevel="0" collapsed="false">
      <c r="B466" s="12"/>
      <c r="E466" s="1" t="str">
        <f aca="false">IFERROR((D466-C466)/C466,"")</f>
        <v/>
      </c>
      <c r="H466" s="1" t="str">
        <f aca="false">IFERROR((G466-F466)/F466,"")</f>
        <v/>
      </c>
      <c r="K466" s="1" t="str">
        <f aca="false">IFERROR((J466-I466)/I466,"")</f>
        <v/>
      </c>
      <c r="P466" s="1" t="str">
        <f aca="false">IFERROR((D466-N466)/N466,"")</f>
        <v/>
      </c>
      <c r="Q466" s="12"/>
      <c r="R466" s="12"/>
    </row>
    <row r="467" customFormat="false" ht="15" hidden="false" customHeight="true" outlineLevel="0" collapsed="false">
      <c r="B467" s="12"/>
      <c r="E467" s="1" t="str">
        <f aca="false">IFERROR((D467-C467)/C467,"")</f>
        <v/>
      </c>
      <c r="H467" s="1" t="str">
        <f aca="false">IFERROR((G467-F467)/F467,"")</f>
        <v/>
      </c>
      <c r="K467" s="1" t="str">
        <f aca="false">IFERROR((J467-I467)/I467,"")</f>
        <v/>
      </c>
      <c r="P467" s="1" t="str">
        <f aca="false">IFERROR((D467-N467)/N467,"")</f>
        <v/>
      </c>
      <c r="Q467" s="12"/>
      <c r="R467" s="12"/>
    </row>
    <row r="468" customFormat="false" ht="15" hidden="false" customHeight="true" outlineLevel="0" collapsed="false">
      <c r="B468" s="12"/>
      <c r="E468" s="1" t="str">
        <f aca="false">IFERROR((D468-C468)/C468,"")</f>
        <v/>
      </c>
      <c r="H468" s="1" t="str">
        <f aca="false">IFERROR((G468-F468)/F468,"")</f>
        <v/>
      </c>
      <c r="K468" s="1" t="str">
        <f aca="false">IFERROR((J468-I468)/I468,"")</f>
        <v/>
      </c>
      <c r="P468" s="1" t="str">
        <f aca="false">IFERROR((D468-N468)/N468,"")</f>
        <v/>
      </c>
      <c r="Q468" s="12"/>
      <c r="R468" s="12"/>
    </row>
    <row r="469" customFormat="false" ht="15" hidden="false" customHeight="true" outlineLevel="0" collapsed="false">
      <c r="B469" s="12"/>
      <c r="E469" s="1" t="str">
        <f aca="false">IFERROR((D469-C469)/C469,"")</f>
        <v/>
      </c>
      <c r="H469" s="1" t="str">
        <f aca="false">IFERROR((G469-F469)/F469,"")</f>
        <v/>
      </c>
      <c r="K469" s="1" t="str">
        <f aca="false">IFERROR((J469-I469)/I469,"")</f>
        <v/>
      </c>
      <c r="P469" s="1" t="str">
        <f aca="false">IFERROR((D469-N469)/N469,"")</f>
        <v/>
      </c>
      <c r="Q469" s="12"/>
      <c r="R469" s="12"/>
    </row>
    <row r="470" customFormat="false" ht="15" hidden="false" customHeight="true" outlineLevel="0" collapsed="false">
      <c r="B470" s="12"/>
      <c r="E470" s="1" t="str">
        <f aca="false">IFERROR((D470-C470)/C470,"")</f>
        <v/>
      </c>
      <c r="H470" s="1" t="str">
        <f aca="false">IFERROR((G470-F470)/F470,"")</f>
        <v/>
      </c>
      <c r="K470" s="1" t="str">
        <f aca="false">IFERROR((J470-I470)/I470,"")</f>
        <v/>
      </c>
      <c r="P470" s="1" t="str">
        <f aca="false">IFERROR((D470-N470)/N470,"")</f>
        <v/>
      </c>
      <c r="Q470" s="12"/>
      <c r="R470" s="12"/>
    </row>
    <row r="471" customFormat="false" ht="15" hidden="false" customHeight="true" outlineLevel="0" collapsed="false">
      <c r="B471" s="12"/>
      <c r="E471" s="1" t="str">
        <f aca="false">IFERROR((D471-C471)/C471,"")</f>
        <v/>
      </c>
      <c r="H471" s="1" t="str">
        <f aca="false">IFERROR((G471-F471)/F471,"")</f>
        <v/>
      </c>
      <c r="K471" s="1" t="str">
        <f aca="false">IFERROR((J471-I471)/I471,"")</f>
        <v/>
      </c>
      <c r="P471" s="1" t="str">
        <f aca="false">IFERROR((D471-N471)/N471,"")</f>
        <v/>
      </c>
      <c r="Q471" s="12"/>
      <c r="R471" s="12"/>
    </row>
    <row r="472" customFormat="false" ht="15" hidden="false" customHeight="true" outlineLevel="0" collapsed="false">
      <c r="B472" s="12"/>
      <c r="E472" s="1" t="str">
        <f aca="false">IFERROR((D472-C472)/C472,"")</f>
        <v/>
      </c>
      <c r="H472" s="1" t="str">
        <f aca="false">IFERROR((G472-F472)/F472,"")</f>
        <v/>
      </c>
      <c r="K472" s="1" t="str">
        <f aca="false">IFERROR((J472-I472)/I472,"")</f>
        <v/>
      </c>
      <c r="P472" s="1" t="str">
        <f aca="false">IFERROR((D472-N472)/N472,"")</f>
        <v/>
      </c>
      <c r="Q472" s="12"/>
      <c r="R472" s="12"/>
    </row>
    <row r="473" customFormat="false" ht="15" hidden="false" customHeight="true" outlineLevel="0" collapsed="false">
      <c r="B473" s="12"/>
      <c r="E473" s="1" t="str">
        <f aca="false">IFERROR((D473-C473)/C473,"")</f>
        <v/>
      </c>
      <c r="H473" s="1" t="str">
        <f aca="false">IFERROR((G473-F473)/F473,"")</f>
        <v/>
      </c>
      <c r="K473" s="1" t="str">
        <f aca="false">IFERROR((J473-I473)/I473,"")</f>
        <v/>
      </c>
      <c r="P473" s="1" t="str">
        <f aca="false">IFERROR((D473-N473)/N473,"")</f>
        <v/>
      </c>
      <c r="Q473" s="12"/>
      <c r="R473" s="12"/>
    </row>
    <row r="474" customFormat="false" ht="15" hidden="false" customHeight="true" outlineLevel="0" collapsed="false">
      <c r="B474" s="12"/>
      <c r="E474" s="1" t="str">
        <f aca="false">IFERROR((D474-C474)/C474,"")</f>
        <v/>
      </c>
      <c r="H474" s="1" t="str">
        <f aca="false">IFERROR((G474-F474)/F474,"")</f>
        <v/>
      </c>
      <c r="K474" s="1" t="str">
        <f aca="false">IFERROR((J474-I474)/I474,"")</f>
        <v/>
      </c>
      <c r="P474" s="1" t="str">
        <f aca="false">IFERROR((D474-N474)/N474,"")</f>
        <v/>
      </c>
      <c r="Q474" s="12"/>
      <c r="R474" s="12"/>
    </row>
    <row r="475" customFormat="false" ht="15" hidden="false" customHeight="true" outlineLevel="0" collapsed="false">
      <c r="B475" s="12"/>
      <c r="E475" s="1" t="str">
        <f aca="false">IFERROR((D475-C475)/C475,"")</f>
        <v/>
      </c>
      <c r="H475" s="1" t="str">
        <f aca="false">IFERROR((G475-F475)/F475,"")</f>
        <v/>
      </c>
      <c r="K475" s="1" t="str">
        <f aca="false">IFERROR((J475-I475)/I475,"")</f>
        <v/>
      </c>
      <c r="P475" s="1" t="str">
        <f aca="false">IFERROR((D475-N475)/N475,"")</f>
        <v/>
      </c>
      <c r="Q475" s="12"/>
      <c r="R475" s="12"/>
    </row>
    <row r="476" customFormat="false" ht="15" hidden="false" customHeight="true" outlineLevel="0" collapsed="false">
      <c r="B476" s="12"/>
      <c r="E476" s="1" t="str">
        <f aca="false">IFERROR((D476-C476)/C476,"")</f>
        <v/>
      </c>
      <c r="H476" s="1" t="str">
        <f aca="false">IFERROR((G476-F476)/F476,"")</f>
        <v/>
      </c>
      <c r="K476" s="1" t="str">
        <f aca="false">IFERROR((J476-I476)/I476,"")</f>
        <v/>
      </c>
      <c r="P476" s="1" t="str">
        <f aca="false">IFERROR((D476-N476)/N476,"")</f>
        <v/>
      </c>
      <c r="Q476" s="12"/>
      <c r="R476" s="12"/>
    </row>
    <row r="477" customFormat="false" ht="15" hidden="false" customHeight="true" outlineLevel="0" collapsed="false">
      <c r="B477" s="12"/>
      <c r="E477" s="1" t="str">
        <f aca="false">IFERROR((D477-C477)/C477,"")</f>
        <v/>
      </c>
      <c r="H477" s="1" t="str">
        <f aca="false">IFERROR((G477-F477)/F477,"")</f>
        <v/>
      </c>
      <c r="K477" s="1" t="str">
        <f aca="false">IFERROR((J477-I477)/I477,"")</f>
        <v/>
      </c>
      <c r="P477" s="1" t="str">
        <f aca="false">IFERROR((D477-N477)/N477,"")</f>
        <v/>
      </c>
      <c r="Q477" s="12"/>
      <c r="R477" s="12"/>
    </row>
    <row r="478" customFormat="false" ht="15" hidden="false" customHeight="true" outlineLevel="0" collapsed="false">
      <c r="B478" s="12"/>
      <c r="E478" s="1" t="str">
        <f aca="false">IFERROR((D478-C478)/C478,"")</f>
        <v/>
      </c>
      <c r="H478" s="1" t="str">
        <f aca="false">IFERROR((G478-F478)/F478,"")</f>
        <v/>
      </c>
      <c r="K478" s="1" t="str">
        <f aca="false">IFERROR((J478-I478)/I478,"")</f>
        <v/>
      </c>
      <c r="P478" s="1" t="str">
        <f aca="false">IFERROR((D478-N478)/N478,"")</f>
        <v/>
      </c>
      <c r="Q478" s="12"/>
      <c r="R478" s="12"/>
    </row>
    <row r="479" customFormat="false" ht="15" hidden="false" customHeight="true" outlineLevel="0" collapsed="false">
      <c r="B479" s="12"/>
      <c r="E479" s="1" t="str">
        <f aca="false">IFERROR((D479-C479)/C479,"")</f>
        <v/>
      </c>
      <c r="H479" s="1" t="str">
        <f aca="false">IFERROR((G479-F479)/F479,"")</f>
        <v/>
      </c>
      <c r="K479" s="1" t="str">
        <f aca="false">IFERROR((J479-I479)/I479,"")</f>
        <v/>
      </c>
      <c r="P479" s="1" t="str">
        <f aca="false">IFERROR((D479-N479)/N479,"")</f>
        <v/>
      </c>
      <c r="Q479" s="12"/>
      <c r="R479" s="12"/>
    </row>
    <row r="480" customFormat="false" ht="15" hidden="false" customHeight="true" outlineLevel="0" collapsed="false">
      <c r="B480" s="12"/>
      <c r="E480" s="1" t="str">
        <f aca="false">IFERROR((D480-C480)/C480,"")</f>
        <v/>
      </c>
      <c r="H480" s="1" t="str">
        <f aca="false">IFERROR((G480-F480)/F480,"")</f>
        <v/>
      </c>
      <c r="K480" s="1" t="str">
        <f aca="false">IFERROR((J480-I480)/I480,"")</f>
        <v/>
      </c>
      <c r="P480" s="1" t="str">
        <f aca="false">IFERROR((D480-N480)/N480,"")</f>
        <v/>
      </c>
      <c r="Q480" s="12"/>
      <c r="R480" s="12"/>
    </row>
    <row r="481" customFormat="false" ht="15" hidden="false" customHeight="true" outlineLevel="0" collapsed="false">
      <c r="B481" s="12"/>
      <c r="E481" s="1" t="str">
        <f aca="false">IFERROR((D481-C481)/C481,"")</f>
        <v/>
      </c>
      <c r="H481" s="1" t="str">
        <f aca="false">IFERROR((G481-F481)/F481,"")</f>
        <v/>
      </c>
      <c r="K481" s="1" t="str">
        <f aca="false">IFERROR((J481-I481)/I481,"")</f>
        <v/>
      </c>
      <c r="P481" s="1" t="str">
        <f aca="false">IFERROR((D481-N481)/N481,"")</f>
        <v/>
      </c>
      <c r="Q481" s="12"/>
      <c r="R481" s="12"/>
    </row>
    <row r="482" customFormat="false" ht="15" hidden="false" customHeight="true" outlineLevel="0" collapsed="false">
      <c r="B482" s="12"/>
      <c r="E482" s="1" t="str">
        <f aca="false">IFERROR((D482-C482)/C482,"")</f>
        <v/>
      </c>
      <c r="H482" s="1" t="str">
        <f aca="false">IFERROR((G482-F482)/F482,"")</f>
        <v/>
      </c>
      <c r="K482" s="1" t="str">
        <f aca="false">IFERROR((J482-I482)/I482,"")</f>
        <v/>
      </c>
      <c r="P482" s="1" t="str">
        <f aca="false">IFERROR((D482-N482)/N482,"")</f>
        <v/>
      </c>
      <c r="Q482" s="12"/>
      <c r="R482" s="12"/>
    </row>
    <row r="483" customFormat="false" ht="15" hidden="false" customHeight="true" outlineLevel="0" collapsed="false">
      <c r="B483" s="12"/>
      <c r="E483" s="1" t="str">
        <f aca="false">IFERROR((D483-C483)/C483,"")</f>
        <v/>
      </c>
      <c r="H483" s="1" t="str">
        <f aca="false">IFERROR((G483-F483)/F483,"")</f>
        <v/>
      </c>
      <c r="K483" s="1" t="str">
        <f aca="false">IFERROR((J483-I483)/I483,"")</f>
        <v/>
      </c>
      <c r="P483" s="1" t="str">
        <f aca="false">IFERROR((D483-N483)/N483,"")</f>
        <v/>
      </c>
      <c r="Q483" s="12"/>
      <c r="R483" s="12"/>
    </row>
    <row r="484" customFormat="false" ht="15" hidden="false" customHeight="true" outlineLevel="0" collapsed="false">
      <c r="B484" s="12"/>
      <c r="E484" s="1" t="str">
        <f aca="false">IFERROR((D484-C484)/C484,"")</f>
        <v/>
      </c>
      <c r="H484" s="1" t="str">
        <f aca="false">IFERROR((G484-F484)/F484,"")</f>
        <v/>
      </c>
      <c r="K484" s="1" t="str">
        <f aca="false">IFERROR((J484-I484)/I484,"")</f>
        <v/>
      </c>
      <c r="P484" s="1" t="str">
        <f aca="false">IFERROR((D484-N484)/N484,"")</f>
        <v/>
      </c>
      <c r="Q484" s="12"/>
      <c r="R484" s="12"/>
    </row>
    <row r="485" customFormat="false" ht="15" hidden="false" customHeight="true" outlineLevel="0" collapsed="false">
      <c r="B485" s="12"/>
      <c r="E485" s="1" t="str">
        <f aca="false">IFERROR((D485-C485)/C485,"")</f>
        <v/>
      </c>
      <c r="H485" s="1" t="str">
        <f aca="false">IFERROR((G485-F485)/F485,"")</f>
        <v/>
      </c>
      <c r="K485" s="1" t="str">
        <f aca="false">IFERROR((J485-I485)/I485,"")</f>
        <v/>
      </c>
      <c r="P485" s="1" t="str">
        <f aca="false">IFERROR((D485-N485)/N485,"")</f>
        <v/>
      </c>
      <c r="Q485" s="12"/>
      <c r="R485" s="12"/>
    </row>
    <row r="486" customFormat="false" ht="15" hidden="false" customHeight="true" outlineLevel="0" collapsed="false">
      <c r="B486" s="12"/>
      <c r="E486" s="1" t="str">
        <f aca="false">IFERROR((D486-C486)/C486,"")</f>
        <v/>
      </c>
      <c r="H486" s="1" t="str">
        <f aca="false">IFERROR((G486-F486)/F486,"")</f>
        <v/>
      </c>
      <c r="K486" s="1" t="str">
        <f aca="false">IFERROR((J486-I486)/I486,"")</f>
        <v/>
      </c>
      <c r="P486" s="1" t="str">
        <f aca="false">IFERROR((D486-N486)/N486,"")</f>
        <v/>
      </c>
      <c r="Q486" s="12"/>
      <c r="R486" s="12"/>
    </row>
    <row r="487" customFormat="false" ht="15" hidden="false" customHeight="true" outlineLevel="0" collapsed="false">
      <c r="B487" s="12"/>
      <c r="E487" s="1" t="str">
        <f aca="false">IFERROR((D487-C487)/C487,"")</f>
        <v/>
      </c>
      <c r="H487" s="1" t="str">
        <f aca="false">IFERROR((G487-F487)/F487,"")</f>
        <v/>
      </c>
      <c r="K487" s="1" t="str">
        <f aca="false">IFERROR((J487-I487)/I487,"")</f>
        <v/>
      </c>
      <c r="P487" s="1" t="str">
        <f aca="false">IFERROR((D487-N487)/N487,"")</f>
        <v/>
      </c>
      <c r="Q487" s="12"/>
      <c r="R487" s="12"/>
    </row>
    <row r="488" customFormat="false" ht="15" hidden="false" customHeight="true" outlineLevel="0" collapsed="false">
      <c r="B488" s="12"/>
      <c r="E488" s="1" t="str">
        <f aca="false">IFERROR((D488-C488)/C488,"")</f>
        <v/>
      </c>
      <c r="H488" s="1" t="str">
        <f aca="false">IFERROR((G488-F488)/F488,"")</f>
        <v/>
      </c>
      <c r="K488" s="1" t="str">
        <f aca="false">IFERROR((J488-I488)/I488,"")</f>
        <v/>
      </c>
      <c r="P488" s="1" t="str">
        <f aca="false">IFERROR((D488-N488)/N488,"")</f>
        <v/>
      </c>
      <c r="Q488" s="12"/>
      <c r="R488" s="12"/>
    </row>
    <row r="489" customFormat="false" ht="15" hidden="false" customHeight="true" outlineLevel="0" collapsed="false">
      <c r="B489" s="12"/>
      <c r="E489" s="1" t="str">
        <f aca="false">IFERROR((D489-C489)/C489,"")</f>
        <v/>
      </c>
      <c r="H489" s="1" t="str">
        <f aca="false">IFERROR((G489-F489)/F489,"")</f>
        <v/>
      </c>
      <c r="K489" s="1" t="str">
        <f aca="false">IFERROR((J489-I489)/I489,"")</f>
        <v/>
      </c>
      <c r="P489" s="1" t="str">
        <f aca="false">IFERROR((D489-N489)/N489,"")</f>
        <v/>
      </c>
      <c r="Q489" s="12"/>
      <c r="R489" s="12"/>
    </row>
    <row r="490" customFormat="false" ht="15" hidden="false" customHeight="true" outlineLevel="0" collapsed="false">
      <c r="B490" s="12"/>
      <c r="E490" s="1" t="str">
        <f aca="false">IFERROR((D490-C490)/C490,"")</f>
        <v/>
      </c>
      <c r="H490" s="1" t="str">
        <f aca="false">IFERROR((G490-F490)/F490,"")</f>
        <v/>
      </c>
      <c r="K490" s="1" t="str">
        <f aca="false">IFERROR((J490-I490)/I490,"")</f>
        <v/>
      </c>
      <c r="P490" s="1" t="str">
        <f aca="false">IFERROR((D490-N490)/N490,"")</f>
        <v/>
      </c>
      <c r="Q490" s="12"/>
      <c r="R490" s="12"/>
    </row>
    <row r="491" customFormat="false" ht="15" hidden="false" customHeight="true" outlineLevel="0" collapsed="false">
      <c r="B491" s="12"/>
      <c r="E491" s="1" t="str">
        <f aca="false">IFERROR((D491-C491)/C491,"")</f>
        <v/>
      </c>
      <c r="H491" s="1" t="str">
        <f aca="false">IFERROR((G491-F491)/F491,"")</f>
        <v/>
      </c>
      <c r="K491" s="1" t="str">
        <f aca="false">IFERROR((J491-I491)/I491,"")</f>
        <v/>
      </c>
      <c r="P491" s="1" t="str">
        <f aca="false">IFERROR((D491-N491)/N491,"")</f>
        <v/>
      </c>
      <c r="Q491" s="12"/>
      <c r="R491" s="12"/>
    </row>
    <row r="492" customFormat="false" ht="15" hidden="false" customHeight="true" outlineLevel="0" collapsed="false">
      <c r="B492" s="12"/>
      <c r="E492" s="1" t="str">
        <f aca="false">IFERROR((D492-C492)/C492,"")</f>
        <v/>
      </c>
      <c r="H492" s="1" t="str">
        <f aca="false">IFERROR((G492-F492)/F492,"")</f>
        <v/>
      </c>
      <c r="K492" s="1" t="str">
        <f aca="false">IFERROR((J492-I492)/I492,"")</f>
        <v/>
      </c>
      <c r="P492" s="1" t="str">
        <f aca="false">IFERROR((D492-N492)/N492,"")</f>
        <v/>
      </c>
      <c r="Q492" s="12"/>
      <c r="R492" s="12"/>
    </row>
    <row r="493" customFormat="false" ht="15" hidden="false" customHeight="true" outlineLevel="0" collapsed="false">
      <c r="B493" s="12"/>
      <c r="E493" s="1" t="str">
        <f aca="false">IFERROR((D493-C493)/C493,"")</f>
        <v/>
      </c>
      <c r="H493" s="1" t="str">
        <f aca="false">IFERROR((G493-F493)/F493,"")</f>
        <v/>
      </c>
      <c r="K493" s="1" t="str">
        <f aca="false">IFERROR((J493-I493)/I493,"")</f>
        <v/>
      </c>
      <c r="P493" s="1" t="str">
        <f aca="false">IFERROR((D493-N493)/N493,"")</f>
        <v/>
      </c>
      <c r="Q493" s="12"/>
      <c r="R493" s="12"/>
    </row>
    <row r="494" customFormat="false" ht="15" hidden="false" customHeight="true" outlineLevel="0" collapsed="false">
      <c r="B494" s="12"/>
      <c r="E494" s="1" t="str">
        <f aca="false">IFERROR((D494-C494)/C494,"")</f>
        <v/>
      </c>
      <c r="H494" s="1" t="str">
        <f aca="false">IFERROR((G494-F494)/F494,"")</f>
        <v/>
      </c>
      <c r="K494" s="1" t="str">
        <f aca="false">IFERROR((J494-I494)/I494,"")</f>
        <v/>
      </c>
      <c r="P494" s="1" t="str">
        <f aca="false">IFERROR((D494-N494)/N494,"")</f>
        <v/>
      </c>
      <c r="Q494" s="12"/>
      <c r="R494" s="12"/>
    </row>
    <row r="495" customFormat="false" ht="15" hidden="false" customHeight="true" outlineLevel="0" collapsed="false">
      <c r="B495" s="12"/>
      <c r="E495" s="1" t="str">
        <f aca="false">IFERROR((D495-C495)/C495,"")</f>
        <v/>
      </c>
      <c r="H495" s="1" t="str">
        <f aca="false">IFERROR((G495-F495)/F495,"")</f>
        <v/>
      </c>
      <c r="K495" s="1" t="str">
        <f aca="false">IFERROR((J495-I495)/I495,"")</f>
        <v/>
      </c>
      <c r="P495" s="1" t="str">
        <f aca="false">IFERROR((D495-N495)/N495,"")</f>
        <v/>
      </c>
      <c r="Q495" s="12"/>
      <c r="R495" s="12"/>
    </row>
    <row r="496" customFormat="false" ht="15" hidden="false" customHeight="true" outlineLevel="0" collapsed="false">
      <c r="B496" s="12"/>
      <c r="E496" s="1" t="str">
        <f aca="false">IFERROR((D496-C496)/C496,"")</f>
        <v/>
      </c>
      <c r="H496" s="1" t="str">
        <f aca="false">IFERROR((G496-F496)/F496,"")</f>
        <v/>
      </c>
      <c r="K496" s="1" t="str">
        <f aca="false">IFERROR((J496-I496)/I496,"")</f>
        <v/>
      </c>
      <c r="P496" s="1" t="str">
        <f aca="false">IFERROR((D496-N496)/N496,"")</f>
        <v/>
      </c>
      <c r="Q496" s="12"/>
      <c r="R496" s="12"/>
    </row>
    <row r="497" customFormat="false" ht="15" hidden="false" customHeight="true" outlineLevel="0" collapsed="false">
      <c r="B497" s="12"/>
      <c r="E497" s="1" t="str">
        <f aca="false">IFERROR((D497-C497)/C497,"")</f>
        <v/>
      </c>
      <c r="H497" s="1" t="str">
        <f aca="false">IFERROR((G497-F497)/F497,"")</f>
        <v/>
      </c>
      <c r="K497" s="1" t="str">
        <f aca="false">IFERROR((J497-I497)/I497,"")</f>
        <v/>
      </c>
      <c r="P497" s="1" t="str">
        <f aca="false">IFERROR((D497-N497)/N497,"")</f>
        <v/>
      </c>
      <c r="Q497" s="12"/>
      <c r="R497" s="12"/>
    </row>
    <row r="498" customFormat="false" ht="15" hidden="false" customHeight="true" outlineLevel="0" collapsed="false">
      <c r="B498" s="12"/>
      <c r="E498" s="1" t="str">
        <f aca="false">IFERROR((D498-C498)/C498,"")</f>
        <v/>
      </c>
      <c r="H498" s="1" t="str">
        <f aca="false">IFERROR((G498-F498)/F498,"")</f>
        <v/>
      </c>
      <c r="K498" s="1" t="str">
        <f aca="false">IFERROR((J498-I498)/I498,"")</f>
        <v/>
      </c>
      <c r="P498" s="1" t="str">
        <f aca="false">IFERROR((D498-N498)/N498,"")</f>
        <v/>
      </c>
      <c r="Q498" s="12"/>
      <c r="R498" s="12"/>
    </row>
    <row r="499" customFormat="false" ht="15" hidden="false" customHeight="true" outlineLevel="0" collapsed="false">
      <c r="B499" s="12"/>
      <c r="E499" s="1" t="str">
        <f aca="false">IFERROR((D499-C499)/C499,"")</f>
        <v/>
      </c>
      <c r="H499" s="1" t="str">
        <f aca="false">IFERROR((G499-F499)/F499,"")</f>
        <v/>
      </c>
      <c r="K499" s="1" t="str">
        <f aca="false">IFERROR((J499-I499)/I499,"")</f>
        <v/>
      </c>
      <c r="P499" s="1" t="str">
        <f aca="false">IFERROR((D499-N499)/N499,"")</f>
        <v/>
      </c>
      <c r="Q499" s="12"/>
      <c r="R499" s="12"/>
    </row>
    <row r="500" customFormat="false" ht="15" hidden="false" customHeight="true" outlineLevel="0" collapsed="false">
      <c r="B500" s="12"/>
      <c r="E500" s="1" t="str">
        <f aca="false">IFERROR((D500-C500)/C500,"")</f>
        <v/>
      </c>
      <c r="H500" s="1" t="str">
        <f aca="false">IFERROR((G500-F500)/F500,"")</f>
        <v/>
      </c>
      <c r="K500" s="1" t="str">
        <f aca="false">IFERROR((J500-I500)/I500,"")</f>
        <v/>
      </c>
      <c r="P500" s="1" t="str">
        <f aca="false">IFERROR((D500-N500)/N500,"")</f>
        <v/>
      </c>
      <c r="Q500" s="12"/>
      <c r="R500" s="12"/>
    </row>
    <row r="501" customFormat="false" ht="15" hidden="false" customHeight="true" outlineLevel="0" collapsed="false">
      <c r="B501" s="12"/>
      <c r="Q501" s="12"/>
      <c r="R501" s="12"/>
    </row>
  </sheetData>
  <dataValidations count="3">
    <dataValidation allowBlank="true" errorStyle="stop" operator="between" showDropDown="false" showErrorMessage="false" showInputMessage="false" sqref="B2:B501" type="list">
      <formula1>Lists!$A$2:$A$11</formula1>
      <formula2>0</formula2>
    </dataValidation>
    <dataValidation allowBlank="true" errorStyle="stop" operator="between" showDropDown="false" showErrorMessage="false" showInputMessage="false" sqref="Q2:Q501" type="list">
      <formula1>Lists!$D$2:$D$10</formula1>
      <formula2>0</formula2>
    </dataValidation>
    <dataValidation allowBlank="true" errorStyle="stop" operator="between" showDropDown="false" showErrorMessage="false" showInputMessage="false" sqref="R2:R501" type="list">
      <formula1>"Grew,Flat,Declined"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24"/>
    <col collapsed="false" customWidth="true" hidden="false" outlineLevel="0" max="4" min="3" style="1" width="13"/>
    <col collapsed="false" customWidth="true" hidden="false" outlineLevel="0" max="5" min="5" style="1" width="24"/>
    <col collapsed="false" customWidth="true" hidden="false" outlineLevel="0" max="6" min="6" style="1" width="14"/>
    <col collapsed="false" customWidth="true" hidden="false" outlineLevel="0" max="7" min="7" style="1" width="13"/>
    <col collapsed="false" customWidth="true" hidden="false" outlineLevel="0" max="8" min="8" style="1" width="14"/>
    <col collapsed="false" customWidth="true" hidden="false" outlineLevel="0" max="9" min="9" style="1" width="34"/>
    <col collapsed="false" customWidth="true" hidden="false" outlineLevel="0" max="11" min="10" style="1" width="12"/>
    <col collapsed="false" customWidth="true" hidden="false" outlineLevel="0" max="12" min="12" style="1" width="14"/>
    <col collapsed="false" customWidth="true" hidden="false" outlineLevel="0" max="14" min="13" style="1" width="18"/>
    <col collapsed="false" customWidth="true" hidden="false" outlineLevel="0" max="15" min="15" style="1" width="14"/>
    <col collapsed="false" customWidth="true" hidden="false" outlineLevel="0" max="16" min="16" style="1" width="22"/>
    <col collapsed="false" customWidth="true" hidden="false" outlineLevel="0" max="17" min="17" style="1" width="14"/>
    <col collapsed="false" customWidth="true" hidden="false" outlineLevel="0" max="19" min="18" style="1" width="13"/>
    <col collapsed="false" customWidth="true" hidden="false" outlineLevel="0" max="21" min="20" style="1" width="14"/>
    <col collapsed="false" customWidth="true" hidden="false" outlineLevel="0" max="22" min="22" style="1" width="24"/>
    <col collapsed="false" customWidth="true" hidden="false" outlineLevel="0" max="23" min="23" style="1" width="14"/>
    <col collapsed="false" customWidth="true" hidden="false" outlineLevel="0" max="24" min="24" style="1" width="26"/>
    <col collapsed="false" customWidth="true" hidden="false" outlineLevel="0" max="25" min="25" style="1" width="14"/>
    <col collapsed="false" customWidth="true" hidden="false" outlineLevel="0" max="26" min="26" style="1" width="16"/>
    <col collapsed="false" customWidth="true" hidden="false" outlineLevel="0" max="27" min="27" style="1" width="13"/>
    <col collapsed="false" customWidth="true" hidden="false" outlineLevel="0" max="28" min="28" style="1" width="22"/>
    <col collapsed="false" customWidth="true" hidden="false" outlineLevel="0" max="29" min="29" style="1" width="13"/>
  </cols>
  <sheetData>
    <row r="1" customFormat="false" ht="33.75" hidden="false" customHeight="true" outlineLevel="0" collapsed="false">
      <c r="A1" s="11" t="s">
        <v>41</v>
      </c>
      <c r="B1" s="11" t="s">
        <v>85</v>
      </c>
      <c r="C1" s="11" t="s">
        <v>19</v>
      </c>
      <c r="D1" s="11" t="s">
        <v>89</v>
      </c>
      <c r="E1" s="11" t="s">
        <v>92</v>
      </c>
      <c r="F1" s="11" t="s">
        <v>95</v>
      </c>
      <c r="G1" s="11" t="s">
        <v>97</v>
      </c>
      <c r="H1" s="11" t="s">
        <v>99</v>
      </c>
      <c r="I1" s="11" t="s">
        <v>101</v>
      </c>
      <c r="J1" s="11" t="s">
        <v>104</v>
      </c>
      <c r="K1" s="11" t="s">
        <v>106</v>
      </c>
      <c r="L1" s="11" t="s">
        <v>108</v>
      </c>
      <c r="M1" s="11" t="s">
        <v>111</v>
      </c>
      <c r="N1" s="11" t="s">
        <v>113</v>
      </c>
      <c r="O1" s="11" t="s">
        <v>115</v>
      </c>
      <c r="P1" s="11" t="s">
        <v>116</v>
      </c>
      <c r="Q1" s="11" t="s">
        <v>119</v>
      </c>
      <c r="R1" s="11" t="s">
        <v>121</v>
      </c>
      <c r="S1" s="11" t="s">
        <v>123</v>
      </c>
      <c r="T1" s="11" t="s">
        <v>126</v>
      </c>
      <c r="U1" s="11" t="s">
        <v>129</v>
      </c>
      <c r="V1" s="11" t="s">
        <v>131</v>
      </c>
      <c r="W1" s="11" t="s">
        <v>133</v>
      </c>
      <c r="X1" s="11" t="s">
        <v>135</v>
      </c>
      <c r="Y1" s="11" t="s">
        <v>138</v>
      </c>
      <c r="Z1" s="11" t="s">
        <v>140</v>
      </c>
      <c r="AA1" s="11" t="s">
        <v>142</v>
      </c>
      <c r="AB1" s="11" t="s">
        <v>144</v>
      </c>
      <c r="AC1" s="11" t="s">
        <v>147</v>
      </c>
      <c r="AD1" s="11" t="s">
        <v>149</v>
      </c>
    </row>
    <row r="2" customFormat="false" ht="15" hidden="false" customHeight="true" outlineLevel="0" collapsed="false">
      <c r="A2" s="1" t="s">
        <v>301</v>
      </c>
      <c r="B2" s="1" t="s">
        <v>302</v>
      </c>
      <c r="C2" s="1" t="s">
        <v>22</v>
      </c>
      <c r="D2" s="12" t="s">
        <v>303</v>
      </c>
      <c r="E2" s="1" t="s">
        <v>304</v>
      </c>
      <c r="F2" s="1" t="s">
        <v>305</v>
      </c>
      <c r="G2" s="1" t="s">
        <v>306</v>
      </c>
      <c r="H2" s="12" t="s">
        <v>303</v>
      </c>
      <c r="I2" s="1" t="s">
        <v>307</v>
      </c>
      <c r="J2" s="1" t="s">
        <v>308</v>
      </c>
      <c r="K2" s="12" t="s">
        <v>309</v>
      </c>
      <c r="L2" s="1" t="s">
        <v>310</v>
      </c>
      <c r="M2" s="1" t="s">
        <v>311</v>
      </c>
      <c r="N2" s="1" t="s">
        <v>312</v>
      </c>
      <c r="P2" s="1" t="s">
        <v>313</v>
      </c>
      <c r="R2" s="12" t="s">
        <v>307</v>
      </c>
      <c r="X2" s="1" t="s">
        <v>314</v>
      </c>
      <c r="AB2" s="1" t="s">
        <v>315</v>
      </c>
      <c r="AC2" s="1" t="s">
        <v>316</v>
      </c>
      <c r="AD2" s="1" t="s">
        <v>303</v>
      </c>
    </row>
    <row r="3" customFormat="false" ht="15" hidden="false" customHeight="true" outlineLevel="0" collapsed="false">
      <c r="A3" s="1" t="s">
        <v>317</v>
      </c>
      <c r="B3" s="1" t="s">
        <v>318</v>
      </c>
      <c r="C3" s="1" t="s">
        <v>22</v>
      </c>
      <c r="D3" s="12" t="s">
        <v>303</v>
      </c>
      <c r="E3" s="1" t="s">
        <v>304</v>
      </c>
      <c r="F3" s="1" t="s">
        <v>305</v>
      </c>
      <c r="G3" s="1" t="s">
        <v>306</v>
      </c>
      <c r="H3" s="12" t="s">
        <v>303</v>
      </c>
      <c r="I3" s="1" t="s">
        <v>307</v>
      </c>
      <c r="J3" s="1" t="s">
        <v>319</v>
      </c>
      <c r="K3" s="12"/>
      <c r="R3" s="12" t="s">
        <v>307</v>
      </c>
      <c r="X3" s="1" t="s">
        <v>314</v>
      </c>
      <c r="AB3" s="1" t="s">
        <v>315</v>
      </c>
      <c r="AC3" s="1" t="s">
        <v>320</v>
      </c>
      <c r="AD3" s="1" t="s">
        <v>303</v>
      </c>
    </row>
    <row r="4" customFormat="false" ht="15" hidden="false" customHeight="true" outlineLevel="0" collapsed="false">
      <c r="A4" s="1" t="s">
        <v>321</v>
      </c>
      <c r="B4" s="1" t="s">
        <v>322</v>
      </c>
      <c r="C4" s="1" t="s">
        <v>22</v>
      </c>
      <c r="D4" s="12" t="s">
        <v>303</v>
      </c>
      <c r="E4" s="1" t="s">
        <v>304</v>
      </c>
      <c r="F4" s="1" t="s">
        <v>305</v>
      </c>
      <c r="G4" s="1" t="s">
        <v>306</v>
      </c>
      <c r="H4" s="12" t="s">
        <v>303</v>
      </c>
      <c r="I4" s="1" t="s">
        <v>307</v>
      </c>
      <c r="J4" s="1" t="s">
        <v>323</v>
      </c>
      <c r="K4" s="12"/>
      <c r="P4" s="1" t="s">
        <v>313</v>
      </c>
      <c r="Q4" s="1" t="s">
        <v>324</v>
      </c>
      <c r="R4" s="12" t="s">
        <v>307</v>
      </c>
      <c r="X4" s="1" t="s">
        <v>314</v>
      </c>
      <c r="AB4" s="1" t="s">
        <v>315</v>
      </c>
      <c r="AC4" s="1" t="s">
        <v>320</v>
      </c>
      <c r="AD4" s="1" t="s">
        <v>303</v>
      </c>
    </row>
    <row r="5" customFormat="false" ht="15" hidden="false" customHeight="true" outlineLevel="0" collapsed="false">
      <c r="A5" s="1" t="s">
        <v>325</v>
      </c>
      <c r="B5" s="1" t="s">
        <v>326</v>
      </c>
      <c r="C5" s="1" t="s">
        <v>22</v>
      </c>
      <c r="D5" s="12" t="s">
        <v>303</v>
      </c>
      <c r="E5" s="1" t="s">
        <v>304</v>
      </c>
      <c r="F5" s="1" t="s">
        <v>305</v>
      </c>
      <c r="G5" s="1" t="s">
        <v>306</v>
      </c>
      <c r="H5" s="12" t="s">
        <v>303</v>
      </c>
      <c r="I5" s="1" t="s">
        <v>307</v>
      </c>
      <c r="J5" s="1" t="s">
        <v>327</v>
      </c>
      <c r="K5" s="12"/>
      <c r="R5" s="12" t="s">
        <v>307</v>
      </c>
      <c r="X5" s="1" t="s">
        <v>314</v>
      </c>
      <c r="AB5" s="1" t="s">
        <v>315</v>
      </c>
      <c r="AC5" s="1" t="s">
        <v>320</v>
      </c>
      <c r="AD5" s="1" t="s">
        <v>303</v>
      </c>
    </row>
    <row r="6" customFormat="false" ht="15" hidden="false" customHeight="true" outlineLevel="0" collapsed="false">
      <c r="A6" s="1" t="s">
        <v>328</v>
      </c>
      <c r="B6" s="1" t="s">
        <v>329</v>
      </c>
      <c r="C6" s="1" t="s">
        <v>22</v>
      </c>
      <c r="D6" s="12" t="s">
        <v>303</v>
      </c>
      <c r="E6" s="1" t="s">
        <v>304</v>
      </c>
      <c r="F6" s="1" t="s">
        <v>305</v>
      </c>
      <c r="G6" s="1" t="s">
        <v>306</v>
      </c>
      <c r="H6" s="12" t="s">
        <v>303</v>
      </c>
      <c r="I6" s="1" t="s">
        <v>307</v>
      </c>
      <c r="J6" s="1" t="s">
        <v>330</v>
      </c>
      <c r="K6" s="12" t="s">
        <v>331</v>
      </c>
      <c r="L6" s="1" t="s">
        <v>310</v>
      </c>
      <c r="M6" s="1" t="s">
        <v>332</v>
      </c>
      <c r="N6" s="1" t="s">
        <v>333</v>
      </c>
      <c r="P6" s="1" t="s">
        <v>313</v>
      </c>
      <c r="R6" s="12" t="s">
        <v>307</v>
      </c>
      <c r="X6" s="1" t="s">
        <v>314</v>
      </c>
      <c r="AB6" s="1" t="s">
        <v>315</v>
      </c>
      <c r="AC6" s="1" t="s">
        <v>334</v>
      </c>
      <c r="AD6" s="1" t="s">
        <v>303</v>
      </c>
    </row>
    <row r="7" customFormat="false" ht="15" hidden="false" customHeight="true" outlineLevel="0" collapsed="false">
      <c r="A7" s="1" t="s">
        <v>335</v>
      </c>
      <c r="B7" s="1" t="s">
        <v>336</v>
      </c>
      <c r="C7" s="1" t="s">
        <v>22</v>
      </c>
      <c r="D7" s="12" t="s">
        <v>303</v>
      </c>
      <c r="E7" s="1" t="s">
        <v>304</v>
      </c>
      <c r="F7" s="1" t="s">
        <v>305</v>
      </c>
      <c r="G7" s="1" t="s">
        <v>306</v>
      </c>
      <c r="H7" s="12" t="s">
        <v>303</v>
      </c>
      <c r="I7" s="1" t="s">
        <v>307</v>
      </c>
      <c r="J7" s="1" t="s">
        <v>337</v>
      </c>
      <c r="K7" s="12"/>
      <c r="R7" s="12" t="s">
        <v>307</v>
      </c>
      <c r="X7" s="1" t="s">
        <v>314</v>
      </c>
      <c r="AB7" s="1" t="s">
        <v>315</v>
      </c>
      <c r="AC7" s="1" t="s">
        <v>320</v>
      </c>
      <c r="AD7" s="1" t="s">
        <v>303</v>
      </c>
    </row>
    <row r="8" customFormat="false" ht="15" hidden="false" customHeight="true" outlineLevel="0" collapsed="false">
      <c r="A8" s="1" t="s">
        <v>338</v>
      </c>
      <c r="B8" s="1" t="s">
        <v>339</v>
      </c>
      <c r="C8" s="1" t="s">
        <v>22</v>
      </c>
      <c r="D8" s="12" t="s">
        <v>303</v>
      </c>
      <c r="E8" s="1" t="s">
        <v>304</v>
      </c>
      <c r="F8" s="1" t="s">
        <v>340</v>
      </c>
      <c r="G8" s="1" t="s">
        <v>306</v>
      </c>
      <c r="H8" s="12" t="s">
        <v>303</v>
      </c>
      <c r="I8" s="1" t="s">
        <v>307</v>
      </c>
      <c r="J8" s="1" t="s">
        <v>341</v>
      </c>
      <c r="K8" s="12" t="s">
        <v>342</v>
      </c>
      <c r="L8" s="1" t="s">
        <v>310</v>
      </c>
      <c r="M8" s="1" t="s">
        <v>343</v>
      </c>
      <c r="N8" s="1" t="s">
        <v>344</v>
      </c>
      <c r="P8" s="1" t="s">
        <v>313</v>
      </c>
      <c r="R8" s="12" t="s">
        <v>307</v>
      </c>
      <c r="X8" s="1" t="s">
        <v>314</v>
      </c>
      <c r="AB8" s="1" t="s">
        <v>315</v>
      </c>
      <c r="AC8" s="1" t="s">
        <v>345</v>
      </c>
      <c r="AD8" s="1" t="s">
        <v>303</v>
      </c>
    </row>
    <row r="9" customFormat="false" ht="15" hidden="false" customHeight="true" outlineLevel="0" collapsed="false">
      <c r="A9" s="1" t="s">
        <v>346</v>
      </c>
      <c r="B9" s="1" t="s">
        <v>347</v>
      </c>
      <c r="C9" s="1" t="s">
        <v>22</v>
      </c>
      <c r="D9" s="12" t="s">
        <v>303</v>
      </c>
      <c r="E9" s="1" t="s">
        <v>304</v>
      </c>
      <c r="F9" s="1" t="s">
        <v>305</v>
      </c>
      <c r="G9" s="1" t="s">
        <v>306</v>
      </c>
      <c r="H9" s="12" t="s">
        <v>303</v>
      </c>
      <c r="I9" s="1" t="s">
        <v>307</v>
      </c>
      <c r="J9" s="1" t="s">
        <v>348</v>
      </c>
      <c r="K9" s="12"/>
      <c r="R9" s="12" t="s">
        <v>307</v>
      </c>
      <c r="X9" s="1" t="s">
        <v>314</v>
      </c>
      <c r="AB9" s="1" t="s">
        <v>315</v>
      </c>
      <c r="AC9" s="1" t="s">
        <v>320</v>
      </c>
      <c r="AD9" s="1" t="s">
        <v>303</v>
      </c>
    </row>
    <row r="10" customFormat="false" ht="15" hidden="false" customHeight="true" outlineLevel="0" collapsed="false">
      <c r="A10" s="1" t="s">
        <v>349</v>
      </c>
      <c r="B10" s="1" t="s">
        <v>350</v>
      </c>
      <c r="C10" s="1" t="s">
        <v>22</v>
      </c>
      <c r="D10" s="12" t="s">
        <v>303</v>
      </c>
      <c r="E10" s="1" t="s">
        <v>304</v>
      </c>
      <c r="F10" s="1" t="s">
        <v>305</v>
      </c>
      <c r="G10" s="1" t="s">
        <v>306</v>
      </c>
      <c r="H10" s="12" t="s">
        <v>303</v>
      </c>
      <c r="I10" s="1" t="s">
        <v>307</v>
      </c>
      <c r="J10" s="1" t="s">
        <v>351</v>
      </c>
      <c r="K10" s="12"/>
      <c r="R10" s="12" t="s">
        <v>307</v>
      </c>
      <c r="X10" s="1" t="s">
        <v>314</v>
      </c>
      <c r="AB10" s="1" t="s">
        <v>315</v>
      </c>
      <c r="AC10" s="1" t="s">
        <v>320</v>
      </c>
      <c r="AD10" s="1" t="s">
        <v>303</v>
      </c>
    </row>
    <row r="11" customFormat="false" ht="15" hidden="false" customHeight="true" outlineLevel="0" collapsed="false">
      <c r="A11" s="1" t="s">
        <v>352</v>
      </c>
      <c r="B11" s="1" t="s">
        <v>353</v>
      </c>
      <c r="C11" s="1" t="s">
        <v>22</v>
      </c>
      <c r="D11" s="12" t="s">
        <v>303</v>
      </c>
      <c r="E11" s="1" t="s">
        <v>304</v>
      </c>
      <c r="F11" s="1" t="s">
        <v>305</v>
      </c>
      <c r="G11" s="1" t="s">
        <v>306</v>
      </c>
      <c r="H11" s="12" t="s">
        <v>303</v>
      </c>
      <c r="I11" s="1" t="s">
        <v>307</v>
      </c>
      <c r="J11" s="1" t="s">
        <v>354</v>
      </c>
      <c r="K11" s="12"/>
      <c r="R11" s="12" t="s">
        <v>307</v>
      </c>
      <c r="X11" s="1" t="s">
        <v>314</v>
      </c>
      <c r="AB11" s="1" t="s">
        <v>315</v>
      </c>
      <c r="AC11" s="1" t="s">
        <v>320</v>
      </c>
      <c r="AD11" s="1" t="s">
        <v>303</v>
      </c>
    </row>
    <row r="12" customFormat="false" ht="15" hidden="false" customHeight="true" outlineLevel="0" collapsed="false">
      <c r="A12" s="1" t="s">
        <v>355</v>
      </c>
      <c r="B12" s="1" t="s">
        <v>356</v>
      </c>
      <c r="C12" s="1" t="s">
        <v>22</v>
      </c>
      <c r="D12" s="12" t="s">
        <v>303</v>
      </c>
      <c r="E12" s="1" t="s">
        <v>304</v>
      </c>
      <c r="F12" s="1" t="s">
        <v>340</v>
      </c>
      <c r="G12" s="1" t="s">
        <v>306</v>
      </c>
      <c r="H12" s="12" t="s">
        <v>303</v>
      </c>
      <c r="I12" s="1" t="s">
        <v>307</v>
      </c>
      <c r="J12" s="1" t="s">
        <v>357</v>
      </c>
      <c r="K12" s="12" t="s">
        <v>358</v>
      </c>
      <c r="L12" s="1" t="s">
        <v>359</v>
      </c>
      <c r="M12" s="1" t="s">
        <v>360</v>
      </c>
      <c r="N12" s="1" t="s">
        <v>344</v>
      </c>
      <c r="P12" s="1" t="s">
        <v>313</v>
      </c>
      <c r="R12" s="12" t="s">
        <v>307</v>
      </c>
      <c r="X12" s="1" t="s">
        <v>314</v>
      </c>
      <c r="AB12" s="1" t="s">
        <v>315</v>
      </c>
      <c r="AC12" s="1" t="s">
        <v>361</v>
      </c>
      <c r="AD12" s="1" t="s">
        <v>303</v>
      </c>
    </row>
    <row r="13" customFormat="false" ht="15" hidden="false" customHeight="true" outlineLevel="0" collapsed="false">
      <c r="A13" s="1" t="s">
        <v>362</v>
      </c>
      <c r="B13" s="1" t="s">
        <v>363</v>
      </c>
      <c r="C13" s="1" t="s">
        <v>22</v>
      </c>
      <c r="D13" s="12" t="s">
        <v>303</v>
      </c>
      <c r="E13" s="1" t="s">
        <v>304</v>
      </c>
      <c r="F13" s="1" t="s">
        <v>340</v>
      </c>
      <c r="G13" s="1" t="s">
        <v>306</v>
      </c>
      <c r="H13" s="12" t="s">
        <v>303</v>
      </c>
      <c r="I13" s="1" t="s">
        <v>307</v>
      </c>
      <c r="J13" s="1" t="s">
        <v>364</v>
      </c>
      <c r="K13" s="12" t="s">
        <v>309</v>
      </c>
      <c r="L13" s="1" t="s">
        <v>310</v>
      </c>
      <c r="M13" s="1" t="s">
        <v>365</v>
      </c>
      <c r="N13" s="1" t="s">
        <v>344</v>
      </c>
      <c r="P13" s="1" t="s">
        <v>313</v>
      </c>
      <c r="R13" s="12" t="s">
        <v>307</v>
      </c>
      <c r="X13" s="1" t="s">
        <v>314</v>
      </c>
      <c r="AB13" s="1" t="s">
        <v>315</v>
      </c>
      <c r="AD13" s="1" t="s">
        <v>303</v>
      </c>
    </row>
    <row r="14" customFormat="false" ht="15" hidden="false" customHeight="true" outlineLevel="0" collapsed="false">
      <c r="A14" s="1" t="s">
        <v>366</v>
      </c>
      <c r="B14" s="1" t="s">
        <v>367</v>
      </c>
      <c r="C14" s="1" t="s">
        <v>22</v>
      </c>
      <c r="D14" s="12" t="s">
        <v>303</v>
      </c>
      <c r="E14" s="1" t="s">
        <v>304</v>
      </c>
      <c r="F14" s="1" t="s">
        <v>340</v>
      </c>
      <c r="G14" s="1" t="s">
        <v>306</v>
      </c>
      <c r="H14" s="12" t="s">
        <v>303</v>
      </c>
      <c r="I14" s="1" t="s">
        <v>307</v>
      </c>
      <c r="J14" s="1" t="s">
        <v>368</v>
      </c>
      <c r="K14" s="12" t="s">
        <v>309</v>
      </c>
      <c r="L14" s="1" t="s">
        <v>310</v>
      </c>
      <c r="P14" s="1" t="s">
        <v>313</v>
      </c>
      <c r="R14" s="12" t="s">
        <v>307</v>
      </c>
      <c r="X14" s="1" t="s">
        <v>314</v>
      </c>
      <c r="AB14" s="1" t="s">
        <v>315</v>
      </c>
      <c r="AC14" s="1" t="s">
        <v>369</v>
      </c>
      <c r="AD14" s="1" t="s">
        <v>303</v>
      </c>
    </row>
    <row r="15" customFormat="false" ht="15" hidden="false" customHeight="true" outlineLevel="0" collapsed="false">
      <c r="A15" s="1" t="s">
        <v>370</v>
      </c>
      <c r="B15" s="1" t="s">
        <v>371</v>
      </c>
      <c r="C15" s="1" t="s">
        <v>22</v>
      </c>
      <c r="D15" s="12" t="s">
        <v>303</v>
      </c>
      <c r="E15" s="1" t="s">
        <v>304</v>
      </c>
      <c r="F15" s="1" t="s">
        <v>340</v>
      </c>
      <c r="G15" s="1" t="s">
        <v>306</v>
      </c>
      <c r="H15" s="12" t="s">
        <v>303</v>
      </c>
      <c r="I15" s="1" t="s">
        <v>307</v>
      </c>
      <c r="J15" s="1" t="s">
        <v>372</v>
      </c>
      <c r="K15" s="12" t="s">
        <v>373</v>
      </c>
      <c r="L15" s="1" t="s">
        <v>310</v>
      </c>
      <c r="M15" s="1" t="s">
        <v>374</v>
      </c>
      <c r="N15" s="1" t="s">
        <v>375</v>
      </c>
      <c r="P15" s="1" t="s">
        <v>313</v>
      </c>
      <c r="R15" s="12" t="s">
        <v>307</v>
      </c>
      <c r="X15" s="1" t="s">
        <v>314</v>
      </c>
      <c r="AB15" s="1" t="s">
        <v>315</v>
      </c>
      <c r="AD15" s="1" t="s">
        <v>303</v>
      </c>
    </row>
    <row r="16" customFormat="false" ht="15" hidden="false" customHeight="true" outlineLevel="0" collapsed="false">
      <c r="A16" s="1" t="s">
        <v>376</v>
      </c>
      <c r="B16" s="1" t="s">
        <v>377</v>
      </c>
      <c r="C16" s="1" t="s">
        <v>22</v>
      </c>
      <c r="D16" s="12" t="s">
        <v>303</v>
      </c>
      <c r="E16" s="1" t="s">
        <v>304</v>
      </c>
      <c r="F16" s="1" t="s">
        <v>340</v>
      </c>
      <c r="G16" s="1" t="s">
        <v>306</v>
      </c>
      <c r="H16" s="12" t="s">
        <v>303</v>
      </c>
      <c r="I16" s="1" t="s">
        <v>307</v>
      </c>
      <c r="J16" s="1" t="s">
        <v>378</v>
      </c>
      <c r="K16" s="12" t="s">
        <v>373</v>
      </c>
      <c r="L16" s="1" t="s">
        <v>310</v>
      </c>
      <c r="M16" s="1" t="s">
        <v>379</v>
      </c>
      <c r="N16" s="1" t="s">
        <v>344</v>
      </c>
      <c r="P16" s="1" t="s">
        <v>313</v>
      </c>
      <c r="R16" s="12" t="s">
        <v>307</v>
      </c>
      <c r="X16" s="1" t="s">
        <v>314</v>
      </c>
      <c r="AB16" s="1" t="s">
        <v>315</v>
      </c>
      <c r="AD16" s="1" t="s">
        <v>303</v>
      </c>
    </row>
    <row r="17" customFormat="false" ht="15" hidden="false" customHeight="true" outlineLevel="0" collapsed="false">
      <c r="A17" s="1" t="s">
        <v>380</v>
      </c>
      <c r="B17" s="1" t="s">
        <v>381</v>
      </c>
      <c r="C17" s="1" t="s">
        <v>22</v>
      </c>
      <c r="D17" s="12" t="s">
        <v>303</v>
      </c>
      <c r="E17" s="1" t="s">
        <v>304</v>
      </c>
      <c r="F17" s="1" t="s">
        <v>305</v>
      </c>
      <c r="G17" s="1" t="s">
        <v>306</v>
      </c>
      <c r="H17" s="12" t="s">
        <v>303</v>
      </c>
      <c r="I17" s="1" t="s">
        <v>307</v>
      </c>
      <c r="J17" s="1" t="s">
        <v>382</v>
      </c>
      <c r="K17" s="12"/>
      <c r="R17" s="12" t="s">
        <v>307</v>
      </c>
      <c r="X17" s="1" t="s">
        <v>383</v>
      </c>
      <c r="AB17" s="1" t="s">
        <v>383</v>
      </c>
      <c r="AC17" s="1" t="s">
        <v>384</v>
      </c>
      <c r="AD17" s="1" t="s">
        <v>303</v>
      </c>
    </row>
    <row r="18" customFormat="false" ht="15" hidden="false" customHeight="true" outlineLevel="0" collapsed="false">
      <c r="A18" s="1" t="s">
        <v>385</v>
      </c>
      <c r="B18" s="1" t="s">
        <v>386</v>
      </c>
      <c r="C18" s="1" t="s">
        <v>22</v>
      </c>
      <c r="D18" s="12" t="s">
        <v>303</v>
      </c>
      <c r="E18" s="1" t="s">
        <v>304</v>
      </c>
      <c r="F18" s="1" t="s">
        <v>305</v>
      </c>
      <c r="G18" s="1" t="s">
        <v>306</v>
      </c>
      <c r="H18" s="12" t="s">
        <v>303</v>
      </c>
      <c r="I18" s="1" t="s">
        <v>307</v>
      </c>
      <c r="J18" s="1" t="s">
        <v>387</v>
      </c>
      <c r="K18" s="12"/>
      <c r="R18" s="12" t="s">
        <v>307</v>
      </c>
      <c r="X18" s="1" t="s">
        <v>383</v>
      </c>
      <c r="AB18" s="1" t="s">
        <v>383</v>
      </c>
      <c r="AC18" s="1" t="s">
        <v>384</v>
      </c>
      <c r="AD18" s="1" t="s">
        <v>303</v>
      </c>
    </row>
    <row r="19" customFormat="false" ht="15" hidden="false" customHeight="true" outlineLevel="0" collapsed="false">
      <c r="A19" s="1" t="s">
        <v>388</v>
      </c>
      <c r="B19" s="1" t="s">
        <v>389</v>
      </c>
      <c r="C19" s="1" t="s">
        <v>22</v>
      </c>
      <c r="D19" s="12" t="s">
        <v>303</v>
      </c>
      <c r="E19" s="1" t="s">
        <v>304</v>
      </c>
      <c r="F19" s="1" t="s">
        <v>340</v>
      </c>
      <c r="G19" s="1" t="s">
        <v>306</v>
      </c>
      <c r="H19" s="12" t="s">
        <v>303</v>
      </c>
      <c r="I19" s="1" t="s">
        <v>307</v>
      </c>
      <c r="J19" s="1" t="s">
        <v>390</v>
      </c>
      <c r="K19" s="12" t="s">
        <v>331</v>
      </c>
      <c r="L19" s="1" t="s">
        <v>310</v>
      </c>
      <c r="M19" s="1" t="s">
        <v>391</v>
      </c>
      <c r="N19" s="1" t="s">
        <v>344</v>
      </c>
      <c r="P19" s="1" t="s">
        <v>313</v>
      </c>
      <c r="R19" s="12" t="s">
        <v>307</v>
      </c>
      <c r="X19" s="1" t="s">
        <v>383</v>
      </c>
      <c r="AB19" s="1" t="s">
        <v>383</v>
      </c>
      <c r="AC19" s="1" t="s">
        <v>392</v>
      </c>
      <c r="AD19" s="1" t="s">
        <v>303</v>
      </c>
    </row>
    <row r="20" customFormat="false" ht="15" hidden="false" customHeight="true" outlineLevel="0" collapsed="false">
      <c r="A20" s="1" t="s">
        <v>393</v>
      </c>
      <c r="B20" s="1" t="s">
        <v>394</v>
      </c>
      <c r="C20" s="1" t="s">
        <v>22</v>
      </c>
      <c r="D20" s="12" t="s">
        <v>303</v>
      </c>
      <c r="E20" s="1" t="s">
        <v>304</v>
      </c>
      <c r="F20" s="1" t="s">
        <v>340</v>
      </c>
      <c r="G20" s="1" t="s">
        <v>306</v>
      </c>
      <c r="H20" s="12" t="s">
        <v>303</v>
      </c>
      <c r="I20" s="1" t="s">
        <v>307</v>
      </c>
      <c r="J20" s="1" t="s">
        <v>395</v>
      </c>
      <c r="K20" s="12" t="s">
        <v>331</v>
      </c>
      <c r="L20" s="1" t="s">
        <v>310</v>
      </c>
      <c r="M20" s="1" t="s">
        <v>396</v>
      </c>
      <c r="N20" s="1" t="s">
        <v>344</v>
      </c>
      <c r="P20" s="1" t="s">
        <v>313</v>
      </c>
      <c r="R20" s="12" t="s">
        <v>307</v>
      </c>
      <c r="X20" s="1" t="s">
        <v>383</v>
      </c>
      <c r="AB20" s="1" t="s">
        <v>383</v>
      </c>
      <c r="AC20" s="1" t="s">
        <v>392</v>
      </c>
      <c r="AD20" s="1" t="s">
        <v>303</v>
      </c>
    </row>
    <row r="21" customFormat="false" ht="15" hidden="false" customHeight="true" outlineLevel="0" collapsed="false">
      <c r="A21" s="1" t="s">
        <v>397</v>
      </c>
      <c r="B21" s="1" t="s">
        <v>398</v>
      </c>
      <c r="C21" s="1" t="s">
        <v>22</v>
      </c>
      <c r="D21" s="12" t="s">
        <v>303</v>
      </c>
      <c r="E21" s="1" t="s">
        <v>304</v>
      </c>
      <c r="F21" s="1" t="s">
        <v>340</v>
      </c>
      <c r="G21" s="1" t="s">
        <v>306</v>
      </c>
      <c r="H21" s="12" t="s">
        <v>303</v>
      </c>
      <c r="I21" s="1" t="s">
        <v>307</v>
      </c>
      <c r="J21" s="1" t="s">
        <v>399</v>
      </c>
      <c r="K21" s="12" t="s">
        <v>331</v>
      </c>
      <c r="L21" s="1" t="s">
        <v>310</v>
      </c>
      <c r="M21" s="1" t="s">
        <v>400</v>
      </c>
      <c r="N21" s="1" t="s">
        <v>344</v>
      </c>
      <c r="P21" s="1" t="s">
        <v>313</v>
      </c>
      <c r="R21" s="12" t="s">
        <v>307</v>
      </c>
      <c r="X21" s="1" t="s">
        <v>383</v>
      </c>
      <c r="AB21" s="1" t="s">
        <v>383</v>
      </c>
      <c r="AC21" s="1" t="s">
        <v>392</v>
      </c>
      <c r="AD21" s="1" t="s">
        <v>303</v>
      </c>
    </row>
    <row r="22" customFormat="false" ht="15" hidden="false" customHeight="true" outlineLevel="0" collapsed="false">
      <c r="A22" s="1" t="s">
        <v>401</v>
      </c>
      <c r="B22" s="1" t="s">
        <v>402</v>
      </c>
      <c r="C22" s="1" t="s">
        <v>22</v>
      </c>
      <c r="D22" s="12" t="s">
        <v>303</v>
      </c>
      <c r="E22" s="1" t="s">
        <v>304</v>
      </c>
      <c r="F22" s="1" t="s">
        <v>340</v>
      </c>
      <c r="G22" s="1" t="s">
        <v>306</v>
      </c>
      <c r="H22" s="12" t="s">
        <v>303</v>
      </c>
      <c r="I22" s="1" t="s">
        <v>307</v>
      </c>
      <c r="J22" s="1" t="s">
        <v>403</v>
      </c>
      <c r="K22" s="12" t="s">
        <v>309</v>
      </c>
      <c r="L22" s="1" t="s">
        <v>310</v>
      </c>
      <c r="M22" s="1" t="s">
        <v>404</v>
      </c>
      <c r="N22" s="1" t="s">
        <v>344</v>
      </c>
      <c r="P22" s="1" t="s">
        <v>313</v>
      </c>
      <c r="R22" s="12" t="s">
        <v>307</v>
      </c>
      <c r="X22" s="1" t="s">
        <v>383</v>
      </c>
      <c r="AB22" s="1" t="s">
        <v>383</v>
      </c>
      <c r="AC22" s="1" t="s">
        <v>392</v>
      </c>
      <c r="AD22" s="1" t="s">
        <v>303</v>
      </c>
    </row>
    <row r="23" customFormat="false" ht="15" hidden="false" customHeight="true" outlineLevel="0" collapsed="false">
      <c r="A23" s="1" t="s">
        <v>405</v>
      </c>
      <c r="B23" s="1" t="s">
        <v>406</v>
      </c>
      <c r="C23" s="1" t="s">
        <v>22</v>
      </c>
      <c r="D23" s="12" t="s">
        <v>303</v>
      </c>
      <c r="E23" s="1" t="s">
        <v>304</v>
      </c>
      <c r="F23" s="1" t="s">
        <v>340</v>
      </c>
      <c r="G23" s="1" t="s">
        <v>306</v>
      </c>
      <c r="H23" s="12" t="s">
        <v>303</v>
      </c>
      <c r="I23" s="1" t="s">
        <v>307</v>
      </c>
      <c r="J23" s="1" t="s">
        <v>407</v>
      </c>
      <c r="K23" s="12" t="s">
        <v>373</v>
      </c>
      <c r="L23" s="1" t="s">
        <v>310</v>
      </c>
      <c r="M23" s="1" t="s">
        <v>408</v>
      </c>
      <c r="N23" s="1" t="s">
        <v>344</v>
      </c>
      <c r="P23" s="1" t="s">
        <v>313</v>
      </c>
      <c r="R23" s="12" t="s">
        <v>307</v>
      </c>
      <c r="X23" s="1" t="s">
        <v>383</v>
      </c>
      <c r="AB23" s="1" t="s">
        <v>383</v>
      </c>
      <c r="AC23" s="1" t="s">
        <v>392</v>
      </c>
      <c r="AD23" s="1" t="s">
        <v>303</v>
      </c>
    </row>
    <row r="24" customFormat="false" ht="15" hidden="false" customHeight="true" outlineLevel="0" collapsed="false">
      <c r="A24" s="1" t="s">
        <v>409</v>
      </c>
      <c r="B24" s="1" t="s">
        <v>410</v>
      </c>
      <c r="C24" s="1" t="s">
        <v>22</v>
      </c>
      <c r="D24" s="12" t="s">
        <v>303</v>
      </c>
      <c r="E24" s="1" t="s">
        <v>304</v>
      </c>
      <c r="F24" s="1" t="s">
        <v>305</v>
      </c>
      <c r="G24" s="1" t="s">
        <v>306</v>
      </c>
      <c r="H24" s="12" t="s">
        <v>303</v>
      </c>
      <c r="I24" s="1" t="s">
        <v>307</v>
      </c>
      <c r="J24" s="1" t="s">
        <v>411</v>
      </c>
      <c r="K24" s="12"/>
      <c r="R24" s="12" t="s">
        <v>307</v>
      </c>
      <c r="X24" s="1" t="s">
        <v>383</v>
      </c>
      <c r="AB24" s="1" t="s">
        <v>383</v>
      </c>
      <c r="AC24" s="1" t="s">
        <v>384</v>
      </c>
      <c r="AD24" s="1" t="s">
        <v>303</v>
      </c>
    </row>
    <row r="25" customFormat="false" ht="15" hidden="false" customHeight="true" outlineLevel="0" collapsed="false">
      <c r="A25" s="1" t="s">
        <v>412</v>
      </c>
      <c r="B25" s="1" t="s">
        <v>413</v>
      </c>
      <c r="C25" s="1" t="s">
        <v>22</v>
      </c>
      <c r="D25" s="12" t="s">
        <v>303</v>
      </c>
      <c r="E25" s="1" t="s">
        <v>304</v>
      </c>
      <c r="F25" s="1" t="s">
        <v>340</v>
      </c>
      <c r="G25" s="1" t="s">
        <v>306</v>
      </c>
      <c r="H25" s="12" t="s">
        <v>303</v>
      </c>
      <c r="I25" s="1" t="s">
        <v>307</v>
      </c>
      <c r="J25" s="1" t="s">
        <v>414</v>
      </c>
      <c r="K25" s="12" t="s">
        <v>415</v>
      </c>
      <c r="L25" s="1" t="s">
        <v>310</v>
      </c>
      <c r="M25" s="1" t="s">
        <v>416</v>
      </c>
      <c r="N25" s="1" t="s">
        <v>344</v>
      </c>
      <c r="P25" s="1" t="s">
        <v>313</v>
      </c>
      <c r="R25" s="12" t="s">
        <v>307</v>
      </c>
      <c r="X25" s="1" t="s">
        <v>383</v>
      </c>
      <c r="AB25" s="1" t="s">
        <v>383</v>
      </c>
      <c r="AC25" s="1" t="s">
        <v>392</v>
      </c>
      <c r="AD25" s="1" t="s">
        <v>303</v>
      </c>
    </row>
    <row r="26" customFormat="false" ht="15" hidden="false" customHeight="true" outlineLevel="0" collapsed="false">
      <c r="A26" s="1" t="s">
        <v>417</v>
      </c>
      <c r="B26" s="1" t="s">
        <v>418</v>
      </c>
      <c r="C26" s="1" t="s">
        <v>22</v>
      </c>
      <c r="D26" s="12" t="s">
        <v>303</v>
      </c>
      <c r="E26" s="1" t="s">
        <v>304</v>
      </c>
      <c r="F26" s="1" t="s">
        <v>305</v>
      </c>
      <c r="G26" s="1" t="s">
        <v>306</v>
      </c>
      <c r="H26" s="12" t="s">
        <v>303</v>
      </c>
      <c r="I26" s="1" t="s">
        <v>307</v>
      </c>
      <c r="J26" s="1" t="s">
        <v>419</v>
      </c>
      <c r="K26" s="12"/>
      <c r="R26" s="12" t="s">
        <v>307</v>
      </c>
      <c r="X26" s="1" t="s">
        <v>383</v>
      </c>
      <c r="AB26" s="1" t="s">
        <v>383</v>
      </c>
      <c r="AC26" s="1" t="s">
        <v>420</v>
      </c>
      <c r="AD26" s="1" t="s">
        <v>303</v>
      </c>
    </row>
    <row r="27" customFormat="false" ht="15" hidden="false" customHeight="true" outlineLevel="0" collapsed="false">
      <c r="A27" s="1" t="s">
        <v>421</v>
      </c>
      <c r="B27" s="1" t="s">
        <v>422</v>
      </c>
      <c r="C27" s="1" t="s">
        <v>22</v>
      </c>
      <c r="D27" s="12" t="s">
        <v>303</v>
      </c>
      <c r="E27" s="1" t="s">
        <v>304</v>
      </c>
      <c r="F27" s="1" t="s">
        <v>305</v>
      </c>
      <c r="G27" s="1" t="s">
        <v>306</v>
      </c>
      <c r="H27" s="12" t="s">
        <v>303</v>
      </c>
      <c r="I27" s="1" t="s">
        <v>307</v>
      </c>
      <c r="J27" s="1" t="s">
        <v>423</v>
      </c>
      <c r="K27" s="12"/>
      <c r="R27" s="12" t="s">
        <v>307</v>
      </c>
      <c r="X27" s="1" t="s">
        <v>383</v>
      </c>
      <c r="AB27" s="1" t="s">
        <v>383</v>
      </c>
      <c r="AC27" s="1" t="s">
        <v>424</v>
      </c>
      <c r="AD27" s="1" t="s">
        <v>303</v>
      </c>
    </row>
    <row r="28" customFormat="false" ht="15" hidden="false" customHeight="true" outlineLevel="0" collapsed="false">
      <c r="A28" s="1" t="s">
        <v>425</v>
      </c>
      <c r="B28" s="1" t="s">
        <v>426</v>
      </c>
      <c r="C28" s="1" t="s">
        <v>22</v>
      </c>
      <c r="D28" s="12" t="s">
        <v>303</v>
      </c>
      <c r="E28" s="1" t="s">
        <v>304</v>
      </c>
      <c r="F28" s="1" t="s">
        <v>305</v>
      </c>
      <c r="G28" s="1" t="s">
        <v>306</v>
      </c>
      <c r="H28" s="12" t="s">
        <v>303</v>
      </c>
      <c r="I28" s="1" t="s">
        <v>307</v>
      </c>
      <c r="J28" s="1" t="s">
        <v>427</v>
      </c>
      <c r="K28" s="12"/>
      <c r="R28" s="12" t="s">
        <v>307</v>
      </c>
      <c r="X28" s="1" t="s">
        <v>428</v>
      </c>
      <c r="Y28" s="1" t="s">
        <v>429</v>
      </c>
      <c r="AB28" s="1" t="s">
        <v>430</v>
      </c>
      <c r="AC28" s="1" t="s">
        <v>320</v>
      </c>
      <c r="AD28" s="1" t="s">
        <v>303</v>
      </c>
    </row>
    <row r="29" customFormat="false" ht="15" hidden="false" customHeight="true" outlineLevel="0" collapsed="false">
      <c r="A29" s="1" t="s">
        <v>431</v>
      </c>
      <c r="B29" s="1" t="s">
        <v>432</v>
      </c>
      <c r="C29" s="1" t="s">
        <v>22</v>
      </c>
      <c r="D29" s="12" t="s">
        <v>303</v>
      </c>
      <c r="E29" s="1" t="s">
        <v>304</v>
      </c>
      <c r="F29" s="1" t="s">
        <v>305</v>
      </c>
      <c r="G29" s="1" t="s">
        <v>306</v>
      </c>
      <c r="H29" s="12" t="s">
        <v>303</v>
      </c>
      <c r="I29" s="1" t="s">
        <v>307</v>
      </c>
      <c r="J29" s="1" t="s">
        <v>433</v>
      </c>
      <c r="K29" s="12"/>
      <c r="R29" s="12" t="s">
        <v>307</v>
      </c>
      <c r="X29" s="1" t="s">
        <v>428</v>
      </c>
      <c r="Y29" s="1" t="s">
        <v>434</v>
      </c>
      <c r="AB29" s="1" t="s">
        <v>430</v>
      </c>
      <c r="AC29" s="1" t="s">
        <v>320</v>
      </c>
      <c r="AD29" s="1" t="s">
        <v>303</v>
      </c>
    </row>
    <row r="30" customFormat="false" ht="15" hidden="false" customHeight="true" outlineLevel="0" collapsed="false">
      <c r="A30" s="1" t="s">
        <v>435</v>
      </c>
      <c r="B30" s="1" t="s">
        <v>436</v>
      </c>
      <c r="C30" s="1" t="s">
        <v>22</v>
      </c>
      <c r="D30" s="12" t="s">
        <v>303</v>
      </c>
      <c r="E30" s="1" t="s">
        <v>304</v>
      </c>
      <c r="F30" s="1" t="s">
        <v>305</v>
      </c>
      <c r="G30" s="1" t="s">
        <v>306</v>
      </c>
      <c r="H30" s="12" t="s">
        <v>303</v>
      </c>
      <c r="I30" s="1" t="s">
        <v>307</v>
      </c>
      <c r="J30" s="1" t="s">
        <v>437</v>
      </c>
      <c r="K30" s="12"/>
      <c r="R30" s="12" t="s">
        <v>307</v>
      </c>
      <c r="X30" s="1" t="s">
        <v>428</v>
      </c>
      <c r="Y30" s="1" t="s">
        <v>438</v>
      </c>
      <c r="AB30" s="1" t="s">
        <v>430</v>
      </c>
      <c r="AC30" s="1" t="s">
        <v>320</v>
      </c>
      <c r="AD30" s="1" t="s">
        <v>303</v>
      </c>
    </row>
    <row r="31" customFormat="false" ht="15" hidden="false" customHeight="true" outlineLevel="0" collapsed="false">
      <c r="A31" s="1" t="s">
        <v>439</v>
      </c>
      <c r="B31" s="1" t="s">
        <v>440</v>
      </c>
      <c r="C31" s="1" t="s">
        <v>22</v>
      </c>
      <c r="D31" s="12" t="s">
        <v>303</v>
      </c>
      <c r="E31" s="1" t="s">
        <v>304</v>
      </c>
      <c r="F31" s="1" t="s">
        <v>305</v>
      </c>
      <c r="G31" s="1" t="s">
        <v>306</v>
      </c>
      <c r="H31" s="12" t="s">
        <v>303</v>
      </c>
      <c r="I31" s="1" t="s">
        <v>307</v>
      </c>
      <c r="J31" s="1" t="s">
        <v>441</v>
      </c>
      <c r="K31" s="12"/>
      <c r="R31" s="12" t="s">
        <v>307</v>
      </c>
      <c r="X31" s="1" t="s">
        <v>428</v>
      </c>
      <c r="Y31" s="1" t="s">
        <v>442</v>
      </c>
      <c r="AB31" s="1" t="s">
        <v>430</v>
      </c>
      <c r="AC31" s="1" t="s">
        <v>320</v>
      </c>
      <c r="AD31" s="1" t="s">
        <v>303</v>
      </c>
    </row>
    <row r="32" customFormat="false" ht="15" hidden="false" customHeight="true" outlineLevel="0" collapsed="false">
      <c r="A32" s="1" t="s">
        <v>443</v>
      </c>
      <c r="B32" s="1" t="s">
        <v>444</v>
      </c>
      <c r="C32" s="1" t="s">
        <v>22</v>
      </c>
      <c r="D32" s="12" t="s">
        <v>303</v>
      </c>
      <c r="E32" s="1" t="s">
        <v>304</v>
      </c>
      <c r="F32" s="1" t="s">
        <v>305</v>
      </c>
      <c r="G32" s="1" t="s">
        <v>306</v>
      </c>
      <c r="H32" s="12" t="s">
        <v>303</v>
      </c>
      <c r="I32" s="1" t="s">
        <v>307</v>
      </c>
      <c r="J32" s="1" t="s">
        <v>445</v>
      </c>
      <c r="K32" s="12"/>
      <c r="R32" s="12" t="s">
        <v>307</v>
      </c>
      <c r="X32" s="1" t="s">
        <v>428</v>
      </c>
      <c r="Y32" s="1" t="s">
        <v>446</v>
      </c>
      <c r="AB32" s="1" t="s">
        <v>430</v>
      </c>
      <c r="AC32" s="1" t="s">
        <v>320</v>
      </c>
      <c r="AD32" s="1" t="s">
        <v>303</v>
      </c>
    </row>
    <row r="33" customFormat="false" ht="15" hidden="false" customHeight="true" outlineLevel="0" collapsed="false">
      <c r="A33" s="1" t="s">
        <v>447</v>
      </c>
      <c r="B33" s="1" t="s">
        <v>448</v>
      </c>
      <c r="C33" s="1" t="s">
        <v>22</v>
      </c>
      <c r="D33" s="12" t="s">
        <v>303</v>
      </c>
      <c r="E33" s="1" t="s">
        <v>304</v>
      </c>
      <c r="F33" s="1" t="s">
        <v>340</v>
      </c>
      <c r="G33" s="1" t="s">
        <v>306</v>
      </c>
      <c r="H33" s="12" t="s">
        <v>303</v>
      </c>
      <c r="I33" s="1" t="s">
        <v>307</v>
      </c>
      <c r="J33" s="1" t="s">
        <v>449</v>
      </c>
      <c r="K33" s="12" t="s">
        <v>450</v>
      </c>
      <c r="L33" s="1" t="s">
        <v>451</v>
      </c>
      <c r="M33" s="1" t="s">
        <v>452</v>
      </c>
      <c r="N33" s="1" t="s">
        <v>344</v>
      </c>
      <c r="P33" s="1" t="s">
        <v>453</v>
      </c>
      <c r="Q33" s="1" t="s">
        <v>454</v>
      </c>
      <c r="R33" s="12" t="s">
        <v>307</v>
      </c>
      <c r="X33" s="1" t="s">
        <v>428</v>
      </c>
      <c r="Y33" s="1" t="s">
        <v>455</v>
      </c>
      <c r="AB33" s="1" t="s">
        <v>430</v>
      </c>
      <c r="AD33" s="1" t="s">
        <v>303</v>
      </c>
    </row>
    <row r="34" customFormat="false" ht="15" hidden="false" customHeight="true" outlineLevel="0" collapsed="false">
      <c r="A34" s="1" t="s">
        <v>456</v>
      </c>
      <c r="B34" s="1" t="s">
        <v>457</v>
      </c>
      <c r="C34" s="1" t="s">
        <v>22</v>
      </c>
      <c r="D34" s="12" t="s">
        <v>303</v>
      </c>
      <c r="E34" s="1" t="s">
        <v>304</v>
      </c>
      <c r="F34" s="1" t="s">
        <v>340</v>
      </c>
      <c r="G34" s="1" t="s">
        <v>306</v>
      </c>
      <c r="H34" s="12" t="s">
        <v>303</v>
      </c>
      <c r="I34" s="1" t="s">
        <v>307</v>
      </c>
      <c r="J34" s="1" t="s">
        <v>458</v>
      </c>
      <c r="K34" s="12" t="s">
        <v>459</v>
      </c>
      <c r="L34" s="1" t="s">
        <v>359</v>
      </c>
      <c r="M34" s="1" t="s">
        <v>460</v>
      </c>
      <c r="N34" s="1" t="s">
        <v>344</v>
      </c>
      <c r="P34" s="1" t="s">
        <v>313</v>
      </c>
      <c r="R34" s="12" t="s">
        <v>307</v>
      </c>
      <c r="X34" s="1" t="s">
        <v>428</v>
      </c>
      <c r="Y34" s="1" t="s">
        <v>461</v>
      </c>
      <c r="AB34" s="1" t="s">
        <v>430</v>
      </c>
      <c r="AD34" s="1" t="s">
        <v>303</v>
      </c>
    </row>
    <row r="35" customFormat="false" ht="15" hidden="false" customHeight="true" outlineLevel="0" collapsed="false">
      <c r="A35" s="1" t="s">
        <v>462</v>
      </c>
      <c r="B35" s="1" t="s">
        <v>448</v>
      </c>
      <c r="C35" s="1" t="s">
        <v>22</v>
      </c>
      <c r="D35" s="12" t="s">
        <v>303</v>
      </c>
      <c r="E35" s="1" t="s">
        <v>304</v>
      </c>
      <c r="F35" s="1" t="s">
        <v>340</v>
      </c>
      <c r="G35" s="1" t="s">
        <v>306</v>
      </c>
      <c r="H35" s="12" t="s">
        <v>303</v>
      </c>
      <c r="I35" s="1" t="s">
        <v>307</v>
      </c>
      <c r="J35" s="1" t="s">
        <v>463</v>
      </c>
      <c r="K35" s="12"/>
      <c r="P35" s="1" t="s">
        <v>453</v>
      </c>
      <c r="Q35" s="1" t="s">
        <v>454</v>
      </c>
      <c r="R35" s="12" t="s">
        <v>307</v>
      </c>
      <c r="X35" s="1" t="s">
        <v>428</v>
      </c>
      <c r="Y35" s="1" t="s">
        <v>464</v>
      </c>
      <c r="AB35" s="1" t="s">
        <v>430</v>
      </c>
      <c r="AC35" s="1" t="s">
        <v>465</v>
      </c>
      <c r="AD35" s="1" t="s">
        <v>303</v>
      </c>
    </row>
    <row r="36" customFormat="false" ht="15" hidden="false" customHeight="true" outlineLevel="0" collapsed="false">
      <c r="A36" s="1" t="s">
        <v>466</v>
      </c>
      <c r="B36" s="1" t="s">
        <v>467</v>
      </c>
      <c r="C36" s="1" t="s">
        <v>22</v>
      </c>
      <c r="D36" s="12" t="s">
        <v>303</v>
      </c>
      <c r="E36" s="1" t="s">
        <v>304</v>
      </c>
      <c r="F36" s="1" t="s">
        <v>305</v>
      </c>
      <c r="G36" s="1" t="s">
        <v>306</v>
      </c>
      <c r="H36" s="12" t="s">
        <v>303</v>
      </c>
      <c r="I36" s="1" t="s">
        <v>307</v>
      </c>
      <c r="J36" s="1" t="s">
        <v>468</v>
      </c>
      <c r="K36" s="12"/>
      <c r="R36" s="12" t="s">
        <v>307</v>
      </c>
      <c r="X36" s="1" t="s">
        <v>428</v>
      </c>
      <c r="Y36" s="1" t="s">
        <v>469</v>
      </c>
      <c r="AB36" s="1" t="s">
        <v>430</v>
      </c>
      <c r="AC36" s="1" t="s">
        <v>320</v>
      </c>
      <c r="AD36" s="1" t="s">
        <v>303</v>
      </c>
    </row>
    <row r="37" customFormat="false" ht="15" hidden="false" customHeight="true" outlineLevel="0" collapsed="false">
      <c r="A37" s="1" t="s">
        <v>470</v>
      </c>
      <c r="B37" s="1" t="s">
        <v>471</v>
      </c>
      <c r="C37" s="1" t="s">
        <v>22</v>
      </c>
      <c r="D37" s="12" t="s">
        <v>303</v>
      </c>
      <c r="E37" s="1" t="s">
        <v>304</v>
      </c>
      <c r="F37" s="1" t="s">
        <v>305</v>
      </c>
      <c r="G37" s="1" t="s">
        <v>306</v>
      </c>
      <c r="H37" s="12" t="s">
        <v>303</v>
      </c>
      <c r="I37" s="1" t="s">
        <v>307</v>
      </c>
      <c r="J37" s="1" t="s">
        <v>472</v>
      </c>
      <c r="K37" s="12"/>
      <c r="R37" s="12" t="s">
        <v>307</v>
      </c>
      <c r="X37" s="1" t="s">
        <v>428</v>
      </c>
      <c r="Y37" s="1" t="s">
        <v>473</v>
      </c>
      <c r="AB37" s="1" t="s">
        <v>430</v>
      </c>
      <c r="AC37" s="1" t="s">
        <v>320</v>
      </c>
      <c r="AD37" s="1" t="s">
        <v>303</v>
      </c>
    </row>
    <row r="38" customFormat="false" ht="15" hidden="false" customHeight="true" outlineLevel="0" collapsed="false">
      <c r="A38" s="1" t="s">
        <v>474</v>
      </c>
      <c r="B38" s="1" t="s">
        <v>475</v>
      </c>
      <c r="C38" s="1" t="s">
        <v>22</v>
      </c>
      <c r="D38" s="12" t="s">
        <v>303</v>
      </c>
      <c r="E38" s="1" t="s">
        <v>304</v>
      </c>
      <c r="F38" s="1" t="s">
        <v>340</v>
      </c>
      <c r="G38" s="1" t="s">
        <v>306</v>
      </c>
      <c r="H38" s="12" t="s">
        <v>303</v>
      </c>
      <c r="I38" s="1" t="s">
        <v>307</v>
      </c>
      <c r="J38" s="1" t="s">
        <v>476</v>
      </c>
      <c r="K38" s="12" t="s">
        <v>477</v>
      </c>
      <c r="L38" s="1" t="s">
        <v>310</v>
      </c>
      <c r="M38" s="1" t="s">
        <v>478</v>
      </c>
      <c r="N38" s="1" t="s">
        <v>344</v>
      </c>
      <c r="P38" s="1" t="s">
        <v>313</v>
      </c>
      <c r="R38" s="12" t="s">
        <v>307</v>
      </c>
      <c r="X38" s="1" t="s">
        <v>428</v>
      </c>
      <c r="Y38" s="1" t="s">
        <v>479</v>
      </c>
      <c r="AB38" s="1" t="s">
        <v>430</v>
      </c>
      <c r="AD38" s="1" t="s">
        <v>303</v>
      </c>
    </row>
    <row r="39" customFormat="false" ht="15" hidden="false" customHeight="true" outlineLevel="0" collapsed="false">
      <c r="A39" s="1" t="s">
        <v>480</v>
      </c>
      <c r="B39" s="1" t="s">
        <v>481</v>
      </c>
      <c r="C39" s="1" t="s">
        <v>22</v>
      </c>
      <c r="D39" s="12" t="s">
        <v>303</v>
      </c>
      <c r="E39" s="1" t="s">
        <v>304</v>
      </c>
      <c r="F39" s="1" t="s">
        <v>340</v>
      </c>
      <c r="G39" s="1" t="s">
        <v>306</v>
      </c>
      <c r="H39" s="12" t="s">
        <v>303</v>
      </c>
      <c r="I39" s="1" t="s">
        <v>307</v>
      </c>
      <c r="J39" s="1" t="s">
        <v>482</v>
      </c>
      <c r="K39" s="12"/>
      <c r="L39" s="1" t="s">
        <v>483</v>
      </c>
      <c r="M39" s="1" t="s">
        <v>484</v>
      </c>
      <c r="N39" s="1" t="s">
        <v>344</v>
      </c>
      <c r="P39" s="1" t="s">
        <v>453</v>
      </c>
      <c r="Q39" s="1" t="s">
        <v>485</v>
      </c>
      <c r="R39" s="12" t="s">
        <v>307</v>
      </c>
      <c r="X39" s="1" t="s">
        <v>428</v>
      </c>
      <c r="Y39" s="1" t="s">
        <v>486</v>
      </c>
      <c r="AB39" s="1" t="s">
        <v>430</v>
      </c>
      <c r="AC39" s="1" t="s">
        <v>487</v>
      </c>
      <c r="AD39" s="1" t="s">
        <v>303</v>
      </c>
    </row>
    <row r="40" customFormat="false" ht="15" hidden="false" customHeight="true" outlineLevel="0" collapsed="false">
      <c r="A40" s="1" t="s">
        <v>488</v>
      </c>
      <c r="B40" s="1" t="s">
        <v>489</v>
      </c>
      <c r="C40" s="1" t="s">
        <v>23</v>
      </c>
      <c r="D40" s="12" t="s">
        <v>303</v>
      </c>
      <c r="E40" s="1" t="s">
        <v>304</v>
      </c>
      <c r="F40" s="1" t="s">
        <v>490</v>
      </c>
      <c r="G40" s="1" t="s">
        <v>306</v>
      </c>
      <c r="H40" s="12" t="s">
        <v>303</v>
      </c>
      <c r="I40" s="1" t="s">
        <v>307</v>
      </c>
      <c r="J40" s="1" t="s">
        <v>491</v>
      </c>
      <c r="K40" s="12"/>
      <c r="L40" s="1" t="s">
        <v>492</v>
      </c>
      <c r="O40" s="1" t="s">
        <v>493</v>
      </c>
      <c r="P40" s="1" t="s">
        <v>313</v>
      </c>
      <c r="Q40" s="1" t="s">
        <v>494</v>
      </c>
      <c r="R40" s="12" t="s">
        <v>307</v>
      </c>
      <c r="X40" s="1" t="s">
        <v>314</v>
      </c>
      <c r="AB40" s="1" t="s">
        <v>315</v>
      </c>
      <c r="AC40" s="1" t="s">
        <v>495</v>
      </c>
      <c r="AD40" s="1" t="s">
        <v>303</v>
      </c>
    </row>
    <row r="41" customFormat="false" ht="15" hidden="false" customHeight="true" outlineLevel="0" collapsed="false">
      <c r="A41" s="1" t="s">
        <v>496</v>
      </c>
      <c r="B41" s="1" t="s">
        <v>497</v>
      </c>
      <c r="C41" s="1" t="s">
        <v>23</v>
      </c>
      <c r="D41" s="12" t="s">
        <v>303</v>
      </c>
      <c r="E41" s="1" t="s">
        <v>304</v>
      </c>
      <c r="F41" s="1" t="s">
        <v>490</v>
      </c>
      <c r="G41" s="1" t="s">
        <v>306</v>
      </c>
      <c r="H41" s="12" t="s">
        <v>303</v>
      </c>
      <c r="I41" s="1" t="s">
        <v>307</v>
      </c>
      <c r="J41" s="1" t="s">
        <v>498</v>
      </c>
      <c r="K41" s="12"/>
      <c r="L41" s="1" t="s">
        <v>499</v>
      </c>
      <c r="O41" s="1" t="s">
        <v>500</v>
      </c>
      <c r="P41" s="1" t="s">
        <v>313</v>
      </c>
      <c r="Q41" s="1" t="s">
        <v>501</v>
      </c>
      <c r="R41" s="12" t="s">
        <v>307</v>
      </c>
      <c r="X41" s="1" t="s">
        <v>314</v>
      </c>
      <c r="AB41" s="1" t="s">
        <v>315</v>
      </c>
      <c r="AC41" s="1" t="s">
        <v>495</v>
      </c>
      <c r="AD41" s="1" t="s">
        <v>303</v>
      </c>
    </row>
    <row r="42" customFormat="false" ht="15" hidden="false" customHeight="true" outlineLevel="0" collapsed="false">
      <c r="A42" s="1" t="s">
        <v>502</v>
      </c>
      <c r="B42" s="1" t="s">
        <v>432</v>
      </c>
      <c r="C42" s="1" t="s">
        <v>23</v>
      </c>
      <c r="D42" s="12" t="s">
        <v>303</v>
      </c>
      <c r="E42" s="1" t="s">
        <v>304</v>
      </c>
      <c r="F42" s="1" t="s">
        <v>490</v>
      </c>
      <c r="G42" s="1" t="s">
        <v>306</v>
      </c>
      <c r="H42" s="12" t="s">
        <v>303</v>
      </c>
      <c r="I42" s="1" t="s">
        <v>307</v>
      </c>
      <c r="J42" s="1" t="s">
        <v>503</v>
      </c>
      <c r="K42" s="12"/>
      <c r="L42" s="1" t="s">
        <v>504</v>
      </c>
      <c r="O42" s="1" t="s">
        <v>500</v>
      </c>
      <c r="P42" s="1" t="s">
        <v>313</v>
      </c>
      <c r="R42" s="12" t="s">
        <v>307</v>
      </c>
      <c r="V42" s="1" t="s">
        <v>307</v>
      </c>
      <c r="W42" s="1" t="s">
        <v>505</v>
      </c>
      <c r="X42" s="1" t="s">
        <v>314</v>
      </c>
      <c r="AB42" s="1" t="s">
        <v>315</v>
      </c>
      <c r="AC42" s="1" t="s">
        <v>506</v>
      </c>
      <c r="AD42" s="1" t="s">
        <v>303</v>
      </c>
    </row>
    <row r="43" customFormat="false" ht="15" hidden="false" customHeight="true" outlineLevel="0" collapsed="false">
      <c r="A43" s="1" t="s">
        <v>443</v>
      </c>
      <c r="B43" s="1" t="s">
        <v>444</v>
      </c>
      <c r="C43" s="1" t="s">
        <v>23</v>
      </c>
      <c r="D43" s="12" t="s">
        <v>303</v>
      </c>
      <c r="E43" s="1" t="s">
        <v>304</v>
      </c>
      <c r="F43" s="1" t="s">
        <v>490</v>
      </c>
      <c r="G43" s="1" t="s">
        <v>306</v>
      </c>
      <c r="H43" s="12" t="s">
        <v>303</v>
      </c>
      <c r="I43" s="1" t="s">
        <v>307</v>
      </c>
      <c r="J43" s="1" t="s">
        <v>507</v>
      </c>
      <c r="K43" s="12"/>
      <c r="R43" s="12" t="s">
        <v>307</v>
      </c>
      <c r="X43" s="1" t="s">
        <v>314</v>
      </c>
      <c r="AB43" s="1" t="s">
        <v>315</v>
      </c>
      <c r="AC43" s="1" t="s">
        <v>508</v>
      </c>
      <c r="AD43" s="1" t="s">
        <v>303</v>
      </c>
    </row>
    <row r="44" customFormat="false" ht="15" hidden="false" customHeight="true" outlineLevel="0" collapsed="false">
      <c r="A44" s="1" t="s">
        <v>509</v>
      </c>
      <c r="B44" s="1" t="s">
        <v>510</v>
      </c>
      <c r="C44" s="1" t="s">
        <v>23</v>
      </c>
      <c r="D44" s="12" t="s">
        <v>303</v>
      </c>
      <c r="E44" s="1" t="s">
        <v>304</v>
      </c>
      <c r="F44" s="1" t="s">
        <v>490</v>
      </c>
      <c r="G44" s="1" t="s">
        <v>306</v>
      </c>
      <c r="H44" s="12" t="s">
        <v>303</v>
      </c>
      <c r="I44" s="1" t="s">
        <v>307</v>
      </c>
      <c r="J44" s="1" t="s">
        <v>511</v>
      </c>
      <c r="K44" s="12"/>
      <c r="L44" s="1" t="s">
        <v>310</v>
      </c>
      <c r="O44" s="1" t="s">
        <v>512</v>
      </c>
      <c r="P44" s="1" t="s">
        <v>313</v>
      </c>
      <c r="Q44" s="1" t="s">
        <v>513</v>
      </c>
      <c r="R44" s="12" t="s">
        <v>307</v>
      </c>
      <c r="X44" s="1" t="s">
        <v>314</v>
      </c>
      <c r="AB44" s="1" t="s">
        <v>315</v>
      </c>
      <c r="AC44" s="1" t="s">
        <v>514</v>
      </c>
      <c r="AD44" s="1" t="s">
        <v>303</v>
      </c>
    </row>
    <row r="45" customFormat="false" ht="15" hidden="false" customHeight="true" outlineLevel="0" collapsed="false">
      <c r="A45" s="1" t="s">
        <v>515</v>
      </c>
      <c r="B45" s="1" t="s">
        <v>516</v>
      </c>
      <c r="C45" s="1" t="s">
        <v>23</v>
      </c>
      <c r="D45" s="12" t="s">
        <v>303</v>
      </c>
      <c r="E45" s="1" t="s">
        <v>304</v>
      </c>
      <c r="F45" s="1" t="s">
        <v>490</v>
      </c>
      <c r="G45" s="1" t="s">
        <v>306</v>
      </c>
      <c r="H45" s="12" t="s">
        <v>303</v>
      </c>
      <c r="I45" s="1" t="s">
        <v>307</v>
      </c>
      <c r="J45" s="1" t="s">
        <v>517</v>
      </c>
      <c r="K45" s="12"/>
      <c r="L45" s="1" t="s">
        <v>310</v>
      </c>
      <c r="O45" s="1" t="s">
        <v>518</v>
      </c>
      <c r="P45" s="1" t="s">
        <v>313</v>
      </c>
      <c r="R45" s="12" t="s">
        <v>307</v>
      </c>
      <c r="X45" s="1" t="s">
        <v>314</v>
      </c>
      <c r="AB45" s="1" t="s">
        <v>315</v>
      </c>
      <c r="AC45" s="1" t="s">
        <v>514</v>
      </c>
      <c r="AD45" s="1" t="s">
        <v>303</v>
      </c>
    </row>
    <row r="46" customFormat="false" ht="15" hidden="false" customHeight="true" outlineLevel="0" collapsed="false">
      <c r="A46" s="1" t="s">
        <v>519</v>
      </c>
      <c r="B46" s="1" t="s">
        <v>520</v>
      </c>
      <c r="C46" s="1" t="s">
        <v>23</v>
      </c>
      <c r="D46" s="12" t="s">
        <v>303</v>
      </c>
      <c r="E46" s="1" t="s">
        <v>304</v>
      </c>
      <c r="F46" s="1" t="s">
        <v>490</v>
      </c>
      <c r="G46" s="1" t="s">
        <v>306</v>
      </c>
      <c r="H46" s="12" t="s">
        <v>303</v>
      </c>
      <c r="I46" s="1" t="s">
        <v>307</v>
      </c>
      <c r="J46" s="1" t="s">
        <v>521</v>
      </c>
      <c r="K46" s="12"/>
      <c r="L46" s="1" t="s">
        <v>310</v>
      </c>
      <c r="O46" s="1" t="s">
        <v>522</v>
      </c>
      <c r="P46" s="1" t="s">
        <v>313</v>
      </c>
      <c r="Q46" s="1" t="s">
        <v>523</v>
      </c>
      <c r="R46" s="12" t="s">
        <v>307</v>
      </c>
      <c r="X46" s="1" t="s">
        <v>314</v>
      </c>
      <c r="AB46" s="1" t="s">
        <v>315</v>
      </c>
      <c r="AC46" s="1" t="s">
        <v>514</v>
      </c>
      <c r="AD46" s="1" t="s">
        <v>303</v>
      </c>
    </row>
    <row r="47" customFormat="false" ht="15" hidden="false" customHeight="true" outlineLevel="0" collapsed="false">
      <c r="A47" s="1" t="s">
        <v>524</v>
      </c>
      <c r="B47" s="1" t="s">
        <v>525</v>
      </c>
      <c r="C47" s="1" t="s">
        <v>23</v>
      </c>
      <c r="D47" s="12" t="s">
        <v>303</v>
      </c>
      <c r="E47" s="1" t="s">
        <v>304</v>
      </c>
      <c r="F47" s="1" t="s">
        <v>490</v>
      </c>
      <c r="G47" s="1" t="s">
        <v>306</v>
      </c>
      <c r="H47" s="12" t="s">
        <v>303</v>
      </c>
      <c r="I47" s="1" t="s">
        <v>307</v>
      </c>
      <c r="J47" s="1" t="s">
        <v>526</v>
      </c>
      <c r="K47" s="12" t="s">
        <v>415</v>
      </c>
      <c r="L47" s="1" t="s">
        <v>310</v>
      </c>
      <c r="M47" s="1" t="s">
        <v>527</v>
      </c>
      <c r="N47" s="1" t="s">
        <v>528</v>
      </c>
      <c r="O47" s="1" t="s">
        <v>529</v>
      </c>
      <c r="P47" s="1" t="s">
        <v>313</v>
      </c>
      <c r="Q47" s="1" t="s">
        <v>530</v>
      </c>
      <c r="R47" s="12" t="s">
        <v>307</v>
      </c>
      <c r="X47" s="1" t="s">
        <v>314</v>
      </c>
      <c r="AB47" s="1" t="s">
        <v>315</v>
      </c>
      <c r="AC47" s="1" t="s">
        <v>531</v>
      </c>
      <c r="AD47" s="1" t="s">
        <v>303</v>
      </c>
    </row>
    <row r="48" customFormat="false" ht="15" hidden="false" customHeight="true" outlineLevel="0" collapsed="false">
      <c r="A48" s="1" t="s">
        <v>532</v>
      </c>
      <c r="B48" s="1" t="s">
        <v>533</v>
      </c>
      <c r="C48" s="1" t="s">
        <v>23</v>
      </c>
      <c r="D48" s="12" t="s">
        <v>303</v>
      </c>
      <c r="E48" s="1" t="s">
        <v>304</v>
      </c>
      <c r="F48" s="1" t="s">
        <v>534</v>
      </c>
      <c r="G48" s="1" t="s">
        <v>306</v>
      </c>
      <c r="H48" s="12" t="s">
        <v>303</v>
      </c>
      <c r="I48" s="1" t="s">
        <v>307</v>
      </c>
      <c r="J48" s="1" t="s">
        <v>535</v>
      </c>
      <c r="K48" s="12"/>
      <c r="L48" s="1" t="s">
        <v>536</v>
      </c>
      <c r="M48" s="1" t="s">
        <v>537</v>
      </c>
      <c r="N48" s="1" t="s">
        <v>344</v>
      </c>
      <c r="O48" s="1" t="s">
        <v>538</v>
      </c>
      <c r="P48" s="1" t="s">
        <v>313</v>
      </c>
      <c r="Q48" s="1" t="s">
        <v>539</v>
      </c>
      <c r="R48" s="12" t="s">
        <v>307</v>
      </c>
      <c r="X48" s="1" t="s">
        <v>314</v>
      </c>
      <c r="AB48" s="1" t="s">
        <v>315</v>
      </c>
      <c r="AC48" s="1" t="s">
        <v>540</v>
      </c>
      <c r="AD48" s="1" t="s">
        <v>303</v>
      </c>
    </row>
    <row r="49" customFormat="false" ht="15" hidden="false" customHeight="true" outlineLevel="0" collapsed="false">
      <c r="A49" s="1" t="s">
        <v>541</v>
      </c>
      <c r="B49" s="1" t="s">
        <v>542</v>
      </c>
      <c r="C49" s="1" t="s">
        <v>23</v>
      </c>
      <c r="D49" s="12" t="s">
        <v>303</v>
      </c>
      <c r="E49" s="1" t="s">
        <v>304</v>
      </c>
      <c r="F49" s="1" t="s">
        <v>490</v>
      </c>
      <c r="G49" s="1" t="s">
        <v>306</v>
      </c>
      <c r="H49" s="12" t="s">
        <v>303</v>
      </c>
      <c r="I49" s="1" t="s">
        <v>307</v>
      </c>
      <c r="J49" s="1" t="s">
        <v>543</v>
      </c>
      <c r="K49" s="12" t="s">
        <v>544</v>
      </c>
      <c r="L49" s="1" t="s">
        <v>310</v>
      </c>
      <c r="O49" s="1" t="s">
        <v>545</v>
      </c>
      <c r="P49" s="1" t="s">
        <v>313</v>
      </c>
      <c r="Q49" s="1" t="s">
        <v>546</v>
      </c>
      <c r="R49" s="12" t="s">
        <v>307</v>
      </c>
      <c r="X49" s="1" t="s">
        <v>314</v>
      </c>
      <c r="AB49" s="1" t="s">
        <v>315</v>
      </c>
      <c r="AC49" s="1" t="s">
        <v>547</v>
      </c>
      <c r="AD49" s="1" t="s">
        <v>303</v>
      </c>
    </row>
    <row r="50" customFormat="false" ht="15" hidden="false" customHeight="true" outlineLevel="0" collapsed="false">
      <c r="A50" s="1" t="s">
        <v>548</v>
      </c>
      <c r="B50" s="1" t="s">
        <v>549</v>
      </c>
      <c r="C50" s="1" t="s">
        <v>23</v>
      </c>
      <c r="D50" s="12" t="s">
        <v>303</v>
      </c>
      <c r="E50" s="1" t="s">
        <v>304</v>
      </c>
      <c r="F50" s="1" t="s">
        <v>490</v>
      </c>
      <c r="G50" s="1" t="s">
        <v>306</v>
      </c>
      <c r="H50" s="12" t="s">
        <v>303</v>
      </c>
      <c r="I50" s="1" t="s">
        <v>307</v>
      </c>
      <c r="J50" s="1" t="s">
        <v>550</v>
      </c>
      <c r="K50" s="12"/>
      <c r="L50" s="1" t="s">
        <v>310</v>
      </c>
      <c r="M50" s="1" t="s">
        <v>551</v>
      </c>
      <c r="N50" s="1" t="s">
        <v>552</v>
      </c>
      <c r="O50" s="1" t="s">
        <v>553</v>
      </c>
      <c r="P50" s="1" t="s">
        <v>313</v>
      </c>
      <c r="Q50" s="1" t="s">
        <v>554</v>
      </c>
      <c r="R50" s="12" t="s">
        <v>307</v>
      </c>
      <c r="X50" s="1" t="s">
        <v>314</v>
      </c>
      <c r="AB50" s="1" t="s">
        <v>315</v>
      </c>
      <c r="AC50" s="1" t="s">
        <v>555</v>
      </c>
      <c r="AD50" s="1" t="s">
        <v>303</v>
      </c>
    </row>
    <row r="51" customFormat="false" ht="15" hidden="false" customHeight="true" outlineLevel="0" collapsed="false">
      <c r="A51" s="1" t="s">
        <v>556</v>
      </c>
      <c r="B51" s="1" t="s">
        <v>557</v>
      </c>
      <c r="C51" s="1" t="s">
        <v>23</v>
      </c>
      <c r="D51" s="12" t="s">
        <v>303</v>
      </c>
      <c r="E51" s="1" t="s">
        <v>304</v>
      </c>
      <c r="F51" s="1" t="s">
        <v>490</v>
      </c>
      <c r="G51" s="1" t="s">
        <v>306</v>
      </c>
      <c r="H51" s="12" t="s">
        <v>303</v>
      </c>
      <c r="I51" s="1" t="s">
        <v>307</v>
      </c>
      <c r="J51" s="1" t="s">
        <v>558</v>
      </c>
      <c r="K51" s="12" t="s">
        <v>559</v>
      </c>
      <c r="L51" s="1" t="s">
        <v>310</v>
      </c>
      <c r="M51" s="1" t="s">
        <v>560</v>
      </c>
      <c r="N51" s="1" t="s">
        <v>344</v>
      </c>
      <c r="P51" s="1" t="s">
        <v>313</v>
      </c>
      <c r="Q51" s="1" t="s">
        <v>561</v>
      </c>
      <c r="R51" s="12" t="s">
        <v>307</v>
      </c>
      <c r="X51" s="1" t="s">
        <v>314</v>
      </c>
      <c r="AB51" s="1" t="s">
        <v>315</v>
      </c>
      <c r="AC51" s="1" t="s">
        <v>562</v>
      </c>
      <c r="AD51" s="1" t="s">
        <v>303</v>
      </c>
    </row>
    <row r="52" customFormat="false" ht="15" hidden="false" customHeight="true" outlineLevel="0" collapsed="false">
      <c r="A52" s="1" t="s">
        <v>563</v>
      </c>
      <c r="B52" s="1" t="s">
        <v>564</v>
      </c>
      <c r="C52" s="1" t="s">
        <v>23</v>
      </c>
      <c r="D52" s="12" t="s">
        <v>303</v>
      </c>
      <c r="E52" s="1" t="s">
        <v>304</v>
      </c>
      <c r="F52" s="1" t="s">
        <v>490</v>
      </c>
      <c r="G52" s="1" t="s">
        <v>306</v>
      </c>
      <c r="H52" s="12" t="s">
        <v>303</v>
      </c>
      <c r="I52" s="1" t="s">
        <v>307</v>
      </c>
      <c r="J52" s="1" t="s">
        <v>565</v>
      </c>
      <c r="K52" s="12" t="s">
        <v>566</v>
      </c>
      <c r="L52" s="1" t="s">
        <v>310</v>
      </c>
      <c r="P52" s="1" t="s">
        <v>313</v>
      </c>
      <c r="Q52" s="1" t="s">
        <v>567</v>
      </c>
      <c r="R52" s="12" t="s">
        <v>307</v>
      </c>
      <c r="X52" s="1" t="s">
        <v>314</v>
      </c>
      <c r="AB52" s="1" t="s">
        <v>315</v>
      </c>
      <c r="AC52" s="1" t="s">
        <v>568</v>
      </c>
      <c r="AD52" s="1" t="s">
        <v>303</v>
      </c>
    </row>
    <row r="53" customFormat="false" ht="15" hidden="false" customHeight="true" outlineLevel="0" collapsed="false">
      <c r="A53" s="1" t="s">
        <v>569</v>
      </c>
      <c r="B53" s="1" t="s">
        <v>570</v>
      </c>
      <c r="C53" s="1" t="s">
        <v>23</v>
      </c>
      <c r="D53" s="12" t="s">
        <v>303</v>
      </c>
      <c r="E53" s="1" t="s">
        <v>304</v>
      </c>
      <c r="F53" s="1" t="s">
        <v>534</v>
      </c>
      <c r="G53" s="1" t="s">
        <v>306</v>
      </c>
      <c r="H53" s="12" t="s">
        <v>303</v>
      </c>
      <c r="I53" s="1" t="s">
        <v>307</v>
      </c>
      <c r="J53" s="1" t="s">
        <v>571</v>
      </c>
      <c r="K53" s="12" t="s">
        <v>572</v>
      </c>
      <c r="L53" s="1" t="s">
        <v>310</v>
      </c>
      <c r="M53" s="1" t="s">
        <v>573</v>
      </c>
      <c r="N53" s="1" t="s">
        <v>344</v>
      </c>
      <c r="P53" s="1" t="s">
        <v>313</v>
      </c>
      <c r="Q53" s="1" t="s">
        <v>574</v>
      </c>
      <c r="R53" s="12" t="s">
        <v>307</v>
      </c>
      <c r="X53" s="1" t="s">
        <v>314</v>
      </c>
      <c r="AB53" s="1" t="s">
        <v>315</v>
      </c>
      <c r="AC53" s="1" t="s">
        <v>531</v>
      </c>
      <c r="AD53" s="1" t="s">
        <v>303</v>
      </c>
    </row>
    <row r="54" customFormat="false" ht="15" hidden="false" customHeight="true" outlineLevel="0" collapsed="false">
      <c r="A54" s="1" t="s">
        <v>575</v>
      </c>
      <c r="B54" s="1" t="s">
        <v>576</v>
      </c>
      <c r="C54" s="1" t="s">
        <v>23</v>
      </c>
      <c r="D54" s="12" t="s">
        <v>303</v>
      </c>
      <c r="E54" s="1" t="s">
        <v>304</v>
      </c>
      <c r="F54" s="1" t="s">
        <v>534</v>
      </c>
      <c r="G54" s="1" t="s">
        <v>306</v>
      </c>
      <c r="H54" s="12" t="s">
        <v>303</v>
      </c>
      <c r="I54" s="1" t="s">
        <v>307</v>
      </c>
      <c r="J54" s="1" t="s">
        <v>577</v>
      </c>
      <c r="K54" s="12" t="s">
        <v>578</v>
      </c>
      <c r="L54" s="1" t="s">
        <v>310</v>
      </c>
      <c r="M54" s="1" t="s">
        <v>579</v>
      </c>
      <c r="N54" s="1" t="s">
        <v>344</v>
      </c>
      <c r="O54" s="1" t="s">
        <v>580</v>
      </c>
      <c r="P54" s="1" t="s">
        <v>313</v>
      </c>
      <c r="Q54" s="1" t="s">
        <v>581</v>
      </c>
      <c r="R54" s="12" t="s">
        <v>307</v>
      </c>
      <c r="X54" s="1" t="s">
        <v>314</v>
      </c>
      <c r="AB54" s="1" t="s">
        <v>315</v>
      </c>
      <c r="AC54" s="1" t="s">
        <v>582</v>
      </c>
      <c r="AD54" s="1" t="s">
        <v>303</v>
      </c>
    </row>
    <row r="55" customFormat="false" ht="15" hidden="false" customHeight="true" outlineLevel="0" collapsed="false">
      <c r="A55" s="1" t="s">
        <v>583</v>
      </c>
      <c r="B55" s="1" t="s">
        <v>584</v>
      </c>
      <c r="C55" s="1" t="s">
        <v>23</v>
      </c>
      <c r="D55" s="12" t="s">
        <v>303</v>
      </c>
      <c r="E55" s="1" t="s">
        <v>304</v>
      </c>
      <c r="F55" s="1" t="s">
        <v>490</v>
      </c>
      <c r="G55" s="1" t="s">
        <v>306</v>
      </c>
      <c r="H55" s="12" t="s">
        <v>303</v>
      </c>
      <c r="I55" s="1" t="s">
        <v>307</v>
      </c>
      <c r="J55" s="1" t="s">
        <v>585</v>
      </c>
      <c r="K55" s="12" t="s">
        <v>586</v>
      </c>
      <c r="L55" s="1" t="s">
        <v>310</v>
      </c>
      <c r="O55" s="1" t="s">
        <v>587</v>
      </c>
      <c r="P55" s="1" t="s">
        <v>313</v>
      </c>
      <c r="Q55" s="1" t="s">
        <v>588</v>
      </c>
      <c r="R55" s="12" t="s">
        <v>307</v>
      </c>
      <c r="X55" s="1" t="s">
        <v>383</v>
      </c>
      <c r="AB55" s="1" t="s">
        <v>383</v>
      </c>
      <c r="AC55" s="1" t="s">
        <v>589</v>
      </c>
      <c r="AD55" s="1" t="s">
        <v>303</v>
      </c>
    </row>
    <row r="56" customFormat="false" ht="15" hidden="false" customHeight="true" outlineLevel="0" collapsed="false">
      <c r="A56" s="1" t="s">
        <v>590</v>
      </c>
      <c r="B56" s="1" t="s">
        <v>591</v>
      </c>
      <c r="C56" s="1" t="s">
        <v>23</v>
      </c>
      <c r="D56" s="12" t="s">
        <v>303</v>
      </c>
      <c r="E56" s="1" t="s">
        <v>304</v>
      </c>
      <c r="F56" s="1" t="s">
        <v>490</v>
      </c>
      <c r="G56" s="1" t="s">
        <v>306</v>
      </c>
      <c r="H56" s="12" t="s">
        <v>303</v>
      </c>
      <c r="I56" s="1" t="s">
        <v>307</v>
      </c>
      <c r="J56" s="1" t="s">
        <v>592</v>
      </c>
      <c r="K56" s="12" t="s">
        <v>593</v>
      </c>
      <c r="L56" s="1" t="s">
        <v>594</v>
      </c>
      <c r="M56" s="1" t="s">
        <v>595</v>
      </c>
      <c r="N56" s="1" t="s">
        <v>596</v>
      </c>
      <c r="P56" s="1" t="s">
        <v>597</v>
      </c>
      <c r="Q56" s="1" t="s">
        <v>598</v>
      </c>
      <c r="R56" s="12" t="s">
        <v>307</v>
      </c>
      <c r="V56" s="1" t="s">
        <v>307</v>
      </c>
      <c r="W56" s="1" t="s">
        <v>599</v>
      </c>
      <c r="X56" s="1" t="s">
        <v>383</v>
      </c>
      <c r="AB56" s="1" t="s">
        <v>383</v>
      </c>
      <c r="AC56" s="1" t="s">
        <v>600</v>
      </c>
      <c r="AD56" s="1" t="s">
        <v>303</v>
      </c>
    </row>
    <row r="57" customFormat="false" ht="15" hidden="false" customHeight="true" outlineLevel="0" collapsed="false">
      <c r="A57" s="1" t="s">
        <v>601</v>
      </c>
      <c r="B57" s="1" t="s">
        <v>602</v>
      </c>
      <c r="C57" s="1" t="s">
        <v>23</v>
      </c>
      <c r="D57" s="12" t="s">
        <v>303</v>
      </c>
      <c r="E57" s="1" t="s">
        <v>304</v>
      </c>
      <c r="F57" s="1" t="s">
        <v>490</v>
      </c>
      <c r="G57" s="1" t="s">
        <v>306</v>
      </c>
      <c r="H57" s="12" t="s">
        <v>303</v>
      </c>
      <c r="I57" s="1" t="s">
        <v>307</v>
      </c>
      <c r="J57" s="1" t="s">
        <v>603</v>
      </c>
      <c r="K57" s="12" t="s">
        <v>604</v>
      </c>
      <c r="L57" s="1" t="s">
        <v>605</v>
      </c>
      <c r="M57" s="1" t="s">
        <v>606</v>
      </c>
      <c r="N57" s="1" t="s">
        <v>607</v>
      </c>
      <c r="P57" s="1" t="s">
        <v>313</v>
      </c>
      <c r="Q57" s="1" t="s">
        <v>608</v>
      </c>
      <c r="R57" s="12" t="s">
        <v>307</v>
      </c>
      <c r="X57" s="1" t="s">
        <v>383</v>
      </c>
      <c r="AB57" s="1" t="s">
        <v>383</v>
      </c>
      <c r="AC57" s="1" t="s">
        <v>609</v>
      </c>
      <c r="AD57" s="1" t="s">
        <v>303</v>
      </c>
    </row>
    <row r="58" customFormat="false" ht="15" hidden="false" customHeight="true" outlineLevel="0" collapsed="false">
      <c r="A58" s="1" t="s">
        <v>610</v>
      </c>
      <c r="B58" s="1" t="s">
        <v>611</v>
      </c>
      <c r="C58" s="1" t="s">
        <v>23</v>
      </c>
      <c r="D58" s="12" t="s">
        <v>303</v>
      </c>
      <c r="E58" s="1" t="s">
        <v>304</v>
      </c>
      <c r="F58" s="1" t="s">
        <v>490</v>
      </c>
      <c r="G58" s="1" t="s">
        <v>306</v>
      </c>
      <c r="H58" s="12" t="s">
        <v>303</v>
      </c>
      <c r="I58" s="1" t="s">
        <v>307</v>
      </c>
      <c r="J58" s="1" t="s">
        <v>612</v>
      </c>
      <c r="K58" s="12"/>
      <c r="L58" s="1" t="s">
        <v>613</v>
      </c>
      <c r="P58" s="1" t="s">
        <v>597</v>
      </c>
      <c r="Q58" s="1" t="s">
        <v>614</v>
      </c>
      <c r="R58" s="12" t="s">
        <v>307</v>
      </c>
      <c r="V58" s="1" t="s">
        <v>307</v>
      </c>
      <c r="W58" s="1" t="s">
        <v>615</v>
      </c>
      <c r="X58" s="1" t="s">
        <v>383</v>
      </c>
      <c r="AB58" s="1" t="s">
        <v>383</v>
      </c>
      <c r="AC58" s="1" t="s">
        <v>616</v>
      </c>
      <c r="AD58" s="1" t="s">
        <v>303</v>
      </c>
    </row>
    <row r="59" customFormat="false" ht="15" hidden="false" customHeight="true" outlineLevel="0" collapsed="false">
      <c r="A59" s="1" t="s">
        <v>617</v>
      </c>
      <c r="B59" s="1" t="s">
        <v>426</v>
      </c>
      <c r="C59" s="1" t="s">
        <v>23</v>
      </c>
      <c r="D59" s="12" t="s">
        <v>303</v>
      </c>
      <c r="E59" s="1" t="s">
        <v>304</v>
      </c>
      <c r="F59" s="1" t="s">
        <v>490</v>
      </c>
      <c r="G59" s="1" t="s">
        <v>306</v>
      </c>
      <c r="H59" s="12" t="s">
        <v>303</v>
      </c>
      <c r="I59" s="1" t="s">
        <v>307</v>
      </c>
      <c r="J59" s="1" t="s">
        <v>618</v>
      </c>
      <c r="K59" s="12"/>
      <c r="L59" s="1" t="s">
        <v>619</v>
      </c>
      <c r="P59" s="1" t="s">
        <v>313</v>
      </c>
      <c r="Q59" s="1" t="s">
        <v>620</v>
      </c>
      <c r="R59" s="12" t="s">
        <v>307</v>
      </c>
      <c r="V59" s="1" t="s">
        <v>307</v>
      </c>
      <c r="W59" s="1" t="s">
        <v>621</v>
      </c>
      <c r="X59" s="1" t="s">
        <v>383</v>
      </c>
      <c r="AB59" s="1" t="s">
        <v>383</v>
      </c>
      <c r="AC59" s="1" t="s">
        <v>622</v>
      </c>
      <c r="AD59" s="1" t="s">
        <v>303</v>
      </c>
    </row>
    <row r="60" customFormat="false" ht="15" hidden="false" customHeight="true" outlineLevel="0" collapsed="false">
      <c r="A60" s="1" t="s">
        <v>623</v>
      </c>
      <c r="B60" s="1" t="s">
        <v>624</v>
      </c>
      <c r="C60" s="1" t="s">
        <v>23</v>
      </c>
      <c r="D60" s="12" t="s">
        <v>303</v>
      </c>
      <c r="E60" s="1" t="s">
        <v>304</v>
      </c>
      <c r="F60" s="1" t="s">
        <v>490</v>
      </c>
      <c r="G60" s="1" t="s">
        <v>306</v>
      </c>
      <c r="H60" s="12" t="s">
        <v>303</v>
      </c>
      <c r="I60" s="1" t="s">
        <v>307</v>
      </c>
      <c r="J60" s="1" t="s">
        <v>625</v>
      </c>
      <c r="K60" s="12"/>
      <c r="L60" s="1" t="s">
        <v>626</v>
      </c>
      <c r="M60" s="1" t="s">
        <v>627</v>
      </c>
      <c r="N60" s="1" t="s">
        <v>628</v>
      </c>
      <c r="O60" s="1" t="s">
        <v>629</v>
      </c>
      <c r="P60" s="1" t="s">
        <v>313</v>
      </c>
      <c r="Q60" s="1" t="s">
        <v>546</v>
      </c>
      <c r="R60" s="12" t="s">
        <v>307</v>
      </c>
      <c r="X60" s="1" t="s">
        <v>383</v>
      </c>
      <c r="AB60" s="1" t="s">
        <v>383</v>
      </c>
      <c r="AC60" s="1" t="s">
        <v>630</v>
      </c>
      <c r="AD60" s="1" t="s">
        <v>303</v>
      </c>
    </row>
    <row r="61" customFormat="false" ht="15" hidden="false" customHeight="true" outlineLevel="0" collapsed="false">
      <c r="A61" s="1" t="s">
        <v>631</v>
      </c>
      <c r="B61" s="1" t="s">
        <v>632</v>
      </c>
      <c r="C61" s="1" t="s">
        <v>23</v>
      </c>
      <c r="D61" s="12" t="s">
        <v>303</v>
      </c>
      <c r="E61" s="1" t="s">
        <v>304</v>
      </c>
      <c r="F61" s="1" t="s">
        <v>534</v>
      </c>
      <c r="G61" s="1" t="s">
        <v>306</v>
      </c>
      <c r="H61" s="12" t="s">
        <v>303</v>
      </c>
      <c r="I61" s="1" t="s">
        <v>307</v>
      </c>
      <c r="J61" s="1" t="s">
        <v>633</v>
      </c>
      <c r="K61" s="12" t="s">
        <v>634</v>
      </c>
      <c r="L61" s="1" t="s">
        <v>635</v>
      </c>
      <c r="M61" s="1" t="s">
        <v>636</v>
      </c>
      <c r="N61" s="1" t="s">
        <v>344</v>
      </c>
      <c r="O61" s="1" t="s">
        <v>637</v>
      </c>
      <c r="P61" s="1" t="s">
        <v>638</v>
      </c>
      <c r="Q61" s="1" t="s">
        <v>639</v>
      </c>
      <c r="R61" s="12" t="s">
        <v>307</v>
      </c>
      <c r="X61" s="1" t="s">
        <v>383</v>
      </c>
      <c r="AB61" s="1" t="s">
        <v>383</v>
      </c>
      <c r="AC61" s="1" t="s">
        <v>640</v>
      </c>
      <c r="AD61" s="1" t="s">
        <v>303</v>
      </c>
    </row>
    <row r="62" customFormat="false" ht="15" hidden="false" customHeight="true" outlineLevel="0" collapsed="false">
      <c r="A62" s="1" t="s">
        <v>641</v>
      </c>
      <c r="B62" s="1" t="s">
        <v>642</v>
      </c>
      <c r="C62" s="1" t="s">
        <v>23</v>
      </c>
      <c r="D62" s="12" t="s">
        <v>303</v>
      </c>
      <c r="E62" s="1" t="s">
        <v>304</v>
      </c>
      <c r="F62" s="1" t="s">
        <v>534</v>
      </c>
      <c r="G62" s="1" t="s">
        <v>306</v>
      </c>
      <c r="H62" s="12" t="s">
        <v>303</v>
      </c>
      <c r="I62" s="1" t="s">
        <v>307</v>
      </c>
      <c r="J62" s="1" t="s">
        <v>643</v>
      </c>
      <c r="K62" s="12" t="s">
        <v>544</v>
      </c>
      <c r="L62" s="1" t="s">
        <v>310</v>
      </c>
      <c r="M62" s="1" t="s">
        <v>644</v>
      </c>
      <c r="N62" s="1" t="s">
        <v>344</v>
      </c>
      <c r="Q62" s="1" t="s">
        <v>608</v>
      </c>
      <c r="R62" s="12" t="s">
        <v>307</v>
      </c>
      <c r="X62" s="1" t="s">
        <v>383</v>
      </c>
      <c r="AB62" s="1" t="s">
        <v>383</v>
      </c>
      <c r="AC62" s="1" t="s">
        <v>645</v>
      </c>
      <c r="AD62" s="1" t="s">
        <v>303</v>
      </c>
    </row>
    <row r="63" customFormat="false" ht="15" hidden="false" customHeight="true" outlineLevel="0" collapsed="false">
      <c r="A63" s="1" t="s">
        <v>646</v>
      </c>
      <c r="B63" s="1" t="s">
        <v>647</v>
      </c>
      <c r="C63" s="1" t="s">
        <v>23</v>
      </c>
      <c r="D63" s="12" t="s">
        <v>303</v>
      </c>
      <c r="E63" s="1" t="s">
        <v>304</v>
      </c>
      <c r="F63" s="1" t="s">
        <v>534</v>
      </c>
      <c r="G63" s="1" t="s">
        <v>306</v>
      </c>
      <c r="H63" s="12" t="s">
        <v>303</v>
      </c>
      <c r="I63" s="1" t="s">
        <v>307</v>
      </c>
      <c r="J63" s="1" t="s">
        <v>648</v>
      </c>
      <c r="K63" s="12" t="s">
        <v>477</v>
      </c>
      <c r="L63" s="1" t="s">
        <v>310</v>
      </c>
      <c r="M63" s="1" t="s">
        <v>649</v>
      </c>
      <c r="N63" s="1" t="s">
        <v>344</v>
      </c>
      <c r="Q63" s="1" t="s">
        <v>608</v>
      </c>
      <c r="R63" s="12" t="s">
        <v>307</v>
      </c>
      <c r="X63" s="1" t="s">
        <v>383</v>
      </c>
      <c r="AB63" s="1" t="s">
        <v>383</v>
      </c>
      <c r="AC63" s="1" t="s">
        <v>650</v>
      </c>
      <c r="AD63" s="1" t="s">
        <v>303</v>
      </c>
    </row>
    <row r="64" customFormat="false" ht="15" hidden="false" customHeight="true" outlineLevel="0" collapsed="false">
      <c r="A64" s="1" t="s">
        <v>651</v>
      </c>
      <c r="B64" s="1" t="s">
        <v>652</v>
      </c>
      <c r="C64" s="1" t="s">
        <v>23</v>
      </c>
      <c r="D64" s="12" t="s">
        <v>303</v>
      </c>
      <c r="E64" s="1" t="s">
        <v>304</v>
      </c>
      <c r="F64" s="1" t="s">
        <v>534</v>
      </c>
      <c r="G64" s="1" t="s">
        <v>306</v>
      </c>
      <c r="H64" s="12" t="s">
        <v>303</v>
      </c>
      <c r="I64" s="1" t="s">
        <v>307</v>
      </c>
      <c r="J64" s="1" t="s">
        <v>653</v>
      </c>
      <c r="K64" s="12" t="s">
        <v>477</v>
      </c>
      <c r="L64" s="1" t="s">
        <v>310</v>
      </c>
      <c r="M64" s="1" t="s">
        <v>654</v>
      </c>
      <c r="N64" s="1" t="s">
        <v>344</v>
      </c>
      <c r="Q64" s="1" t="s">
        <v>608</v>
      </c>
      <c r="R64" s="12" t="s">
        <v>307</v>
      </c>
      <c r="X64" s="1" t="s">
        <v>383</v>
      </c>
      <c r="AB64" s="1" t="s">
        <v>383</v>
      </c>
      <c r="AC64" s="1" t="s">
        <v>655</v>
      </c>
      <c r="AD64" s="1" t="s">
        <v>303</v>
      </c>
    </row>
    <row r="65" customFormat="false" ht="15" hidden="false" customHeight="true" outlineLevel="0" collapsed="false">
      <c r="A65" s="1" t="s">
        <v>656</v>
      </c>
      <c r="B65" s="1" t="s">
        <v>657</v>
      </c>
      <c r="C65" s="1" t="s">
        <v>23</v>
      </c>
      <c r="D65" s="12" t="s">
        <v>303</v>
      </c>
      <c r="E65" s="1" t="s">
        <v>304</v>
      </c>
      <c r="F65" s="1" t="s">
        <v>534</v>
      </c>
      <c r="G65" s="1" t="s">
        <v>306</v>
      </c>
      <c r="H65" s="12" t="s">
        <v>303</v>
      </c>
      <c r="I65" s="1" t="s">
        <v>307</v>
      </c>
      <c r="J65" s="1" t="s">
        <v>658</v>
      </c>
      <c r="K65" s="12" t="s">
        <v>659</v>
      </c>
      <c r="L65" s="1" t="s">
        <v>660</v>
      </c>
      <c r="M65" s="1" t="s">
        <v>661</v>
      </c>
      <c r="N65" s="1" t="s">
        <v>662</v>
      </c>
      <c r="P65" s="1" t="s">
        <v>313</v>
      </c>
      <c r="Q65" s="1" t="s">
        <v>663</v>
      </c>
      <c r="R65" s="12" t="s">
        <v>307</v>
      </c>
      <c r="V65" s="1" t="s">
        <v>307</v>
      </c>
      <c r="W65" s="1" t="s">
        <v>664</v>
      </c>
      <c r="X65" s="1" t="s">
        <v>383</v>
      </c>
      <c r="AB65" s="1" t="s">
        <v>383</v>
      </c>
      <c r="AC65" s="1" t="s">
        <v>665</v>
      </c>
      <c r="AD65" s="1" t="s">
        <v>303</v>
      </c>
    </row>
    <row r="66" customFormat="false" ht="15" hidden="false" customHeight="true" outlineLevel="0" collapsed="false">
      <c r="A66" s="1" t="s">
        <v>666</v>
      </c>
      <c r="B66" s="1" t="s">
        <v>667</v>
      </c>
      <c r="C66" s="1" t="s">
        <v>23</v>
      </c>
      <c r="D66" s="12" t="s">
        <v>303</v>
      </c>
      <c r="E66" s="1" t="s">
        <v>304</v>
      </c>
      <c r="F66" s="1" t="s">
        <v>490</v>
      </c>
      <c r="G66" s="1" t="s">
        <v>306</v>
      </c>
      <c r="H66" s="12" t="s">
        <v>303</v>
      </c>
      <c r="I66" s="1" t="s">
        <v>307</v>
      </c>
      <c r="J66" s="1" t="s">
        <v>668</v>
      </c>
      <c r="K66" s="12"/>
      <c r="L66" s="1" t="s">
        <v>310</v>
      </c>
      <c r="Q66" s="1" t="s">
        <v>669</v>
      </c>
      <c r="R66" s="12" t="s">
        <v>307</v>
      </c>
      <c r="X66" s="1" t="s">
        <v>383</v>
      </c>
      <c r="AB66" s="1" t="s">
        <v>383</v>
      </c>
      <c r="AC66" s="1" t="s">
        <v>670</v>
      </c>
      <c r="AD66" s="1" t="s">
        <v>303</v>
      </c>
    </row>
    <row r="67" customFormat="false" ht="15" hidden="false" customHeight="true" outlineLevel="0" collapsed="false">
      <c r="A67" s="1" t="s">
        <v>671</v>
      </c>
      <c r="B67" s="1" t="s">
        <v>672</v>
      </c>
      <c r="C67" s="1" t="s">
        <v>23</v>
      </c>
      <c r="D67" s="12" t="s">
        <v>303</v>
      </c>
      <c r="E67" s="1" t="s">
        <v>304</v>
      </c>
      <c r="F67" s="1" t="s">
        <v>490</v>
      </c>
      <c r="G67" s="1" t="s">
        <v>306</v>
      </c>
      <c r="H67" s="12" t="s">
        <v>303</v>
      </c>
      <c r="I67" s="1" t="s">
        <v>673</v>
      </c>
      <c r="J67" s="1" t="s">
        <v>674</v>
      </c>
      <c r="K67" s="12"/>
      <c r="R67" s="12"/>
      <c r="X67" s="1" t="s">
        <v>383</v>
      </c>
      <c r="AB67" s="1" t="s">
        <v>383</v>
      </c>
      <c r="AC67" s="1" t="s">
        <v>675</v>
      </c>
      <c r="AD67" s="1" t="s">
        <v>303</v>
      </c>
    </row>
    <row r="68" customFormat="false" ht="15" hidden="false" customHeight="true" outlineLevel="0" collapsed="false">
      <c r="A68" s="1" t="s">
        <v>676</v>
      </c>
      <c r="B68" s="1" t="s">
        <v>677</v>
      </c>
      <c r="C68" s="1" t="s">
        <v>23</v>
      </c>
      <c r="D68" s="12" t="s">
        <v>303</v>
      </c>
      <c r="E68" s="1" t="s">
        <v>304</v>
      </c>
      <c r="F68" s="1" t="s">
        <v>490</v>
      </c>
      <c r="G68" s="1" t="s">
        <v>306</v>
      </c>
      <c r="H68" s="12" t="s">
        <v>303</v>
      </c>
      <c r="I68" s="1" t="s">
        <v>307</v>
      </c>
      <c r="J68" s="1" t="s">
        <v>678</v>
      </c>
      <c r="K68" s="12"/>
      <c r="R68" s="12" t="s">
        <v>307</v>
      </c>
      <c r="X68" s="1" t="s">
        <v>428</v>
      </c>
      <c r="Y68" s="1" t="s">
        <v>679</v>
      </c>
      <c r="AB68" s="1" t="s">
        <v>430</v>
      </c>
      <c r="AD68" s="1" t="s">
        <v>303</v>
      </c>
    </row>
    <row r="69" customFormat="false" ht="15" hidden="false" customHeight="true" outlineLevel="0" collapsed="false">
      <c r="A69" s="1" t="s">
        <v>680</v>
      </c>
      <c r="B69" s="1" t="s">
        <v>681</v>
      </c>
      <c r="C69" s="1" t="s">
        <v>23</v>
      </c>
      <c r="D69" s="12" t="s">
        <v>303</v>
      </c>
      <c r="E69" s="1" t="s">
        <v>304</v>
      </c>
      <c r="F69" s="1" t="s">
        <v>534</v>
      </c>
      <c r="G69" s="1" t="s">
        <v>306</v>
      </c>
      <c r="H69" s="12" t="s">
        <v>303</v>
      </c>
      <c r="I69" s="1" t="s">
        <v>307</v>
      </c>
      <c r="J69" s="1" t="s">
        <v>682</v>
      </c>
      <c r="K69" s="12" t="s">
        <v>572</v>
      </c>
      <c r="M69" s="1" t="s">
        <v>683</v>
      </c>
      <c r="N69" s="1" t="s">
        <v>344</v>
      </c>
      <c r="R69" s="12" t="s">
        <v>307</v>
      </c>
      <c r="X69" s="1" t="s">
        <v>428</v>
      </c>
      <c r="Y69" s="1" t="s">
        <v>684</v>
      </c>
      <c r="AB69" s="1" t="s">
        <v>430</v>
      </c>
      <c r="AC69" s="1" t="s">
        <v>685</v>
      </c>
      <c r="AD69" s="1" t="s">
        <v>303</v>
      </c>
    </row>
    <row r="70" customFormat="false" ht="15" hidden="false" customHeight="true" outlineLevel="0" collapsed="false">
      <c r="A70" s="1" t="s">
        <v>686</v>
      </c>
      <c r="B70" s="1" t="s">
        <v>687</v>
      </c>
      <c r="C70" s="1" t="s">
        <v>23</v>
      </c>
      <c r="D70" s="12" t="s">
        <v>303</v>
      </c>
      <c r="E70" s="1" t="s">
        <v>304</v>
      </c>
      <c r="F70" s="1" t="s">
        <v>534</v>
      </c>
      <c r="G70" s="1" t="s">
        <v>306</v>
      </c>
      <c r="H70" s="12" t="s">
        <v>303</v>
      </c>
      <c r="I70" s="1" t="s">
        <v>307</v>
      </c>
      <c r="J70" s="1" t="s">
        <v>688</v>
      </c>
      <c r="K70" s="12" t="s">
        <v>566</v>
      </c>
      <c r="M70" s="1" t="s">
        <v>689</v>
      </c>
      <c r="N70" s="1" t="s">
        <v>344</v>
      </c>
      <c r="R70" s="12" t="s">
        <v>307</v>
      </c>
      <c r="X70" s="1" t="s">
        <v>428</v>
      </c>
      <c r="Y70" s="1" t="s">
        <v>690</v>
      </c>
      <c r="AB70" s="1" t="s">
        <v>430</v>
      </c>
      <c r="AC70" s="1" t="s">
        <v>691</v>
      </c>
      <c r="AD70" s="1" t="s">
        <v>303</v>
      </c>
    </row>
    <row r="71" customFormat="false" ht="15" hidden="false" customHeight="true" outlineLevel="0" collapsed="false">
      <c r="A71" s="1" t="s">
        <v>692</v>
      </c>
      <c r="B71" s="1" t="s">
        <v>693</v>
      </c>
      <c r="C71" s="1" t="s">
        <v>23</v>
      </c>
      <c r="D71" s="12" t="s">
        <v>303</v>
      </c>
      <c r="E71" s="1" t="s">
        <v>304</v>
      </c>
      <c r="F71" s="1" t="s">
        <v>534</v>
      </c>
      <c r="G71" s="1" t="s">
        <v>306</v>
      </c>
      <c r="H71" s="12" t="s">
        <v>303</v>
      </c>
      <c r="I71" s="1" t="s">
        <v>307</v>
      </c>
      <c r="J71" s="1" t="s">
        <v>694</v>
      </c>
      <c r="K71" s="12"/>
      <c r="M71" s="1" t="s">
        <v>695</v>
      </c>
      <c r="N71" s="1" t="s">
        <v>344</v>
      </c>
      <c r="R71" s="12" t="s">
        <v>307</v>
      </c>
      <c r="X71" s="1" t="s">
        <v>428</v>
      </c>
      <c r="Y71" s="1" t="s">
        <v>696</v>
      </c>
      <c r="AB71" s="1" t="s">
        <v>430</v>
      </c>
      <c r="AC71" s="1" t="s">
        <v>697</v>
      </c>
      <c r="AD71" s="1" t="s">
        <v>303</v>
      </c>
    </row>
    <row r="72" customFormat="false" ht="15" hidden="false" customHeight="true" outlineLevel="0" collapsed="false">
      <c r="A72" s="1" t="s">
        <v>698</v>
      </c>
      <c r="B72" s="1" t="s">
        <v>699</v>
      </c>
      <c r="C72" s="1" t="s">
        <v>23</v>
      </c>
      <c r="D72" s="12" t="s">
        <v>303</v>
      </c>
      <c r="E72" s="1" t="s">
        <v>304</v>
      </c>
      <c r="F72" s="1" t="s">
        <v>490</v>
      </c>
      <c r="G72" s="1" t="s">
        <v>306</v>
      </c>
      <c r="H72" s="12" t="s">
        <v>303</v>
      </c>
      <c r="I72" s="1" t="s">
        <v>307</v>
      </c>
      <c r="J72" s="1" t="s">
        <v>700</v>
      </c>
      <c r="K72" s="12"/>
      <c r="R72" s="12" t="s">
        <v>307</v>
      </c>
      <c r="X72" s="1" t="s">
        <v>428</v>
      </c>
      <c r="Y72" s="1" t="s">
        <v>701</v>
      </c>
      <c r="AB72" s="1" t="s">
        <v>430</v>
      </c>
      <c r="AD72" s="1" t="s">
        <v>303</v>
      </c>
    </row>
    <row r="73" customFormat="false" ht="15" hidden="false" customHeight="true" outlineLevel="0" collapsed="false">
      <c r="A73" s="1" t="s">
        <v>702</v>
      </c>
      <c r="B73" s="1" t="s">
        <v>703</v>
      </c>
      <c r="C73" s="1" t="s">
        <v>23</v>
      </c>
      <c r="D73" s="12" t="s">
        <v>303</v>
      </c>
      <c r="E73" s="1" t="s">
        <v>304</v>
      </c>
      <c r="F73" s="1" t="s">
        <v>490</v>
      </c>
      <c r="G73" s="1" t="s">
        <v>306</v>
      </c>
      <c r="H73" s="12" t="s">
        <v>303</v>
      </c>
      <c r="I73" s="1" t="s">
        <v>704</v>
      </c>
      <c r="J73" s="1" t="s">
        <v>705</v>
      </c>
      <c r="K73" s="12"/>
      <c r="R73" s="12" t="s">
        <v>307</v>
      </c>
      <c r="X73" s="1" t="s">
        <v>428</v>
      </c>
      <c r="Y73" s="1" t="s">
        <v>706</v>
      </c>
      <c r="AB73" s="1" t="s">
        <v>430</v>
      </c>
      <c r="AD73" s="1" t="s">
        <v>303</v>
      </c>
    </row>
    <row r="74" customFormat="false" ht="15" hidden="false" customHeight="true" outlineLevel="0" collapsed="false">
      <c r="A74" s="1" t="s">
        <v>707</v>
      </c>
      <c r="B74" s="1" t="s">
        <v>708</v>
      </c>
      <c r="C74" s="1" t="s">
        <v>23</v>
      </c>
      <c r="D74" s="12" t="s">
        <v>303</v>
      </c>
      <c r="E74" s="1" t="s">
        <v>304</v>
      </c>
      <c r="F74" s="1" t="s">
        <v>490</v>
      </c>
      <c r="G74" s="1" t="s">
        <v>306</v>
      </c>
      <c r="H74" s="12" t="s">
        <v>303</v>
      </c>
      <c r="I74" s="1" t="s">
        <v>307</v>
      </c>
      <c r="J74" s="1" t="s">
        <v>709</v>
      </c>
      <c r="K74" s="12"/>
      <c r="R74" s="12" t="s">
        <v>307</v>
      </c>
      <c r="X74" s="1" t="s">
        <v>428</v>
      </c>
      <c r="Y74" s="1" t="s">
        <v>710</v>
      </c>
      <c r="AB74" s="1" t="s">
        <v>430</v>
      </c>
      <c r="AD74" s="1" t="s">
        <v>303</v>
      </c>
    </row>
    <row r="75" customFormat="false" ht="15" hidden="false" customHeight="true" outlineLevel="0" collapsed="false">
      <c r="A75" s="1" t="s">
        <v>338</v>
      </c>
      <c r="B75" s="1" t="s">
        <v>339</v>
      </c>
      <c r="C75" s="1" t="s">
        <v>23</v>
      </c>
      <c r="D75" s="12" t="s">
        <v>303</v>
      </c>
      <c r="E75" s="1" t="s">
        <v>304</v>
      </c>
      <c r="F75" s="1" t="s">
        <v>534</v>
      </c>
      <c r="G75" s="1" t="s">
        <v>306</v>
      </c>
      <c r="H75" s="12" t="s">
        <v>303</v>
      </c>
      <c r="I75" s="1" t="s">
        <v>307</v>
      </c>
      <c r="J75" s="1" t="s">
        <v>711</v>
      </c>
      <c r="K75" s="12"/>
      <c r="M75" s="1" t="s">
        <v>343</v>
      </c>
      <c r="N75" s="1" t="s">
        <v>344</v>
      </c>
      <c r="R75" s="12" t="s">
        <v>307</v>
      </c>
      <c r="X75" s="1" t="s">
        <v>428</v>
      </c>
      <c r="Y75" s="1" t="s">
        <v>712</v>
      </c>
      <c r="AB75" s="1" t="s">
        <v>430</v>
      </c>
      <c r="AC75" s="1" t="s">
        <v>713</v>
      </c>
      <c r="AD75" s="1" t="s">
        <v>303</v>
      </c>
    </row>
    <row r="76" customFormat="false" ht="15" hidden="false" customHeight="true" outlineLevel="0" collapsed="false">
      <c r="A76" s="1" t="s">
        <v>335</v>
      </c>
      <c r="B76" s="1" t="s">
        <v>336</v>
      </c>
      <c r="C76" s="1" t="s">
        <v>23</v>
      </c>
      <c r="D76" s="12" t="s">
        <v>303</v>
      </c>
      <c r="E76" s="1" t="s">
        <v>304</v>
      </c>
      <c r="F76" s="1" t="s">
        <v>534</v>
      </c>
      <c r="G76" s="1" t="s">
        <v>306</v>
      </c>
      <c r="H76" s="12" t="s">
        <v>303</v>
      </c>
      <c r="I76" s="1" t="s">
        <v>307</v>
      </c>
      <c r="J76" s="1" t="s">
        <v>714</v>
      </c>
      <c r="K76" s="12" t="s">
        <v>578</v>
      </c>
      <c r="M76" s="1" t="s">
        <v>715</v>
      </c>
      <c r="N76" s="1" t="s">
        <v>344</v>
      </c>
      <c r="R76" s="12" t="s">
        <v>307</v>
      </c>
      <c r="X76" s="1" t="s">
        <v>428</v>
      </c>
      <c r="Y76" s="1" t="s">
        <v>712</v>
      </c>
      <c r="AB76" s="1" t="s">
        <v>430</v>
      </c>
      <c r="AC76" s="1" t="s">
        <v>716</v>
      </c>
      <c r="AD76" s="1" t="s">
        <v>303</v>
      </c>
    </row>
    <row r="77" customFormat="false" ht="15" hidden="false" customHeight="true" outlineLevel="0" collapsed="false">
      <c r="A77" s="1" t="s">
        <v>717</v>
      </c>
      <c r="B77" s="1" t="s">
        <v>718</v>
      </c>
      <c r="C77" s="1" t="s">
        <v>23</v>
      </c>
      <c r="D77" s="12" t="s">
        <v>303</v>
      </c>
      <c r="E77" s="1" t="s">
        <v>304</v>
      </c>
      <c r="F77" s="1" t="s">
        <v>534</v>
      </c>
      <c r="G77" s="1" t="s">
        <v>306</v>
      </c>
      <c r="H77" s="12" t="s">
        <v>303</v>
      </c>
      <c r="I77" s="1" t="s">
        <v>307</v>
      </c>
      <c r="J77" s="1" t="s">
        <v>719</v>
      </c>
      <c r="K77" s="12"/>
      <c r="M77" s="1" t="s">
        <v>636</v>
      </c>
      <c r="N77" s="1" t="s">
        <v>720</v>
      </c>
      <c r="P77" s="1" t="s">
        <v>721</v>
      </c>
      <c r="Q77" s="1" t="s">
        <v>722</v>
      </c>
      <c r="R77" s="12" t="s">
        <v>307</v>
      </c>
      <c r="X77" s="1" t="s">
        <v>428</v>
      </c>
      <c r="Y77" s="1" t="s">
        <v>723</v>
      </c>
      <c r="AB77" s="1" t="s">
        <v>430</v>
      </c>
      <c r="AD77" s="1" t="s">
        <v>303</v>
      </c>
    </row>
    <row r="78" customFormat="false" ht="15" hidden="false" customHeight="true" outlineLevel="0" collapsed="false">
      <c r="A78" s="1" t="s">
        <v>724</v>
      </c>
      <c r="B78" s="1" t="s">
        <v>725</v>
      </c>
      <c r="C78" s="1" t="s">
        <v>23</v>
      </c>
      <c r="D78" s="12" t="s">
        <v>303</v>
      </c>
      <c r="E78" s="1" t="s">
        <v>304</v>
      </c>
      <c r="F78" s="1" t="s">
        <v>534</v>
      </c>
      <c r="G78" s="1" t="s">
        <v>306</v>
      </c>
      <c r="H78" s="12" t="s">
        <v>303</v>
      </c>
      <c r="I78" s="1" t="s">
        <v>307</v>
      </c>
      <c r="J78" s="1" t="s">
        <v>726</v>
      </c>
      <c r="K78" s="12"/>
      <c r="R78" s="12" t="s">
        <v>307</v>
      </c>
      <c r="X78" s="1" t="s">
        <v>428</v>
      </c>
      <c r="Y78" s="1" t="s">
        <v>727</v>
      </c>
      <c r="AB78" s="1" t="s">
        <v>430</v>
      </c>
      <c r="AD78" s="1" t="s">
        <v>303</v>
      </c>
    </row>
    <row r="79" customFormat="false" ht="15" hidden="false" customHeight="true" outlineLevel="0" collapsed="false">
      <c r="A79" s="1" t="s">
        <v>253</v>
      </c>
      <c r="B79" s="1" t="s">
        <v>728</v>
      </c>
      <c r="C79" s="1" t="s">
        <v>25</v>
      </c>
      <c r="D79" s="12" t="s">
        <v>303</v>
      </c>
      <c r="H79" s="12"/>
      <c r="I79" s="1" t="s">
        <v>307</v>
      </c>
      <c r="J79" s="1" t="s">
        <v>729</v>
      </c>
      <c r="K79" s="12"/>
      <c r="R79" s="12" t="s">
        <v>307</v>
      </c>
      <c r="X79" s="1" t="s">
        <v>314</v>
      </c>
      <c r="AB79" s="1" t="s">
        <v>730</v>
      </c>
      <c r="AC79" s="1" t="s">
        <v>731</v>
      </c>
      <c r="AD79" s="1" t="s">
        <v>303</v>
      </c>
    </row>
    <row r="80" customFormat="false" ht="15" hidden="false" customHeight="true" outlineLevel="0" collapsed="false">
      <c r="A80" s="1" t="s">
        <v>258</v>
      </c>
      <c r="B80" s="1" t="s">
        <v>732</v>
      </c>
      <c r="C80" s="1" t="s">
        <v>25</v>
      </c>
      <c r="D80" s="12" t="s">
        <v>303</v>
      </c>
      <c r="H80" s="12"/>
      <c r="I80" s="1" t="s">
        <v>307</v>
      </c>
      <c r="J80" s="1" t="s">
        <v>733</v>
      </c>
      <c r="K80" s="12"/>
      <c r="R80" s="12" t="s">
        <v>307</v>
      </c>
      <c r="X80" s="1" t="s">
        <v>314</v>
      </c>
      <c r="AB80" s="1" t="s">
        <v>730</v>
      </c>
      <c r="AC80" s="1" t="s">
        <v>731</v>
      </c>
      <c r="AD80" s="1" t="s">
        <v>303</v>
      </c>
    </row>
    <row r="81" customFormat="false" ht="15" hidden="false" customHeight="true" outlineLevel="0" collapsed="false">
      <c r="A81" s="1" t="s">
        <v>262</v>
      </c>
      <c r="B81" s="1" t="s">
        <v>734</v>
      </c>
      <c r="C81" s="1" t="s">
        <v>25</v>
      </c>
      <c r="D81" s="12" t="s">
        <v>303</v>
      </c>
      <c r="H81" s="12"/>
      <c r="I81" s="1" t="s">
        <v>307</v>
      </c>
      <c r="J81" s="1" t="s">
        <v>735</v>
      </c>
      <c r="K81" s="12"/>
      <c r="R81" s="12" t="s">
        <v>307</v>
      </c>
      <c r="X81" s="1" t="s">
        <v>314</v>
      </c>
      <c r="AB81" s="1" t="s">
        <v>730</v>
      </c>
      <c r="AC81" s="1" t="s">
        <v>731</v>
      </c>
      <c r="AD81" s="1" t="s">
        <v>303</v>
      </c>
    </row>
    <row r="82" customFormat="false" ht="15" hidden="false" customHeight="true" outlineLevel="0" collapsed="false">
      <c r="A82" s="1" t="s">
        <v>266</v>
      </c>
      <c r="B82" s="1" t="s">
        <v>736</v>
      </c>
      <c r="C82" s="1" t="s">
        <v>25</v>
      </c>
      <c r="D82" s="12" t="s">
        <v>303</v>
      </c>
      <c r="H82" s="12"/>
      <c r="I82" s="1" t="s">
        <v>307</v>
      </c>
      <c r="J82" s="1" t="s">
        <v>737</v>
      </c>
      <c r="K82" s="12"/>
      <c r="R82" s="12" t="s">
        <v>307</v>
      </c>
      <c r="X82" s="1" t="s">
        <v>314</v>
      </c>
      <c r="AB82" s="1" t="s">
        <v>730</v>
      </c>
      <c r="AC82" s="1" t="s">
        <v>731</v>
      </c>
      <c r="AD82" s="1" t="s">
        <v>303</v>
      </c>
    </row>
    <row r="83" customFormat="false" ht="15" hidden="false" customHeight="true" outlineLevel="0" collapsed="false">
      <c r="A83" s="1" t="s">
        <v>271</v>
      </c>
      <c r="B83" s="1" t="s">
        <v>738</v>
      </c>
      <c r="C83" s="1" t="s">
        <v>25</v>
      </c>
      <c r="D83" s="12" t="s">
        <v>303</v>
      </c>
      <c r="H83" s="12"/>
      <c r="I83" s="1" t="s">
        <v>307</v>
      </c>
      <c r="J83" s="1" t="s">
        <v>739</v>
      </c>
      <c r="K83" s="12"/>
      <c r="R83" s="12" t="s">
        <v>307</v>
      </c>
      <c r="X83" s="1" t="s">
        <v>314</v>
      </c>
      <c r="AB83" s="1" t="s">
        <v>730</v>
      </c>
      <c r="AC83" s="1" t="s">
        <v>731</v>
      </c>
      <c r="AD83" s="1" t="s">
        <v>303</v>
      </c>
    </row>
    <row r="84" customFormat="false" ht="15" hidden="false" customHeight="true" outlineLevel="0" collapsed="false">
      <c r="A84" s="1" t="s">
        <v>274</v>
      </c>
      <c r="B84" s="1" t="s">
        <v>740</v>
      </c>
      <c r="C84" s="1" t="s">
        <v>25</v>
      </c>
      <c r="D84" s="12" t="s">
        <v>303</v>
      </c>
      <c r="H84" s="12"/>
      <c r="I84" s="1" t="s">
        <v>307</v>
      </c>
      <c r="J84" s="1" t="s">
        <v>741</v>
      </c>
      <c r="K84" s="12"/>
      <c r="R84" s="12" t="s">
        <v>307</v>
      </c>
      <c r="X84" s="1" t="s">
        <v>314</v>
      </c>
      <c r="AB84" s="1" t="s">
        <v>730</v>
      </c>
      <c r="AC84" s="1" t="s">
        <v>731</v>
      </c>
      <c r="AD84" s="1" t="s">
        <v>303</v>
      </c>
    </row>
    <row r="85" customFormat="false" ht="15" hidden="false" customHeight="true" outlineLevel="0" collapsed="false">
      <c r="A85" s="1" t="s">
        <v>276</v>
      </c>
      <c r="B85" s="1" t="s">
        <v>742</v>
      </c>
      <c r="C85" s="1" t="s">
        <v>25</v>
      </c>
      <c r="D85" s="12" t="s">
        <v>303</v>
      </c>
      <c r="H85" s="12"/>
      <c r="I85" s="1" t="s">
        <v>307</v>
      </c>
      <c r="J85" s="1" t="s">
        <v>743</v>
      </c>
      <c r="K85" s="12"/>
      <c r="R85" s="12" t="s">
        <v>307</v>
      </c>
      <c r="X85" s="1" t="s">
        <v>314</v>
      </c>
      <c r="AB85" s="1" t="s">
        <v>730</v>
      </c>
      <c r="AC85" s="1" t="s">
        <v>731</v>
      </c>
      <c r="AD85" s="1" t="s">
        <v>303</v>
      </c>
    </row>
    <row r="86" customFormat="false" ht="15" hidden="false" customHeight="true" outlineLevel="0" collapsed="false">
      <c r="A86" s="1" t="s">
        <v>279</v>
      </c>
      <c r="B86" s="1" t="s">
        <v>744</v>
      </c>
      <c r="C86" s="1" t="s">
        <v>25</v>
      </c>
      <c r="D86" s="12" t="s">
        <v>303</v>
      </c>
      <c r="H86" s="12"/>
      <c r="I86" s="1" t="s">
        <v>307</v>
      </c>
      <c r="J86" s="1" t="s">
        <v>745</v>
      </c>
      <c r="K86" s="12"/>
      <c r="R86" s="12" t="s">
        <v>307</v>
      </c>
      <c r="X86" s="1" t="s">
        <v>314</v>
      </c>
      <c r="AB86" s="1" t="s">
        <v>730</v>
      </c>
      <c r="AC86" s="1" t="s">
        <v>731</v>
      </c>
      <c r="AD86" s="1" t="s">
        <v>303</v>
      </c>
    </row>
    <row r="87" customFormat="false" ht="15" hidden="false" customHeight="true" outlineLevel="0" collapsed="false">
      <c r="A87" s="1" t="s">
        <v>282</v>
      </c>
      <c r="B87" s="1" t="s">
        <v>746</v>
      </c>
      <c r="C87" s="1" t="s">
        <v>25</v>
      </c>
      <c r="D87" s="12" t="s">
        <v>303</v>
      </c>
      <c r="H87" s="12"/>
      <c r="I87" s="1" t="s">
        <v>307</v>
      </c>
      <c r="J87" s="1" t="s">
        <v>747</v>
      </c>
      <c r="K87" s="12"/>
      <c r="R87" s="12" t="s">
        <v>307</v>
      </c>
      <c r="X87" s="1" t="s">
        <v>314</v>
      </c>
      <c r="AB87" s="1" t="s">
        <v>730</v>
      </c>
      <c r="AC87" s="1" t="s">
        <v>731</v>
      </c>
      <c r="AD87" s="1" t="s">
        <v>303</v>
      </c>
    </row>
    <row r="88" customFormat="false" ht="15" hidden="false" customHeight="true" outlineLevel="0" collapsed="false">
      <c r="A88" s="1" t="s">
        <v>287</v>
      </c>
      <c r="B88" s="1" t="s">
        <v>748</v>
      </c>
      <c r="C88" s="1" t="s">
        <v>25</v>
      </c>
      <c r="D88" s="12" t="s">
        <v>303</v>
      </c>
      <c r="H88" s="12"/>
      <c r="I88" s="1" t="s">
        <v>307</v>
      </c>
      <c r="J88" s="1" t="s">
        <v>749</v>
      </c>
      <c r="K88" s="12"/>
      <c r="R88" s="12" t="s">
        <v>307</v>
      </c>
      <c r="X88" s="1" t="s">
        <v>314</v>
      </c>
      <c r="AB88" s="1" t="s">
        <v>730</v>
      </c>
      <c r="AC88" s="1" t="s">
        <v>731</v>
      </c>
      <c r="AD88" s="1" t="s">
        <v>303</v>
      </c>
    </row>
    <row r="89" customFormat="false" ht="15" hidden="false" customHeight="true" outlineLevel="0" collapsed="false">
      <c r="A89" s="1" t="s">
        <v>290</v>
      </c>
      <c r="B89" s="1" t="s">
        <v>750</v>
      </c>
      <c r="C89" s="1" t="s">
        <v>25</v>
      </c>
      <c r="D89" s="12" t="s">
        <v>303</v>
      </c>
      <c r="H89" s="12"/>
      <c r="I89" s="1" t="s">
        <v>307</v>
      </c>
      <c r="J89" s="1" t="s">
        <v>751</v>
      </c>
      <c r="K89" s="12"/>
      <c r="R89" s="12" t="s">
        <v>307</v>
      </c>
      <c r="X89" s="1" t="s">
        <v>314</v>
      </c>
      <c r="AB89" s="1" t="s">
        <v>730</v>
      </c>
      <c r="AC89" s="1" t="s">
        <v>731</v>
      </c>
      <c r="AD89" s="1" t="s">
        <v>303</v>
      </c>
    </row>
    <row r="90" customFormat="false" ht="15" hidden="false" customHeight="true" outlineLevel="0" collapsed="false">
      <c r="A90" s="1" t="s">
        <v>294</v>
      </c>
      <c r="B90" s="1" t="s">
        <v>752</v>
      </c>
      <c r="C90" s="1" t="s">
        <v>25</v>
      </c>
      <c r="D90" s="12" t="s">
        <v>303</v>
      </c>
      <c r="H90" s="12"/>
      <c r="I90" s="1" t="s">
        <v>307</v>
      </c>
      <c r="J90" s="1" t="s">
        <v>753</v>
      </c>
      <c r="K90" s="12"/>
      <c r="R90" s="12" t="s">
        <v>307</v>
      </c>
      <c r="X90" s="1" t="s">
        <v>314</v>
      </c>
      <c r="AB90" s="1" t="s">
        <v>730</v>
      </c>
      <c r="AC90" s="1" t="s">
        <v>731</v>
      </c>
      <c r="AD90" s="1" t="s">
        <v>303</v>
      </c>
    </row>
    <row r="91" customFormat="false" ht="15" hidden="false" customHeight="true" outlineLevel="0" collapsed="false">
      <c r="A91" s="1" t="s">
        <v>297</v>
      </c>
      <c r="B91" s="1" t="s">
        <v>754</v>
      </c>
      <c r="C91" s="1" t="s">
        <v>25</v>
      </c>
      <c r="D91" s="12" t="s">
        <v>303</v>
      </c>
      <c r="H91" s="12"/>
      <c r="I91" s="1" t="s">
        <v>307</v>
      </c>
      <c r="J91" s="1" t="s">
        <v>755</v>
      </c>
      <c r="K91" s="12"/>
      <c r="R91" s="12" t="s">
        <v>307</v>
      </c>
      <c r="X91" s="1" t="s">
        <v>314</v>
      </c>
      <c r="AB91" s="1" t="s">
        <v>730</v>
      </c>
      <c r="AC91" s="1" t="s">
        <v>731</v>
      </c>
      <c r="AD91" s="1" t="s">
        <v>303</v>
      </c>
    </row>
    <row r="92" customFormat="false" ht="15" hidden="false" customHeight="true" outlineLevel="0" collapsed="false">
      <c r="A92" s="1" t="s">
        <v>756</v>
      </c>
      <c r="B92" s="1" t="s">
        <v>757</v>
      </c>
      <c r="C92" s="1" t="s">
        <v>26</v>
      </c>
      <c r="D92" s="12" t="s">
        <v>303</v>
      </c>
      <c r="E92" s="1" t="s">
        <v>304</v>
      </c>
      <c r="F92" s="1" t="s">
        <v>758</v>
      </c>
      <c r="G92" s="1" t="s">
        <v>306</v>
      </c>
      <c r="H92" s="12" t="s">
        <v>303</v>
      </c>
      <c r="I92" s="1" t="s">
        <v>307</v>
      </c>
      <c r="J92" s="1" t="s">
        <v>759</v>
      </c>
      <c r="K92" s="12" t="n">
        <v>2016</v>
      </c>
      <c r="L92" s="1" t="s">
        <v>310</v>
      </c>
      <c r="M92" s="1" t="n">
        <v>7569</v>
      </c>
      <c r="N92" s="1" t="s">
        <v>760</v>
      </c>
      <c r="O92" s="1" t="s">
        <v>761</v>
      </c>
      <c r="P92" s="1" t="s">
        <v>313</v>
      </c>
      <c r="Q92" s="1" t="s">
        <v>762</v>
      </c>
      <c r="R92" s="12" t="s">
        <v>307</v>
      </c>
      <c r="X92" s="1" t="s">
        <v>314</v>
      </c>
      <c r="AB92" s="1" t="s">
        <v>315</v>
      </c>
      <c r="AC92" s="1" t="s">
        <v>763</v>
      </c>
      <c r="AD92" s="1" t="s">
        <v>303</v>
      </c>
    </row>
    <row r="93" customFormat="false" ht="15" hidden="false" customHeight="true" outlineLevel="0" collapsed="false">
      <c r="A93" s="1" t="s">
        <v>764</v>
      </c>
      <c r="B93" s="1" t="s">
        <v>765</v>
      </c>
      <c r="C93" s="1" t="s">
        <v>26</v>
      </c>
      <c r="D93" s="12" t="s">
        <v>303</v>
      </c>
      <c r="E93" s="1" t="s">
        <v>304</v>
      </c>
      <c r="F93" s="1" t="s">
        <v>758</v>
      </c>
      <c r="G93" s="1" t="s">
        <v>306</v>
      </c>
      <c r="H93" s="12" t="s">
        <v>303</v>
      </c>
      <c r="I93" s="1" t="s">
        <v>307</v>
      </c>
      <c r="J93" s="1" t="s">
        <v>766</v>
      </c>
      <c r="K93" s="12" t="n">
        <v>2008</v>
      </c>
      <c r="L93" s="1" t="s">
        <v>310</v>
      </c>
      <c r="M93" s="1" t="n">
        <v>1899</v>
      </c>
      <c r="N93" s="1" t="s">
        <v>767</v>
      </c>
      <c r="O93" s="1" t="s">
        <v>768</v>
      </c>
      <c r="P93" s="1" t="s">
        <v>313</v>
      </c>
      <c r="Q93" s="1" t="s">
        <v>762</v>
      </c>
      <c r="R93" s="12" t="s">
        <v>307</v>
      </c>
      <c r="X93" s="1" t="s">
        <v>314</v>
      </c>
      <c r="AB93" s="1" t="s">
        <v>315</v>
      </c>
      <c r="AC93" s="1" t="s">
        <v>763</v>
      </c>
      <c r="AD93" s="1" t="s">
        <v>303</v>
      </c>
    </row>
    <row r="94" customFormat="false" ht="15" hidden="false" customHeight="true" outlineLevel="0" collapsed="false">
      <c r="A94" s="1" t="s">
        <v>769</v>
      </c>
      <c r="B94" s="1" t="s">
        <v>770</v>
      </c>
      <c r="C94" s="1" t="s">
        <v>26</v>
      </c>
      <c r="D94" s="12" t="s">
        <v>303</v>
      </c>
      <c r="E94" s="1" t="s">
        <v>304</v>
      </c>
      <c r="F94" s="1" t="s">
        <v>758</v>
      </c>
      <c r="G94" s="1" t="s">
        <v>306</v>
      </c>
      <c r="H94" s="12" t="s">
        <v>303</v>
      </c>
      <c r="I94" s="1" t="s">
        <v>307</v>
      </c>
      <c r="J94" s="1" t="s">
        <v>771</v>
      </c>
      <c r="K94" s="12" t="n">
        <v>2012</v>
      </c>
      <c r="L94" s="1" t="s">
        <v>310</v>
      </c>
      <c r="M94" s="1" t="n">
        <v>4000</v>
      </c>
      <c r="N94" s="1" t="s">
        <v>772</v>
      </c>
      <c r="O94" s="1" t="s">
        <v>773</v>
      </c>
      <c r="P94" s="1" t="s">
        <v>313</v>
      </c>
      <c r="Q94" s="1" t="s">
        <v>762</v>
      </c>
      <c r="R94" s="12" t="s">
        <v>307</v>
      </c>
      <c r="X94" s="1" t="s">
        <v>314</v>
      </c>
      <c r="AB94" s="1" t="s">
        <v>315</v>
      </c>
      <c r="AC94" s="1" t="s">
        <v>763</v>
      </c>
      <c r="AD94" s="1" t="s">
        <v>303</v>
      </c>
    </row>
    <row r="95" customFormat="false" ht="15" hidden="false" customHeight="true" outlineLevel="0" collapsed="false">
      <c r="A95" s="1" t="s">
        <v>774</v>
      </c>
      <c r="B95" s="1" t="s">
        <v>775</v>
      </c>
      <c r="C95" s="1" t="s">
        <v>26</v>
      </c>
      <c r="D95" s="12" t="s">
        <v>303</v>
      </c>
      <c r="E95" s="1" t="s">
        <v>304</v>
      </c>
      <c r="F95" s="1" t="s">
        <v>758</v>
      </c>
      <c r="G95" s="1" t="s">
        <v>306</v>
      </c>
      <c r="H95" s="12" t="s">
        <v>303</v>
      </c>
      <c r="I95" s="1" t="s">
        <v>307</v>
      </c>
      <c r="J95" s="1" t="s">
        <v>776</v>
      </c>
      <c r="K95" s="12" t="n">
        <v>2015</v>
      </c>
      <c r="L95" s="1" t="s">
        <v>310</v>
      </c>
      <c r="M95" s="1" t="n">
        <v>2000</v>
      </c>
      <c r="N95" s="1" t="s">
        <v>772</v>
      </c>
      <c r="O95" s="1" t="s">
        <v>777</v>
      </c>
      <c r="P95" s="1" t="s">
        <v>313</v>
      </c>
      <c r="Q95" s="1" t="s">
        <v>762</v>
      </c>
      <c r="R95" s="12" t="s">
        <v>307</v>
      </c>
      <c r="X95" s="1" t="s">
        <v>314</v>
      </c>
      <c r="AB95" s="1" t="s">
        <v>315</v>
      </c>
      <c r="AC95" s="1" t="s">
        <v>763</v>
      </c>
      <c r="AD95" s="1" t="s">
        <v>303</v>
      </c>
    </row>
    <row r="96" customFormat="false" ht="15" hidden="false" customHeight="true" outlineLevel="0" collapsed="false">
      <c r="A96" s="1" t="s">
        <v>778</v>
      </c>
      <c r="B96" s="1" t="s">
        <v>779</v>
      </c>
      <c r="C96" s="1" t="s">
        <v>26</v>
      </c>
      <c r="D96" s="12" t="s">
        <v>303</v>
      </c>
      <c r="E96" s="1" t="s">
        <v>304</v>
      </c>
      <c r="F96" s="1" t="s">
        <v>758</v>
      </c>
      <c r="G96" s="1" t="s">
        <v>306</v>
      </c>
      <c r="H96" s="12" t="s">
        <v>303</v>
      </c>
      <c r="I96" s="1" t="s">
        <v>307</v>
      </c>
      <c r="J96" s="1" t="s">
        <v>780</v>
      </c>
      <c r="K96" s="12" t="n">
        <v>1997</v>
      </c>
      <c r="L96" s="1" t="s">
        <v>781</v>
      </c>
      <c r="M96" s="1" t="n">
        <v>6700</v>
      </c>
      <c r="N96" s="1" t="s">
        <v>782</v>
      </c>
      <c r="O96" s="1" t="s">
        <v>783</v>
      </c>
      <c r="P96" s="1" t="s">
        <v>313</v>
      </c>
      <c r="Q96" s="1" t="s">
        <v>762</v>
      </c>
      <c r="R96" s="12" t="s">
        <v>307</v>
      </c>
      <c r="X96" s="1" t="s">
        <v>314</v>
      </c>
      <c r="AB96" s="1" t="s">
        <v>315</v>
      </c>
      <c r="AC96" s="1" t="s">
        <v>763</v>
      </c>
      <c r="AD96" s="1" t="s">
        <v>303</v>
      </c>
    </row>
    <row r="97" customFormat="false" ht="15" hidden="false" customHeight="true" outlineLevel="0" collapsed="false">
      <c r="A97" s="1" t="s">
        <v>784</v>
      </c>
      <c r="B97" s="1" t="s">
        <v>785</v>
      </c>
      <c r="C97" s="1" t="s">
        <v>26</v>
      </c>
      <c r="D97" s="12" t="s">
        <v>303</v>
      </c>
      <c r="E97" s="1" t="s">
        <v>304</v>
      </c>
      <c r="F97" s="1" t="s">
        <v>758</v>
      </c>
      <c r="G97" s="1" t="s">
        <v>306</v>
      </c>
      <c r="H97" s="12" t="s">
        <v>303</v>
      </c>
      <c r="I97" s="1" t="s">
        <v>307</v>
      </c>
      <c r="J97" s="1" t="s">
        <v>786</v>
      </c>
      <c r="K97" s="12" t="n">
        <v>2019</v>
      </c>
      <c r="L97" s="1" t="s">
        <v>310</v>
      </c>
      <c r="M97" s="1" t="n">
        <v>9619</v>
      </c>
      <c r="N97" s="1" t="s">
        <v>787</v>
      </c>
      <c r="O97" s="1" t="s">
        <v>788</v>
      </c>
      <c r="P97" s="1" t="s">
        <v>313</v>
      </c>
      <c r="Q97" s="1" t="s">
        <v>789</v>
      </c>
      <c r="R97" s="12" t="s">
        <v>307</v>
      </c>
      <c r="X97" s="1" t="s">
        <v>314</v>
      </c>
      <c r="AB97" s="1" t="s">
        <v>315</v>
      </c>
      <c r="AC97" s="1" t="s">
        <v>763</v>
      </c>
      <c r="AD97" s="1" t="s">
        <v>303</v>
      </c>
    </row>
    <row r="98" customFormat="false" ht="15" hidden="false" customHeight="true" outlineLevel="0" collapsed="false">
      <c r="A98" s="1" t="s">
        <v>790</v>
      </c>
      <c r="B98" s="1" t="s">
        <v>791</v>
      </c>
      <c r="C98" s="1" t="s">
        <v>26</v>
      </c>
      <c r="D98" s="12" t="s">
        <v>303</v>
      </c>
      <c r="E98" s="1" t="s">
        <v>304</v>
      </c>
      <c r="F98" s="1" t="s">
        <v>758</v>
      </c>
      <c r="G98" s="1" t="s">
        <v>306</v>
      </c>
      <c r="H98" s="12" t="s">
        <v>303</v>
      </c>
      <c r="I98" s="1" t="s">
        <v>307</v>
      </c>
      <c r="J98" s="1" t="s">
        <v>792</v>
      </c>
      <c r="K98" s="12" t="n">
        <v>2014</v>
      </c>
      <c r="L98" s="1" t="s">
        <v>310</v>
      </c>
      <c r="M98" s="1" t="n">
        <v>1000</v>
      </c>
      <c r="N98" s="1" t="s">
        <v>793</v>
      </c>
      <c r="O98" s="1" t="s">
        <v>794</v>
      </c>
      <c r="P98" s="1" t="s">
        <v>313</v>
      </c>
      <c r="Q98" s="1" t="s">
        <v>762</v>
      </c>
      <c r="R98" s="12" t="s">
        <v>307</v>
      </c>
      <c r="X98" s="1" t="s">
        <v>314</v>
      </c>
      <c r="AB98" s="1" t="s">
        <v>315</v>
      </c>
      <c r="AC98" s="1" t="s">
        <v>763</v>
      </c>
      <c r="AD98" s="1" t="s">
        <v>303</v>
      </c>
    </row>
    <row r="99" customFormat="false" ht="15" hidden="false" customHeight="true" outlineLevel="0" collapsed="false">
      <c r="A99" s="1" t="s">
        <v>795</v>
      </c>
      <c r="B99" s="1" t="s">
        <v>796</v>
      </c>
      <c r="C99" s="1" t="s">
        <v>26</v>
      </c>
      <c r="D99" s="12" t="s">
        <v>303</v>
      </c>
      <c r="E99" s="1" t="s">
        <v>304</v>
      </c>
      <c r="F99" s="1" t="s">
        <v>758</v>
      </c>
      <c r="G99" s="1" t="s">
        <v>306</v>
      </c>
      <c r="H99" s="12" t="s">
        <v>303</v>
      </c>
      <c r="I99" s="1" t="s">
        <v>307</v>
      </c>
      <c r="J99" s="1" t="s">
        <v>797</v>
      </c>
      <c r="K99" s="12" t="n">
        <v>1988</v>
      </c>
      <c r="L99" s="1" t="s">
        <v>798</v>
      </c>
      <c r="N99" s="1" t="s">
        <v>799</v>
      </c>
      <c r="O99" s="1" t="s">
        <v>783</v>
      </c>
      <c r="P99" s="1" t="s">
        <v>313</v>
      </c>
      <c r="Q99" s="1" t="s">
        <v>762</v>
      </c>
      <c r="R99" s="12" t="s">
        <v>307</v>
      </c>
      <c r="X99" s="1" t="s">
        <v>314</v>
      </c>
      <c r="AB99" s="1" t="s">
        <v>315</v>
      </c>
      <c r="AC99" s="1" t="s">
        <v>763</v>
      </c>
      <c r="AD99" s="1" t="s">
        <v>303</v>
      </c>
    </row>
    <row r="100" customFormat="false" ht="15" hidden="false" customHeight="true" outlineLevel="0" collapsed="false">
      <c r="A100" s="1" t="s">
        <v>800</v>
      </c>
      <c r="B100" s="1" t="s">
        <v>801</v>
      </c>
      <c r="C100" s="1" t="s">
        <v>26</v>
      </c>
      <c r="D100" s="12" t="s">
        <v>303</v>
      </c>
      <c r="E100" s="1" t="s">
        <v>304</v>
      </c>
      <c r="F100" s="1" t="s">
        <v>758</v>
      </c>
      <c r="G100" s="1" t="s">
        <v>306</v>
      </c>
      <c r="H100" s="12" t="s">
        <v>303</v>
      </c>
      <c r="I100" s="1" t="s">
        <v>307</v>
      </c>
      <c r="J100" s="1" t="s">
        <v>802</v>
      </c>
      <c r="K100" s="12" t="n">
        <v>2019</v>
      </c>
      <c r="L100" s="1" t="s">
        <v>310</v>
      </c>
      <c r="M100" s="1" t="n">
        <v>11900</v>
      </c>
      <c r="N100" s="1" t="s">
        <v>803</v>
      </c>
      <c r="O100" s="1" t="s">
        <v>804</v>
      </c>
      <c r="P100" s="1" t="s">
        <v>313</v>
      </c>
      <c r="Q100" s="1" t="s">
        <v>805</v>
      </c>
      <c r="R100" s="12" t="s">
        <v>307</v>
      </c>
      <c r="X100" s="1" t="s">
        <v>314</v>
      </c>
      <c r="AB100" s="1" t="s">
        <v>315</v>
      </c>
      <c r="AC100" s="1" t="s">
        <v>763</v>
      </c>
      <c r="AD100" s="1" t="s">
        <v>303</v>
      </c>
    </row>
    <row r="101" customFormat="false" ht="15" hidden="false" customHeight="true" outlineLevel="0" collapsed="false">
      <c r="A101" s="1" t="s">
        <v>806</v>
      </c>
      <c r="B101" s="1" t="s">
        <v>807</v>
      </c>
      <c r="C101" s="1" t="s">
        <v>26</v>
      </c>
      <c r="D101" s="12" t="s">
        <v>303</v>
      </c>
      <c r="E101" s="1" t="s">
        <v>304</v>
      </c>
      <c r="F101" s="1" t="s">
        <v>758</v>
      </c>
      <c r="G101" s="1" t="s">
        <v>306</v>
      </c>
      <c r="H101" s="12" t="s">
        <v>303</v>
      </c>
      <c r="I101" s="1" t="s">
        <v>307</v>
      </c>
      <c r="J101" s="1" t="s">
        <v>808</v>
      </c>
      <c r="K101" s="12" t="n">
        <v>1994</v>
      </c>
      <c r="L101" s="1" t="s">
        <v>310</v>
      </c>
      <c r="M101" s="1" t="n">
        <v>1000</v>
      </c>
      <c r="N101" s="1" t="s">
        <v>809</v>
      </c>
      <c r="O101" s="1" t="s">
        <v>810</v>
      </c>
      <c r="P101" s="1" t="s">
        <v>811</v>
      </c>
      <c r="Q101" s="1" t="s">
        <v>812</v>
      </c>
      <c r="R101" s="12" t="s">
        <v>307</v>
      </c>
      <c r="X101" s="1" t="s">
        <v>314</v>
      </c>
      <c r="AB101" s="1" t="s">
        <v>315</v>
      </c>
      <c r="AC101" s="1" t="s">
        <v>763</v>
      </c>
      <c r="AD101" s="1" t="s">
        <v>303</v>
      </c>
    </row>
    <row r="102" customFormat="false" ht="15" hidden="false" customHeight="true" outlineLevel="0" collapsed="false">
      <c r="A102" s="1" t="s">
        <v>813</v>
      </c>
      <c r="B102" s="1" t="s">
        <v>814</v>
      </c>
      <c r="C102" s="1" t="s">
        <v>26</v>
      </c>
      <c r="D102" s="12" t="s">
        <v>303</v>
      </c>
      <c r="E102" s="1" t="s">
        <v>304</v>
      </c>
      <c r="F102" s="1" t="s">
        <v>758</v>
      </c>
      <c r="G102" s="1" t="s">
        <v>306</v>
      </c>
      <c r="H102" s="12" t="s">
        <v>303</v>
      </c>
      <c r="I102" s="1" t="s">
        <v>307</v>
      </c>
      <c r="J102" s="1" t="s">
        <v>815</v>
      </c>
      <c r="K102" s="12" t="n">
        <v>2012</v>
      </c>
      <c r="L102" s="1" t="s">
        <v>310</v>
      </c>
      <c r="M102" s="1" t="n">
        <v>1446</v>
      </c>
      <c r="N102" s="1" t="s">
        <v>816</v>
      </c>
      <c r="O102" s="1" t="s">
        <v>817</v>
      </c>
      <c r="P102" s="1" t="s">
        <v>313</v>
      </c>
      <c r="Q102" s="1" t="s">
        <v>762</v>
      </c>
      <c r="R102" s="12" t="s">
        <v>307</v>
      </c>
      <c r="X102" s="1" t="s">
        <v>314</v>
      </c>
      <c r="AB102" s="1" t="s">
        <v>315</v>
      </c>
      <c r="AC102" s="1" t="s">
        <v>763</v>
      </c>
      <c r="AD102" s="1" t="s">
        <v>303</v>
      </c>
    </row>
    <row r="103" customFormat="false" ht="15" hidden="false" customHeight="true" outlineLevel="0" collapsed="false">
      <c r="A103" s="1" t="s">
        <v>818</v>
      </c>
      <c r="B103" s="1" t="s">
        <v>819</v>
      </c>
      <c r="C103" s="1" t="s">
        <v>26</v>
      </c>
      <c r="D103" s="12" t="s">
        <v>303</v>
      </c>
      <c r="E103" s="1" t="s">
        <v>304</v>
      </c>
      <c r="F103" s="1" t="s">
        <v>758</v>
      </c>
      <c r="G103" s="1" t="s">
        <v>306</v>
      </c>
      <c r="H103" s="12" t="s">
        <v>303</v>
      </c>
      <c r="I103" s="1" t="s">
        <v>307</v>
      </c>
      <c r="J103" s="1" t="s">
        <v>820</v>
      </c>
      <c r="K103" s="12" t="n">
        <v>2005</v>
      </c>
      <c r="L103" s="1" t="s">
        <v>821</v>
      </c>
      <c r="M103" s="1" t="n">
        <v>21000</v>
      </c>
      <c r="N103" s="1" t="s">
        <v>822</v>
      </c>
      <c r="O103" s="1" t="s">
        <v>823</v>
      </c>
      <c r="P103" s="1" t="s">
        <v>313</v>
      </c>
      <c r="Q103" s="1" t="s">
        <v>762</v>
      </c>
      <c r="R103" s="12" t="s">
        <v>307</v>
      </c>
      <c r="X103" s="1" t="s">
        <v>314</v>
      </c>
      <c r="AB103" s="1" t="s">
        <v>315</v>
      </c>
      <c r="AC103" s="1" t="s">
        <v>763</v>
      </c>
      <c r="AD103" s="1" t="s">
        <v>303</v>
      </c>
    </row>
    <row r="104" customFormat="false" ht="15" hidden="false" customHeight="true" outlineLevel="0" collapsed="false">
      <c r="A104" s="1" t="s">
        <v>824</v>
      </c>
      <c r="B104" s="1" t="s">
        <v>825</v>
      </c>
      <c r="C104" s="1" t="s">
        <v>26</v>
      </c>
      <c r="D104" s="12" t="s">
        <v>303</v>
      </c>
      <c r="E104" s="1" t="s">
        <v>304</v>
      </c>
      <c r="F104" s="1" t="s">
        <v>758</v>
      </c>
      <c r="G104" s="1" t="s">
        <v>306</v>
      </c>
      <c r="H104" s="12" t="s">
        <v>303</v>
      </c>
      <c r="I104" s="1" t="s">
        <v>307</v>
      </c>
      <c r="J104" s="1" t="s">
        <v>826</v>
      </c>
      <c r="K104" s="12" t="n">
        <v>2015</v>
      </c>
      <c r="L104" s="1" t="s">
        <v>310</v>
      </c>
      <c r="M104" s="1" t="n">
        <v>2000</v>
      </c>
      <c r="N104" s="1" t="s">
        <v>827</v>
      </c>
      <c r="O104" s="1" t="s">
        <v>828</v>
      </c>
      <c r="P104" s="1" t="s">
        <v>313</v>
      </c>
      <c r="Q104" s="1" t="s">
        <v>762</v>
      </c>
      <c r="R104" s="12" t="s">
        <v>307</v>
      </c>
      <c r="X104" s="1" t="s">
        <v>314</v>
      </c>
      <c r="AB104" s="1" t="s">
        <v>315</v>
      </c>
      <c r="AC104" s="1" t="s">
        <v>763</v>
      </c>
      <c r="AD104" s="1" t="s">
        <v>303</v>
      </c>
    </row>
    <row r="105" customFormat="false" ht="15" hidden="false" customHeight="true" outlineLevel="0" collapsed="false">
      <c r="A105" s="1" t="s">
        <v>829</v>
      </c>
      <c r="B105" s="1" t="s">
        <v>830</v>
      </c>
      <c r="C105" s="1" t="s">
        <v>26</v>
      </c>
      <c r="D105" s="12" t="s">
        <v>303</v>
      </c>
      <c r="E105" s="1" t="s">
        <v>304</v>
      </c>
      <c r="F105" s="1" t="s">
        <v>758</v>
      </c>
      <c r="G105" s="1" t="s">
        <v>306</v>
      </c>
      <c r="H105" s="12" t="s">
        <v>303</v>
      </c>
      <c r="I105" s="1" t="s">
        <v>307</v>
      </c>
      <c r="J105" s="1" t="s">
        <v>831</v>
      </c>
      <c r="K105" s="12" t="n">
        <v>2020</v>
      </c>
      <c r="L105" s="1" t="s">
        <v>310</v>
      </c>
      <c r="M105" s="1" t="n">
        <v>1237</v>
      </c>
      <c r="N105" s="1" t="s">
        <v>832</v>
      </c>
      <c r="O105" s="1" t="s">
        <v>833</v>
      </c>
      <c r="P105" s="1" t="s">
        <v>313</v>
      </c>
      <c r="Q105" s="1" t="s">
        <v>834</v>
      </c>
      <c r="R105" s="12" t="s">
        <v>307</v>
      </c>
      <c r="X105" s="1" t="s">
        <v>314</v>
      </c>
      <c r="AB105" s="1" t="s">
        <v>315</v>
      </c>
      <c r="AC105" s="1" t="s">
        <v>763</v>
      </c>
      <c r="AD105" s="1" t="s">
        <v>303</v>
      </c>
    </row>
    <row r="106" customFormat="false" ht="15" hidden="false" customHeight="true" outlineLevel="0" collapsed="false">
      <c r="A106" s="1" t="s">
        <v>835</v>
      </c>
      <c r="B106" s="1" t="s">
        <v>836</v>
      </c>
      <c r="C106" s="1" t="s">
        <v>26</v>
      </c>
      <c r="D106" s="12" t="s">
        <v>303</v>
      </c>
      <c r="E106" s="1" t="s">
        <v>304</v>
      </c>
      <c r="F106" s="1" t="s">
        <v>758</v>
      </c>
      <c r="G106" s="1" t="s">
        <v>306</v>
      </c>
      <c r="H106" s="12" t="s">
        <v>303</v>
      </c>
      <c r="I106" s="1" t="s">
        <v>307</v>
      </c>
      <c r="J106" s="1" t="s">
        <v>837</v>
      </c>
      <c r="K106" s="12" t="n">
        <v>2020</v>
      </c>
      <c r="L106" s="1" t="s">
        <v>838</v>
      </c>
      <c r="M106" s="1" t="n">
        <v>16000</v>
      </c>
      <c r="N106" s="1" t="s">
        <v>839</v>
      </c>
      <c r="O106" s="1" t="s">
        <v>840</v>
      </c>
      <c r="P106" s="1" t="s">
        <v>841</v>
      </c>
      <c r="Q106" s="1" t="s">
        <v>842</v>
      </c>
      <c r="R106" s="12" t="s">
        <v>307</v>
      </c>
      <c r="X106" s="1" t="s">
        <v>314</v>
      </c>
      <c r="AB106" s="1" t="s">
        <v>315</v>
      </c>
      <c r="AC106" s="1" t="s">
        <v>763</v>
      </c>
      <c r="AD106" s="1" t="s">
        <v>303</v>
      </c>
    </row>
    <row r="107" customFormat="false" ht="15" hidden="false" customHeight="true" outlineLevel="0" collapsed="false">
      <c r="A107" s="1" t="s">
        <v>843</v>
      </c>
      <c r="B107" s="1" t="s">
        <v>844</v>
      </c>
      <c r="C107" s="1" t="s">
        <v>24</v>
      </c>
      <c r="D107" s="12" t="s">
        <v>303</v>
      </c>
      <c r="E107" s="1" t="s">
        <v>304</v>
      </c>
      <c r="F107" s="1" t="s">
        <v>845</v>
      </c>
      <c r="G107" s="1" t="s">
        <v>306</v>
      </c>
      <c r="H107" s="12" t="s">
        <v>303</v>
      </c>
      <c r="I107" s="1" t="s">
        <v>307</v>
      </c>
      <c r="J107" s="1" t="s">
        <v>846</v>
      </c>
      <c r="K107" s="12"/>
      <c r="L107" s="1" t="s">
        <v>847</v>
      </c>
      <c r="M107" s="1" t="s">
        <v>848</v>
      </c>
      <c r="N107" s="1" t="s">
        <v>849</v>
      </c>
      <c r="O107" s="1" t="s">
        <v>850</v>
      </c>
      <c r="P107" s="1" t="s">
        <v>851</v>
      </c>
      <c r="R107" s="12" t="s">
        <v>307</v>
      </c>
      <c r="W107" s="1" t="s">
        <v>314</v>
      </c>
      <c r="X107" s="1" t="s">
        <v>314</v>
      </c>
      <c r="AA107" s="1" t="s">
        <v>315</v>
      </c>
      <c r="AB107" s="1" t="s">
        <v>852</v>
      </c>
      <c r="AD107" s="1" t="s">
        <v>303</v>
      </c>
    </row>
    <row r="108" customFormat="false" ht="15" hidden="false" customHeight="true" outlineLevel="0" collapsed="false">
      <c r="A108" s="1" t="s">
        <v>853</v>
      </c>
      <c r="B108" s="1" t="s">
        <v>854</v>
      </c>
      <c r="C108" s="1" t="s">
        <v>24</v>
      </c>
      <c r="D108" s="12" t="s">
        <v>303</v>
      </c>
      <c r="E108" s="1" t="s">
        <v>304</v>
      </c>
      <c r="F108" s="1" t="s">
        <v>845</v>
      </c>
      <c r="G108" s="1" t="s">
        <v>306</v>
      </c>
      <c r="H108" s="12" t="s">
        <v>303</v>
      </c>
      <c r="I108" s="1" t="s">
        <v>307</v>
      </c>
      <c r="J108" s="1" t="s">
        <v>855</v>
      </c>
      <c r="K108" s="12"/>
      <c r="L108" s="1" t="s">
        <v>856</v>
      </c>
      <c r="M108" s="1" t="s">
        <v>857</v>
      </c>
      <c r="N108" s="1" t="s">
        <v>849</v>
      </c>
      <c r="O108" s="1" t="s">
        <v>858</v>
      </c>
      <c r="P108" s="1" t="s">
        <v>859</v>
      </c>
      <c r="R108" s="12" t="s">
        <v>307</v>
      </c>
      <c r="W108" s="1" t="s">
        <v>314</v>
      </c>
      <c r="X108" s="1" t="s">
        <v>314</v>
      </c>
      <c r="AA108" s="1" t="s">
        <v>315</v>
      </c>
      <c r="AB108" s="1" t="s">
        <v>852</v>
      </c>
      <c r="AD108" s="1" t="s">
        <v>303</v>
      </c>
    </row>
    <row r="109" customFormat="false" ht="15" hidden="false" customHeight="true" outlineLevel="0" collapsed="false">
      <c r="A109" s="1" t="s">
        <v>860</v>
      </c>
      <c r="B109" s="1" t="s">
        <v>861</v>
      </c>
      <c r="C109" s="1" t="s">
        <v>24</v>
      </c>
      <c r="D109" s="12" t="s">
        <v>303</v>
      </c>
      <c r="E109" s="1" t="s">
        <v>304</v>
      </c>
      <c r="F109" s="1" t="s">
        <v>845</v>
      </c>
      <c r="G109" s="1" t="s">
        <v>306</v>
      </c>
      <c r="H109" s="12" t="s">
        <v>303</v>
      </c>
      <c r="I109" s="1" t="s">
        <v>307</v>
      </c>
      <c r="J109" s="1" t="s">
        <v>862</v>
      </c>
      <c r="K109" s="12"/>
      <c r="L109" s="1" t="s">
        <v>863</v>
      </c>
      <c r="M109" s="1" t="s">
        <v>864</v>
      </c>
      <c r="N109" s="1" t="s">
        <v>849</v>
      </c>
      <c r="O109" s="1" t="s">
        <v>865</v>
      </c>
      <c r="P109" s="1" t="s">
        <v>866</v>
      </c>
      <c r="R109" s="12" t="s">
        <v>307</v>
      </c>
      <c r="W109" s="1" t="s">
        <v>314</v>
      </c>
      <c r="X109" s="1" t="s">
        <v>314</v>
      </c>
      <c r="AA109" s="1" t="s">
        <v>315</v>
      </c>
      <c r="AB109" s="1" t="s">
        <v>852</v>
      </c>
      <c r="AD109" s="1" t="s">
        <v>303</v>
      </c>
    </row>
    <row r="110" customFormat="false" ht="15" hidden="false" customHeight="true" outlineLevel="0" collapsed="false">
      <c r="A110" s="1" t="s">
        <v>867</v>
      </c>
      <c r="B110" s="1" t="s">
        <v>868</v>
      </c>
      <c r="C110" s="1" t="s">
        <v>24</v>
      </c>
      <c r="D110" s="12" t="s">
        <v>303</v>
      </c>
      <c r="E110" s="1" t="s">
        <v>304</v>
      </c>
      <c r="F110" s="1" t="s">
        <v>845</v>
      </c>
      <c r="G110" s="1" t="s">
        <v>306</v>
      </c>
      <c r="H110" s="12" t="s">
        <v>303</v>
      </c>
      <c r="I110" s="1" t="s">
        <v>307</v>
      </c>
      <c r="J110" s="1" t="s">
        <v>869</v>
      </c>
      <c r="K110" s="12"/>
      <c r="L110" s="1" t="s">
        <v>310</v>
      </c>
      <c r="M110" s="1" t="s">
        <v>870</v>
      </c>
      <c r="N110" s="1" t="s">
        <v>849</v>
      </c>
      <c r="O110" s="1" t="s">
        <v>871</v>
      </c>
      <c r="P110" s="1" t="s">
        <v>859</v>
      </c>
      <c r="R110" s="12" t="s">
        <v>307</v>
      </c>
      <c r="W110" s="1" t="s">
        <v>314</v>
      </c>
      <c r="X110" s="1" t="s">
        <v>314</v>
      </c>
      <c r="AA110" s="1" t="s">
        <v>315</v>
      </c>
      <c r="AB110" s="1" t="s">
        <v>852</v>
      </c>
      <c r="AD110" s="1" t="s">
        <v>303</v>
      </c>
    </row>
    <row r="111" customFormat="false" ht="15" hidden="false" customHeight="true" outlineLevel="0" collapsed="false">
      <c r="A111" s="1" t="s">
        <v>872</v>
      </c>
      <c r="B111" s="1" t="s">
        <v>873</v>
      </c>
      <c r="C111" s="1" t="s">
        <v>24</v>
      </c>
      <c r="D111" s="12" t="s">
        <v>303</v>
      </c>
      <c r="E111" s="1" t="s">
        <v>304</v>
      </c>
      <c r="F111" s="1" t="s">
        <v>845</v>
      </c>
      <c r="G111" s="1" t="s">
        <v>306</v>
      </c>
      <c r="H111" s="12" t="s">
        <v>303</v>
      </c>
      <c r="I111" s="1" t="s">
        <v>307</v>
      </c>
      <c r="J111" s="1" t="s">
        <v>874</v>
      </c>
      <c r="K111" s="12"/>
      <c r="L111" s="1" t="s">
        <v>310</v>
      </c>
      <c r="M111" s="1" t="s">
        <v>875</v>
      </c>
      <c r="N111" s="1" t="s">
        <v>849</v>
      </c>
      <c r="O111" s="1" t="s">
        <v>876</v>
      </c>
      <c r="P111" s="1" t="s">
        <v>877</v>
      </c>
      <c r="R111" s="12" t="s">
        <v>307</v>
      </c>
      <c r="W111" s="1" t="s">
        <v>314</v>
      </c>
      <c r="X111" s="1" t="s">
        <v>314</v>
      </c>
      <c r="AA111" s="1" t="s">
        <v>315</v>
      </c>
      <c r="AB111" s="1" t="s">
        <v>852</v>
      </c>
      <c r="AD111" s="1" t="s">
        <v>303</v>
      </c>
    </row>
    <row r="112" customFormat="false" ht="15" hidden="false" customHeight="true" outlineLevel="0" collapsed="false">
      <c r="A112" s="1" t="s">
        <v>878</v>
      </c>
      <c r="B112" s="1" t="s">
        <v>879</v>
      </c>
      <c r="C112" s="1" t="s">
        <v>24</v>
      </c>
      <c r="D112" s="12" t="s">
        <v>303</v>
      </c>
      <c r="E112" s="1" t="s">
        <v>304</v>
      </c>
      <c r="F112" s="1" t="s">
        <v>845</v>
      </c>
      <c r="G112" s="1" t="s">
        <v>306</v>
      </c>
      <c r="H112" s="12" t="s">
        <v>303</v>
      </c>
      <c r="I112" s="1" t="s">
        <v>307</v>
      </c>
      <c r="J112" s="1" t="s">
        <v>880</v>
      </c>
      <c r="K112" s="12"/>
      <c r="L112" s="1" t="s">
        <v>881</v>
      </c>
      <c r="M112" s="1" t="s">
        <v>882</v>
      </c>
      <c r="N112" s="1" t="s">
        <v>849</v>
      </c>
      <c r="O112" s="1" t="s">
        <v>883</v>
      </c>
      <c r="P112" s="1" t="s">
        <v>859</v>
      </c>
      <c r="R112" s="12" t="s">
        <v>307</v>
      </c>
      <c r="W112" s="1" t="s">
        <v>314</v>
      </c>
      <c r="X112" s="1" t="s">
        <v>314</v>
      </c>
      <c r="AA112" s="1" t="s">
        <v>315</v>
      </c>
      <c r="AB112" s="1" t="s">
        <v>852</v>
      </c>
      <c r="AD112" s="1" t="s">
        <v>303</v>
      </c>
    </row>
    <row r="113" customFormat="false" ht="15" hidden="false" customHeight="true" outlineLevel="0" collapsed="false">
      <c r="A113" s="1" t="s">
        <v>884</v>
      </c>
      <c r="B113" s="1" t="s">
        <v>885</v>
      </c>
      <c r="C113" s="1" t="s">
        <v>24</v>
      </c>
      <c r="D113" s="12" t="s">
        <v>303</v>
      </c>
      <c r="E113" s="1" t="s">
        <v>304</v>
      </c>
      <c r="F113" s="1" t="s">
        <v>845</v>
      </c>
      <c r="G113" s="1" t="s">
        <v>306</v>
      </c>
      <c r="H113" s="12" t="s">
        <v>303</v>
      </c>
      <c r="I113" s="1" t="s">
        <v>307</v>
      </c>
      <c r="J113" s="1" t="s">
        <v>886</v>
      </c>
      <c r="K113" s="12"/>
      <c r="L113" s="1" t="s">
        <v>310</v>
      </c>
      <c r="M113" s="1" t="s">
        <v>887</v>
      </c>
      <c r="N113" s="1" t="s">
        <v>849</v>
      </c>
      <c r="O113" s="1" t="s">
        <v>888</v>
      </c>
      <c r="P113" s="1" t="s">
        <v>859</v>
      </c>
      <c r="R113" s="12" t="s">
        <v>307</v>
      </c>
      <c r="W113" s="1" t="s">
        <v>314</v>
      </c>
      <c r="X113" s="1" t="s">
        <v>314</v>
      </c>
      <c r="AA113" s="1" t="s">
        <v>315</v>
      </c>
      <c r="AB113" s="1" t="s">
        <v>852</v>
      </c>
      <c r="AD113" s="1" t="s">
        <v>303</v>
      </c>
    </row>
    <row r="114" customFormat="false" ht="15" hidden="false" customHeight="true" outlineLevel="0" collapsed="false">
      <c r="A114" s="1" t="s">
        <v>889</v>
      </c>
      <c r="B114" s="1" t="s">
        <v>890</v>
      </c>
      <c r="C114" s="1" t="s">
        <v>24</v>
      </c>
      <c r="D114" s="12" t="s">
        <v>303</v>
      </c>
      <c r="E114" s="1" t="s">
        <v>304</v>
      </c>
      <c r="F114" s="1" t="s">
        <v>845</v>
      </c>
      <c r="G114" s="1" t="s">
        <v>306</v>
      </c>
      <c r="H114" s="12" t="s">
        <v>303</v>
      </c>
      <c r="I114" s="1" t="s">
        <v>307</v>
      </c>
      <c r="J114" s="1" t="s">
        <v>891</v>
      </c>
      <c r="K114" s="12"/>
      <c r="L114" s="1" t="s">
        <v>892</v>
      </c>
      <c r="M114" s="1" t="s">
        <v>893</v>
      </c>
      <c r="N114" s="1" t="s">
        <v>849</v>
      </c>
      <c r="O114" s="1" t="s">
        <v>894</v>
      </c>
      <c r="P114" s="1" t="s">
        <v>895</v>
      </c>
      <c r="R114" s="12" t="s">
        <v>307</v>
      </c>
      <c r="W114" s="1" t="s">
        <v>314</v>
      </c>
      <c r="X114" s="1" t="s">
        <v>314</v>
      </c>
      <c r="AA114" s="1" t="s">
        <v>315</v>
      </c>
      <c r="AB114" s="1" t="s">
        <v>852</v>
      </c>
      <c r="AD114" s="1" t="s">
        <v>303</v>
      </c>
    </row>
    <row r="115" customFormat="false" ht="15" hidden="false" customHeight="true" outlineLevel="0" collapsed="false">
      <c r="A115" s="1" t="s">
        <v>896</v>
      </c>
      <c r="B115" s="1" t="s">
        <v>897</v>
      </c>
      <c r="C115" s="1" t="s">
        <v>24</v>
      </c>
      <c r="D115" s="12" t="s">
        <v>303</v>
      </c>
      <c r="E115" s="1" t="s">
        <v>304</v>
      </c>
      <c r="F115" s="1" t="s">
        <v>845</v>
      </c>
      <c r="G115" s="1" t="s">
        <v>306</v>
      </c>
      <c r="H115" s="12" t="s">
        <v>303</v>
      </c>
      <c r="I115" s="1" t="s">
        <v>307</v>
      </c>
      <c r="J115" s="1" t="s">
        <v>898</v>
      </c>
      <c r="K115" s="12"/>
      <c r="L115" s="1" t="s">
        <v>310</v>
      </c>
      <c r="M115" s="1" t="s">
        <v>899</v>
      </c>
      <c r="N115" s="1" t="s">
        <v>849</v>
      </c>
      <c r="O115" s="1" t="s">
        <v>900</v>
      </c>
      <c r="P115" s="1" t="s">
        <v>859</v>
      </c>
      <c r="R115" s="12" t="s">
        <v>307</v>
      </c>
      <c r="W115" s="1" t="s">
        <v>314</v>
      </c>
      <c r="X115" s="1" t="s">
        <v>314</v>
      </c>
      <c r="AA115" s="1" t="s">
        <v>315</v>
      </c>
      <c r="AB115" s="1" t="s">
        <v>852</v>
      </c>
      <c r="AD115" s="1" t="s">
        <v>303</v>
      </c>
    </row>
    <row r="116" customFormat="false" ht="15" hidden="false" customHeight="true" outlineLevel="0" collapsed="false">
      <c r="A116" s="1" t="s">
        <v>623</v>
      </c>
      <c r="B116" s="1" t="s">
        <v>624</v>
      </c>
      <c r="C116" s="1" t="s">
        <v>24</v>
      </c>
      <c r="D116" s="12" t="s">
        <v>303</v>
      </c>
      <c r="E116" s="1" t="s">
        <v>304</v>
      </c>
      <c r="F116" s="1" t="s">
        <v>845</v>
      </c>
      <c r="G116" s="1" t="s">
        <v>306</v>
      </c>
      <c r="H116" s="12" t="s">
        <v>303</v>
      </c>
      <c r="I116" s="1" t="s">
        <v>307</v>
      </c>
      <c r="J116" s="1" t="s">
        <v>901</v>
      </c>
      <c r="K116" s="12"/>
      <c r="L116" s="1" t="s">
        <v>902</v>
      </c>
      <c r="M116" s="1" t="s">
        <v>903</v>
      </c>
      <c r="N116" s="1" t="s">
        <v>849</v>
      </c>
      <c r="O116" s="1" t="s">
        <v>904</v>
      </c>
      <c r="P116" s="1" t="s">
        <v>859</v>
      </c>
      <c r="R116" s="12" t="s">
        <v>307</v>
      </c>
      <c r="W116" s="1" t="s">
        <v>314</v>
      </c>
      <c r="X116" s="1" t="s">
        <v>314</v>
      </c>
      <c r="AA116" s="1" t="s">
        <v>315</v>
      </c>
      <c r="AB116" s="1" t="s">
        <v>852</v>
      </c>
      <c r="AD116" s="1" t="s">
        <v>303</v>
      </c>
    </row>
    <row r="117" customFormat="false" ht="15" hidden="false" customHeight="true" outlineLevel="0" collapsed="false">
      <c r="A117" s="1" t="s">
        <v>905</v>
      </c>
      <c r="B117" s="1" t="s">
        <v>906</v>
      </c>
      <c r="C117" s="1" t="s">
        <v>24</v>
      </c>
      <c r="D117" s="12" t="s">
        <v>303</v>
      </c>
      <c r="E117" s="1" t="s">
        <v>304</v>
      </c>
      <c r="F117" s="1" t="s">
        <v>845</v>
      </c>
      <c r="G117" s="1" t="s">
        <v>306</v>
      </c>
      <c r="H117" s="12" t="s">
        <v>303</v>
      </c>
      <c r="I117" s="1" t="s">
        <v>307</v>
      </c>
      <c r="J117" s="1" t="s">
        <v>907</v>
      </c>
      <c r="K117" s="12"/>
      <c r="L117" s="1" t="s">
        <v>310</v>
      </c>
      <c r="M117" s="1" t="s">
        <v>908</v>
      </c>
      <c r="N117" s="1" t="s">
        <v>849</v>
      </c>
      <c r="O117" s="1" t="s">
        <v>909</v>
      </c>
      <c r="P117" s="1" t="s">
        <v>859</v>
      </c>
      <c r="R117" s="12" t="s">
        <v>307</v>
      </c>
      <c r="W117" s="1" t="s">
        <v>314</v>
      </c>
      <c r="X117" s="1" t="s">
        <v>314</v>
      </c>
      <c r="AA117" s="1" t="s">
        <v>315</v>
      </c>
      <c r="AB117" s="1" t="s">
        <v>852</v>
      </c>
      <c r="AD117" s="1" t="s">
        <v>303</v>
      </c>
    </row>
    <row r="118" customFormat="false" ht="15" hidden="false" customHeight="true" outlineLevel="0" collapsed="false">
      <c r="A118" s="1" t="s">
        <v>910</v>
      </c>
      <c r="B118" s="1" t="s">
        <v>911</v>
      </c>
      <c r="C118" s="1" t="s">
        <v>24</v>
      </c>
      <c r="D118" s="12" t="s">
        <v>303</v>
      </c>
      <c r="E118" s="1" t="s">
        <v>304</v>
      </c>
      <c r="F118" s="1" t="s">
        <v>845</v>
      </c>
      <c r="G118" s="1" t="s">
        <v>306</v>
      </c>
      <c r="H118" s="12" t="s">
        <v>303</v>
      </c>
      <c r="I118" s="1" t="s">
        <v>307</v>
      </c>
      <c r="J118" s="1" t="s">
        <v>912</v>
      </c>
      <c r="K118" s="12"/>
      <c r="L118" s="1" t="s">
        <v>310</v>
      </c>
      <c r="M118" s="1" t="s">
        <v>913</v>
      </c>
      <c r="N118" s="1" t="s">
        <v>849</v>
      </c>
      <c r="O118" s="1" t="s">
        <v>914</v>
      </c>
      <c r="P118" s="1" t="s">
        <v>859</v>
      </c>
      <c r="R118" s="12" t="s">
        <v>307</v>
      </c>
      <c r="W118" s="1" t="s">
        <v>314</v>
      </c>
      <c r="X118" s="1" t="s">
        <v>314</v>
      </c>
      <c r="AA118" s="1" t="s">
        <v>315</v>
      </c>
      <c r="AB118" s="1" t="s">
        <v>852</v>
      </c>
      <c r="AD118" s="1" t="s">
        <v>303</v>
      </c>
    </row>
    <row r="119" customFormat="false" ht="15" hidden="false" customHeight="true" outlineLevel="0" collapsed="false">
      <c r="A119" s="1" t="s">
        <v>915</v>
      </c>
      <c r="B119" s="1" t="s">
        <v>916</v>
      </c>
      <c r="C119" s="1" t="s">
        <v>24</v>
      </c>
      <c r="D119" s="12" t="s">
        <v>303</v>
      </c>
      <c r="E119" s="1" t="s">
        <v>304</v>
      </c>
      <c r="F119" s="1" t="s">
        <v>845</v>
      </c>
      <c r="G119" s="1" t="s">
        <v>306</v>
      </c>
      <c r="H119" s="12" t="s">
        <v>303</v>
      </c>
      <c r="I119" s="1" t="s">
        <v>307</v>
      </c>
      <c r="J119" s="1" t="s">
        <v>917</v>
      </c>
      <c r="K119" s="12"/>
      <c r="L119" s="1" t="s">
        <v>310</v>
      </c>
      <c r="M119" s="1" t="s">
        <v>918</v>
      </c>
      <c r="N119" s="1" t="s">
        <v>849</v>
      </c>
      <c r="O119" s="1" t="s">
        <v>919</v>
      </c>
      <c r="P119" s="1" t="s">
        <v>859</v>
      </c>
      <c r="R119" s="12" t="s">
        <v>307</v>
      </c>
      <c r="W119" s="1" t="s">
        <v>314</v>
      </c>
      <c r="X119" s="1" t="s">
        <v>314</v>
      </c>
      <c r="AA119" s="1" t="s">
        <v>315</v>
      </c>
      <c r="AB119" s="1" t="s">
        <v>852</v>
      </c>
      <c r="AD119" s="1" t="s">
        <v>303</v>
      </c>
    </row>
    <row r="120" customFormat="false" ht="15" hidden="false" customHeight="true" outlineLevel="0" collapsed="false">
      <c r="A120" s="1" t="s">
        <v>920</v>
      </c>
      <c r="B120" s="1" t="s">
        <v>921</v>
      </c>
      <c r="C120" s="1" t="s">
        <v>24</v>
      </c>
      <c r="D120" s="12" t="s">
        <v>303</v>
      </c>
      <c r="E120" s="1" t="s">
        <v>304</v>
      </c>
      <c r="F120" s="1" t="s">
        <v>845</v>
      </c>
      <c r="G120" s="1" t="s">
        <v>306</v>
      </c>
      <c r="H120" s="12" t="s">
        <v>303</v>
      </c>
      <c r="I120" s="1" t="s">
        <v>307</v>
      </c>
      <c r="J120" s="1" t="s">
        <v>922</v>
      </c>
      <c r="K120" s="12"/>
      <c r="L120" s="1" t="s">
        <v>310</v>
      </c>
      <c r="M120" s="1" t="s">
        <v>923</v>
      </c>
      <c r="N120" s="1" t="s">
        <v>849</v>
      </c>
      <c r="O120" s="1" t="s">
        <v>924</v>
      </c>
      <c r="P120" s="1" t="s">
        <v>859</v>
      </c>
      <c r="R120" s="12" t="s">
        <v>307</v>
      </c>
      <c r="W120" s="1" t="s">
        <v>314</v>
      </c>
      <c r="X120" s="1" t="s">
        <v>314</v>
      </c>
      <c r="AA120" s="1" t="s">
        <v>315</v>
      </c>
      <c r="AB120" s="1" t="s">
        <v>852</v>
      </c>
      <c r="AD120" s="1" t="s">
        <v>303</v>
      </c>
    </row>
    <row r="121" customFormat="false" ht="15" hidden="false" customHeight="true" outlineLevel="0" collapsed="false">
      <c r="A121" s="1" t="s">
        <v>925</v>
      </c>
      <c r="B121" s="1" t="s">
        <v>926</v>
      </c>
      <c r="C121" s="1" t="s">
        <v>24</v>
      </c>
      <c r="D121" s="12" t="s">
        <v>303</v>
      </c>
      <c r="E121" s="1" t="s">
        <v>304</v>
      </c>
      <c r="F121" s="1" t="s">
        <v>845</v>
      </c>
      <c r="G121" s="1" t="s">
        <v>306</v>
      </c>
      <c r="H121" s="12" t="s">
        <v>303</v>
      </c>
      <c r="I121" s="1" t="s">
        <v>307</v>
      </c>
      <c r="J121" s="1" t="s">
        <v>927</v>
      </c>
      <c r="K121" s="12"/>
      <c r="L121" s="1" t="s">
        <v>928</v>
      </c>
      <c r="M121" s="1" t="s">
        <v>929</v>
      </c>
      <c r="N121" s="1" t="s">
        <v>849</v>
      </c>
      <c r="O121" s="1" t="s">
        <v>930</v>
      </c>
      <c r="P121" s="1" t="s">
        <v>931</v>
      </c>
      <c r="R121" s="12" t="s">
        <v>307</v>
      </c>
      <c r="W121" s="1" t="s">
        <v>314</v>
      </c>
      <c r="X121" s="1" t="s">
        <v>314</v>
      </c>
      <c r="AA121" s="1" t="s">
        <v>315</v>
      </c>
      <c r="AB121" s="1" t="s">
        <v>852</v>
      </c>
      <c r="AD121" s="1" t="s">
        <v>303</v>
      </c>
    </row>
    <row r="122" customFormat="false" ht="15" hidden="false" customHeight="true" outlineLevel="0" collapsed="false">
      <c r="A122" s="1" t="s">
        <v>932</v>
      </c>
      <c r="B122" s="1" t="s">
        <v>933</v>
      </c>
      <c r="C122" s="1" t="s">
        <v>27</v>
      </c>
      <c r="D122" s="12" t="s">
        <v>303</v>
      </c>
      <c r="E122" s="1" t="s">
        <v>304</v>
      </c>
      <c r="F122" s="1" t="s">
        <v>934</v>
      </c>
      <c r="G122" s="1" t="s">
        <v>306</v>
      </c>
      <c r="H122" s="12" t="s">
        <v>303</v>
      </c>
      <c r="I122" s="1" t="s">
        <v>307</v>
      </c>
      <c r="J122" s="1" t="s">
        <v>935</v>
      </c>
      <c r="K122" s="12"/>
      <c r="L122" s="1" t="s">
        <v>936</v>
      </c>
      <c r="M122" s="1" t="s">
        <v>937</v>
      </c>
      <c r="N122" s="1" t="s">
        <v>938</v>
      </c>
      <c r="P122" s="1" t="s">
        <v>939</v>
      </c>
      <c r="Q122" s="1" t="s">
        <v>940</v>
      </c>
      <c r="R122" s="12" t="s">
        <v>307</v>
      </c>
      <c r="W122" s="1" t="s">
        <v>314</v>
      </c>
      <c r="X122" s="1" t="s">
        <v>314</v>
      </c>
      <c r="AA122" s="1" t="s">
        <v>315</v>
      </c>
      <c r="AB122" s="1" t="s">
        <v>941</v>
      </c>
      <c r="AD122" s="1" t="s">
        <v>303</v>
      </c>
    </row>
    <row r="123" customFormat="false" ht="15" hidden="false" customHeight="true" outlineLevel="0" collapsed="false">
      <c r="A123" s="1" t="s">
        <v>942</v>
      </c>
      <c r="B123" s="1" t="s">
        <v>943</v>
      </c>
      <c r="C123" s="1" t="s">
        <v>27</v>
      </c>
      <c r="D123" s="12" t="s">
        <v>303</v>
      </c>
      <c r="E123" s="1" t="s">
        <v>304</v>
      </c>
      <c r="F123" s="1" t="s">
        <v>934</v>
      </c>
      <c r="G123" s="1" t="s">
        <v>306</v>
      </c>
      <c r="H123" s="12" t="s">
        <v>303</v>
      </c>
      <c r="I123" s="1" t="s">
        <v>307</v>
      </c>
      <c r="J123" s="1" t="s">
        <v>944</v>
      </c>
      <c r="K123" s="12"/>
      <c r="L123" s="1" t="s">
        <v>945</v>
      </c>
      <c r="M123" s="1" t="s">
        <v>946</v>
      </c>
      <c r="N123" s="1" t="s">
        <v>938</v>
      </c>
      <c r="P123" s="1" t="s">
        <v>947</v>
      </c>
      <c r="Q123" s="1" t="s">
        <v>948</v>
      </c>
      <c r="R123" s="12" t="s">
        <v>307</v>
      </c>
      <c r="W123" s="1" t="s">
        <v>314</v>
      </c>
      <c r="X123" s="1" t="s">
        <v>314</v>
      </c>
      <c r="AA123" s="1" t="s">
        <v>315</v>
      </c>
      <c r="AB123" s="1" t="s">
        <v>949</v>
      </c>
      <c r="AD123" s="1" t="s">
        <v>303</v>
      </c>
    </row>
    <row r="124" customFormat="false" ht="15" hidden="false" customHeight="true" outlineLevel="0" collapsed="false">
      <c r="A124" s="1" t="s">
        <v>950</v>
      </c>
      <c r="B124" s="1" t="s">
        <v>951</v>
      </c>
      <c r="C124" s="1" t="s">
        <v>27</v>
      </c>
      <c r="D124" s="12" t="s">
        <v>303</v>
      </c>
      <c r="E124" s="1" t="s">
        <v>304</v>
      </c>
      <c r="F124" s="1" t="s">
        <v>934</v>
      </c>
      <c r="G124" s="1" t="s">
        <v>306</v>
      </c>
      <c r="H124" s="12" t="s">
        <v>303</v>
      </c>
      <c r="I124" s="1" t="s">
        <v>307</v>
      </c>
      <c r="J124" s="1" t="s">
        <v>952</v>
      </c>
      <c r="K124" s="12"/>
      <c r="L124" s="1" t="s">
        <v>953</v>
      </c>
      <c r="M124" s="1" t="s">
        <v>954</v>
      </c>
      <c r="N124" s="1" t="s">
        <v>938</v>
      </c>
      <c r="P124" s="1" t="s">
        <v>955</v>
      </c>
      <c r="Q124" s="1" t="s">
        <v>956</v>
      </c>
      <c r="R124" s="12" t="s">
        <v>307</v>
      </c>
      <c r="W124" s="1" t="s">
        <v>314</v>
      </c>
      <c r="X124" s="1" t="s">
        <v>314</v>
      </c>
      <c r="AA124" s="1" t="s">
        <v>315</v>
      </c>
      <c r="AB124" s="1" t="s">
        <v>957</v>
      </c>
      <c r="AD124" s="1" t="s">
        <v>303</v>
      </c>
    </row>
    <row r="125" customFormat="false" ht="15" hidden="false" customHeight="true" outlineLevel="0" collapsed="false">
      <c r="A125" s="1" t="s">
        <v>958</v>
      </c>
      <c r="B125" s="1" t="s">
        <v>959</v>
      </c>
      <c r="C125" s="1" t="s">
        <v>27</v>
      </c>
      <c r="D125" s="12" t="s">
        <v>303</v>
      </c>
      <c r="E125" s="1" t="s">
        <v>304</v>
      </c>
      <c r="F125" s="1" t="s">
        <v>934</v>
      </c>
      <c r="G125" s="1" t="s">
        <v>306</v>
      </c>
      <c r="H125" s="12" t="s">
        <v>303</v>
      </c>
      <c r="I125" s="1" t="s">
        <v>307</v>
      </c>
      <c r="J125" s="1" t="s">
        <v>960</v>
      </c>
      <c r="K125" s="12"/>
      <c r="L125" s="1" t="s">
        <v>961</v>
      </c>
      <c r="M125" s="1" t="s">
        <v>962</v>
      </c>
      <c r="N125" s="1" t="s">
        <v>938</v>
      </c>
      <c r="P125" s="1" t="s">
        <v>963</v>
      </c>
      <c r="Q125" s="1" t="s">
        <v>948</v>
      </c>
      <c r="R125" s="12" t="s">
        <v>307</v>
      </c>
      <c r="W125" s="1" t="s">
        <v>314</v>
      </c>
      <c r="X125" s="1" t="s">
        <v>314</v>
      </c>
      <c r="AA125" s="1" t="s">
        <v>315</v>
      </c>
      <c r="AB125" s="1" t="s">
        <v>949</v>
      </c>
      <c r="AD125" s="1" t="s">
        <v>303</v>
      </c>
    </row>
    <row r="126" customFormat="false" ht="15" hidden="false" customHeight="true" outlineLevel="0" collapsed="false">
      <c r="A126" s="1" t="s">
        <v>964</v>
      </c>
      <c r="B126" s="1" t="s">
        <v>965</v>
      </c>
      <c r="C126" s="1" t="s">
        <v>27</v>
      </c>
      <c r="D126" s="12" t="s">
        <v>303</v>
      </c>
      <c r="E126" s="1" t="s">
        <v>304</v>
      </c>
      <c r="F126" s="1" t="s">
        <v>934</v>
      </c>
      <c r="G126" s="1" t="s">
        <v>306</v>
      </c>
      <c r="H126" s="12" t="s">
        <v>303</v>
      </c>
      <c r="I126" s="1" t="s">
        <v>307</v>
      </c>
      <c r="J126" s="1" t="s">
        <v>966</v>
      </c>
      <c r="K126" s="12"/>
      <c r="L126" s="1" t="s">
        <v>967</v>
      </c>
      <c r="M126" s="1" t="s">
        <v>968</v>
      </c>
      <c r="N126" s="1" t="s">
        <v>938</v>
      </c>
      <c r="P126" s="1" t="s">
        <v>969</v>
      </c>
      <c r="Q126" s="1" t="s">
        <v>948</v>
      </c>
      <c r="R126" s="12" t="s">
        <v>307</v>
      </c>
      <c r="W126" s="1" t="s">
        <v>314</v>
      </c>
      <c r="X126" s="1" t="s">
        <v>314</v>
      </c>
      <c r="AA126" s="1" t="s">
        <v>315</v>
      </c>
      <c r="AB126" s="1" t="s">
        <v>949</v>
      </c>
      <c r="AD126" s="1" t="s">
        <v>303</v>
      </c>
    </row>
    <row r="127" customFormat="false" ht="15" hidden="false" customHeight="true" outlineLevel="0" collapsed="false">
      <c r="A127" s="1" t="s">
        <v>970</v>
      </c>
      <c r="B127" s="1" t="s">
        <v>971</v>
      </c>
      <c r="C127" s="1" t="s">
        <v>27</v>
      </c>
      <c r="D127" s="12" t="s">
        <v>303</v>
      </c>
      <c r="E127" s="1" t="s">
        <v>304</v>
      </c>
      <c r="F127" s="1" t="s">
        <v>934</v>
      </c>
      <c r="G127" s="1" t="s">
        <v>306</v>
      </c>
      <c r="H127" s="12" t="s">
        <v>303</v>
      </c>
      <c r="I127" s="1" t="s">
        <v>307</v>
      </c>
      <c r="J127" s="1" t="s">
        <v>972</v>
      </c>
      <c r="K127" s="12"/>
      <c r="L127" s="1" t="s">
        <v>973</v>
      </c>
      <c r="M127" s="1" t="s">
        <v>974</v>
      </c>
      <c r="N127" s="1" t="s">
        <v>938</v>
      </c>
      <c r="P127" s="1" t="s">
        <v>975</v>
      </c>
      <c r="Q127" s="1" t="s">
        <v>976</v>
      </c>
      <c r="R127" s="12" t="s">
        <v>307</v>
      </c>
      <c r="W127" s="1" t="s">
        <v>314</v>
      </c>
      <c r="X127" s="1" t="s">
        <v>314</v>
      </c>
      <c r="AA127" s="1" t="s">
        <v>315</v>
      </c>
      <c r="AB127" s="1" t="s">
        <v>977</v>
      </c>
      <c r="AD127" s="1" t="s">
        <v>303</v>
      </c>
    </row>
    <row r="128" customFormat="false" ht="15" hidden="false" customHeight="true" outlineLevel="0" collapsed="false">
      <c r="A128" s="1" t="s">
        <v>978</v>
      </c>
      <c r="B128" s="1" t="s">
        <v>979</v>
      </c>
      <c r="C128" s="1" t="s">
        <v>27</v>
      </c>
      <c r="D128" s="12" t="s">
        <v>303</v>
      </c>
      <c r="E128" s="1" t="s">
        <v>304</v>
      </c>
      <c r="F128" s="1" t="s">
        <v>934</v>
      </c>
      <c r="G128" s="1" t="s">
        <v>306</v>
      </c>
      <c r="H128" s="12" t="s">
        <v>303</v>
      </c>
      <c r="I128" s="1" t="s">
        <v>307</v>
      </c>
      <c r="J128" s="1" t="s">
        <v>980</v>
      </c>
      <c r="K128" s="12"/>
      <c r="L128" s="1" t="s">
        <v>981</v>
      </c>
      <c r="M128" s="1" t="s">
        <v>982</v>
      </c>
      <c r="N128" s="1" t="s">
        <v>938</v>
      </c>
      <c r="P128" s="1" t="s">
        <v>983</v>
      </c>
      <c r="Q128" s="1" t="s">
        <v>984</v>
      </c>
      <c r="R128" s="12" t="s">
        <v>307</v>
      </c>
      <c r="W128" s="1" t="s">
        <v>314</v>
      </c>
      <c r="X128" s="1" t="s">
        <v>314</v>
      </c>
      <c r="AA128" s="1" t="s">
        <v>315</v>
      </c>
      <c r="AB128" s="1" t="s">
        <v>985</v>
      </c>
      <c r="AD128" s="1" t="s">
        <v>303</v>
      </c>
    </row>
    <row r="129" customFormat="false" ht="15" hidden="false" customHeight="true" outlineLevel="0" collapsed="false">
      <c r="A129" s="1" t="s">
        <v>986</v>
      </c>
      <c r="B129" s="1" t="s">
        <v>987</v>
      </c>
      <c r="C129" s="1" t="s">
        <v>27</v>
      </c>
      <c r="D129" s="12" t="s">
        <v>303</v>
      </c>
      <c r="E129" s="1" t="s">
        <v>304</v>
      </c>
      <c r="F129" s="1" t="s">
        <v>934</v>
      </c>
      <c r="G129" s="1" t="s">
        <v>306</v>
      </c>
      <c r="H129" s="12" t="s">
        <v>303</v>
      </c>
      <c r="I129" s="1" t="s">
        <v>307</v>
      </c>
      <c r="J129" s="1" t="s">
        <v>988</v>
      </c>
      <c r="K129" s="12"/>
      <c r="L129" s="1" t="s">
        <v>989</v>
      </c>
      <c r="M129" s="1" t="s">
        <v>990</v>
      </c>
      <c r="N129" s="1" t="s">
        <v>938</v>
      </c>
      <c r="P129" s="1" t="s">
        <v>991</v>
      </c>
      <c r="Q129" s="1" t="s">
        <v>948</v>
      </c>
      <c r="R129" s="12" t="s">
        <v>307</v>
      </c>
      <c r="W129" s="1" t="s">
        <v>314</v>
      </c>
      <c r="X129" s="1" t="s">
        <v>314</v>
      </c>
      <c r="AA129" s="1" t="s">
        <v>315</v>
      </c>
      <c r="AB129" s="1" t="s">
        <v>992</v>
      </c>
      <c r="AD129" s="1" t="s">
        <v>303</v>
      </c>
    </row>
    <row r="130" customFormat="false" ht="15" hidden="false" customHeight="true" outlineLevel="0" collapsed="false">
      <c r="A130" s="1" t="s">
        <v>993</v>
      </c>
      <c r="B130" s="1" t="s">
        <v>994</v>
      </c>
      <c r="C130" s="1" t="s">
        <v>27</v>
      </c>
      <c r="D130" s="12" t="s">
        <v>303</v>
      </c>
      <c r="E130" s="1" t="s">
        <v>304</v>
      </c>
      <c r="F130" s="1" t="s">
        <v>934</v>
      </c>
      <c r="G130" s="1" t="s">
        <v>306</v>
      </c>
      <c r="H130" s="12" t="s">
        <v>303</v>
      </c>
      <c r="I130" s="1" t="s">
        <v>307</v>
      </c>
      <c r="J130" s="1" t="s">
        <v>995</v>
      </c>
      <c r="K130" s="12"/>
      <c r="L130" s="1" t="s">
        <v>996</v>
      </c>
      <c r="M130" s="1" t="s">
        <v>997</v>
      </c>
      <c r="N130" s="1" t="s">
        <v>938</v>
      </c>
      <c r="P130" s="1" t="s">
        <v>998</v>
      </c>
      <c r="Q130" s="1" t="s">
        <v>948</v>
      </c>
      <c r="R130" s="12" t="s">
        <v>307</v>
      </c>
      <c r="W130" s="1" t="s">
        <v>314</v>
      </c>
      <c r="X130" s="1" t="s">
        <v>314</v>
      </c>
      <c r="AA130" s="1" t="s">
        <v>315</v>
      </c>
      <c r="AB130" s="1" t="s">
        <v>999</v>
      </c>
      <c r="AD130" s="1" t="s">
        <v>303</v>
      </c>
    </row>
    <row r="131" customFormat="false" ht="15" hidden="false" customHeight="true" outlineLevel="0" collapsed="false">
      <c r="A131" s="1" t="s">
        <v>1000</v>
      </c>
      <c r="B131" s="1" t="s">
        <v>1001</v>
      </c>
      <c r="C131" s="1" t="s">
        <v>27</v>
      </c>
      <c r="D131" s="12" t="s">
        <v>303</v>
      </c>
      <c r="E131" s="1" t="s">
        <v>304</v>
      </c>
      <c r="F131" s="1" t="s">
        <v>934</v>
      </c>
      <c r="G131" s="1" t="s">
        <v>306</v>
      </c>
      <c r="H131" s="12" t="s">
        <v>303</v>
      </c>
      <c r="I131" s="1" t="s">
        <v>307</v>
      </c>
      <c r="J131" s="1" t="s">
        <v>1002</v>
      </c>
      <c r="K131" s="12"/>
      <c r="L131" s="1" t="s">
        <v>1003</v>
      </c>
      <c r="M131" s="1" t="s">
        <v>1004</v>
      </c>
      <c r="N131" s="1" t="s">
        <v>938</v>
      </c>
      <c r="P131" s="1" t="s">
        <v>1005</v>
      </c>
      <c r="Q131" s="1" t="s">
        <v>948</v>
      </c>
      <c r="R131" s="12" t="s">
        <v>307</v>
      </c>
      <c r="W131" s="1" t="s">
        <v>314</v>
      </c>
      <c r="X131" s="1" t="s">
        <v>314</v>
      </c>
      <c r="AA131" s="1" t="s">
        <v>315</v>
      </c>
      <c r="AB131" s="1" t="s">
        <v>949</v>
      </c>
      <c r="AD131" s="1" t="s">
        <v>303</v>
      </c>
    </row>
    <row r="132" customFormat="false" ht="15" hidden="false" customHeight="true" outlineLevel="0" collapsed="false">
      <c r="A132" s="1" t="s">
        <v>1006</v>
      </c>
      <c r="B132" s="1" t="s">
        <v>1007</v>
      </c>
      <c r="C132" s="1" t="s">
        <v>27</v>
      </c>
      <c r="D132" s="12" t="s">
        <v>303</v>
      </c>
      <c r="E132" s="1" t="s">
        <v>304</v>
      </c>
      <c r="F132" s="1" t="s">
        <v>934</v>
      </c>
      <c r="G132" s="1" t="s">
        <v>306</v>
      </c>
      <c r="H132" s="12" t="s">
        <v>303</v>
      </c>
      <c r="I132" s="1" t="s">
        <v>307</v>
      </c>
      <c r="J132" s="1" t="s">
        <v>1008</v>
      </c>
      <c r="K132" s="12"/>
      <c r="L132" s="1" t="s">
        <v>1009</v>
      </c>
      <c r="M132" s="1" t="s">
        <v>1010</v>
      </c>
      <c r="N132" s="1" t="s">
        <v>938</v>
      </c>
      <c r="P132" s="1" t="s">
        <v>1011</v>
      </c>
      <c r="Q132" s="1" t="s">
        <v>948</v>
      </c>
      <c r="R132" s="12" t="s">
        <v>307</v>
      </c>
      <c r="W132" s="1" t="s">
        <v>314</v>
      </c>
      <c r="X132" s="1" t="s">
        <v>314</v>
      </c>
      <c r="AA132" s="1" t="s">
        <v>315</v>
      </c>
      <c r="AB132" s="1" t="s">
        <v>1012</v>
      </c>
      <c r="AD132" s="1" t="s">
        <v>303</v>
      </c>
    </row>
    <row r="133" customFormat="false" ht="15" hidden="false" customHeight="true" outlineLevel="0" collapsed="false">
      <c r="A133" s="1" t="s">
        <v>1013</v>
      </c>
      <c r="B133" s="1" t="s">
        <v>1014</v>
      </c>
      <c r="C133" s="1" t="s">
        <v>27</v>
      </c>
      <c r="D133" s="12" t="s">
        <v>303</v>
      </c>
      <c r="E133" s="1" t="s">
        <v>304</v>
      </c>
      <c r="F133" s="1" t="s">
        <v>934</v>
      </c>
      <c r="G133" s="1" t="s">
        <v>306</v>
      </c>
      <c r="H133" s="12" t="s">
        <v>303</v>
      </c>
      <c r="I133" s="1" t="s">
        <v>307</v>
      </c>
      <c r="J133" s="1" t="s">
        <v>1015</v>
      </c>
      <c r="K133" s="12"/>
      <c r="L133" s="1" t="s">
        <v>1016</v>
      </c>
      <c r="M133" s="1" t="s">
        <v>1017</v>
      </c>
      <c r="N133" s="1" t="s">
        <v>938</v>
      </c>
      <c r="P133" s="1" t="s">
        <v>1018</v>
      </c>
      <c r="Q133" s="1" t="s">
        <v>948</v>
      </c>
      <c r="R133" s="12" t="s">
        <v>307</v>
      </c>
      <c r="W133" s="1" t="s">
        <v>314</v>
      </c>
      <c r="X133" s="1" t="s">
        <v>314</v>
      </c>
      <c r="AA133" s="1" t="s">
        <v>315</v>
      </c>
      <c r="AB133" s="1" t="s">
        <v>1019</v>
      </c>
      <c r="AD133" s="1" t="s">
        <v>303</v>
      </c>
    </row>
    <row r="134" customFormat="false" ht="15" hidden="false" customHeight="true" outlineLevel="0" collapsed="false">
      <c r="A134" s="1" t="s">
        <v>1020</v>
      </c>
      <c r="B134" s="1" t="s">
        <v>1021</v>
      </c>
      <c r="C134" s="1" t="s">
        <v>27</v>
      </c>
      <c r="D134" s="12" t="s">
        <v>303</v>
      </c>
      <c r="E134" s="1" t="s">
        <v>304</v>
      </c>
      <c r="F134" s="1" t="s">
        <v>934</v>
      </c>
      <c r="G134" s="1" t="s">
        <v>306</v>
      </c>
      <c r="H134" s="12" t="s">
        <v>303</v>
      </c>
      <c r="I134" s="1" t="s">
        <v>307</v>
      </c>
      <c r="J134" s="1" t="s">
        <v>1022</v>
      </c>
      <c r="K134" s="12"/>
      <c r="L134" s="1" t="s">
        <v>1023</v>
      </c>
      <c r="M134" s="1" t="s">
        <v>1024</v>
      </c>
      <c r="N134" s="1" t="s">
        <v>938</v>
      </c>
      <c r="P134" s="1" t="s">
        <v>1025</v>
      </c>
      <c r="Q134" s="1" t="s">
        <v>1026</v>
      </c>
      <c r="R134" s="12" t="s">
        <v>307</v>
      </c>
      <c r="W134" s="1" t="s">
        <v>314</v>
      </c>
      <c r="X134" s="1" t="s">
        <v>314</v>
      </c>
      <c r="AA134" s="1" t="s">
        <v>315</v>
      </c>
      <c r="AB134" s="1" t="s">
        <v>949</v>
      </c>
      <c r="AD134" s="1" t="s">
        <v>303</v>
      </c>
    </row>
    <row r="135" customFormat="false" ht="15" hidden="false" customHeight="true" outlineLevel="0" collapsed="false">
      <c r="A135" s="1" t="s">
        <v>1027</v>
      </c>
      <c r="B135" s="1" t="s">
        <v>1028</v>
      </c>
      <c r="C135" s="1" t="s">
        <v>27</v>
      </c>
      <c r="D135" s="12" t="s">
        <v>303</v>
      </c>
      <c r="E135" s="1" t="s">
        <v>304</v>
      </c>
      <c r="F135" s="1" t="s">
        <v>934</v>
      </c>
      <c r="G135" s="1" t="s">
        <v>306</v>
      </c>
      <c r="H135" s="12" t="s">
        <v>303</v>
      </c>
      <c r="I135" s="1" t="s">
        <v>307</v>
      </c>
      <c r="J135" s="1" t="s">
        <v>1029</v>
      </c>
      <c r="K135" s="12"/>
      <c r="L135" s="1" t="s">
        <v>1030</v>
      </c>
      <c r="M135" s="1" t="s">
        <v>1031</v>
      </c>
      <c r="N135" s="1" t="s">
        <v>938</v>
      </c>
      <c r="P135" s="1" t="s">
        <v>1032</v>
      </c>
      <c r="Q135" s="1" t="s">
        <v>1033</v>
      </c>
      <c r="R135" s="12" t="s">
        <v>307</v>
      </c>
      <c r="W135" s="1" t="s">
        <v>314</v>
      </c>
      <c r="X135" s="1" t="s">
        <v>314</v>
      </c>
      <c r="AA135" s="1" t="s">
        <v>315</v>
      </c>
      <c r="AB135" s="1" t="s">
        <v>1034</v>
      </c>
      <c r="AD135" s="1" t="s">
        <v>303</v>
      </c>
    </row>
    <row r="136" customFormat="false" ht="15" hidden="false" customHeight="true" outlineLevel="0" collapsed="false">
      <c r="A136" s="1" t="s">
        <v>1035</v>
      </c>
      <c r="B136" s="1" t="s">
        <v>1036</v>
      </c>
      <c r="C136" s="1" t="s">
        <v>27</v>
      </c>
      <c r="D136" s="12" t="s">
        <v>303</v>
      </c>
      <c r="E136" s="1" t="s">
        <v>304</v>
      </c>
      <c r="F136" s="1" t="s">
        <v>934</v>
      </c>
      <c r="G136" s="1" t="s">
        <v>306</v>
      </c>
      <c r="H136" s="12" t="s">
        <v>303</v>
      </c>
      <c r="I136" s="1" t="s">
        <v>307</v>
      </c>
      <c r="J136" s="1" t="s">
        <v>1037</v>
      </c>
      <c r="K136" s="12"/>
      <c r="L136" s="1" t="s">
        <v>1038</v>
      </c>
      <c r="M136" s="1" t="s">
        <v>1039</v>
      </c>
      <c r="N136" s="1" t="s">
        <v>938</v>
      </c>
      <c r="P136" s="1" t="s">
        <v>1040</v>
      </c>
      <c r="Q136" s="1" t="s">
        <v>948</v>
      </c>
      <c r="R136" s="12" t="s">
        <v>307</v>
      </c>
      <c r="W136" s="1" t="s">
        <v>314</v>
      </c>
      <c r="X136" s="1" t="s">
        <v>314</v>
      </c>
      <c r="AA136" s="1" t="s">
        <v>315</v>
      </c>
      <c r="AB136" s="1" t="s">
        <v>1041</v>
      </c>
      <c r="AD136" s="1" t="s">
        <v>303</v>
      </c>
    </row>
    <row r="137" customFormat="false" ht="15" hidden="false" customHeight="true" outlineLevel="0" collapsed="false">
      <c r="A137" s="1" t="s">
        <v>1042</v>
      </c>
      <c r="B137" s="1" t="s">
        <v>1043</v>
      </c>
      <c r="C137" s="1" t="s">
        <v>28</v>
      </c>
      <c r="D137" s="12" t="s">
        <v>303</v>
      </c>
      <c r="E137" s="1" t="s">
        <v>304</v>
      </c>
      <c r="F137" s="1" t="s">
        <v>1044</v>
      </c>
      <c r="G137" s="1" t="s">
        <v>306</v>
      </c>
      <c r="H137" s="12" t="s">
        <v>303</v>
      </c>
      <c r="I137" s="1" t="s">
        <v>307</v>
      </c>
      <c r="J137" s="1" t="s">
        <v>1045</v>
      </c>
      <c r="K137" s="12"/>
      <c r="L137" s="1" t="s">
        <v>1046</v>
      </c>
      <c r="M137" s="1" t="s">
        <v>1047</v>
      </c>
      <c r="N137" s="1" t="s">
        <v>938</v>
      </c>
      <c r="P137" s="1" t="s">
        <v>1048</v>
      </c>
      <c r="Q137" s="1" t="s">
        <v>948</v>
      </c>
      <c r="R137" s="12" t="s">
        <v>307</v>
      </c>
      <c r="W137" s="1" t="s">
        <v>314</v>
      </c>
      <c r="X137" s="1" t="s">
        <v>314</v>
      </c>
      <c r="AA137" s="1" t="s">
        <v>315</v>
      </c>
      <c r="AB137" s="1" t="s">
        <v>1049</v>
      </c>
      <c r="AD137" s="1" t="s">
        <v>303</v>
      </c>
    </row>
    <row r="138" customFormat="false" ht="15" hidden="false" customHeight="true" outlineLevel="0" collapsed="false">
      <c r="A138" s="1" t="s">
        <v>1050</v>
      </c>
      <c r="B138" s="1" t="s">
        <v>1051</v>
      </c>
      <c r="C138" s="1" t="s">
        <v>28</v>
      </c>
      <c r="D138" s="12" t="s">
        <v>303</v>
      </c>
      <c r="E138" s="1" t="s">
        <v>304</v>
      </c>
      <c r="F138" s="1" t="s">
        <v>1044</v>
      </c>
      <c r="G138" s="1" t="s">
        <v>306</v>
      </c>
      <c r="H138" s="12" t="s">
        <v>303</v>
      </c>
      <c r="I138" s="1" t="s">
        <v>307</v>
      </c>
      <c r="J138" s="1" t="s">
        <v>1052</v>
      </c>
      <c r="K138" s="12"/>
      <c r="L138" s="1" t="s">
        <v>1053</v>
      </c>
      <c r="M138" s="1" t="s">
        <v>1054</v>
      </c>
      <c r="N138" s="1" t="s">
        <v>938</v>
      </c>
      <c r="P138" s="1" t="s">
        <v>1055</v>
      </c>
      <c r="Q138" s="1" t="s">
        <v>948</v>
      </c>
      <c r="R138" s="12" t="s">
        <v>307</v>
      </c>
      <c r="W138" s="1" t="s">
        <v>314</v>
      </c>
      <c r="X138" s="1" t="s">
        <v>314</v>
      </c>
      <c r="AA138" s="1" t="s">
        <v>315</v>
      </c>
      <c r="AB138" s="1" t="s">
        <v>949</v>
      </c>
      <c r="AD138" s="1" t="s">
        <v>303</v>
      </c>
    </row>
    <row r="139" customFormat="false" ht="15" hidden="false" customHeight="true" outlineLevel="0" collapsed="false">
      <c r="A139" s="1" t="s">
        <v>1056</v>
      </c>
      <c r="B139" s="1" t="s">
        <v>1057</v>
      </c>
      <c r="C139" s="1" t="s">
        <v>28</v>
      </c>
      <c r="D139" s="12" t="s">
        <v>303</v>
      </c>
      <c r="E139" s="1" t="s">
        <v>304</v>
      </c>
      <c r="F139" s="1" t="s">
        <v>1044</v>
      </c>
      <c r="G139" s="1" t="s">
        <v>306</v>
      </c>
      <c r="H139" s="12" t="s">
        <v>303</v>
      </c>
      <c r="I139" s="1" t="s">
        <v>307</v>
      </c>
      <c r="J139" s="1" t="s">
        <v>1058</v>
      </c>
      <c r="K139" s="12"/>
      <c r="L139" s="1" t="s">
        <v>1059</v>
      </c>
      <c r="M139" s="1" t="s">
        <v>1054</v>
      </c>
      <c r="N139" s="1" t="s">
        <v>938</v>
      </c>
      <c r="P139" s="1" t="s">
        <v>1060</v>
      </c>
      <c r="Q139" s="1" t="s">
        <v>948</v>
      </c>
      <c r="R139" s="12" t="s">
        <v>307</v>
      </c>
      <c r="W139" s="1" t="s">
        <v>314</v>
      </c>
      <c r="X139" s="1" t="s">
        <v>314</v>
      </c>
      <c r="AA139" s="1" t="s">
        <v>315</v>
      </c>
      <c r="AB139" s="1" t="s">
        <v>949</v>
      </c>
      <c r="AD139" s="1" t="s">
        <v>303</v>
      </c>
    </row>
    <row r="140" customFormat="false" ht="15" hidden="false" customHeight="true" outlineLevel="0" collapsed="false">
      <c r="A140" s="1" t="s">
        <v>1061</v>
      </c>
      <c r="B140" s="1" t="s">
        <v>1062</v>
      </c>
      <c r="C140" s="1" t="s">
        <v>28</v>
      </c>
      <c r="D140" s="12" t="s">
        <v>303</v>
      </c>
      <c r="E140" s="1" t="s">
        <v>304</v>
      </c>
      <c r="F140" s="1" t="s">
        <v>1044</v>
      </c>
      <c r="G140" s="1" t="s">
        <v>306</v>
      </c>
      <c r="H140" s="12" t="s">
        <v>303</v>
      </c>
      <c r="I140" s="1" t="s">
        <v>307</v>
      </c>
      <c r="J140" s="1" t="s">
        <v>1063</v>
      </c>
      <c r="K140" s="12"/>
      <c r="L140" s="1" t="s">
        <v>1064</v>
      </c>
      <c r="M140" s="1" t="s">
        <v>1065</v>
      </c>
      <c r="N140" s="1" t="s">
        <v>938</v>
      </c>
      <c r="P140" s="1" t="s">
        <v>1066</v>
      </c>
      <c r="Q140" s="1" t="s">
        <v>1067</v>
      </c>
      <c r="R140" s="12" t="s">
        <v>307</v>
      </c>
      <c r="W140" s="1" t="s">
        <v>314</v>
      </c>
      <c r="X140" s="1" t="s">
        <v>314</v>
      </c>
      <c r="AA140" s="1" t="s">
        <v>315</v>
      </c>
      <c r="AB140" s="1" t="s">
        <v>1068</v>
      </c>
      <c r="AD140" s="1" t="s">
        <v>303</v>
      </c>
    </row>
    <row r="141" customFormat="false" ht="15" hidden="false" customHeight="true" outlineLevel="0" collapsed="false">
      <c r="A141" s="1" t="s">
        <v>1069</v>
      </c>
      <c r="B141" s="1" t="s">
        <v>1070</v>
      </c>
      <c r="C141" s="1" t="s">
        <v>28</v>
      </c>
      <c r="D141" s="12" t="s">
        <v>303</v>
      </c>
      <c r="E141" s="1" t="s">
        <v>304</v>
      </c>
      <c r="F141" s="1" t="s">
        <v>1044</v>
      </c>
      <c r="G141" s="1" t="s">
        <v>306</v>
      </c>
      <c r="H141" s="12" t="s">
        <v>303</v>
      </c>
      <c r="I141" s="1" t="s">
        <v>307</v>
      </c>
      <c r="J141" s="1" t="s">
        <v>1071</v>
      </c>
      <c r="K141" s="12"/>
      <c r="L141" s="1" t="s">
        <v>1072</v>
      </c>
      <c r="M141" s="1" t="s">
        <v>1073</v>
      </c>
      <c r="N141" s="1" t="s">
        <v>938</v>
      </c>
      <c r="P141" s="1" t="s">
        <v>1074</v>
      </c>
      <c r="Q141" s="1" t="s">
        <v>1075</v>
      </c>
      <c r="R141" s="12" t="s">
        <v>307</v>
      </c>
      <c r="W141" s="1" t="s">
        <v>314</v>
      </c>
      <c r="X141" s="1" t="s">
        <v>314</v>
      </c>
      <c r="AA141" s="1" t="s">
        <v>315</v>
      </c>
      <c r="AB141" s="1" t="s">
        <v>1076</v>
      </c>
      <c r="AD141" s="1" t="s">
        <v>303</v>
      </c>
    </row>
    <row r="142" customFormat="false" ht="15" hidden="false" customHeight="true" outlineLevel="0" collapsed="false">
      <c r="A142" s="1" t="s">
        <v>1077</v>
      </c>
      <c r="B142" s="1" t="s">
        <v>1078</v>
      </c>
      <c r="C142" s="1" t="s">
        <v>28</v>
      </c>
      <c r="D142" s="12" t="s">
        <v>303</v>
      </c>
      <c r="E142" s="1" t="s">
        <v>304</v>
      </c>
      <c r="F142" s="1" t="s">
        <v>1044</v>
      </c>
      <c r="G142" s="1" t="s">
        <v>306</v>
      </c>
      <c r="H142" s="12" t="s">
        <v>303</v>
      </c>
      <c r="I142" s="1" t="s">
        <v>307</v>
      </c>
      <c r="J142" s="1" t="s">
        <v>1079</v>
      </c>
      <c r="K142" s="12"/>
      <c r="L142" s="1" t="s">
        <v>1080</v>
      </c>
      <c r="M142" s="1" t="s">
        <v>1081</v>
      </c>
      <c r="N142" s="1" t="s">
        <v>938</v>
      </c>
      <c r="P142" s="1" t="s">
        <v>1082</v>
      </c>
      <c r="Q142" s="1" t="s">
        <v>948</v>
      </c>
      <c r="R142" s="12" t="s">
        <v>307</v>
      </c>
      <c r="W142" s="1" t="s">
        <v>314</v>
      </c>
      <c r="X142" s="1" t="s">
        <v>314</v>
      </c>
      <c r="AA142" s="1" t="s">
        <v>315</v>
      </c>
      <c r="AB142" s="1" t="s">
        <v>1083</v>
      </c>
      <c r="AD142" s="1" t="s">
        <v>303</v>
      </c>
    </row>
    <row r="143" customFormat="false" ht="15" hidden="false" customHeight="true" outlineLevel="0" collapsed="false">
      <c r="A143" s="1" t="s">
        <v>1084</v>
      </c>
      <c r="B143" s="1" t="s">
        <v>1085</v>
      </c>
      <c r="C143" s="1" t="s">
        <v>28</v>
      </c>
      <c r="D143" s="12" t="s">
        <v>303</v>
      </c>
      <c r="E143" s="1" t="s">
        <v>304</v>
      </c>
      <c r="F143" s="1" t="s">
        <v>1044</v>
      </c>
      <c r="G143" s="1" t="s">
        <v>306</v>
      </c>
      <c r="H143" s="12" t="s">
        <v>303</v>
      </c>
      <c r="I143" s="1" t="s">
        <v>307</v>
      </c>
      <c r="J143" s="1" t="s">
        <v>1086</v>
      </c>
      <c r="K143" s="12"/>
      <c r="L143" s="1" t="s">
        <v>1087</v>
      </c>
      <c r="M143" s="1" t="s">
        <v>1054</v>
      </c>
      <c r="N143" s="1" t="s">
        <v>938</v>
      </c>
      <c r="P143" s="1" t="s">
        <v>1088</v>
      </c>
      <c r="Q143" s="1" t="s">
        <v>1089</v>
      </c>
      <c r="R143" s="12" t="s">
        <v>307</v>
      </c>
      <c r="W143" s="1" t="s">
        <v>314</v>
      </c>
      <c r="X143" s="1" t="s">
        <v>314</v>
      </c>
      <c r="AA143" s="1" t="s">
        <v>315</v>
      </c>
      <c r="AB143" s="1" t="s">
        <v>1090</v>
      </c>
      <c r="AD143" s="1" t="s">
        <v>303</v>
      </c>
    </row>
    <row r="144" customFormat="false" ht="15" hidden="false" customHeight="true" outlineLevel="0" collapsed="false">
      <c r="A144" s="1" t="s">
        <v>1091</v>
      </c>
      <c r="B144" s="1" t="s">
        <v>1092</v>
      </c>
      <c r="C144" s="1" t="s">
        <v>28</v>
      </c>
      <c r="D144" s="12" t="s">
        <v>303</v>
      </c>
      <c r="E144" s="1" t="s">
        <v>304</v>
      </c>
      <c r="F144" s="1" t="s">
        <v>1044</v>
      </c>
      <c r="G144" s="1" t="s">
        <v>306</v>
      </c>
      <c r="H144" s="12" t="s">
        <v>303</v>
      </c>
      <c r="I144" s="1" t="s">
        <v>307</v>
      </c>
      <c r="J144" s="1" t="s">
        <v>1093</v>
      </c>
      <c r="K144" s="12"/>
      <c r="L144" s="1" t="s">
        <v>1094</v>
      </c>
      <c r="M144" s="1" t="s">
        <v>1054</v>
      </c>
      <c r="N144" s="1" t="s">
        <v>938</v>
      </c>
      <c r="P144" s="1" t="s">
        <v>1095</v>
      </c>
      <c r="Q144" s="1" t="s">
        <v>1096</v>
      </c>
      <c r="R144" s="12" t="s">
        <v>307</v>
      </c>
      <c r="W144" s="1" t="s">
        <v>314</v>
      </c>
      <c r="X144" s="1" t="s">
        <v>314</v>
      </c>
      <c r="AA144" s="1" t="s">
        <v>315</v>
      </c>
      <c r="AB144" s="1" t="s">
        <v>1097</v>
      </c>
      <c r="AD144" s="1" t="s">
        <v>303</v>
      </c>
    </row>
    <row r="145" customFormat="false" ht="15" hidden="false" customHeight="true" outlineLevel="0" collapsed="false">
      <c r="A145" s="1" t="s">
        <v>1098</v>
      </c>
      <c r="B145" s="1" t="s">
        <v>1099</v>
      </c>
      <c r="C145" s="1" t="s">
        <v>28</v>
      </c>
      <c r="D145" s="12" t="s">
        <v>303</v>
      </c>
      <c r="E145" s="1" t="s">
        <v>304</v>
      </c>
      <c r="F145" s="1" t="s">
        <v>1044</v>
      </c>
      <c r="G145" s="1" t="s">
        <v>306</v>
      </c>
      <c r="H145" s="12" t="s">
        <v>303</v>
      </c>
      <c r="I145" s="1" t="s">
        <v>307</v>
      </c>
      <c r="J145" s="1" t="s">
        <v>1100</v>
      </c>
      <c r="K145" s="12"/>
      <c r="L145" s="1" t="s">
        <v>1101</v>
      </c>
      <c r="M145" s="1" t="s">
        <v>1102</v>
      </c>
      <c r="N145" s="1" t="s">
        <v>938</v>
      </c>
      <c r="P145" s="1" t="s">
        <v>1103</v>
      </c>
      <c r="Q145" s="1" t="s">
        <v>948</v>
      </c>
      <c r="R145" s="12" t="s">
        <v>307</v>
      </c>
      <c r="W145" s="1" t="s">
        <v>314</v>
      </c>
      <c r="X145" s="1" t="s">
        <v>314</v>
      </c>
      <c r="AA145" s="1" t="s">
        <v>315</v>
      </c>
      <c r="AB145" s="1" t="s">
        <v>1104</v>
      </c>
      <c r="AD145" s="1" t="s">
        <v>303</v>
      </c>
    </row>
    <row r="146" customFormat="false" ht="15" hidden="false" customHeight="true" outlineLevel="0" collapsed="false">
      <c r="A146" s="1" t="s">
        <v>1105</v>
      </c>
      <c r="B146" s="1" t="s">
        <v>1106</v>
      </c>
      <c r="C146" s="1" t="s">
        <v>28</v>
      </c>
      <c r="D146" s="12" t="s">
        <v>303</v>
      </c>
      <c r="E146" s="1" t="s">
        <v>304</v>
      </c>
      <c r="F146" s="1" t="s">
        <v>1044</v>
      </c>
      <c r="G146" s="1" t="s">
        <v>306</v>
      </c>
      <c r="H146" s="12" t="s">
        <v>303</v>
      </c>
      <c r="I146" s="1" t="s">
        <v>307</v>
      </c>
      <c r="J146" s="1" t="s">
        <v>1107</v>
      </c>
      <c r="K146" s="12"/>
      <c r="L146" s="1" t="s">
        <v>1108</v>
      </c>
      <c r="M146" s="1" t="s">
        <v>1109</v>
      </c>
      <c r="N146" s="1" t="s">
        <v>938</v>
      </c>
      <c r="P146" s="1" t="s">
        <v>1110</v>
      </c>
      <c r="Q146" s="1" t="s">
        <v>948</v>
      </c>
      <c r="R146" s="12" t="s">
        <v>307</v>
      </c>
      <c r="W146" s="1" t="s">
        <v>314</v>
      </c>
      <c r="X146" s="1" t="s">
        <v>314</v>
      </c>
      <c r="AA146" s="1" t="s">
        <v>315</v>
      </c>
      <c r="AB146" s="1" t="s">
        <v>949</v>
      </c>
      <c r="AD146" s="1" t="s">
        <v>303</v>
      </c>
    </row>
    <row r="147" customFormat="false" ht="15" hidden="false" customHeight="true" outlineLevel="0" collapsed="false">
      <c r="A147" s="1" t="s">
        <v>1111</v>
      </c>
      <c r="B147" s="1" t="s">
        <v>1112</v>
      </c>
      <c r="C147" s="1" t="s">
        <v>28</v>
      </c>
      <c r="D147" s="12" t="s">
        <v>303</v>
      </c>
      <c r="E147" s="1" t="s">
        <v>304</v>
      </c>
      <c r="F147" s="1" t="s">
        <v>1044</v>
      </c>
      <c r="G147" s="1" t="s">
        <v>306</v>
      </c>
      <c r="H147" s="12" t="s">
        <v>303</v>
      </c>
      <c r="I147" s="1" t="s">
        <v>307</v>
      </c>
      <c r="J147" s="1" t="s">
        <v>1113</v>
      </c>
      <c r="K147" s="12"/>
      <c r="L147" s="1" t="s">
        <v>1114</v>
      </c>
      <c r="M147" s="1" t="s">
        <v>1115</v>
      </c>
      <c r="N147" s="1" t="s">
        <v>938</v>
      </c>
      <c r="P147" s="1" t="s">
        <v>1116</v>
      </c>
      <c r="Q147" s="1" t="s">
        <v>1117</v>
      </c>
      <c r="R147" s="12" t="s">
        <v>307</v>
      </c>
      <c r="W147" s="1" t="s">
        <v>314</v>
      </c>
      <c r="X147" s="1" t="s">
        <v>314</v>
      </c>
      <c r="AA147" s="1" t="s">
        <v>315</v>
      </c>
      <c r="AB147" s="1" t="s">
        <v>949</v>
      </c>
      <c r="AD147" s="1" t="s">
        <v>303</v>
      </c>
    </row>
    <row r="148" customFormat="false" ht="15" hidden="false" customHeight="true" outlineLevel="0" collapsed="false">
      <c r="A148" s="1" t="s">
        <v>1118</v>
      </c>
      <c r="B148" s="1" t="s">
        <v>1119</v>
      </c>
      <c r="C148" s="1" t="s">
        <v>28</v>
      </c>
      <c r="D148" s="12" t="s">
        <v>303</v>
      </c>
      <c r="E148" s="1" t="s">
        <v>304</v>
      </c>
      <c r="F148" s="1" t="s">
        <v>1044</v>
      </c>
      <c r="G148" s="1" t="s">
        <v>306</v>
      </c>
      <c r="H148" s="12" t="s">
        <v>303</v>
      </c>
      <c r="I148" s="1" t="s">
        <v>307</v>
      </c>
      <c r="J148" s="1" t="s">
        <v>1120</v>
      </c>
      <c r="K148" s="12"/>
      <c r="L148" s="1" t="s">
        <v>1121</v>
      </c>
      <c r="M148" s="1" t="s">
        <v>1122</v>
      </c>
      <c r="N148" s="1" t="s">
        <v>938</v>
      </c>
      <c r="P148" s="1" t="s">
        <v>1123</v>
      </c>
      <c r="Q148" s="1" t="s">
        <v>1124</v>
      </c>
      <c r="R148" s="12" t="s">
        <v>307</v>
      </c>
      <c r="W148" s="1" t="s">
        <v>314</v>
      </c>
      <c r="X148" s="1" t="s">
        <v>314</v>
      </c>
      <c r="AA148" s="1" t="s">
        <v>315</v>
      </c>
      <c r="AB148" s="1" t="s">
        <v>1125</v>
      </c>
      <c r="AD148" s="1" t="s">
        <v>303</v>
      </c>
    </row>
    <row r="149" customFormat="false" ht="15" hidden="false" customHeight="true" outlineLevel="0" collapsed="false">
      <c r="A149" s="1" t="s">
        <v>1126</v>
      </c>
      <c r="B149" s="1" t="s">
        <v>1127</v>
      </c>
      <c r="C149" s="1" t="s">
        <v>28</v>
      </c>
      <c r="D149" s="12" t="s">
        <v>303</v>
      </c>
      <c r="E149" s="1" t="s">
        <v>304</v>
      </c>
      <c r="F149" s="1" t="s">
        <v>1044</v>
      </c>
      <c r="G149" s="1" t="s">
        <v>306</v>
      </c>
      <c r="H149" s="12" t="s">
        <v>303</v>
      </c>
      <c r="I149" s="1" t="s">
        <v>307</v>
      </c>
      <c r="J149" s="1" t="s">
        <v>1128</v>
      </c>
      <c r="K149" s="12"/>
      <c r="L149" s="1" t="s">
        <v>1129</v>
      </c>
      <c r="M149" s="1" t="s">
        <v>1130</v>
      </c>
      <c r="N149" s="1" t="s">
        <v>938</v>
      </c>
      <c r="P149" s="1" t="s">
        <v>1131</v>
      </c>
      <c r="Q149" s="1" t="s">
        <v>948</v>
      </c>
      <c r="R149" s="12" t="s">
        <v>307</v>
      </c>
      <c r="W149" s="1" t="s">
        <v>314</v>
      </c>
      <c r="X149" s="1" t="s">
        <v>314</v>
      </c>
      <c r="AA149" s="1" t="s">
        <v>315</v>
      </c>
      <c r="AB149" s="1" t="s">
        <v>1132</v>
      </c>
      <c r="AD149" s="1" t="s">
        <v>303</v>
      </c>
    </row>
    <row r="150" customFormat="false" ht="15" hidden="false" customHeight="true" outlineLevel="0" collapsed="false">
      <c r="A150" s="1" t="s">
        <v>1133</v>
      </c>
      <c r="B150" s="1" t="s">
        <v>1134</v>
      </c>
      <c r="C150" s="1" t="s">
        <v>28</v>
      </c>
      <c r="D150" s="12" t="s">
        <v>303</v>
      </c>
      <c r="E150" s="1" t="s">
        <v>304</v>
      </c>
      <c r="F150" s="1" t="s">
        <v>1044</v>
      </c>
      <c r="G150" s="1" t="s">
        <v>306</v>
      </c>
      <c r="H150" s="12" t="s">
        <v>303</v>
      </c>
      <c r="I150" s="1" t="s">
        <v>307</v>
      </c>
      <c r="J150" s="1" t="s">
        <v>1135</v>
      </c>
      <c r="K150" s="12"/>
      <c r="L150" s="1" t="s">
        <v>1136</v>
      </c>
      <c r="M150" s="1" t="s">
        <v>1137</v>
      </c>
      <c r="N150" s="1" t="s">
        <v>938</v>
      </c>
      <c r="P150" s="1" t="s">
        <v>1138</v>
      </c>
      <c r="Q150" s="1" t="s">
        <v>948</v>
      </c>
      <c r="R150" s="12" t="s">
        <v>307</v>
      </c>
      <c r="W150" s="1" t="s">
        <v>314</v>
      </c>
      <c r="X150" s="1" t="s">
        <v>314</v>
      </c>
      <c r="AA150" s="1" t="s">
        <v>315</v>
      </c>
      <c r="AB150" s="1" t="s">
        <v>949</v>
      </c>
      <c r="AD150" s="1" t="s">
        <v>303</v>
      </c>
    </row>
    <row r="151" customFormat="false" ht="15" hidden="false" customHeight="true" outlineLevel="0" collapsed="false">
      <c r="A151" s="1" t="s">
        <v>1139</v>
      </c>
      <c r="B151" s="1" t="s">
        <v>1140</v>
      </c>
      <c r="C151" s="1" t="s">
        <v>28</v>
      </c>
      <c r="D151" s="12" t="s">
        <v>303</v>
      </c>
      <c r="E151" s="1" t="s">
        <v>304</v>
      </c>
      <c r="F151" s="1" t="s">
        <v>1044</v>
      </c>
      <c r="G151" s="1" t="s">
        <v>306</v>
      </c>
      <c r="H151" s="12" t="s">
        <v>303</v>
      </c>
      <c r="I151" s="1" t="s">
        <v>307</v>
      </c>
      <c r="J151" s="1" t="s">
        <v>1141</v>
      </c>
      <c r="K151" s="12"/>
      <c r="L151" s="1" t="s">
        <v>1142</v>
      </c>
      <c r="M151" s="1" t="s">
        <v>1143</v>
      </c>
      <c r="N151" s="1" t="s">
        <v>938</v>
      </c>
      <c r="P151" s="1" t="s">
        <v>1144</v>
      </c>
      <c r="Q151" s="1" t="s">
        <v>948</v>
      </c>
      <c r="R151" s="12" t="s">
        <v>307</v>
      </c>
      <c r="W151" s="1" t="s">
        <v>314</v>
      </c>
      <c r="X151" s="1" t="s">
        <v>314</v>
      </c>
      <c r="AA151" s="1" t="s">
        <v>315</v>
      </c>
      <c r="AB151" s="1" t="s">
        <v>949</v>
      </c>
      <c r="AD151" s="1" t="s">
        <v>303</v>
      </c>
    </row>
    <row r="152" customFormat="false" ht="15" hidden="false" customHeight="true" outlineLevel="0" collapsed="false">
      <c r="A152" s="1" t="s">
        <v>1145</v>
      </c>
      <c r="B152" s="1" t="s">
        <v>1146</v>
      </c>
      <c r="C152" s="1" t="s">
        <v>29</v>
      </c>
      <c r="D152" s="12" t="s">
        <v>1147</v>
      </c>
      <c r="E152" s="1" t="s">
        <v>304</v>
      </c>
      <c r="F152" s="1" t="s">
        <v>1148</v>
      </c>
      <c r="G152" s="1" t="s">
        <v>306</v>
      </c>
      <c r="H152" s="12" t="s">
        <v>1147</v>
      </c>
      <c r="I152" s="1" t="s">
        <v>307</v>
      </c>
      <c r="J152" s="1" t="s">
        <v>1149</v>
      </c>
      <c r="K152" s="12"/>
      <c r="L152" s="1" t="s">
        <v>1150</v>
      </c>
      <c r="M152" s="1" t="s">
        <v>1151</v>
      </c>
      <c r="N152" s="1" t="s">
        <v>1152</v>
      </c>
      <c r="P152" s="1" t="s">
        <v>453</v>
      </c>
      <c r="Q152" s="1" t="s">
        <v>1153</v>
      </c>
      <c r="R152" s="12" t="s">
        <v>307</v>
      </c>
      <c r="X152" s="1" t="s">
        <v>314</v>
      </c>
      <c r="AB152" s="1" t="s">
        <v>315</v>
      </c>
      <c r="AC152" s="1" t="s">
        <v>1154</v>
      </c>
      <c r="AD152" s="1" t="s">
        <v>1147</v>
      </c>
    </row>
    <row r="153" customFormat="false" ht="15" hidden="false" customHeight="true" outlineLevel="0" collapsed="false">
      <c r="A153" s="1" t="s">
        <v>1155</v>
      </c>
      <c r="B153" s="1" t="s">
        <v>1156</v>
      </c>
      <c r="C153" s="1" t="s">
        <v>29</v>
      </c>
      <c r="D153" s="12" t="s">
        <v>1147</v>
      </c>
      <c r="E153" s="1" t="s">
        <v>304</v>
      </c>
      <c r="F153" s="1" t="s">
        <v>1148</v>
      </c>
      <c r="G153" s="1" t="s">
        <v>306</v>
      </c>
      <c r="H153" s="12" t="s">
        <v>1147</v>
      </c>
      <c r="I153" s="1" t="s">
        <v>307</v>
      </c>
      <c r="J153" s="1" t="s">
        <v>1157</v>
      </c>
      <c r="K153" s="12" t="n">
        <v>2011</v>
      </c>
      <c r="L153" s="1" t="s">
        <v>1158</v>
      </c>
      <c r="M153" s="1" t="s">
        <v>1159</v>
      </c>
      <c r="N153" s="1" t="s">
        <v>1152</v>
      </c>
      <c r="P153" s="1" t="s">
        <v>313</v>
      </c>
      <c r="Q153" s="1" t="s">
        <v>1160</v>
      </c>
      <c r="R153" s="12" t="s">
        <v>307</v>
      </c>
      <c r="X153" s="1" t="s">
        <v>314</v>
      </c>
      <c r="AB153" s="1" t="s">
        <v>315</v>
      </c>
      <c r="AC153" s="1" t="s">
        <v>1161</v>
      </c>
      <c r="AD153" s="1" t="s">
        <v>1147</v>
      </c>
    </row>
    <row r="154" customFormat="false" ht="15" hidden="false" customHeight="true" outlineLevel="0" collapsed="false">
      <c r="A154" s="1" t="s">
        <v>1162</v>
      </c>
      <c r="B154" s="1" t="s">
        <v>1163</v>
      </c>
      <c r="C154" s="1" t="s">
        <v>29</v>
      </c>
      <c r="D154" s="12" t="s">
        <v>1147</v>
      </c>
      <c r="E154" s="1" t="s">
        <v>304</v>
      </c>
      <c r="F154" s="1" t="s">
        <v>1148</v>
      </c>
      <c r="G154" s="1" t="s">
        <v>306</v>
      </c>
      <c r="H154" s="12" t="s">
        <v>1147</v>
      </c>
      <c r="I154" s="1" t="s">
        <v>307</v>
      </c>
      <c r="J154" s="1" t="s">
        <v>1164</v>
      </c>
      <c r="K154" s="12" t="n">
        <v>2008</v>
      </c>
      <c r="L154" s="1" t="s">
        <v>1165</v>
      </c>
      <c r="M154" s="1" t="s">
        <v>1166</v>
      </c>
      <c r="N154" s="1" t="s">
        <v>1152</v>
      </c>
      <c r="P154" s="1" t="s">
        <v>313</v>
      </c>
      <c r="Q154" s="1" t="s">
        <v>1167</v>
      </c>
      <c r="R154" s="12" t="s">
        <v>307</v>
      </c>
      <c r="X154" s="1" t="s">
        <v>314</v>
      </c>
      <c r="AB154" s="1" t="s">
        <v>315</v>
      </c>
      <c r="AC154" s="1" t="s">
        <v>1168</v>
      </c>
      <c r="AD154" s="1" t="s">
        <v>1147</v>
      </c>
    </row>
    <row r="155" customFormat="false" ht="15" hidden="false" customHeight="true" outlineLevel="0" collapsed="false">
      <c r="A155" s="1" t="s">
        <v>1169</v>
      </c>
      <c r="B155" s="1" t="s">
        <v>1170</v>
      </c>
      <c r="C155" s="1" t="s">
        <v>29</v>
      </c>
      <c r="D155" s="12" t="s">
        <v>1147</v>
      </c>
      <c r="E155" s="1" t="s">
        <v>304</v>
      </c>
      <c r="F155" s="1" t="s">
        <v>1148</v>
      </c>
      <c r="G155" s="1" t="s">
        <v>306</v>
      </c>
      <c r="H155" s="12" t="s">
        <v>1147</v>
      </c>
      <c r="I155" s="1" t="s">
        <v>307</v>
      </c>
      <c r="J155" s="1" t="s">
        <v>1171</v>
      </c>
      <c r="K155" s="12"/>
      <c r="L155" s="1" t="s">
        <v>310</v>
      </c>
      <c r="M155" s="1" t="s">
        <v>1172</v>
      </c>
      <c r="N155" s="1" t="s">
        <v>1152</v>
      </c>
      <c r="P155" s="1" t="s">
        <v>313</v>
      </c>
      <c r="Q155" s="1" t="s">
        <v>1173</v>
      </c>
      <c r="R155" s="12" t="s">
        <v>307</v>
      </c>
      <c r="X155" s="1" t="s">
        <v>314</v>
      </c>
      <c r="AB155" s="1" t="s">
        <v>315</v>
      </c>
      <c r="AC155" s="1" t="s">
        <v>1174</v>
      </c>
      <c r="AD155" s="1" t="s">
        <v>1147</v>
      </c>
    </row>
    <row r="156" customFormat="false" ht="15" hidden="false" customHeight="true" outlineLevel="0" collapsed="false">
      <c r="A156" s="1" t="s">
        <v>1175</v>
      </c>
      <c r="B156" s="1" t="s">
        <v>1176</v>
      </c>
      <c r="C156" s="1" t="s">
        <v>29</v>
      </c>
      <c r="D156" s="12" t="s">
        <v>1147</v>
      </c>
      <c r="E156" s="1" t="s">
        <v>304</v>
      </c>
      <c r="F156" s="1" t="s">
        <v>1148</v>
      </c>
      <c r="G156" s="1" t="s">
        <v>306</v>
      </c>
      <c r="H156" s="12" t="s">
        <v>1147</v>
      </c>
      <c r="I156" s="1" t="s">
        <v>307</v>
      </c>
      <c r="J156" s="1" t="s">
        <v>1177</v>
      </c>
      <c r="K156" s="12"/>
      <c r="L156" s="1" t="s">
        <v>310</v>
      </c>
      <c r="M156" s="1" t="s">
        <v>1178</v>
      </c>
      <c r="N156" s="1" t="s">
        <v>1152</v>
      </c>
      <c r="P156" s="1" t="s">
        <v>313</v>
      </c>
      <c r="Q156" s="1" t="s">
        <v>1179</v>
      </c>
      <c r="R156" s="12" t="s">
        <v>307</v>
      </c>
      <c r="X156" s="1" t="s">
        <v>314</v>
      </c>
      <c r="AB156" s="1" t="s">
        <v>315</v>
      </c>
      <c r="AC156" s="1" t="s">
        <v>1180</v>
      </c>
      <c r="AD156" s="1" t="s">
        <v>1147</v>
      </c>
    </row>
    <row r="157" customFormat="false" ht="15" hidden="false" customHeight="true" outlineLevel="0" collapsed="false">
      <c r="A157" s="1" t="s">
        <v>1181</v>
      </c>
      <c r="B157" s="1" t="s">
        <v>1182</v>
      </c>
      <c r="C157" s="1" t="s">
        <v>29</v>
      </c>
      <c r="D157" s="12" t="s">
        <v>1147</v>
      </c>
      <c r="E157" s="1" t="s">
        <v>304</v>
      </c>
      <c r="F157" s="1" t="s">
        <v>1148</v>
      </c>
      <c r="G157" s="1" t="s">
        <v>306</v>
      </c>
      <c r="H157" s="12" t="s">
        <v>1147</v>
      </c>
      <c r="I157" s="1" t="s">
        <v>307</v>
      </c>
      <c r="J157" s="1" t="s">
        <v>1183</v>
      </c>
      <c r="K157" s="12"/>
      <c r="L157" s="1" t="s">
        <v>310</v>
      </c>
      <c r="M157" s="1" t="s">
        <v>1178</v>
      </c>
      <c r="N157" s="1" t="s">
        <v>1152</v>
      </c>
      <c r="P157" s="1" t="s">
        <v>313</v>
      </c>
      <c r="Q157" s="1" t="s">
        <v>1184</v>
      </c>
      <c r="R157" s="12" t="s">
        <v>307</v>
      </c>
      <c r="X157" s="1" t="s">
        <v>314</v>
      </c>
      <c r="AB157" s="1" t="s">
        <v>315</v>
      </c>
      <c r="AC157" s="1" t="s">
        <v>1185</v>
      </c>
      <c r="AD157" s="1" t="s">
        <v>1147</v>
      </c>
    </row>
    <row r="158" customFormat="false" ht="15" hidden="false" customHeight="true" outlineLevel="0" collapsed="false">
      <c r="A158" s="1" t="s">
        <v>1186</v>
      </c>
      <c r="B158" s="1" t="s">
        <v>1187</v>
      </c>
      <c r="C158" s="1" t="s">
        <v>29</v>
      </c>
      <c r="D158" s="12" t="s">
        <v>1147</v>
      </c>
      <c r="E158" s="1" t="s">
        <v>304</v>
      </c>
      <c r="F158" s="1" t="s">
        <v>1148</v>
      </c>
      <c r="G158" s="1" t="s">
        <v>306</v>
      </c>
      <c r="H158" s="12" t="s">
        <v>1147</v>
      </c>
      <c r="I158" s="1" t="s">
        <v>307</v>
      </c>
      <c r="J158" s="1" t="s">
        <v>1188</v>
      </c>
      <c r="K158" s="12" t="n">
        <v>2008</v>
      </c>
      <c r="L158" s="1" t="s">
        <v>1189</v>
      </c>
      <c r="M158" s="1" t="s">
        <v>1190</v>
      </c>
      <c r="N158" s="1" t="s">
        <v>1152</v>
      </c>
      <c r="P158" s="1" t="s">
        <v>453</v>
      </c>
      <c r="Q158" s="1" t="s">
        <v>1191</v>
      </c>
      <c r="R158" s="12" t="s">
        <v>307</v>
      </c>
      <c r="X158" s="1" t="s">
        <v>314</v>
      </c>
      <c r="AB158" s="1" t="s">
        <v>315</v>
      </c>
      <c r="AC158" s="1" t="s">
        <v>1192</v>
      </c>
      <c r="AD158" s="1" t="s">
        <v>1147</v>
      </c>
    </row>
    <row r="159" customFormat="false" ht="15" hidden="false" customHeight="true" outlineLevel="0" collapsed="false">
      <c r="A159" s="1" t="s">
        <v>1193</v>
      </c>
      <c r="B159" s="1" t="s">
        <v>1194</v>
      </c>
      <c r="C159" s="1" t="s">
        <v>29</v>
      </c>
      <c r="D159" s="12" t="s">
        <v>1147</v>
      </c>
      <c r="E159" s="1" t="s">
        <v>304</v>
      </c>
      <c r="F159" s="1" t="s">
        <v>1148</v>
      </c>
      <c r="G159" s="1" t="s">
        <v>306</v>
      </c>
      <c r="H159" s="12" t="s">
        <v>1147</v>
      </c>
      <c r="I159" s="1" t="s">
        <v>307</v>
      </c>
      <c r="J159" s="1" t="s">
        <v>1195</v>
      </c>
      <c r="K159" s="12" t="n">
        <v>1995</v>
      </c>
      <c r="L159" s="1" t="s">
        <v>1196</v>
      </c>
      <c r="M159" s="1" t="s">
        <v>1178</v>
      </c>
      <c r="N159" s="1" t="s">
        <v>1152</v>
      </c>
      <c r="P159" s="1" t="s">
        <v>453</v>
      </c>
      <c r="Q159" s="1" t="s">
        <v>1197</v>
      </c>
      <c r="R159" s="12" t="s">
        <v>307</v>
      </c>
      <c r="X159" s="1" t="s">
        <v>314</v>
      </c>
      <c r="AB159" s="1" t="s">
        <v>315</v>
      </c>
      <c r="AC159" s="1" t="s">
        <v>1168</v>
      </c>
      <c r="AD159" s="1" t="s">
        <v>1147</v>
      </c>
    </row>
    <row r="160" customFormat="false" ht="15" hidden="false" customHeight="true" outlineLevel="0" collapsed="false">
      <c r="A160" s="1" t="s">
        <v>1198</v>
      </c>
      <c r="B160" s="1" t="s">
        <v>1199</v>
      </c>
      <c r="C160" s="1" t="s">
        <v>29</v>
      </c>
      <c r="D160" s="12" t="s">
        <v>1147</v>
      </c>
      <c r="E160" s="1" t="s">
        <v>304</v>
      </c>
      <c r="F160" s="1" t="s">
        <v>1148</v>
      </c>
      <c r="G160" s="1" t="s">
        <v>306</v>
      </c>
      <c r="H160" s="12" t="s">
        <v>1147</v>
      </c>
      <c r="I160" s="1" t="s">
        <v>307</v>
      </c>
      <c r="J160" s="1" t="s">
        <v>1200</v>
      </c>
      <c r="K160" s="12" t="n">
        <v>2012</v>
      </c>
      <c r="L160" s="1" t="s">
        <v>310</v>
      </c>
      <c r="M160" s="1" t="s">
        <v>1201</v>
      </c>
      <c r="N160" s="1" t="s">
        <v>1152</v>
      </c>
      <c r="P160" s="1" t="s">
        <v>313</v>
      </c>
      <c r="Q160" s="1" t="s">
        <v>1202</v>
      </c>
      <c r="R160" s="12" t="s">
        <v>307</v>
      </c>
      <c r="X160" s="1" t="s">
        <v>314</v>
      </c>
      <c r="AB160" s="1" t="s">
        <v>315</v>
      </c>
      <c r="AC160" s="1" t="s">
        <v>1203</v>
      </c>
      <c r="AD160" s="1" t="s">
        <v>1147</v>
      </c>
    </row>
    <row r="161" customFormat="false" ht="15" hidden="false" customHeight="true" outlineLevel="0" collapsed="false">
      <c r="A161" s="1" t="s">
        <v>1204</v>
      </c>
      <c r="B161" s="1" t="s">
        <v>1205</v>
      </c>
      <c r="C161" s="1" t="s">
        <v>29</v>
      </c>
      <c r="D161" s="12" t="s">
        <v>1147</v>
      </c>
      <c r="E161" s="1" t="s">
        <v>304</v>
      </c>
      <c r="F161" s="1" t="s">
        <v>1148</v>
      </c>
      <c r="G161" s="1" t="s">
        <v>306</v>
      </c>
      <c r="H161" s="12" t="s">
        <v>1147</v>
      </c>
      <c r="I161" s="1" t="s">
        <v>307</v>
      </c>
      <c r="J161" s="1" t="s">
        <v>1206</v>
      </c>
      <c r="K161" s="12" t="n">
        <v>2013</v>
      </c>
      <c r="L161" s="1" t="s">
        <v>1207</v>
      </c>
      <c r="M161" s="1" t="s">
        <v>1208</v>
      </c>
      <c r="N161" s="1" t="s">
        <v>1152</v>
      </c>
      <c r="P161" s="1" t="s">
        <v>453</v>
      </c>
      <c r="Q161" s="1" t="s">
        <v>1209</v>
      </c>
      <c r="R161" s="12" t="s">
        <v>307</v>
      </c>
      <c r="X161" s="1" t="s">
        <v>314</v>
      </c>
      <c r="AB161" s="1" t="s">
        <v>315</v>
      </c>
      <c r="AC161" s="1" t="s">
        <v>1168</v>
      </c>
      <c r="AD161" s="1" t="s">
        <v>1147</v>
      </c>
    </row>
    <row r="162" customFormat="false" ht="15" hidden="false" customHeight="true" outlineLevel="0" collapsed="false">
      <c r="A162" s="1" t="s">
        <v>1210</v>
      </c>
      <c r="B162" s="1" t="s">
        <v>1211</v>
      </c>
      <c r="C162" s="1" t="s">
        <v>29</v>
      </c>
      <c r="D162" s="12" t="s">
        <v>1147</v>
      </c>
      <c r="E162" s="1" t="s">
        <v>304</v>
      </c>
      <c r="F162" s="1" t="s">
        <v>1148</v>
      </c>
      <c r="G162" s="1" t="s">
        <v>306</v>
      </c>
      <c r="H162" s="12" t="s">
        <v>1147</v>
      </c>
      <c r="I162" s="1" t="s">
        <v>307</v>
      </c>
      <c r="J162" s="1" t="s">
        <v>1212</v>
      </c>
      <c r="K162" s="12"/>
      <c r="L162" s="1" t="s">
        <v>1213</v>
      </c>
      <c r="M162" s="1" t="s">
        <v>1208</v>
      </c>
      <c r="N162" s="1" t="s">
        <v>1152</v>
      </c>
      <c r="P162" s="1" t="s">
        <v>313</v>
      </c>
      <c r="Q162" s="1" t="s">
        <v>1214</v>
      </c>
      <c r="R162" s="12" t="s">
        <v>307</v>
      </c>
      <c r="X162" s="1" t="s">
        <v>314</v>
      </c>
      <c r="AB162" s="1" t="s">
        <v>315</v>
      </c>
      <c r="AC162" s="1" t="s">
        <v>1215</v>
      </c>
      <c r="AD162" s="1" t="s">
        <v>1147</v>
      </c>
    </row>
    <row r="163" customFormat="false" ht="15" hidden="false" customHeight="true" outlineLevel="0" collapsed="false">
      <c r="A163" s="1" t="s">
        <v>1216</v>
      </c>
      <c r="B163" s="1" t="s">
        <v>1217</v>
      </c>
      <c r="C163" s="1" t="s">
        <v>29</v>
      </c>
      <c r="D163" s="12" t="s">
        <v>1147</v>
      </c>
      <c r="E163" s="1" t="s">
        <v>304</v>
      </c>
      <c r="F163" s="1" t="s">
        <v>1148</v>
      </c>
      <c r="G163" s="1" t="s">
        <v>306</v>
      </c>
      <c r="H163" s="12" t="s">
        <v>1147</v>
      </c>
      <c r="I163" s="1" t="s">
        <v>307</v>
      </c>
      <c r="J163" s="1" t="s">
        <v>1218</v>
      </c>
      <c r="K163" s="12"/>
      <c r="L163" s="1" t="s">
        <v>310</v>
      </c>
      <c r="M163" s="1" t="s">
        <v>1178</v>
      </c>
      <c r="N163" s="1" t="s">
        <v>1152</v>
      </c>
      <c r="P163" s="1" t="s">
        <v>313</v>
      </c>
      <c r="Q163" s="1" t="s">
        <v>1219</v>
      </c>
      <c r="R163" s="12" t="s">
        <v>307</v>
      </c>
      <c r="X163" s="1" t="s">
        <v>314</v>
      </c>
      <c r="AB163" s="1" t="s">
        <v>315</v>
      </c>
      <c r="AC163" s="1" t="s">
        <v>1220</v>
      </c>
      <c r="AD163" s="1" t="s">
        <v>1147</v>
      </c>
    </row>
    <row r="164" customFormat="false" ht="15" hidden="false" customHeight="true" outlineLevel="0" collapsed="false">
      <c r="A164" s="1" t="s">
        <v>1221</v>
      </c>
      <c r="B164" s="1" t="s">
        <v>1222</v>
      </c>
      <c r="C164" s="1" t="s">
        <v>29</v>
      </c>
      <c r="D164" s="12" t="s">
        <v>1147</v>
      </c>
      <c r="E164" s="1" t="s">
        <v>304</v>
      </c>
      <c r="F164" s="1" t="s">
        <v>1148</v>
      </c>
      <c r="G164" s="1" t="s">
        <v>306</v>
      </c>
      <c r="H164" s="12" t="s">
        <v>1147</v>
      </c>
      <c r="I164" s="1" t="s">
        <v>307</v>
      </c>
      <c r="J164" s="1" t="s">
        <v>1223</v>
      </c>
      <c r="K164" s="12"/>
      <c r="L164" s="1" t="s">
        <v>310</v>
      </c>
      <c r="M164" s="1" t="s">
        <v>1224</v>
      </c>
      <c r="N164" s="1" t="s">
        <v>1152</v>
      </c>
      <c r="P164" s="1" t="s">
        <v>313</v>
      </c>
      <c r="Q164" s="1" t="s">
        <v>1225</v>
      </c>
      <c r="R164" s="12" t="s">
        <v>307</v>
      </c>
      <c r="X164" s="1" t="s">
        <v>314</v>
      </c>
      <c r="AB164" s="1" t="s">
        <v>315</v>
      </c>
      <c r="AC164" s="1" t="s">
        <v>1226</v>
      </c>
      <c r="AD164" s="1" t="s">
        <v>1147</v>
      </c>
    </row>
    <row r="165" customFormat="false" ht="15" hidden="false" customHeight="true" outlineLevel="0" collapsed="false">
      <c r="A165" s="1" t="s">
        <v>1227</v>
      </c>
      <c r="B165" s="1" t="s">
        <v>1228</v>
      </c>
      <c r="C165" s="1" t="s">
        <v>29</v>
      </c>
      <c r="D165" s="12" t="s">
        <v>1147</v>
      </c>
      <c r="E165" s="1" t="s">
        <v>304</v>
      </c>
      <c r="F165" s="1" t="s">
        <v>1148</v>
      </c>
      <c r="G165" s="1" t="s">
        <v>306</v>
      </c>
      <c r="H165" s="12" t="s">
        <v>1147</v>
      </c>
      <c r="I165" s="1" t="s">
        <v>307</v>
      </c>
      <c r="J165" s="1" t="s">
        <v>1229</v>
      </c>
      <c r="K165" s="12"/>
      <c r="L165" s="1" t="s">
        <v>310</v>
      </c>
      <c r="M165" s="1" t="s">
        <v>1178</v>
      </c>
      <c r="N165" s="1" t="s">
        <v>1152</v>
      </c>
      <c r="P165" s="1" t="s">
        <v>453</v>
      </c>
      <c r="Q165" s="1" t="s">
        <v>1230</v>
      </c>
      <c r="R165" s="12" t="s">
        <v>307</v>
      </c>
      <c r="X165" s="1" t="s">
        <v>314</v>
      </c>
      <c r="AB165" s="1" t="s">
        <v>315</v>
      </c>
      <c r="AC165" s="1" t="s">
        <v>1231</v>
      </c>
      <c r="AD165" s="1" t="s">
        <v>1147</v>
      </c>
    </row>
    <row r="166" customFormat="false" ht="15" hidden="false" customHeight="true" outlineLevel="0" collapsed="false">
      <c r="A166" s="1" t="s">
        <v>1232</v>
      </c>
      <c r="B166" s="1" t="s">
        <v>1233</v>
      </c>
      <c r="C166" s="1" t="s">
        <v>29</v>
      </c>
      <c r="D166" s="12" t="s">
        <v>1147</v>
      </c>
      <c r="E166" s="1" t="s">
        <v>304</v>
      </c>
      <c r="F166" s="1" t="s">
        <v>1148</v>
      </c>
      <c r="G166" s="1" t="s">
        <v>306</v>
      </c>
      <c r="H166" s="12" t="s">
        <v>1147</v>
      </c>
      <c r="I166" s="1" t="s">
        <v>307</v>
      </c>
      <c r="J166" s="1" t="s">
        <v>1234</v>
      </c>
      <c r="K166" s="12"/>
      <c r="L166" s="1" t="s">
        <v>310</v>
      </c>
      <c r="M166" s="1" t="s">
        <v>1235</v>
      </c>
      <c r="N166" s="1" t="s">
        <v>1152</v>
      </c>
      <c r="P166" s="1" t="s">
        <v>313</v>
      </c>
      <c r="Q166" s="1" t="s">
        <v>1236</v>
      </c>
      <c r="R166" s="12" t="s">
        <v>307</v>
      </c>
      <c r="X166" s="1" t="s">
        <v>314</v>
      </c>
      <c r="AB166" s="1" t="s">
        <v>315</v>
      </c>
      <c r="AC166" s="1" t="s">
        <v>1237</v>
      </c>
      <c r="AD166" s="1" t="s">
        <v>1147</v>
      </c>
    </row>
    <row r="167" customFormat="false" ht="15" hidden="false" customHeight="true" outlineLevel="0" collapsed="false">
      <c r="A167" s="1" t="s">
        <v>1238</v>
      </c>
      <c r="B167" s="1" t="s">
        <v>1239</v>
      </c>
      <c r="C167" s="1" t="s">
        <v>30</v>
      </c>
      <c r="D167" s="12" t="s">
        <v>1147</v>
      </c>
      <c r="E167" s="1" t="s">
        <v>304</v>
      </c>
      <c r="F167" s="1" t="s">
        <v>1240</v>
      </c>
      <c r="G167" s="1" t="s">
        <v>306</v>
      </c>
      <c r="H167" s="12" t="s">
        <v>1147</v>
      </c>
      <c r="I167" s="1" t="s">
        <v>307</v>
      </c>
      <c r="J167" s="1" t="s">
        <v>1241</v>
      </c>
      <c r="K167" s="12" t="n">
        <v>2018</v>
      </c>
      <c r="L167" s="1" t="s">
        <v>310</v>
      </c>
      <c r="M167" s="1" t="s">
        <v>1242</v>
      </c>
      <c r="N167" s="1" t="s">
        <v>1152</v>
      </c>
      <c r="P167" s="1" t="s">
        <v>313</v>
      </c>
      <c r="Q167" s="1" t="s">
        <v>1243</v>
      </c>
      <c r="R167" s="12" t="s">
        <v>307</v>
      </c>
      <c r="X167" s="1" t="s">
        <v>314</v>
      </c>
      <c r="AB167" s="1" t="s">
        <v>315</v>
      </c>
      <c r="AC167" s="1" t="s">
        <v>1244</v>
      </c>
      <c r="AD167" s="1" t="s">
        <v>1147</v>
      </c>
    </row>
    <row r="168" customFormat="false" ht="15" hidden="false" customHeight="true" outlineLevel="0" collapsed="false">
      <c r="A168" s="1" t="s">
        <v>1245</v>
      </c>
      <c r="B168" s="1" t="s">
        <v>1246</v>
      </c>
      <c r="C168" s="1" t="s">
        <v>30</v>
      </c>
      <c r="D168" s="12" t="s">
        <v>1147</v>
      </c>
      <c r="E168" s="1" t="s">
        <v>304</v>
      </c>
      <c r="F168" s="1" t="s">
        <v>1240</v>
      </c>
      <c r="G168" s="1" t="s">
        <v>306</v>
      </c>
      <c r="H168" s="12" t="s">
        <v>1147</v>
      </c>
      <c r="I168" s="1" t="s">
        <v>307</v>
      </c>
      <c r="J168" s="1" t="s">
        <v>1247</v>
      </c>
      <c r="K168" s="12" t="n">
        <v>2020</v>
      </c>
      <c r="L168" s="1" t="s">
        <v>310</v>
      </c>
      <c r="M168" s="1" t="s">
        <v>1248</v>
      </c>
      <c r="N168" s="1" t="s">
        <v>1152</v>
      </c>
      <c r="P168" s="1" t="s">
        <v>313</v>
      </c>
      <c r="Q168" s="1" t="s">
        <v>1249</v>
      </c>
      <c r="R168" s="12" t="s">
        <v>307</v>
      </c>
      <c r="X168" s="1" t="s">
        <v>314</v>
      </c>
      <c r="AB168" s="1" t="s">
        <v>315</v>
      </c>
      <c r="AC168" s="1" t="s">
        <v>1250</v>
      </c>
      <c r="AD168" s="1" t="s">
        <v>1147</v>
      </c>
    </row>
    <row r="169" customFormat="false" ht="15" hidden="false" customHeight="true" outlineLevel="0" collapsed="false">
      <c r="A169" s="1" t="s">
        <v>1251</v>
      </c>
      <c r="B169" s="1" t="s">
        <v>1252</v>
      </c>
      <c r="C169" s="1" t="s">
        <v>30</v>
      </c>
      <c r="D169" s="12" t="s">
        <v>1147</v>
      </c>
      <c r="E169" s="1" t="s">
        <v>304</v>
      </c>
      <c r="F169" s="1" t="s">
        <v>1240</v>
      </c>
      <c r="G169" s="1" t="s">
        <v>306</v>
      </c>
      <c r="H169" s="12" t="s">
        <v>1147</v>
      </c>
      <c r="I169" s="1" t="s">
        <v>307</v>
      </c>
      <c r="J169" s="1" t="s">
        <v>1253</v>
      </c>
      <c r="K169" s="12" t="n">
        <v>2020</v>
      </c>
      <c r="L169" s="1" t="s">
        <v>310</v>
      </c>
      <c r="M169" s="1" t="s">
        <v>1254</v>
      </c>
      <c r="N169" s="1" t="s">
        <v>1152</v>
      </c>
      <c r="P169" s="1" t="s">
        <v>313</v>
      </c>
      <c r="Q169" s="1" t="s">
        <v>1255</v>
      </c>
      <c r="R169" s="12" t="s">
        <v>307</v>
      </c>
      <c r="X169" s="1" t="s">
        <v>314</v>
      </c>
      <c r="AB169" s="1" t="s">
        <v>315</v>
      </c>
      <c r="AC169" s="1" t="s">
        <v>1256</v>
      </c>
      <c r="AD169" s="1" t="s">
        <v>1147</v>
      </c>
    </row>
    <row r="170" customFormat="false" ht="15" hidden="false" customHeight="true" outlineLevel="0" collapsed="false">
      <c r="A170" s="1" t="s">
        <v>1257</v>
      </c>
      <c r="B170" s="1" t="s">
        <v>1258</v>
      </c>
      <c r="C170" s="1" t="s">
        <v>30</v>
      </c>
      <c r="D170" s="12" t="s">
        <v>1147</v>
      </c>
      <c r="E170" s="1" t="s">
        <v>304</v>
      </c>
      <c r="F170" s="1" t="s">
        <v>1240</v>
      </c>
      <c r="G170" s="1" t="s">
        <v>306</v>
      </c>
      <c r="H170" s="12" t="s">
        <v>1147</v>
      </c>
      <c r="I170" s="1" t="s">
        <v>307</v>
      </c>
      <c r="J170" s="1" t="s">
        <v>1259</v>
      </c>
      <c r="K170" s="12" t="n">
        <v>2020</v>
      </c>
      <c r="L170" s="1" t="s">
        <v>310</v>
      </c>
      <c r="M170" s="1" t="s">
        <v>1260</v>
      </c>
      <c r="N170" s="1" t="s">
        <v>1152</v>
      </c>
      <c r="P170" s="1" t="s">
        <v>313</v>
      </c>
      <c r="Q170" s="1" t="s">
        <v>1261</v>
      </c>
      <c r="R170" s="12" t="s">
        <v>307</v>
      </c>
      <c r="X170" s="1" t="s">
        <v>314</v>
      </c>
      <c r="AB170" s="1" t="s">
        <v>315</v>
      </c>
      <c r="AC170" s="1" t="s">
        <v>1262</v>
      </c>
      <c r="AD170" s="1" t="s">
        <v>1147</v>
      </c>
    </row>
    <row r="171" customFormat="false" ht="15" hidden="false" customHeight="true" outlineLevel="0" collapsed="false">
      <c r="A171" s="1" t="s">
        <v>1263</v>
      </c>
      <c r="B171" s="1" t="s">
        <v>1264</v>
      </c>
      <c r="C171" s="1" t="s">
        <v>30</v>
      </c>
      <c r="D171" s="12" t="s">
        <v>1147</v>
      </c>
      <c r="E171" s="1" t="s">
        <v>304</v>
      </c>
      <c r="F171" s="1" t="s">
        <v>1240</v>
      </c>
      <c r="G171" s="1" t="s">
        <v>306</v>
      </c>
      <c r="H171" s="12" t="s">
        <v>1147</v>
      </c>
      <c r="I171" s="1" t="s">
        <v>307</v>
      </c>
      <c r="J171" s="1" t="s">
        <v>1265</v>
      </c>
      <c r="K171" s="12"/>
      <c r="L171" s="1" t="s">
        <v>310</v>
      </c>
      <c r="M171" s="1" t="s">
        <v>1266</v>
      </c>
      <c r="N171" s="1" t="s">
        <v>1152</v>
      </c>
      <c r="P171" s="1" t="s">
        <v>313</v>
      </c>
      <c r="Q171" s="1" t="s">
        <v>1255</v>
      </c>
      <c r="R171" s="12" t="s">
        <v>307</v>
      </c>
      <c r="X171" s="1" t="s">
        <v>314</v>
      </c>
      <c r="AB171" s="1" t="s">
        <v>315</v>
      </c>
      <c r="AC171" s="1" t="s">
        <v>1267</v>
      </c>
      <c r="AD171" s="1" t="s">
        <v>1147</v>
      </c>
    </row>
    <row r="172" customFormat="false" ht="15" hidden="false" customHeight="true" outlineLevel="0" collapsed="false">
      <c r="A172" s="1" t="s">
        <v>1268</v>
      </c>
      <c r="B172" s="1" t="s">
        <v>1269</v>
      </c>
      <c r="C172" s="1" t="s">
        <v>30</v>
      </c>
      <c r="D172" s="12" t="s">
        <v>1147</v>
      </c>
      <c r="E172" s="1" t="s">
        <v>304</v>
      </c>
      <c r="F172" s="1" t="s">
        <v>1240</v>
      </c>
      <c r="G172" s="1" t="s">
        <v>306</v>
      </c>
      <c r="H172" s="12" t="s">
        <v>1147</v>
      </c>
      <c r="I172" s="1" t="s">
        <v>307</v>
      </c>
      <c r="J172" s="1" t="s">
        <v>1270</v>
      </c>
      <c r="K172" s="12" t="n">
        <v>2019</v>
      </c>
      <c r="L172" s="1" t="s">
        <v>310</v>
      </c>
      <c r="M172" s="1" t="s">
        <v>1271</v>
      </c>
      <c r="N172" s="1" t="s">
        <v>1152</v>
      </c>
      <c r="P172" s="1" t="s">
        <v>313</v>
      </c>
      <c r="Q172" s="1" t="s">
        <v>1272</v>
      </c>
      <c r="R172" s="12" t="s">
        <v>307</v>
      </c>
      <c r="X172" s="1" t="s">
        <v>314</v>
      </c>
      <c r="AB172" s="1" t="s">
        <v>315</v>
      </c>
      <c r="AC172" s="1" t="s">
        <v>1273</v>
      </c>
      <c r="AD172" s="1" t="s">
        <v>1147</v>
      </c>
    </row>
    <row r="173" customFormat="false" ht="15" hidden="false" customHeight="true" outlineLevel="0" collapsed="false">
      <c r="A173" s="1" t="s">
        <v>1274</v>
      </c>
      <c r="B173" s="1" t="s">
        <v>1275</v>
      </c>
      <c r="C173" s="1" t="s">
        <v>30</v>
      </c>
      <c r="D173" s="12" t="s">
        <v>1147</v>
      </c>
      <c r="E173" s="1" t="s">
        <v>304</v>
      </c>
      <c r="F173" s="1" t="s">
        <v>1240</v>
      </c>
      <c r="G173" s="1" t="s">
        <v>306</v>
      </c>
      <c r="H173" s="12" t="s">
        <v>1147</v>
      </c>
      <c r="I173" s="1" t="s">
        <v>307</v>
      </c>
      <c r="J173" s="1" t="s">
        <v>1276</v>
      </c>
      <c r="K173" s="12" t="n">
        <v>2022</v>
      </c>
      <c r="L173" s="1" t="s">
        <v>310</v>
      </c>
      <c r="M173" s="1" t="s">
        <v>1277</v>
      </c>
      <c r="N173" s="1" t="s">
        <v>1152</v>
      </c>
      <c r="P173" s="1" t="s">
        <v>313</v>
      </c>
      <c r="Q173" s="1" t="s">
        <v>1278</v>
      </c>
      <c r="R173" s="12" t="s">
        <v>307</v>
      </c>
      <c r="X173" s="1" t="s">
        <v>314</v>
      </c>
      <c r="AB173" s="1" t="s">
        <v>315</v>
      </c>
      <c r="AC173" s="1" t="s">
        <v>1279</v>
      </c>
      <c r="AD173" s="1" t="s">
        <v>1147</v>
      </c>
    </row>
    <row r="174" customFormat="false" ht="15" hidden="false" customHeight="true" outlineLevel="0" collapsed="false">
      <c r="A174" s="1" t="s">
        <v>1280</v>
      </c>
      <c r="B174" s="1" t="s">
        <v>1281</v>
      </c>
      <c r="C174" s="1" t="s">
        <v>30</v>
      </c>
      <c r="D174" s="12" t="s">
        <v>1147</v>
      </c>
      <c r="E174" s="1" t="s">
        <v>304</v>
      </c>
      <c r="F174" s="1" t="s">
        <v>1240</v>
      </c>
      <c r="G174" s="1" t="s">
        <v>306</v>
      </c>
      <c r="H174" s="12" t="s">
        <v>1147</v>
      </c>
      <c r="I174" s="1" t="s">
        <v>307</v>
      </c>
      <c r="J174" s="1" t="s">
        <v>1282</v>
      </c>
      <c r="K174" s="12"/>
      <c r="L174" s="1" t="s">
        <v>310</v>
      </c>
      <c r="M174" s="1" t="s">
        <v>1178</v>
      </c>
      <c r="N174" s="1" t="s">
        <v>1152</v>
      </c>
      <c r="P174" s="1" t="s">
        <v>313</v>
      </c>
      <c r="Q174" s="1" t="s">
        <v>1283</v>
      </c>
      <c r="R174" s="12" t="s">
        <v>307</v>
      </c>
      <c r="X174" s="1" t="s">
        <v>314</v>
      </c>
      <c r="AB174" s="1" t="s">
        <v>315</v>
      </c>
      <c r="AC174" s="1" t="s">
        <v>1284</v>
      </c>
      <c r="AD174" s="1" t="s">
        <v>1147</v>
      </c>
    </row>
    <row r="175" customFormat="false" ht="15" hidden="false" customHeight="true" outlineLevel="0" collapsed="false">
      <c r="A175" s="1" t="s">
        <v>1285</v>
      </c>
      <c r="B175" s="1" t="s">
        <v>1286</v>
      </c>
      <c r="C175" s="1" t="s">
        <v>30</v>
      </c>
      <c r="D175" s="12" t="s">
        <v>1147</v>
      </c>
      <c r="E175" s="1" t="s">
        <v>304</v>
      </c>
      <c r="F175" s="1" t="s">
        <v>1240</v>
      </c>
      <c r="G175" s="1" t="s">
        <v>306</v>
      </c>
      <c r="H175" s="12" t="s">
        <v>1147</v>
      </c>
      <c r="I175" s="1" t="s">
        <v>307</v>
      </c>
      <c r="J175" s="1" t="s">
        <v>1287</v>
      </c>
      <c r="K175" s="12" t="n">
        <v>2018</v>
      </c>
      <c r="L175" s="1" t="s">
        <v>310</v>
      </c>
      <c r="M175" s="1" t="s">
        <v>1288</v>
      </c>
      <c r="N175" s="1" t="s">
        <v>1152</v>
      </c>
      <c r="P175" s="1" t="s">
        <v>313</v>
      </c>
      <c r="Q175" s="1" t="s">
        <v>1249</v>
      </c>
      <c r="R175" s="12" t="s">
        <v>307</v>
      </c>
      <c r="X175" s="1" t="s">
        <v>314</v>
      </c>
      <c r="AB175" s="1" t="s">
        <v>315</v>
      </c>
      <c r="AC175" s="1" t="s">
        <v>1289</v>
      </c>
      <c r="AD175" s="1" t="s">
        <v>1147</v>
      </c>
    </row>
    <row r="176" customFormat="false" ht="15" hidden="false" customHeight="true" outlineLevel="0" collapsed="false">
      <c r="A176" s="1" t="s">
        <v>1290</v>
      </c>
      <c r="B176" s="1" t="s">
        <v>1291</v>
      </c>
      <c r="C176" s="1" t="s">
        <v>30</v>
      </c>
      <c r="D176" s="12" t="s">
        <v>1147</v>
      </c>
      <c r="E176" s="1" t="s">
        <v>304</v>
      </c>
      <c r="F176" s="1" t="s">
        <v>1240</v>
      </c>
      <c r="G176" s="1" t="s">
        <v>306</v>
      </c>
      <c r="H176" s="12" t="s">
        <v>1147</v>
      </c>
      <c r="I176" s="1" t="s">
        <v>307</v>
      </c>
      <c r="J176" s="1" t="s">
        <v>1292</v>
      </c>
      <c r="K176" s="12" t="n">
        <v>2020</v>
      </c>
      <c r="L176" s="1" t="s">
        <v>310</v>
      </c>
      <c r="M176" s="1" t="s">
        <v>1293</v>
      </c>
      <c r="N176" s="1" t="s">
        <v>1152</v>
      </c>
      <c r="P176" s="1" t="s">
        <v>313</v>
      </c>
      <c r="Q176" s="1" t="s">
        <v>1255</v>
      </c>
      <c r="R176" s="12" t="s">
        <v>307</v>
      </c>
      <c r="X176" s="1" t="s">
        <v>314</v>
      </c>
      <c r="AB176" s="1" t="s">
        <v>315</v>
      </c>
      <c r="AC176" s="1" t="s">
        <v>1294</v>
      </c>
      <c r="AD176" s="1" t="s">
        <v>1147</v>
      </c>
    </row>
    <row r="177" customFormat="false" ht="15" hidden="false" customHeight="true" outlineLevel="0" collapsed="false">
      <c r="A177" s="1" t="s">
        <v>1295</v>
      </c>
      <c r="B177" s="1" t="s">
        <v>1296</v>
      </c>
      <c r="C177" s="1" t="s">
        <v>30</v>
      </c>
      <c r="D177" s="12" t="s">
        <v>1147</v>
      </c>
      <c r="E177" s="1" t="s">
        <v>304</v>
      </c>
      <c r="F177" s="1" t="s">
        <v>1240</v>
      </c>
      <c r="G177" s="1" t="s">
        <v>306</v>
      </c>
      <c r="H177" s="12" t="s">
        <v>1147</v>
      </c>
      <c r="I177" s="1" t="s">
        <v>307</v>
      </c>
      <c r="J177" s="1" t="s">
        <v>1297</v>
      </c>
      <c r="K177" s="12" t="n">
        <v>2015</v>
      </c>
      <c r="L177" s="1" t="s">
        <v>310</v>
      </c>
      <c r="M177" s="1" t="s">
        <v>1298</v>
      </c>
      <c r="N177" s="1" t="s">
        <v>1152</v>
      </c>
      <c r="P177" s="1" t="s">
        <v>313</v>
      </c>
      <c r="Q177" s="1" t="s">
        <v>1299</v>
      </c>
      <c r="R177" s="12" t="s">
        <v>307</v>
      </c>
      <c r="X177" s="1" t="s">
        <v>314</v>
      </c>
      <c r="AB177" s="1" t="s">
        <v>315</v>
      </c>
      <c r="AC177" s="1" t="s">
        <v>1300</v>
      </c>
      <c r="AD177" s="1" t="s">
        <v>1147</v>
      </c>
    </row>
    <row r="178" customFormat="false" ht="15" hidden="false" customHeight="true" outlineLevel="0" collapsed="false">
      <c r="A178" s="1" t="s">
        <v>1301</v>
      </c>
      <c r="B178" s="1" t="s">
        <v>1302</v>
      </c>
      <c r="C178" s="1" t="s">
        <v>30</v>
      </c>
      <c r="D178" s="12" t="s">
        <v>1147</v>
      </c>
      <c r="E178" s="1" t="s">
        <v>304</v>
      </c>
      <c r="F178" s="1" t="s">
        <v>1240</v>
      </c>
      <c r="G178" s="1" t="s">
        <v>306</v>
      </c>
      <c r="H178" s="12" t="s">
        <v>1147</v>
      </c>
      <c r="I178" s="1" t="s">
        <v>307</v>
      </c>
      <c r="J178" s="1" t="s">
        <v>1303</v>
      </c>
      <c r="K178" s="12" t="n">
        <v>2021</v>
      </c>
      <c r="L178" s="1" t="s">
        <v>310</v>
      </c>
      <c r="M178" s="1" t="s">
        <v>1304</v>
      </c>
      <c r="N178" s="1" t="s">
        <v>1152</v>
      </c>
      <c r="P178" s="1" t="s">
        <v>313</v>
      </c>
      <c r="Q178" s="1" t="s">
        <v>1255</v>
      </c>
      <c r="R178" s="12" t="s">
        <v>307</v>
      </c>
      <c r="X178" s="1" t="s">
        <v>314</v>
      </c>
      <c r="AB178" s="1" t="s">
        <v>315</v>
      </c>
      <c r="AC178" s="1" t="s">
        <v>1305</v>
      </c>
      <c r="AD178" s="1" t="s">
        <v>1147</v>
      </c>
    </row>
    <row r="179" customFormat="false" ht="15" hidden="false" customHeight="true" outlineLevel="0" collapsed="false">
      <c r="A179" s="1" t="s">
        <v>1306</v>
      </c>
      <c r="B179" s="1" t="s">
        <v>1307</v>
      </c>
      <c r="C179" s="1" t="s">
        <v>30</v>
      </c>
      <c r="D179" s="12" t="s">
        <v>1147</v>
      </c>
      <c r="E179" s="1" t="s">
        <v>304</v>
      </c>
      <c r="F179" s="1" t="s">
        <v>1240</v>
      </c>
      <c r="G179" s="1" t="s">
        <v>306</v>
      </c>
      <c r="H179" s="12" t="s">
        <v>1147</v>
      </c>
      <c r="I179" s="1" t="s">
        <v>307</v>
      </c>
      <c r="J179" s="1" t="s">
        <v>1308</v>
      </c>
      <c r="K179" s="12" t="n">
        <v>2012</v>
      </c>
      <c r="L179" s="1" t="s">
        <v>310</v>
      </c>
      <c r="M179" s="1" t="s">
        <v>1309</v>
      </c>
      <c r="N179" s="1" t="s">
        <v>1152</v>
      </c>
      <c r="P179" s="1" t="s">
        <v>313</v>
      </c>
      <c r="Q179" s="1" t="s">
        <v>1249</v>
      </c>
      <c r="R179" s="12" t="s">
        <v>307</v>
      </c>
      <c r="X179" s="1" t="s">
        <v>314</v>
      </c>
      <c r="AB179" s="1" t="s">
        <v>315</v>
      </c>
      <c r="AC179" s="1" t="s">
        <v>1310</v>
      </c>
      <c r="AD179" s="1" t="s">
        <v>1147</v>
      </c>
    </row>
    <row r="180" customFormat="false" ht="15" hidden="false" customHeight="true" outlineLevel="0" collapsed="false">
      <c r="A180" s="1" t="s">
        <v>1311</v>
      </c>
      <c r="B180" s="1" t="s">
        <v>1312</v>
      </c>
      <c r="C180" s="1" t="s">
        <v>30</v>
      </c>
      <c r="D180" s="12" t="s">
        <v>1147</v>
      </c>
      <c r="E180" s="1" t="s">
        <v>304</v>
      </c>
      <c r="F180" s="1" t="s">
        <v>1240</v>
      </c>
      <c r="G180" s="1" t="s">
        <v>306</v>
      </c>
      <c r="H180" s="12" t="s">
        <v>1147</v>
      </c>
      <c r="I180" s="1" t="s">
        <v>307</v>
      </c>
      <c r="J180" s="1" t="s">
        <v>1313</v>
      </c>
      <c r="K180" s="12" t="n">
        <v>2018</v>
      </c>
      <c r="L180" s="1" t="s">
        <v>310</v>
      </c>
      <c r="M180" s="1" t="s">
        <v>1314</v>
      </c>
      <c r="N180" s="1" t="s">
        <v>1152</v>
      </c>
      <c r="P180" s="1" t="s">
        <v>313</v>
      </c>
      <c r="Q180" s="1" t="s">
        <v>1315</v>
      </c>
      <c r="R180" s="12" t="s">
        <v>307</v>
      </c>
      <c r="X180" s="1" t="s">
        <v>314</v>
      </c>
      <c r="AB180" s="1" t="s">
        <v>315</v>
      </c>
      <c r="AC180" s="1" t="s">
        <v>1316</v>
      </c>
      <c r="AD180" s="1" t="s">
        <v>1147</v>
      </c>
    </row>
    <row r="181" customFormat="false" ht="15" hidden="false" customHeight="true" outlineLevel="0" collapsed="false">
      <c r="A181" s="1" t="s">
        <v>1317</v>
      </c>
      <c r="B181" s="1" t="s">
        <v>1318</v>
      </c>
      <c r="C181" s="1" t="s">
        <v>30</v>
      </c>
      <c r="D181" s="12" t="s">
        <v>1147</v>
      </c>
      <c r="E181" s="1" t="s">
        <v>304</v>
      </c>
      <c r="F181" s="1" t="s">
        <v>1240</v>
      </c>
      <c r="G181" s="1" t="s">
        <v>306</v>
      </c>
      <c r="H181" s="12" t="s">
        <v>1147</v>
      </c>
      <c r="I181" s="1" t="s">
        <v>307</v>
      </c>
      <c r="J181" s="1" t="s">
        <v>1319</v>
      </c>
      <c r="K181" s="12"/>
      <c r="L181" s="1" t="s">
        <v>1320</v>
      </c>
      <c r="M181" s="1" t="s">
        <v>1321</v>
      </c>
      <c r="N181" s="1" t="s">
        <v>1152</v>
      </c>
      <c r="P181" s="1" t="s">
        <v>453</v>
      </c>
      <c r="Q181" s="1" t="s">
        <v>1322</v>
      </c>
      <c r="R181" s="12" t="s">
        <v>307</v>
      </c>
      <c r="X181" s="1" t="s">
        <v>314</v>
      </c>
      <c r="AB181" s="1" t="s">
        <v>315</v>
      </c>
      <c r="AC181" s="1" t="s">
        <v>1323</v>
      </c>
      <c r="AD181" s="1" t="s">
        <v>1147</v>
      </c>
    </row>
    <row r="182" customFormat="false" ht="15" hidden="false" customHeight="true" outlineLevel="0" collapsed="false">
      <c r="A182" s="1" t="s">
        <v>1324</v>
      </c>
      <c r="B182" s="1" t="s">
        <v>1325</v>
      </c>
      <c r="C182" s="1" t="s">
        <v>31</v>
      </c>
      <c r="D182" s="12" t="s">
        <v>1147</v>
      </c>
      <c r="E182" s="1" t="s">
        <v>304</v>
      </c>
      <c r="F182" s="1" t="s">
        <v>1326</v>
      </c>
      <c r="G182" s="1" t="s">
        <v>306</v>
      </c>
      <c r="H182" s="12" t="s">
        <v>1147</v>
      </c>
      <c r="I182" s="1" t="s">
        <v>307</v>
      </c>
      <c r="J182" s="1" t="s">
        <v>1327</v>
      </c>
      <c r="K182" s="12" t="n">
        <v>2012</v>
      </c>
      <c r="L182" s="1" t="s">
        <v>1328</v>
      </c>
      <c r="M182" s="1" t="s">
        <v>1329</v>
      </c>
      <c r="N182" s="1" t="s">
        <v>1330</v>
      </c>
      <c r="P182" s="1" t="s">
        <v>313</v>
      </c>
      <c r="Q182" s="1" t="s">
        <v>1331</v>
      </c>
      <c r="R182" s="12" t="s">
        <v>307</v>
      </c>
      <c r="X182" s="1" t="s">
        <v>314</v>
      </c>
      <c r="AB182" s="1" t="s">
        <v>315</v>
      </c>
      <c r="AC182" s="1" t="s">
        <v>1332</v>
      </c>
      <c r="AD182" s="1" t="s">
        <v>1147</v>
      </c>
    </row>
    <row r="183" customFormat="false" ht="15" hidden="false" customHeight="true" outlineLevel="0" collapsed="false">
      <c r="A183" s="1" t="s">
        <v>1333</v>
      </c>
      <c r="B183" s="1" t="s">
        <v>1334</v>
      </c>
      <c r="C183" s="1" t="s">
        <v>31</v>
      </c>
      <c r="D183" s="12" t="s">
        <v>1147</v>
      </c>
      <c r="E183" s="1" t="s">
        <v>304</v>
      </c>
      <c r="F183" s="1" t="s">
        <v>1326</v>
      </c>
      <c r="G183" s="1" t="s">
        <v>306</v>
      </c>
      <c r="H183" s="12" t="s">
        <v>1147</v>
      </c>
      <c r="I183" s="1" t="s">
        <v>307</v>
      </c>
      <c r="J183" s="1" t="s">
        <v>1335</v>
      </c>
      <c r="K183" s="12" t="n">
        <v>2013</v>
      </c>
      <c r="L183" s="1" t="s">
        <v>310</v>
      </c>
      <c r="M183" s="1" t="s">
        <v>1336</v>
      </c>
      <c r="N183" s="1" t="s">
        <v>1330</v>
      </c>
      <c r="P183" s="1" t="s">
        <v>313</v>
      </c>
      <c r="Q183" s="1" t="s">
        <v>1337</v>
      </c>
      <c r="R183" s="12" t="s">
        <v>307</v>
      </c>
      <c r="X183" s="1" t="s">
        <v>314</v>
      </c>
      <c r="AB183" s="1" t="s">
        <v>315</v>
      </c>
      <c r="AC183" s="1" t="s">
        <v>1338</v>
      </c>
      <c r="AD183" s="1" t="s">
        <v>1147</v>
      </c>
    </row>
    <row r="184" customFormat="false" ht="15" hidden="false" customHeight="true" outlineLevel="0" collapsed="false">
      <c r="A184" s="1" t="s">
        <v>1339</v>
      </c>
      <c r="B184" s="1" t="s">
        <v>1340</v>
      </c>
      <c r="C184" s="1" t="s">
        <v>31</v>
      </c>
      <c r="D184" s="12" t="s">
        <v>1147</v>
      </c>
      <c r="E184" s="1" t="s">
        <v>304</v>
      </c>
      <c r="F184" s="1" t="s">
        <v>1326</v>
      </c>
      <c r="G184" s="1" t="s">
        <v>306</v>
      </c>
      <c r="H184" s="12" t="s">
        <v>1147</v>
      </c>
      <c r="I184" s="1" t="s">
        <v>307</v>
      </c>
      <c r="J184" s="1" t="s">
        <v>1341</v>
      </c>
      <c r="K184" s="12" t="n">
        <v>2009</v>
      </c>
      <c r="L184" s="1" t="s">
        <v>310</v>
      </c>
      <c r="M184" s="1" t="s">
        <v>1342</v>
      </c>
      <c r="N184" s="1" t="s">
        <v>1330</v>
      </c>
      <c r="P184" s="1" t="s">
        <v>313</v>
      </c>
      <c r="Q184" s="1" t="s">
        <v>1343</v>
      </c>
      <c r="R184" s="12" t="s">
        <v>307</v>
      </c>
      <c r="X184" s="1" t="s">
        <v>314</v>
      </c>
      <c r="AB184" s="1" t="s">
        <v>315</v>
      </c>
      <c r="AC184" s="1" t="s">
        <v>1344</v>
      </c>
      <c r="AD184" s="1" t="s">
        <v>1147</v>
      </c>
    </row>
    <row r="185" customFormat="false" ht="15" hidden="false" customHeight="true" outlineLevel="0" collapsed="false">
      <c r="A185" s="1" t="s">
        <v>1345</v>
      </c>
      <c r="B185" s="1" t="s">
        <v>1346</v>
      </c>
      <c r="C185" s="1" t="s">
        <v>31</v>
      </c>
      <c r="D185" s="12" t="s">
        <v>1147</v>
      </c>
      <c r="E185" s="1" t="s">
        <v>304</v>
      </c>
      <c r="F185" s="1" t="s">
        <v>1326</v>
      </c>
      <c r="G185" s="1" t="s">
        <v>306</v>
      </c>
      <c r="H185" s="12" t="s">
        <v>1147</v>
      </c>
      <c r="I185" s="1" t="s">
        <v>307</v>
      </c>
      <c r="J185" s="1" t="s">
        <v>1347</v>
      </c>
      <c r="K185" s="12" t="n">
        <v>2020</v>
      </c>
      <c r="L185" s="1" t="s">
        <v>310</v>
      </c>
      <c r="M185" s="1" t="s">
        <v>1348</v>
      </c>
      <c r="N185" s="1" t="s">
        <v>1330</v>
      </c>
      <c r="P185" s="1" t="s">
        <v>313</v>
      </c>
      <c r="Q185" s="1" t="s">
        <v>1349</v>
      </c>
      <c r="R185" s="12" t="s">
        <v>307</v>
      </c>
      <c r="X185" s="1" t="s">
        <v>314</v>
      </c>
      <c r="AB185" s="1" t="s">
        <v>315</v>
      </c>
      <c r="AC185" s="1" t="s">
        <v>1350</v>
      </c>
      <c r="AD185" s="1" t="s">
        <v>1147</v>
      </c>
    </row>
    <row r="186" customFormat="false" ht="15" hidden="false" customHeight="true" outlineLevel="0" collapsed="false">
      <c r="A186" s="1" t="s">
        <v>1351</v>
      </c>
      <c r="B186" s="1" t="s">
        <v>1352</v>
      </c>
      <c r="C186" s="1" t="s">
        <v>31</v>
      </c>
      <c r="D186" s="12" t="s">
        <v>1147</v>
      </c>
      <c r="E186" s="1" t="s">
        <v>304</v>
      </c>
      <c r="F186" s="1" t="s">
        <v>1326</v>
      </c>
      <c r="G186" s="1" t="s">
        <v>306</v>
      </c>
      <c r="H186" s="12" t="s">
        <v>1147</v>
      </c>
      <c r="I186" s="1" t="s">
        <v>307</v>
      </c>
      <c r="J186" s="1" t="s">
        <v>1353</v>
      </c>
      <c r="K186" s="12" t="n">
        <v>2016</v>
      </c>
      <c r="L186" s="1" t="s">
        <v>310</v>
      </c>
      <c r="M186" s="1" t="s">
        <v>1354</v>
      </c>
      <c r="N186" s="1" t="s">
        <v>1330</v>
      </c>
      <c r="P186" s="1" t="s">
        <v>313</v>
      </c>
      <c r="Q186" s="1" t="s">
        <v>1349</v>
      </c>
      <c r="R186" s="12" t="s">
        <v>307</v>
      </c>
      <c r="X186" s="1" t="s">
        <v>314</v>
      </c>
      <c r="AB186" s="1" t="s">
        <v>315</v>
      </c>
      <c r="AC186" s="1" t="s">
        <v>1355</v>
      </c>
      <c r="AD186" s="1" t="s">
        <v>1147</v>
      </c>
    </row>
    <row r="187" customFormat="false" ht="15" hidden="false" customHeight="true" outlineLevel="0" collapsed="false">
      <c r="A187" s="1" t="s">
        <v>1356</v>
      </c>
      <c r="B187" s="1" t="s">
        <v>1357</v>
      </c>
      <c r="C187" s="1" t="s">
        <v>31</v>
      </c>
      <c r="D187" s="12" t="s">
        <v>1147</v>
      </c>
      <c r="E187" s="1" t="s">
        <v>304</v>
      </c>
      <c r="F187" s="1" t="s">
        <v>1326</v>
      </c>
      <c r="G187" s="1" t="s">
        <v>306</v>
      </c>
      <c r="H187" s="12" t="s">
        <v>1147</v>
      </c>
      <c r="I187" s="1" t="s">
        <v>307</v>
      </c>
      <c r="J187" s="1" t="s">
        <v>1358</v>
      </c>
      <c r="K187" s="12"/>
      <c r="L187" s="1" t="s">
        <v>310</v>
      </c>
      <c r="M187" s="1" t="s">
        <v>1359</v>
      </c>
      <c r="N187" s="1" t="s">
        <v>1330</v>
      </c>
      <c r="P187" s="1" t="s">
        <v>313</v>
      </c>
      <c r="Q187" s="1" t="s">
        <v>1360</v>
      </c>
      <c r="R187" s="12" t="s">
        <v>307</v>
      </c>
      <c r="X187" s="1" t="s">
        <v>314</v>
      </c>
      <c r="AB187" s="1" t="s">
        <v>315</v>
      </c>
      <c r="AC187" s="1" t="s">
        <v>1361</v>
      </c>
      <c r="AD187" s="1" t="s">
        <v>1147</v>
      </c>
    </row>
    <row r="188" customFormat="false" ht="15" hidden="false" customHeight="true" outlineLevel="0" collapsed="false">
      <c r="A188" s="1" t="s">
        <v>1362</v>
      </c>
      <c r="B188" s="1" t="s">
        <v>1363</v>
      </c>
      <c r="C188" s="1" t="s">
        <v>31</v>
      </c>
      <c r="D188" s="12" t="s">
        <v>1147</v>
      </c>
      <c r="E188" s="1" t="s">
        <v>304</v>
      </c>
      <c r="F188" s="1" t="s">
        <v>1326</v>
      </c>
      <c r="G188" s="1" t="s">
        <v>306</v>
      </c>
      <c r="H188" s="12" t="s">
        <v>1147</v>
      </c>
      <c r="I188" s="1" t="s">
        <v>307</v>
      </c>
      <c r="J188" s="1" t="s">
        <v>1364</v>
      </c>
      <c r="K188" s="12" t="n">
        <v>2010</v>
      </c>
      <c r="L188" s="1" t="s">
        <v>1365</v>
      </c>
      <c r="M188" s="1" t="s">
        <v>1366</v>
      </c>
      <c r="N188" s="1" t="s">
        <v>1330</v>
      </c>
      <c r="P188" s="1" t="s">
        <v>453</v>
      </c>
      <c r="Q188" s="1" t="s">
        <v>1367</v>
      </c>
      <c r="R188" s="12" t="s">
        <v>307</v>
      </c>
      <c r="X188" s="1" t="s">
        <v>314</v>
      </c>
      <c r="AB188" s="1" t="s">
        <v>315</v>
      </c>
      <c r="AC188" s="1" t="s">
        <v>1368</v>
      </c>
      <c r="AD188" s="1" t="s">
        <v>1147</v>
      </c>
    </row>
    <row r="189" customFormat="false" ht="15" hidden="false" customHeight="true" outlineLevel="0" collapsed="false">
      <c r="A189" s="1" t="s">
        <v>1369</v>
      </c>
      <c r="B189" s="1" t="s">
        <v>1370</v>
      </c>
      <c r="C189" s="1" t="s">
        <v>31</v>
      </c>
      <c r="D189" s="12" t="s">
        <v>1147</v>
      </c>
      <c r="E189" s="1" t="s">
        <v>304</v>
      </c>
      <c r="F189" s="1" t="s">
        <v>1326</v>
      </c>
      <c r="G189" s="1" t="s">
        <v>306</v>
      </c>
      <c r="H189" s="12" t="s">
        <v>1147</v>
      </c>
      <c r="I189" s="1" t="s">
        <v>307</v>
      </c>
      <c r="J189" s="1" t="s">
        <v>1371</v>
      </c>
      <c r="K189" s="12" t="n">
        <v>2012</v>
      </c>
      <c r="L189" s="1" t="s">
        <v>310</v>
      </c>
      <c r="M189" s="1" t="s">
        <v>1372</v>
      </c>
      <c r="N189" s="1" t="s">
        <v>1330</v>
      </c>
      <c r="P189" s="1" t="s">
        <v>313</v>
      </c>
      <c r="Q189" s="1" t="s">
        <v>1373</v>
      </c>
      <c r="R189" s="12" t="s">
        <v>307</v>
      </c>
      <c r="X189" s="1" t="s">
        <v>314</v>
      </c>
      <c r="AB189" s="1" t="s">
        <v>315</v>
      </c>
      <c r="AC189" s="1" t="s">
        <v>1374</v>
      </c>
      <c r="AD189" s="1" t="s">
        <v>1147</v>
      </c>
    </row>
    <row r="190" customFormat="false" ht="15" hidden="false" customHeight="true" outlineLevel="0" collapsed="false">
      <c r="A190" s="1" t="s">
        <v>1375</v>
      </c>
      <c r="B190" s="1" t="s">
        <v>1376</v>
      </c>
      <c r="C190" s="1" t="s">
        <v>31</v>
      </c>
      <c r="D190" s="12" t="s">
        <v>1147</v>
      </c>
      <c r="E190" s="1" t="s">
        <v>304</v>
      </c>
      <c r="F190" s="1" t="s">
        <v>1326</v>
      </c>
      <c r="G190" s="1" t="s">
        <v>306</v>
      </c>
      <c r="H190" s="12" t="s">
        <v>1147</v>
      </c>
      <c r="I190" s="1" t="s">
        <v>307</v>
      </c>
      <c r="J190" s="1" t="s">
        <v>1377</v>
      </c>
      <c r="K190" s="12" t="n">
        <v>2014</v>
      </c>
      <c r="L190" s="1" t="s">
        <v>310</v>
      </c>
      <c r="M190" s="1" t="s">
        <v>1378</v>
      </c>
      <c r="N190" s="1" t="s">
        <v>1330</v>
      </c>
      <c r="P190" s="1" t="s">
        <v>313</v>
      </c>
      <c r="Q190" s="1" t="s">
        <v>1349</v>
      </c>
      <c r="R190" s="12" t="s">
        <v>307</v>
      </c>
      <c r="X190" s="1" t="s">
        <v>314</v>
      </c>
      <c r="AB190" s="1" t="s">
        <v>315</v>
      </c>
      <c r="AC190" s="1" t="s">
        <v>1379</v>
      </c>
      <c r="AD190" s="1" t="s">
        <v>1147</v>
      </c>
    </row>
    <row r="191" customFormat="false" ht="15" hidden="false" customHeight="true" outlineLevel="0" collapsed="false">
      <c r="A191" s="1" t="s">
        <v>1380</v>
      </c>
      <c r="B191" s="1" t="s">
        <v>1381</v>
      </c>
      <c r="C191" s="1" t="s">
        <v>31</v>
      </c>
      <c r="D191" s="12" t="s">
        <v>1147</v>
      </c>
      <c r="E191" s="1" t="s">
        <v>304</v>
      </c>
      <c r="F191" s="1" t="s">
        <v>1326</v>
      </c>
      <c r="G191" s="1" t="s">
        <v>306</v>
      </c>
      <c r="H191" s="12" t="s">
        <v>1147</v>
      </c>
      <c r="I191" s="1" t="s">
        <v>307</v>
      </c>
      <c r="J191" s="1" t="s">
        <v>1382</v>
      </c>
      <c r="K191" s="12" t="n">
        <v>2014</v>
      </c>
      <c r="L191" s="1" t="s">
        <v>310</v>
      </c>
      <c r="M191" s="1" t="s">
        <v>1383</v>
      </c>
      <c r="N191" s="1" t="s">
        <v>1330</v>
      </c>
      <c r="P191" s="1" t="s">
        <v>313</v>
      </c>
      <c r="Q191" s="1" t="s">
        <v>1384</v>
      </c>
      <c r="R191" s="12" t="s">
        <v>307</v>
      </c>
      <c r="X191" s="1" t="s">
        <v>314</v>
      </c>
      <c r="AB191" s="1" t="s">
        <v>315</v>
      </c>
      <c r="AC191" s="1" t="s">
        <v>1385</v>
      </c>
      <c r="AD191" s="1" t="s">
        <v>1147</v>
      </c>
    </row>
    <row r="192" customFormat="false" ht="15" hidden="false" customHeight="true" outlineLevel="0" collapsed="false">
      <c r="A192" s="1" t="s">
        <v>1386</v>
      </c>
      <c r="B192" s="1" t="s">
        <v>1387</v>
      </c>
      <c r="C192" s="1" t="s">
        <v>31</v>
      </c>
      <c r="D192" s="12" t="s">
        <v>1147</v>
      </c>
      <c r="E192" s="1" t="s">
        <v>304</v>
      </c>
      <c r="F192" s="1" t="s">
        <v>1326</v>
      </c>
      <c r="G192" s="1" t="s">
        <v>306</v>
      </c>
      <c r="H192" s="12" t="s">
        <v>1147</v>
      </c>
      <c r="I192" s="1" t="s">
        <v>307</v>
      </c>
      <c r="J192" s="1" t="s">
        <v>1388</v>
      </c>
      <c r="K192" s="12" t="n">
        <v>2013</v>
      </c>
      <c r="L192" s="1" t="s">
        <v>1389</v>
      </c>
      <c r="M192" s="1" t="s">
        <v>1390</v>
      </c>
      <c r="N192" s="1" t="s">
        <v>1330</v>
      </c>
      <c r="P192" s="1" t="s">
        <v>313</v>
      </c>
      <c r="Q192" s="1" t="s">
        <v>1391</v>
      </c>
      <c r="R192" s="12" t="s">
        <v>307</v>
      </c>
      <c r="X192" s="1" t="s">
        <v>314</v>
      </c>
      <c r="AB192" s="1" t="s">
        <v>315</v>
      </c>
      <c r="AC192" s="1" t="s">
        <v>1392</v>
      </c>
      <c r="AD192" s="1" t="s">
        <v>1147</v>
      </c>
    </row>
    <row r="193" customFormat="false" ht="15" hidden="false" customHeight="true" outlineLevel="0" collapsed="false">
      <c r="A193" s="1" t="s">
        <v>1393</v>
      </c>
      <c r="B193" s="1" t="s">
        <v>1394</v>
      </c>
      <c r="C193" s="1" t="s">
        <v>31</v>
      </c>
      <c r="D193" s="12" t="s">
        <v>1147</v>
      </c>
      <c r="E193" s="1" t="s">
        <v>304</v>
      </c>
      <c r="F193" s="1" t="s">
        <v>1326</v>
      </c>
      <c r="G193" s="1" t="s">
        <v>306</v>
      </c>
      <c r="H193" s="12" t="s">
        <v>1147</v>
      </c>
      <c r="I193" s="1" t="s">
        <v>307</v>
      </c>
      <c r="J193" s="1" t="s">
        <v>1395</v>
      </c>
      <c r="K193" s="12" t="n">
        <v>2013</v>
      </c>
      <c r="L193" s="1" t="s">
        <v>1396</v>
      </c>
      <c r="M193" s="1" t="s">
        <v>1397</v>
      </c>
      <c r="N193" s="1" t="s">
        <v>1330</v>
      </c>
      <c r="P193" s="1" t="s">
        <v>313</v>
      </c>
      <c r="Q193" s="1" t="s">
        <v>1349</v>
      </c>
      <c r="R193" s="12" t="s">
        <v>307</v>
      </c>
      <c r="X193" s="1" t="s">
        <v>314</v>
      </c>
      <c r="AB193" s="1" t="s">
        <v>315</v>
      </c>
      <c r="AC193" s="1" t="s">
        <v>1398</v>
      </c>
      <c r="AD193" s="1" t="s">
        <v>1147</v>
      </c>
    </row>
    <row r="194" customFormat="false" ht="15" hidden="false" customHeight="true" outlineLevel="0" collapsed="false">
      <c r="A194" s="1" t="s">
        <v>1399</v>
      </c>
      <c r="B194" s="1" t="s">
        <v>1400</v>
      </c>
      <c r="C194" s="1" t="s">
        <v>31</v>
      </c>
      <c r="D194" s="12" t="s">
        <v>1147</v>
      </c>
      <c r="E194" s="1" t="s">
        <v>304</v>
      </c>
      <c r="F194" s="1" t="s">
        <v>1326</v>
      </c>
      <c r="G194" s="1" t="s">
        <v>306</v>
      </c>
      <c r="H194" s="12" t="s">
        <v>1147</v>
      </c>
      <c r="I194" s="1" t="s">
        <v>307</v>
      </c>
      <c r="J194" s="1" t="s">
        <v>1401</v>
      </c>
      <c r="K194" s="12" t="n">
        <v>2014</v>
      </c>
      <c r="L194" s="1" t="s">
        <v>310</v>
      </c>
      <c r="M194" s="1" t="s">
        <v>1402</v>
      </c>
      <c r="N194" s="1" t="s">
        <v>1330</v>
      </c>
      <c r="P194" s="1" t="s">
        <v>313</v>
      </c>
      <c r="Q194" s="1" t="s">
        <v>1391</v>
      </c>
      <c r="R194" s="12" t="s">
        <v>307</v>
      </c>
      <c r="X194" s="1" t="s">
        <v>314</v>
      </c>
      <c r="AB194" s="1" t="s">
        <v>315</v>
      </c>
      <c r="AC194" s="1" t="s">
        <v>1403</v>
      </c>
      <c r="AD194" s="1" t="s">
        <v>1147</v>
      </c>
    </row>
    <row r="195" customFormat="false" ht="15" hidden="false" customHeight="true" outlineLevel="0" collapsed="false">
      <c r="A195" s="1" t="s">
        <v>1404</v>
      </c>
      <c r="B195" s="1" t="s">
        <v>1405</v>
      </c>
      <c r="C195" s="1" t="s">
        <v>31</v>
      </c>
      <c r="D195" s="12" t="s">
        <v>1147</v>
      </c>
      <c r="E195" s="1" t="s">
        <v>304</v>
      </c>
      <c r="F195" s="1" t="s">
        <v>1326</v>
      </c>
      <c r="G195" s="1" t="s">
        <v>306</v>
      </c>
      <c r="H195" s="12" t="s">
        <v>1147</v>
      </c>
      <c r="I195" s="1" t="s">
        <v>307</v>
      </c>
      <c r="J195" s="1" t="s">
        <v>1406</v>
      </c>
      <c r="K195" s="12" t="n">
        <v>2013</v>
      </c>
      <c r="L195" s="1" t="s">
        <v>1407</v>
      </c>
      <c r="M195" s="1" t="s">
        <v>1408</v>
      </c>
      <c r="N195" s="1" t="s">
        <v>1330</v>
      </c>
      <c r="P195" s="1" t="s">
        <v>453</v>
      </c>
      <c r="Q195" s="1" t="s">
        <v>1409</v>
      </c>
      <c r="R195" s="12" t="s">
        <v>307</v>
      </c>
      <c r="X195" s="1" t="s">
        <v>314</v>
      </c>
      <c r="AB195" s="1" t="s">
        <v>315</v>
      </c>
      <c r="AC195" s="1" t="s">
        <v>1410</v>
      </c>
      <c r="AD195" s="1" t="s">
        <v>1147</v>
      </c>
    </row>
    <row r="196" customFormat="false" ht="15" hidden="false" customHeight="true" outlineLevel="0" collapsed="false">
      <c r="A196" s="1" t="s">
        <v>1411</v>
      </c>
      <c r="B196" s="1" t="s">
        <v>1412</v>
      </c>
      <c r="C196" s="1" t="s">
        <v>31</v>
      </c>
      <c r="D196" s="12" t="s">
        <v>1147</v>
      </c>
      <c r="E196" s="1" t="s">
        <v>304</v>
      </c>
      <c r="F196" s="1" t="s">
        <v>1326</v>
      </c>
      <c r="G196" s="1" t="s">
        <v>306</v>
      </c>
      <c r="H196" s="12" t="s">
        <v>1147</v>
      </c>
      <c r="I196" s="1" t="s">
        <v>307</v>
      </c>
      <c r="J196" s="1" t="s">
        <v>1413</v>
      </c>
      <c r="K196" s="12" t="n">
        <v>2017</v>
      </c>
      <c r="L196" s="1" t="s">
        <v>902</v>
      </c>
      <c r="M196" s="1" t="s">
        <v>1414</v>
      </c>
      <c r="N196" s="1" t="s">
        <v>1330</v>
      </c>
      <c r="P196" s="1" t="s">
        <v>313</v>
      </c>
      <c r="Q196" s="1" t="s">
        <v>1349</v>
      </c>
      <c r="R196" s="12" t="s">
        <v>307</v>
      </c>
      <c r="X196" s="1" t="s">
        <v>314</v>
      </c>
      <c r="AB196" s="1" t="s">
        <v>315</v>
      </c>
      <c r="AC196" s="1" t="s">
        <v>1415</v>
      </c>
      <c r="AD196" s="1" t="s">
        <v>1147</v>
      </c>
    </row>
    <row r="197" customFormat="false" ht="15" hidden="false" customHeight="true" outlineLevel="0" collapsed="false">
      <c r="D197" s="12"/>
      <c r="H197" s="12"/>
      <c r="K197" s="12"/>
      <c r="R197" s="12"/>
    </row>
    <row r="198" customFormat="false" ht="15" hidden="false" customHeight="true" outlineLevel="0" collapsed="false">
      <c r="D198" s="12"/>
      <c r="H198" s="12"/>
      <c r="K198" s="12"/>
      <c r="R198" s="12"/>
    </row>
    <row r="199" customFormat="false" ht="15" hidden="false" customHeight="true" outlineLevel="0" collapsed="false">
      <c r="D199" s="12"/>
      <c r="H199" s="12"/>
      <c r="K199" s="12"/>
      <c r="R199" s="12"/>
    </row>
    <row r="200" customFormat="false" ht="15" hidden="false" customHeight="true" outlineLevel="0" collapsed="false">
      <c r="D200" s="12"/>
      <c r="H200" s="12"/>
      <c r="K200" s="12"/>
      <c r="R200" s="12"/>
    </row>
    <row r="201" customFormat="false" ht="15" hidden="false" customHeight="true" outlineLevel="0" collapsed="false">
      <c r="D201" s="12"/>
      <c r="H201" s="12"/>
      <c r="K201" s="12"/>
      <c r="R201" s="12"/>
    </row>
    <row r="202" customFormat="false" ht="15" hidden="false" customHeight="true" outlineLevel="0" collapsed="false">
      <c r="D202" s="12"/>
      <c r="H202" s="12"/>
      <c r="K202" s="12"/>
      <c r="R202" s="12"/>
    </row>
    <row r="203" customFormat="false" ht="15" hidden="false" customHeight="true" outlineLevel="0" collapsed="false">
      <c r="D203" s="12"/>
      <c r="H203" s="12"/>
      <c r="K203" s="12"/>
      <c r="R203" s="12"/>
    </row>
    <row r="204" customFormat="false" ht="15" hidden="false" customHeight="true" outlineLevel="0" collapsed="false">
      <c r="D204" s="12"/>
      <c r="H204" s="12"/>
      <c r="K204" s="12"/>
      <c r="R204" s="12"/>
    </row>
    <row r="205" customFormat="false" ht="15" hidden="false" customHeight="true" outlineLevel="0" collapsed="false">
      <c r="D205" s="12"/>
      <c r="H205" s="12"/>
      <c r="K205" s="12"/>
      <c r="R205" s="12"/>
    </row>
    <row r="206" customFormat="false" ht="15" hidden="false" customHeight="true" outlineLevel="0" collapsed="false">
      <c r="D206" s="12"/>
      <c r="H206" s="12"/>
      <c r="K206" s="12"/>
      <c r="R206" s="12"/>
    </row>
    <row r="207" customFormat="false" ht="15" hidden="false" customHeight="true" outlineLevel="0" collapsed="false">
      <c r="D207" s="12"/>
      <c r="H207" s="12"/>
      <c r="K207" s="12"/>
      <c r="R207" s="12"/>
    </row>
    <row r="208" customFormat="false" ht="15" hidden="false" customHeight="true" outlineLevel="0" collapsed="false">
      <c r="D208" s="12"/>
      <c r="H208" s="12"/>
      <c r="K208" s="12"/>
      <c r="R208" s="12"/>
    </row>
    <row r="209" customFormat="false" ht="15" hidden="false" customHeight="true" outlineLevel="0" collapsed="false">
      <c r="D209" s="12"/>
      <c r="H209" s="12"/>
      <c r="K209" s="12"/>
      <c r="R209" s="12"/>
    </row>
    <row r="210" customFormat="false" ht="15" hidden="false" customHeight="true" outlineLevel="0" collapsed="false">
      <c r="D210" s="12"/>
      <c r="H210" s="12"/>
      <c r="K210" s="12"/>
      <c r="R210" s="12"/>
    </row>
    <row r="211" customFormat="false" ht="15" hidden="false" customHeight="true" outlineLevel="0" collapsed="false">
      <c r="D211" s="12"/>
      <c r="H211" s="12"/>
      <c r="K211" s="12"/>
      <c r="R211" s="12"/>
    </row>
    <row r="212" customFormat="false" ht="15" hidden="false" customHeight="true" outlineLevel="0" collapsed="false">
      <c r="D212" s="12"/>
      <c r="H212" s="12"/>
      <c r="K212" s="12"/>
      <c r="R212" s="12"/>
    </row>
    <row r="213" customFormat="false" ht="15" hidden="false" customHeight="true" outlineLevel="0" collapsed="false">
      <c r="D213" s="12"/>
      <c r="H213" s="12"/>
      <c r="K213" s="12"/>
      <c r="R213" s="12"/>
    </row>
    <row r="214" customFormat="false" ht="15" hidden="false" customHeight="true" outlineLevel="0" collapsed="false">
      <c r="D214" s="12"/>
      <c r="H214" s="12"/>
      <c r="K214" s="12"/>
      <c r="R214" s="12"/>
    </row>
    <row r="215" customFormat="false" ht="15" hidden="false" customHeight="true" outlineLevel="0" collapsed="false">
      <c r="D215" s="12"/>
      <c r="H215" s="12"/>
      <c r="K215" s="12"/>
      <c r="R215" s="12"/>
    </row>
    <row r="216" customFormat="false" ht="15" hidden="false" customHeight="true" outlineLevel="0" collapsed="false">
      <c r="D216" s="12"/>
      <c r="H216" s="12"/>
      <c r="K216" s="12"/>
      <c r="R216" s="12"/>
    </row>
    <row r="217" customFormat="false" ht="15" hidden="false" customHeight="true" outlineLevel="0" collapsed="false">
      <c r="D217" s="12"/>
      <c r="H217" s="12"/>
      <c r="K217" s="12"/>
      <c r="R217" s="12"/>
    </row>
    <row r="218" customFormat="false" ht="15" hidden="false" customHeight="true" outlineLevel="0" collapsed="false">
      <c r="D218" s="12"/>
      <c r="H218" s="12"/>
      <c r="K218" s="12"/>
      <c r="R218" s="12"/>
    </row>
    <row r="219" customFormat="false" ht="15" hidden="false" customHeight="true" outlineLevel="0" collapsed="false">
      <c r="D219" s="12"/>
      <c r="H219" s="12"/>
      <c r="K219" s="12"/>
      <c r="R219" s="12"/>
    </row>
    <row r="220" customFormat="false" ht="15" hidden="false" customHeight="true" outlineLevel="0" collapsed="false">
      <c r="D220" s="12"/>
      <c r="H220" s="12"/>
      <c r="K220" s="12"/>
      <c r="R220" s="12"/>
    </row>
    <row r="221" customFormat="false" ht="15" hidden="false" customHeight="true" outlineLevel="0" collapsed="false">
      <c r="D221" s="12"/>
      <c r="H221" s="12"/>
      <c r="K221" s="12"/>
      <c r="R221" s="12"/>
    </row>
    <row r="222" customFormat="false" ht="15" hidden="false" customHeight="true" outlineLevel="0" collapsed="false">
      <c r="D222" s="12"/>
      <c r="H222" s="12"/>
      <c r="K222" s="12"/>
      <c r="R222" s="12"/>
    </row>
    <row r="223" customFormat="false" ht="15" hidden="false" customHeight="true" outlineLevel="0" collapsed="false">
      <c r="D223" s="12"/>
      <c r="H223" s="12"/>
      <c r="K223" s="12"/>
      <c r="R223" s="12"/>
    </row>
    <row r="224" customFormat="false" ht="15" hidden="false" customHeight="true" outlineLevel="0" collapsed="false">
      <c r="D224" s="12"/>
      <c r="H224" s="12"/>
      <c r="K224" s="12"/>
      <c r="R224" s="12"/>
    </row>
    <row r="225" customFormat="false" ht="15" hidden="false" customHeight="true" outlineLevel="0" collapsed="false">
      <c r="D225" s="12"/>
      <c r="H225" s="12"/>
      <c r="K225" s="12"/>
      <c r="R225" s="12"/>
    </row>
    <row r="226" customFormat="false" ht="15" hidden="false" customHeight="true" outlineLevel="0" collapsed="false">
      <c r="D226" s="12"/>
      <c r="H226" s="12"/>
      <c r="K226" s="12"/>
      <c r="R226" s="12"/>
    </row>
    <row r="227" customFormat="false" ht="15" hidden="false" customHeight="true" outlineLevel="0" collapsed="false">
      <c r="D227" s="12"/>
      <c r="H227" s="12"/>
      <c r="K227" s="12"/>
      <c r="R227" s="12"/>
    </row>
    <row r="228" customFormat="false" ht="15" hidden="false" customHeight="true" outlineLevel="0" collapsed="false">
      <c r="D228" s="12"/>
      <c r="H228" s="12"/>
      <c r="K228" s="12"/>
      <c r="R228" s="12"/>
    </row>
    <row r="229" customFormat="false" ht="15" hidden="false" customHeight="true" outlineLevel="0" collapsed="false">
      <c r="D229" s="12"/>
      <c r="H229" s="12"/>
      <c r="K229" s="12"/>
      <c r="R229" s="12"/>
    </row>
    <row r="230" customFormat="false" ht="15" hidden="false" customHeight="true" outlineLevel="0" collapsed="false">
      <c r="D230" s="12"/>
      <c r="H230" s="12"/>
      <c r="K230" s="12"/>
      <c r="R230" s="12"/>
    </row>
    <row r="231" customFormat="false" ht="15" hidden="false" customHeight="true" outlineLevel="0" collapsed="false">
      <c r="D231" s="12"/>
      <c r="H231" s="12"/>
      <c r="K231" s="12"/>
      <c r="R231" s="12"/>
    </row>
    <row r="232" customFormat="false" ht="15" hidden="false" customHeight="true" outlineLevel="0" collapsed="false">
      <c r="D232" s="12"/>
      <c r="H232" s="12"/>
      <c r="K232" s="12"/>
      <c r="R232" s="12"/>
    </row>
    <row r="233" customFormat="false" ht="15" hidden="false" customHeight="true" outlineLevel="0" collapsed="false">
      <c r="D233" s="12"/>
      <c r="H233" s="12"/>
      <c r="K233" s="12"/>
      <c r="R233" s="12"/>
    </row>
    <row r="234" customFormat="false" ht="15" hidden="false" customHeight="true" outlineLevel="0" collapsed="false">
      <c r="D234" s="12"/>
      <c r="H234" s="12"/>
      <c r="K234" s="12"/>
      <c r="R234" s="12"/>
    </row>
    <row r="235" customFormat="false" ht="15" hidden="false" customHeight="true" outlineLevel="0" collapsed="false">
      <c r="D235" s="12"/>
      <c r="H235" s="12"/>
      <c r="K235" s="12"/>
      <c r="R235" s="12"/>
    </row>
    <row r="236" customFormat="false" ht="15" hidden="false" customHeight="true" outlineLevel="0" collapsed="false">
      <c r="D236" s="12"/>
      <c r="H236" s="12"/>
      <c r="K236" s="12"/>
      <c r="R236" s="12"/>
    </row>
    <row r="237" customFormat="false" ht="15" hidden="false" customHeight="true" outlineLevel="0" collapsed="false">
      <c r="D237" s="12"/>
      <c r="H237" s="12"/>
      <c r="K237" s="12"/>
      <c r="R237" s="12"/>
    </row>
    <row r="238" customFormat="false" ht="15" hidden="false" customHeight="true" outlineLevel="0" collapsed="false">
      <c r="D238" s="12"/>
      <c r="H238" s="12"/>
      <c r="K238" s="12"/>
      <c r="R238" s="12"/>
    </row>
    <row r="239" customFormat="false" ht="15" hidden="false" customHeight="true" outlineLevel="0" collapsed="false">
      <c r="D239" s="12"/>
      <c r="H239" s="12"/>
      <c r="K239" s="12"/>
      <c r="R239" s="12"/>
    </row>
    <row r="240" customFormat="false" ht="15" hidden="false" customHeight="true" outlineLevel="0" collapsed="false">
      <c r="D240" s="12"/>
      <c r="H240" s="12"/>
      <c r="K240" s="12"/>
      <c r="R240" s="12"/>
    </row>
    <row r="241" customFormat="false" ht="15" hidden="false" customHeight="true" outlineLevel="0" collapsed="false">
      <c r="D241" s="12"/>
      <c r="H241" s="12"/>
      <c r="K241" s="12"/>
      <c r="R241" s="12"/>
    </row>
    <row r="242" customFormat="false" ht="15" hidden="false" customHeight="true" outlineLevel="0" collapsed="false">
      <c r="D242" s="12"/>
      <c r="H242" s="12"/>
      <c r="K242" s="12"/>
      <c r="R242" s="12"/>
    </row>
    <row r="243" customFormat="false" ht="15" hidden="false" customHeight="true" outlineLevel="0" collapsed="false">
      <c r="D243" s="12"/>
      <c r="H243" s="12"/>
      <c r="K243" s="12"/>
      <c r="R243" s="12"/>
    </row>
    <row r="244" customFormat="false" ht="15" hidden="false" customHeight="true" outlineLevel="0" collapsed="false">
      <c r="D244" s="12"/>
      <c r="H244" s="12"/>
      <c r="K244" s="12"/>
      <c r="R244" s="12"/>
    </row>
    <row r="245" customFormat="false" ht="15" hidden="false" customHeight="true" outlineLevel="0" collapsed="false">
      <c r="D245" s="12"/>
      <c r="H245" s="12"/>
      <c r="K245" s="12"/>
      <c r="R245" s="12"/>
    </row>
    <row r="246" customFormat="false" ht="15" hidden="false" customHeight="true" outlineLevel="0" collapsed="false">
      <c r="D246" s="12"/>
      <c r="H246" s="12"/>
      <c r="K246" s="12"/>
      <c r="R246" s="12"/>
    </row>
    <row r="247" customFormat="false" ht="15" hidden="false" customHeight="true" outlineLevel="0" collapsed="false">
      <c r="D247" s="12"/>
      <c r="H247" s="12"/>
      <c r="K247" s="12"/>
      <c r="R247" s="12"/>
    </row>
    <row r="248" customFormat="false" ht="15" hidden="false" customHeight="true" outlineLevel="0" collapsed="false">
      <c r="D248" s="12"/>
      <c r="H248" s="12"/>
      <c r="K248" s="12"/>
      <c r="R248" s="12"/>
    </row>
    <row r="249" customFormat="false" ht="15" hidden="false" customHeight="true" outlineLevel="0" collapsed="false">
      <c r="D249" s="12"/>
      <c r="H249" s="12"/>
      <c r="K249" s="12"/>
      <c r="R249" s="12"/>
    </row>
    <row r="250" customFormat="false" ht="15" hidden="false" customHeight="true" outlineLevel="0" collapsed="false">
      <c r="D250" s="12"/>
      <c r="H250" s="12"/>
      <c r="K250" s="12"/>
      <c r="R250" s="12"/>
    </row>
    <row r="251" customFormat="false" ht="15" hidden="false" customHeight="true" outlineLevel="0" collapsed="false">
      <c r="D251" s="12"/>
      <c r="H251" s="12"/>
      <c r="K251" s="12"/>
      <c r="R251" s="12"/>
    </row>
    <row r="252" customFormat="false" ht="15" hidden="false" customHeight="true" outlineLevel="0" collapsed="false">
      <c r="D252" s="12"/>
      <c r="H252" s="12"/>
      <c r="K252" s="12"/>
      <c r="R252" s="12"/>
    </row>
    <row r="253" customFormat="false" ht="15" hidden="false" customHeight="true" outlineLevel="0" collapsed="false">
      <c r="D253" s="12"/>
      <c r="H253" s="12"/>
      <c r="K253" s="12"/>
      <c r="R253" s="12"/>
    </row>
    <row r="254" customFormat="false" ht="15" hidden="false" customHeight="true" outlineLevel="0" collapsed="false">
      <c r="D254" s="12"/>
      <c r="H254" s="12"/>
      <c r="K254" s="12"/>
      <c r="R254" s="12"/>
    </row>
    <row r="255" customFormat="false" ht="15" hidden="false" customHeight="true" outlineLevel="0" collapsed="false">
      <c r="D255" s="12"/>
      <c r="H255" s="12"/>
      <c r="K255" s="12"/>
      <c r="R255" s="12"/>
    </row>
    <row r="256" customFormat="false" ht="15" hidden="false" customHeight="true" outlineLevel="0" collapsed="false">
      <c r="D256" s="12"/>
      <c r="H256" s="12"/>
      <c r="K256" s="12"/>
      <c r="R256" s="12"/>
    </row>
    <row r="257" customFormat="false" ht="15" hidden="false" customHeight="true" outlineLevel="0" collapsed="false">
      <c r="D257" s="12"/>
      <c r="H257" s="12"/>
      <c r="K257" s="12"/>
      <c r="R257" s="12"/>
    </row>
    <row r="258" customFormat="false" ht="15" hidden="false" customHeight="true" outlineLevel="0" collapsed="false">
      <c r="D258" s="12"/>
      <c r="H258" s="12"/>
      <c r="K258" s="12"/>
      <c r="R258" s="12"/>
    </row>
    <row r="259" customFormat="false" ht="15" hidden="false" customHeight="true" outlineLevel="0" collapsed="false">
      <c r="D259" s="12"/>
      <c r="H259" s="12"/>
      <c r="K259" s="12"/>
      <c r="R259" s="12"/>
    </row>
    <row r="260" customFormat="false" ht="15" hidden="false" customHeight="true" outlineLevel="0" collapsed="false">
      <c r="D260" s="12"/>
      <c r="H260" s="12"/>
      <c r="K260" s="12"/>
      <c r="R260" s="12"/>
    </row>
    <row r="261" customFormat="false" ht="15" hidden="false" customHeight="true" outlineLevel="0" collapsed="false">
      <c r="D261" s="12"/>
      <c r="H261" s="12"/>
      <c r="K261" s="12"/>
      <c r="R261" s="12"/>
    </row>
    <row r="262" customFormat="false" ht="15" hidden="false" customHeight="true" outlineLevel="0" collapsed="false">
      <c r="D262" s="12"/>
      <c r="H262" s="12"/>
      <c r="K262" s="12"/>
      <c r="R262" s="12"/>
    </row>
    <row r="263" customFormat="false" ht="15" hidden="false" customHeight="true" outlineLevel="0" collapsed="false">
      <c r="D263" s="12"/>
      <c r="H263" s="12"/>
      <c r="K263" s="12"/>
      <c r="R263" s="12"/>
    </row>
    <row r="264" customFormat="false" ht="15" hidden="false" customHeight="true" outlineLevel="0" collapsed="false">
      <c r="D264" s="12"/>
      <c r="H264" s="12"/>
      <c r="K264" s="12"/>
      <c r="R264" s="12"/>
    </row>
    <row r="265" customFormat="false" ht="15" hidden="false" customHeight="true" outlineLevel="0" collapsed="false">
      <c r="D265" s="12"/>
      <c r="H265" s="12"/>
      <c r="K265" s="12"/>
      <c r="R265" s="12"/>
    </row>
    <row r="266" customFormat="false" ht="15" hidden="false" customHeight="true" outlineLevel="0" collapsed="false">
      <c r="D266" s="12"/>
      <c r="H266" s="12"/>
      <c r="K266" s="12"/>
      <c r="R266" s="12"/>
    </row>
    <row r="267" customFormat="false" ht="15" hidden="false" customHeight="true" outlineLevel="0" collapsed="false">
      <c r="D267" s="12"/>
      <c r="H267" s="12"/>
      <c r="K267" s="12"/>
      <c r="R267" s="12"/>
    </row>
    <row r="268" customFormat="false" ht="15" hidden="false" customHeight="true" outlineLevel="0" collapsed="false">
      <c r="D268" s="12"/>
      <c r="H268" s="12"/>
      <c r="K268" s="12"/>
      <c r="R268" s="12"/>
    </row>
    <row r="269" customFormat="false" ht="15" hidden="false" customHeight="true" outlineLevel="0" collapsed="false">
      <c r="D269" s="12"/>
      <c r="H269" s="12"/>
      <c r="K269" s="12"/>
      <c r="R269" s="12"/>
    </row>
    <row r="270" customFormat="false" ht="15" hidden="false" customHeight="true" outlineLevel="0" collapsed="false">
      <c r="D270" s="12"/>
      <c r="H270" s="12"/>
      <c r="K270" s="12"/>
      <c r="R270" s="12"/>
    </row>
    <row r="271" customFormat="false" ht="15" hidden="false" customHeight="true" outlineLevel="0" collapsed="false">
      <c r="D271" s="12"/>
      <c r="H271" s="12"/>
      <c r="K271" s="12"/>
      <c r="R271" s="12"/>
    </row>
    <row r="272" customFormat="false" ht="15" hidden="false" customHeight="true" outlineLevel="0" collapsed="false">
      <c r="D272" s="12"/>
      <c r="H272" s="12"/>
      <c r="K272" s="12"/>
      <c r="R272" s="12"/>
    </row>
    <row r="273" customFormat="false" ht="15" hidden="false" customHeight="true" outlineLevel="0" collapsed="false">
      <c r="D273" s="12"/>
      <c r="H273" s="12"/>
      <c r="K273" s="12"/>
      <c r="R273" s="12"/>
    </row>
    <row r="274" customFormat="false" ht="15" hidden="false" customHeight="true" outlineLevel="0" collapsed="false">
      <c r="D274" s="12"/>
      <c r="H274" s="12"/>
      <c r="K274" s="12"/>
      <c r="R274" s="12"/>
    </row>
    <row r="275" customFormat="false" ht="15" hidden="false" customHeight="true" outlineLevel="0" collapsed="false">
      <c r="D275" s="12"/>
      <c r="H275" s="12"/>
      <c r="K275" s="12"/>
      <c r="R275" s="12"/>
    </row>
    <row r="276" customFormat="false" ht="15" hidden="false" customHeight="true" outlineLevel="0" collapsed="false">
      <c r="D276" s="12"/>
      <c r="H276" s="12"/>
      <c r="K276" s="12"/>
      <c r="R276" s="12"/>
    </row>
    <row r="277" customFormat="false" ht="15" hidden="false" customHeight="true" outlineLevel="0" collapsed="false">
      <c r="D277" s="12"/>
      <c r="H277" s="12"/>
      <c r="K277" s="12"/>
      <c r="R277" s="12"/>
    </row>
    <row r="278" customFormat="false" ht="15" hidden="false" customHeight="true" outlineLevel="0" collapsed="false">
      <c r="D278" s="12"/>
      <c r="H278" s="12"/>
      <c r="K278" s="12"/>
      <c r="R278" s="12"/>
    </row>
    <row r="279" customFormat="false" ht="15" hidden="false" customHeight="true" outlineLevel="0" collapsed="false">
      <c r="D279" s="12"/>
      <c r="H279" s="12"/>
      <c r="K279" s="12"/>
      <c r="R279" s="12"/>
    </row>
    <row r="280" customFormat="false" ht="15" hidden="false" customHeight="true" outlineLevel="0" collapsed="false">
      <c r="D280" s="12"/>
      <c r="H280" s="12"/>
      <c r="K280" s="12"/>
      <c r="R280" s="12"/>
    </row>
    <row r="281" customFormat="false" ht="15" hidden="false" customHeight="true" outlineLevel="0" collapsed="false">
      <c r="D281" s="12"/>
      <c r="H281" s="12"/>
      <c r="K281" s="12"/>
      <c r="R281" s="12"/>
    </row>
    <row r="282" customFormat="false" ht="15" hidden="false" customHeight="true" outlineLevel="0" collapsed="false">
      <c r="D282" s="12"/>
      <c r="H282" s="12"/>
      <c r="K282" s="12"/>
      <c r="R282" s="12"/>
    </row>
    <row r="283" customFormat="false" ht="15" hidden="false" customHeight="true" outlineLevel="0" collapsed="false">
      <c r="D283" s="12"/>
      <c r="H283" s="12"/>
      <c r="K283" s="12"/>
      <c r="R283" s="12"/>
    </row>
    <row r="284" customFormat="false" ht="15" hidden="false" customHeight="true" outlineLevel="0" collapsed="false">
      <c r="D284" s="12"/>
      <c r="H284" s="12"/>
      <c r="K284" s="12"/>
      <c r="R284" s="12"/>
    </row>
    <row r="285" customFormat="false" ht="15" hidden="false" customHeight="true" outlineLevel="0" collapsed="false">
      <c r="D285" s="12"/>
      <c r="H285" s="12"/>
      <c r="K285" s="12"/>
      <c r="R285" s="12"/>
    </row>
    <row r="286" customFormat="false" ht="15" hidden="false" customHeight="true" outlineLevel="0" collapsed="false">
      <c r="D286" s="12"/>
      <c r="H286" s="12"/>
      <c r="K286" s="12"/>
      <c r="R286" s="12"/>
    </row>
    <row r="287" customFormat="false" ht="15" hidden="false" customHeight="true" outlineLevel="0" collapsed="false">
      <c r="D287" s="12"/>
      <c r="H287" s="12"/>
      <c r="K287" s="12"/>
      <c r="R287" s="12"/>
    </row>
    <row r="288" customFormat="false" ht="15" hidden="false" customHeight="true" outlineLevel="0" collapsed="false">
      <c r="D288" s="12"/>
      <c r="H288" s="12"/>
      <c r="K288" s="12"/>
      <c r="R288" s="12"/>
    </row>
    <row r="289" customFormat="false" ht="15" hidden="false" customHeight="true" outlineLevel="0" collapsed="false">
      <c r="D289" s="12"/>
      <c r="H289" s="12"/>
      <c r="K289" s="12"/>
      <c r="R289" s="12"/>
    </row>
    <row r="290" customFormat="false" ht="15" hidden="false" customHeight="true" outlineLevel="0" collapsed="false">
      <c r="D290" s="12"/>
      <c r="H290" s="12"/>
      <c r="K290" s="12"/>
      <c r="R290" s="12"/>
    </row>
    <row r="291" customFormat="false" ht="15" hidden="false" customHeight="true" outlineLevel="0" collapsed="false">
      <c r="D291" s="12"/>
      <c r="H291" s="12"/>
      <c r="K291" s="12"/>
      <c r="R291" s="12"/>
    </row>
    <row r="292" customFormat="false" ht="15" hidden="false" customHeight="true" outlineLevel="0" collapsed="false">
      <c r="D292" s="12"/>
      <c r="H292" s="12"/>
      <c r="K292" s="12"/>
      <c r="R292" s="12"/>
    </row>
    <row r="293" customFormat="false" ht="15" hidden="false" customHeight="true" outlineLevel="0" collapsed="false">
      <c r="D293" s="12"/>
      <c r="H293" s="12"/>
      <c r="K293" s="12"/>
      <c r="R293" s="12"/>
    </row>
    <row r="294" customFormat="false" ht="15" hidden="false" customHeight="true" outlineLevel="0" collapsed="false">
      <c r="D294" s="12"/>
      <c r="H294" s="12"/>
      <c r="K294" s="12"/>
      <c r="R294" s="12"/>
    </row>
    <row r="295" customFormat="false" ht="15" hidden="false" customHeight="true" outlineLevel="0" collapsed="false">
      <c r="D295" s="12"/>
      <c r="H295" s="12"/>
      <c r="K295" s="12"/>
      <c r="R295" s="12"/>
    </row>
    <row r="296" customFormat="false" ht="15" hidden="false" customHeight="true" outlineLevel="0" collapsed="false">
      <c r="D296" s="12"/>
      <c r="H296" s="12"/>
      <c r="K296" s="12"/>
      <c r="R296" s="12"/>
    </row>
    <row r="297" customFormat="false" ht="15" hidden="false" customHeight="true" outlineLevel="0" collapsed="false">
      <c r="D297" s="12"/>
      <c r="H297" s="12"/>
      <c r="K297" s="12"/>
      <c r="R297" s="12"/>
    </row>
    <row r="298" customFormat="false" ht="15" hidden="false" customHeight="true" outlineLevel="0" collapsed="false">
      <c r="D298" s="12"/>
      <c r="H298" s="12"/>
      <c r="K298" s="12"/>
      <c r="R298" s="12"/>
    </row>
    <row r="299" customFormat="false" ht="15" hidden="false" customHeight="true" outlineLevel="0" collapsed="false">
      <c r="D299" s="12"/>
      <c r="H299" s="12"/>
      <c r="K299" s="12"/>
      <c r="R299" s="12"/>
    </row>
    <row r="300" customFormat="false" ht="15" hidden="false" customHeight="true" outlineLevel="0" collapsed="false">
      <c r="D300" s="12"/>
      <c r="H300" s="12"/>
      <c r="K300" s="12"/>
      <c r="R300" s="12"/>
    </row>
    <row r="301" customFormat="false" ht="15" hidden="false" customHeight="true" outlineLevel="0" collapsed="false">
      <c r="D301" s="12"/>
      <c r="H301" s="12"/>
      <c r="K301" s="12"/>
      <c r="R301" s="12"/>
    </row>
    <row r="302" customFormat="false" ht="15" hidden="false" customHeight="true" outlineLevel="0" collapsed="false">
      <c r="D302" s="12"/>
      <c r="H302" s="12"/>
      <c r="K302" s="12"/>
      <c r="R302" s="12"/>
    </row>
    <row r="303" customFormat="false" ht="15" hidden="false" customHeight="true" outlineLevel="0" collapsed="false">
      <c r="D303" s="12"/>
      <c r="H303" s="12"/>
      <c r="K303" s="12"/>
      <c r="R303" s="12"/>
    </row>
    <row r="304" customFormat="false" ht="15" hidden="false" customHeight="true" outlineLevel="0" collapsed="false">
      <c r="D304" s="12"/>
      <c r="H304" s="12"/>
      <c r="K304" s="12"/>
      <c r="R304" s="12"/>
    </row>
    <row r="305" customFormat="false" ht="15" hidden="false" customHeight="true" outlineLevel="0" collapsed="false">
      <c r="D305" s="12"/>
      <c r="H305" s="12"/>
      <c r="K305" s="12"/>
      <c r="R305" s="12"/>
    </row>
    <row r="306" customFormat="false" ht="15" hidden="false" customHeight="true" outlineLevel="0" collapsed="false">
      <c r="D306" s="12"/>
      <c r="H306" s="12"/>
      <c r="K306" s="12"/>
      <c r="R306" s="12"/>
    </row>
    <row r="307" customFormat="false" ht="15" hidden="false" customHeight="true" outlineLevel="0" collapsed="false">
      <c r="D307" s="12"/>
      <c r="H307" s="12"/>
      <c r="K307" s="12"/>
      <c r="R307" s="12"/>
    </row>
    <row r="308" customFormat="false" ht="15" hidden="false" customHeight="true" outlineLevel="0" collapsed="false">
      <c r="D308" s="12"/>
      <c r="H308" s="12"/>
      <c r="K308" s="12"/>
      <c r="R308" s="12"/>
    </row>
    <row r="309" customFormat="false" ht="15" hidden="false" customHeight="true" outlineLevel="0" collapsed="false">
      <c r="D309" s="12"/>
      <c r="H309" s="12"/>
      <c r="K309" s="12"/>
      <c r="R309" s="12"/>
    </row>
    <row r="310" customFormat="false" ht="15" hidden="false" customHeight="true" outlineLevel="0" collapsed="false">
      <c r="D310" s="12"/>
      <c r="H310" s="12"/>
      <c r="K310" s="12"/>
      <c r="R310" s="12"/>
    </row>
    <row r="311" customFormat="false" ht="15" hidden="false" customHeight="true" outlineLevel="0" collapsed="false">
      <c r="D311" s="12"/>
      <c r="H311" s="12"/>
      <c r="K311" s="12"/>
      <c r="R311" s="12"/>
    </row>
    <row r="312" customFormat="false" ht="15" hidden="false" customHeight="true" outlineLevel="0" collapsed="false">
      <c r="D312" s="12"/>
      <c r="H312" s="12"/>
      <c r="K312" s="12"/>
      <c r="R312" s="12"/>
    </row>
    <row r="313" customFormat="false" ht="15" hidden="false" customHeight="true" outlineLevel="0" collapsed="false">
      <c r="D313" s="12"/>
      <c r="H313" s="12"/>
      <c r="K313" s="12"/>
      <c r="R313" s="12"/>
    </row>
    <row r="314" customFormat="false" ht="15" hidden="false" customHeight="true" outlineLevel="0" collapsed="false">
      <c r="D314" s="12"/>
      <c r="H314" s="12"/>
      <c r="K314" s="12"/>
      <c r="R314" s="12"/>
    </row>
    <row r="315" customFormat="false" ht="15" hidden="false" customHeight="true" outlineLevel="0" collapsed="false">
      <c r="D315" s="12"/>
      <c r="H315" s="12"/>
      <c r="K315" s="12"/>
      <c r="R315" s="12"/>
    </row>
    <row r="316" customFormat="false" ht="15" hidden="false" customHeight="true" outlineLevel="0" collapsed="false">
      <c r="D316" s="12"/>
      <c r="H316" s="12"/>
      <c r="K316" s="12"/>
      <c r="R316" s="12"/>
    </row>
    <row r="317" customFormat="false" ht="15" hidden="false" customHeight="true" outlineLevel="0" collapsed="false">
      <c r="D317" s="12"/>
      <c r="H317" s="12"/>
      <c r="K317" s="12"/>
      <c r="R317" s="12"/>
    </row>
    <row r="318" customFormat="false" ht="15" hidden="false" customHeight="true" outlineLevel="0" collapsed="false">
      <c r="D318" s="12"/>
      <c r="H318" s="12"/>
      <c r="K318" s="12"/>
      <c r="R318" s="12"/>
    </row>
    <row r="319" customFormat="false" ht="15" hidden="false" customHeight="true" outlineLevel="0" collapsed="false">
      <c r="D319" s="12"/>
      <c r="H319" s="12"/>
      <c r="K319" s="12"/>
      <c r="R319" s="12"/>
    </row>
    <row r="320" customFormat="false" ht="15" hidden="false" customHeight="true" outlineLevel="0" collapsed="false">
      <c r="D320" s="12"/>
      <c r="H320" s="12"/>
      <c r="K320" s="12"/>
      <c r="R320" s="12"/>
    </row>
    <row r="321" customFormat="false" ht="15" hidden="false" customHeight="true" outlineLevel="0" collapsed="false">
      <c r="D321" s="12"/>
      <c r="H321" s="12"/>
      <c r="K321" s="12"/>
      <c r="R321" s="12"/>
    </row>
    <row r="322" customFormat="false" ht="15" hidden="false" customHeight="true" outlineLevel="0" collapsed="false">
      <c r="D322" s="12"/>
      <c r="H322" s="12"/>
      <c r="K322" s="12"/>
      <c r="R322" s="12"/>
    </row>
    <row r="323" customFormat="false" ht="15" hidden="false" customHeight="true" outlineLevel="0" collapsed="false">
      <c r="D323" s="12"/>
      <c r="H323" s="12"/>
      <c r="K323" s="12"/>
      <c r="R323" s="12"/>
    </row>
    <row r="324" customFormat="false" ht="15" hidden="false" customHeight="true" outlineLevel="0" collapsed="false">
      <c r="D324" s="12"/>
      <c r="H324" s="12"/>
      <c r="K324" s="12"/>
      <c r="R324" s="12"/>
    </row>
    <row r="325" customFormat="false" ht="15" hidden="false" customHeight="true" outlineLevel="0" collapsed="false">
      <c r="D325" s="12"/>
      <c r="H325" s="12"/>
      <c r="K325" s="12"/>
      <c r="R325" s="12"/>
    </row>
    <row r="326" customFormat="false" ht="15" hidden="false" customHeight="true" outlineLevel="0" collapsed="false">
      <c r="D326" s="12"/>
      <c r="H326" s="12"/>
      <c r="K326" s="12"/>
      <c r="R326" s="12"/>
    </row>
    <row r="327" customFormat="false" ht="15" hidden="false" customHeight="true" outlineLevel="0" collapsed="false">
      <c r="D327" s="12"/>
      <c r="H327" s="12"/>
      <c r="K327" s="12"/>
      <c r="R327" s="12"/>
    </row>
    <row r="328" customFormat="false" ht="15" hidden="false" customHeight="true" outlineLevel="0" collapsed="false">
      <c r="D328" s="12"/>
      <c r="H328" s="12"/>
      <c r="K328" s="12"/>
      <c r="R328" s="12"/>
    </row>
    <row r="329" customFormat="false" ht="15" hidden="false" customHeight="true" outlineLevel="0" collapsed="false">
      <c r="D329" s="12"/>
      <c r="H329" s="12"/>
      <c r="K329" s="12"/>
      <c r="R329" s="12"/>
    </row>
    <row r="330" customFormat="false" ht="15" hidden="false" customHeight="true" outlineLevel="0" collapsed="false">
      <c r="D330" s="12"/>
      <c r="H330" s="12"/>
      <c r="K330" s="12"/>
      <c r="R330" s="12"/>
    </row>
    <row r="331" customFormat="false" ht="15" hidden="false" customHeight="true" outlineLevel="0" collapsed="false">
      <c r="D331" s="12"/>
      <c r="H331" s="12"/>
      <c r="K331" s="12"/>
      <c r="R331" s="12"/>
    </row>
    <row r="332" customFormat="false" ht="15" hidden="false" customHeight="true" outlineLevel="0" collapsed="false">
      <c r="D332" s="12"/>
      <c r="H332" s="12"/>
      <c r="K332" s="12"/>
      <c r="R332" s="12"/>
    </row>
    <row r="333" customFormat="false" ht="15" hidden="false" customHeight="true" outlineLevel="0" collapsed="false">
      <c r="D333" s="12"/>
      <c r="H333" s="12"/>
      <c r="K333" s="12"/>
      <c r="R333" s="12"/>
    </row>
    <row r="334" customFormat="false" ht="15" hidden="false" customHeight="true" outlineLevel="0" collapsed="false">
      <c r="D334" s="12"/>
      <c r="H334" s="12"/>
      <c r="K334" s="12"/>
      <c r="R334" s="12"/>
    </row>
    <row r="335" customFormat="false" ht="15" hidden="false" customHeight="true" outlineLevel="0" collapsed="false">
      <c r="D335" s="12"/>
      <c r="H335" s="12"/>
      <c r="K335" s="12"/>
      <c r="R335" s="12"/>
    </row>
    <row r="336" customFormat="false" ht="15" hidden="false" customHeight="true" outlineLevel="0" collapsed="false">
      <c r="D336" s="12"/>
      <c r="H336" s="12"/>
      <c r="K336" s="12"/>
      <c r="R336" s="12"/>
    </row>
    <row r="337" customFormat="false" ht="15" hidden="false" customHeight="true" outlineLevel="0" collapsed="false">
      <c r="D337" s="12"/>
      <c r="H337" s="12"/>
      <c r="K337" s="12"/>
      <c r="R337" s="12"/>
    </row>
    <row r="338" customFormat="false" ht="15" hidden="false" customHeight="true" outlineLevel="0" collapsed="false">
      <c r="D338" s="12"/>
      <c r="H338" s="12"/>
      <c r="K338" s="12"/>
      <c r="R338" s="12"/>
    </row>
    <row r="339" customFormat="false" ht="15" hidden="false" customHeight="true" outlineLevel="0" collapsed="false">
      <c r="D339" s="12"/>
      <c r="H339" s="12"/>
      <c r="K339" s="12"/>
      <c r="R339" s="12"/>
    </row>
    <row r="340" customFormat="false" ht="15" hidden="false" customHeight="true" outlineLevel="0" collapsed="false">
      <c r="D340" s="12"/>
      <c r="H340" s="12"/>
      <c r="K340" s="12"/>
      <c r="R340" s="12"/>
    </row>
    <row r="341" customFormat="false" ht="15" hidden="false" customHeight="true" outlineLevel="0" collapsed="false">
      <c r="D341" s="12"/>
      <c r="H341" s="12"/>
      <c r="K341" s="12"/>
      <c r="R341" s="12"/>
    </row>
    <row r="342" customFormat="false" ht="15" hidden="false" customHeight="true" outlineLevel="0" collapsed="false">
      <c r="D342" s="12"/>
      <c r="H342" s="12"/>
      <c r="K342" s="12"/>
      <c r="R342" s="12"/>
    </row>
    <row r="343" customFormat="false" ht="15" hidden="false" customHeight="true" outlineLevel="0" collapsed="false">
      <c r="D343" s="12"/>
      <c r="H343" s="12"/>
      <c r="K343" s="12"/>
      <c r="R343" s="12"/>
    </row>
    <row r="344" customFormat="false" ht="15" hidden="false" customHeight="true" outlineLevel="0" collapsed="false">
      <c r="D344" s="12"/>
      <c r="H344" s="12"/>
      <c r="K344" s="12"/>
      <c r="R344" s="12"/>
    </row>
    <row r="345" customFormat="false" ht="15" hidden="false" customHeight="true" outlineLevel="0" collapsed="false">
      <c r="D345" s="12"/>
      <c r="H345" s="12"/>
      <c r="K345" s="12"/>
      <c r="R345" s="12"/>
    </row>
    <row r="346" customFormat="false" ht="15" hidden="false" customHeight="true" outlineLevel="0" collapsed="false">
      <c r="D346" s="12"/>
      <c r="H346" s="12"/>
      <c r="K346" s="12"/>
      <c r="R346" s="12"/>
    </row>
    <row r="347" customFormat="false" ht="15" hidden="false" customHeight="true" outlineLevel="0" collapsed="false">
      <c r="D347" s="12"/>
      <c r="H347" s="12"/>
      <c r="K347" s="12"/>
      <c r="R347" s="12"/>
    </row>
    <row r="348" customFormat="false" ht="15" hidden="false" customHeight="true" outlineLevel="0" collapsed="false">
      <c r="D348" s="12"/>
      <c r="H348" s="12"/>
      <c r="K348" s="12"/>
      <c r="R348" s="12"/>
    </row>
    <row r="349" customFormat="false" ht="15" hidden="false" customHeight="true" outlineLevel="0" collapsed="false">
      <c r="D349" s="12"/>
      <c r="H349" s="12"/>
      <c r="K349" s="12"/>
      <c r="R349" s="12"/>
    </row>
    <row r="350" customFormat="false" ht="15" hidden="false" customHeight="true" outlineLevel="0" collapsed="false">
      <c r="D350" s="12"/>
      <c r="H350" s="12"/>
      <c r="K350" s="12"/>
      <c r="R350" s="12"/>
    </row>
    <row r="351" customFormat="false" ht="15" hidden="false" customHeight="true" outlineLevel="0" collapsed="false">
      <c r="D351" s="12"/>
      <c r="H351" s="12"/>
      <c r="K351" s="12"/>
      <c r="R351" s="12"/>
    </row>
    <row r="352" customFormat="false" ht="15" hidden="false" customHeight="true" outlineLevel="0" collapsed="false">
      <c r="D352" s="12"/>
      <c r="H352" s="12"/>
      <c r="K352" s="12"/>
      <c r="R352" s="12"/>
    </row>
    <row r="353" customFormat="false" ht="15" hidden="false" customHeight="true" outlineLevel="0" collapsed="false">
      <c r="D353" s="12"/>
      <c r="H353" s="12"/>
      <c r="K353" s="12"/>
      <c r="R353" s="12"/>
    </row>
    <row r="354" customFormat="false" ht="15" hidden="false" customHeight="true" outlineLevel="0" collapsed="false">
      <c r="D354" s="12"/>
      <c r="H354" s="12"/>
      <c r="K354" s="12"/>
      <c r="R354" s="12"/>
    </row>
    <row r="355" customFormat="false" ht="15" hidden="false" customHeight="true" outlineLevel="0" collapsed="false">
      <c r="D355" s="12"/>
      <c r="H355" s="12"/>
      <c r="K355" s="12"/>
      <c r="R355" s="12"/>
    </row>
    <row r="356" customFormat="false" ht="15" hidden="false" customHeight="true" outlineLevel="0" collapsed="false">
      <c r="D356" s="12"/>
      <c r="H356" s="12"/>
      <c r="K356" s="12"/>
      <c r="R356" s="12"/>
    </row>
    <row r="357" customFormat="false" ht="15" hidden="false" customHeight="true" outlineLevel="0" collapsed="false">
      <c r="D357" s="12"/>
      <c r="H357" s="12"/>
      <c r="K357" s="12"/>
      <c r="R357" s="12"/>
    </row>
    <row r="358" customFormat="false" ht="15" hidden="false" customHeight="true" outlineLevel="0" collapsed="false">
      <c r="D358" s="12"/>
      <c r="H358" s="12"/>
      <c r="K358" s="12"/>
      <c r="R358" s="12"/>
    </row>
    <row r="359" customFormat="false" ht="15" hidden="false" customHeight="true" outlineLevel="0" collapsed="false">
      <c r="D359" s="12"/>
      <c r="H359" s="12"/>
      <c r="K359" s="12"/>
      <c r="R359" s="12"/>
    </row>
    <row r="360" customFormat="false" ht="15" hidden="false" customHeight="true" outlineLevel="0" collapsed="false">
      <c r="D360" s="12"/>
      <c r="H360" s="12"/>
      <c r="K360" s="12"/>
      <c r="R360" s="12"/>
    </row>
    <row r="361" customFormat="false" ht="15" hidden="false" customHeight="true" outlineLevel="0" collapsed="false">
      <c r="D361" s="12"/>
      <c r="H361" s="12"/>
      <c r="K361" s="12"/>
      <c r="R361" s="12"/>
    </row>
    <row r="362" customFormat="false" ht="15" hidden="false" customHeight="true" outlineLevel="0" collapsed="false">
      <c r="D362" s="12"/>
      <c r="H362" s="12"/>
      <c r="K362" s="12"/>
      <c r="R362" s="12"/>
    </row>
    <row r="363" customFormat="false" ht="15" hidden="false" customHeight="true" outlineLevel="0" collapsed="false">
      <c r="D363" s="12"/>
      <c r="H363" s="12"/>
      <c r="K363" s="12"/>
      <c r="R363" s="12"/>
    </row>
    <row r="364" customFormat="false" ht="15" hidden="false" customHeight="true" outlineLevel="0" collapsed="false">
      <c r="D364" s="12"/>
      <c r="H364" s="12"/>
      <c r="K364" s="12"/>
      <c r="R364" s="12"/>
    </row>
    <row r="365" customFormat="false" ht="15" hidden="false" customHeight="true" outlineLevel="0" collapsed="false">
      <c r="D365" s="12"/>
      <c r="H365" s="12"/>
      <c r="K365" s="12"/>
      <c r="R365" s="12"/>
    </row>
    <row r="366" customFormat="false" ht="15" hidden="false" customHeight="true" outlineLevel="0" collapsed="false">
      <c r="D366" s="12"/>
      <c r="H366" s="12"/>
      <c r="K366" s="12"/>
      <c r="R366" s="12"/>
    </row>
    <row r="367" customFormat="false" ht="15" hidden="false" customHeight="true" outlineLevel="0" collapsed="false">
      <c r="D367" s="12"/>
      <c r="H367" s="12"/>
      <c r="K367" s="12"/>
      <c r="R367" s="12"/>
    </row>
    <row r="368" customFormat="false" ht="15" hidden="false" customHeight="true" outlineLevel="0" collapsed="false">
      <c r="D368" s="12"/>
      <c r="H368" s="12"/>
      <c r="K368" s="12"/>
      <c r="R368" s="12"/>
    </row>
    <row r="369" customFormat="false" ht="15" hidden="false" customHeight="true" outlineLevel="0" collapsed="false">
      <c r="D369" s="12"/>
      <c r="H369" s="12"/>
      <c r="K369" s="12"/>
      <c r="R369" s="12"/>
    </row>
    <row r="370" customFormat="false" ht="15" hidden="false" customHeight="true" outlineLevel="0" collapsed="false">
      <c r="D370" s="12"/>
      <c r="H370" s="12"/>
      <c r="K370" s="12"/>
      <c r="R370" s="12"/>
    </row>
    <row r="371" customFormat="false" ht="15" hidden="false" customHeight="true" outlineLevel="0" collapsed="false">
      <c r="D371" s="12"/>
      <c r="H371" s="12"/>
      <c r="K371" s="12"/>
      <c r="R371" s="12"/>
    </row>
    <row r="372" customFormat="false" ht="15" hidden="false" customHeight="true" outlineLevel="0" collapsed="false">
      <c r="D372" s="12"/>
      <c r="H372" s="12"/>
      <c r="K372" s="12"/>
      <c r="R372" s="12"/>
    </row>
    <row r="373" customFormat="false" ht="15" hidden="false" customHeight="true" outlineLevel="0" collapsed="false">
      <c r="D373" s="12"/>
      <c r="H373" s="12"/>
      <c r="K373" s="12"/>
      <c r="R373" s="12"/>
    </row>
    <row r="374" customFormat="false" ht="15" hidden="false" customHeight="true" outlineLevel="0" collapsed="false">
      <c r="D374" s="12"/>
      <c r="H374" s="12"/>
      <c r="K374" s="12"/>
      <c r="R374" s="12"/>
    </row>
    <row r="375" customFormat="false" ht="15" hidden="false" customHeight="true" outlineLevel="0" collapsed="false">
      <c r="D375" s="12"/>
      <c r="H375" s="12"/>
      <c r="K375" s="12"/>
      <c r="R375" s="12"/>
    </row>
    <row r="376" customFormat="false" ht="15" hidden="false" customHeight="true" outlineLevel="0" collapsed="false">
      <c r="D376" s="12"/>
      <c r="H376" s="12"/>
      <c r="K376" s="12"/>
      <c r="R376" s="12"/>
    </row>
    <row r="377" customFormat="false" ht="15" hidden="false" customHeight="true" outlineLevel="0" collapsed="false">
      <c r="D377" s="12"/>
      <c r="H377" s="12"/>
      <c r="K377" s="12"/>
      <c r="R377" s="12"/>
    </row>
    <row r="378" customFormat="false" ht="15" hidden="false" customHeight="true" outlineLevel="0" collapsed="false">
      <c r="D378" s="12"/>
      <c r="H378" s="12"/>
      <c r="K378" s="12"/>
      <c r="R378" s="12"/>
    </row>
    <row r="379" customFormat="false" ht="15" hidden="false" customHeight="true" outlineLevel="0" collapsed="false">
      <c r="D379" s="12"/>
      <c r="H379" s="12"/>
      <c r="K379" s="12"/>
      <c r="R379" s="12"/>
    </row>
    <row r="380" customFormat="false" ht="15" hidden="false" customHeight="true" outlineLevel="0" collapsed="false">
      <c r="D380" s="12"/>
      <c r="H380" s="12"/>
      <c r="K380" s="12"/>
      <c r="R380" s="12"/>
    </row>
    <row r="381" customFormat="false" ht="15" hidden="false" customHeight="true" outlineLevel="0" collapsed="false">
      <c r="D381" s="12"/>
      <c r="H381" s="12"/>
      <c r="K381" s="12"/>
      <c r="R381" s="12"/>
    </row>
    <row r="382" customFormat="false" ht="15" hidden="false" customHeight="true" outlineLevel="0" collapsed="false">
      <c r="D382" s="12"/>
      <c r="H382" s="12"/>
      <c r="K382" s="12"/>
      <c r="R382" s="12"/>
    </row>
    <row r="383" customFormat="false" ht="15" hidden="false" customHeight="true" outlineLevel="0" collapsed="false">
      <c r="D383" s="12"/>
      <c r="H383" s="12"/>
      <c r="K383" s="12"/>
      <c r="R383" s="12"/>
    </row>
    <row r="384" customFormat="false" ht="15" hidden="false" customHeight="true" outlineLevel="0" collapsed="false">
      <c r="D384" s="12"/>
      <c r="H384" s="12"/>
      <c r="K384" s="12"/>
      <c r="R384" s="12"/>
    </row>
    <row r="385" customFormat="false" ht="15" hidden="false" customHeight="true" outlineLevel="0" collapsed="false">
      <c r="D385" s="12"/>
      <c r="H385" s="12"/>
      <c r="K385" s="12"/>
      <c r="R385" s="12"/>
    </row>
    <row r="386" customFormat="false" ht="15" hidden="false" customHeight="true" outlineLevel="0" collapsed="false">
      <c r="D386" s="12"/>
      <c r="H386" s="12"/>
      <c r="K386" s="12"/>
      <c r="R386" s="12"/>
    </row>
    <row r="387" customFormat="false" ht="15" hidden="false" customHeight="true" outlineLevel="0" collapsed="false">
      <c r="D387" s="12"/>
      <c r="H387" s="12"/>
      <c r="K387" s="12"/>
      <c r="R387" s="12"/>
    </row>
    <row r="388" customFormat="false" ht="15" hidden="false" customHeight="true" outlineLevel="0" collapsed="false">
      <c r="D388" s="12"/>
      <c r="H388" s="12"/>
      <c r="K388" s="12"/>
      <c r="R388" s="12"/>
    </row>
    <row r="389" customFormat="false" ht="15" hidden="false" customHeight="true" outlineLevel="0" collapsed="false">
      <c r="D389" s="12"/>
      <c r="H389" s="12"/>
      <c r="K389" s="12"/>
      <c r="R389" s="12"/>
    </row>
    <row r="390" customFormat="false" ht="15" hidden="false" customHeight="true" outlineLevel="0" collapsed="false">
      <c r="D390" s="12"/>
      <c r="H390" s="12"/>
      <c r="K390" s="12"/>
      <c r="R390" s="12"/>
    </row>
    <row r="391" customFormat="false" ht="15" hidden="false" customHeight="true" outlineLevel="0" collapsed="false">
      <c r="D391" s="12"/>
      <c r="H391" s="12"/>
      <c r="K391" s="12"/>
      <c r="R391" s="12"/>
    </row>
    <row r="392" customFormat="false" ht="15" hidden="false" customHeight="true" outlineLevel="0" collapsed="false">
      <c r="D392" s="12"/>
      <c r="H392" s="12"/>
      <c r="K392" s="12"/>
      <c r="R392" s="12"/>
    </row>
    <row r="393" customFormat="false" ht="15" hidden="false" customHeight="true" outlineLevel="0" collapsed="false">
      <c r="D393" s="12"/>
      <c r="H393" s="12"/>
      <c r="K393" s="12"/>
      <c r="R393" s="12"/>
    </row>
    <row r="394" customFormat="false" ht="15" hidden="false" customHeight="true" outlineLevel="0" collapsed="false">
      <c r="D394" s="12"/>
      <c r="H394" s="12"/>
      <c r="K394" s="12"/>
      <c r="R394" s="12"/>
    </row>
    <row r="395" customFormat="false" ht="15" hidden="false" customHeight="true" outlineLevel="0" collapsed="false">
      <c r="D395" s="12"/>
      <c r="H395" s="12"/>
      <c r="K395" s="12"/>
      <c r="R395" s="12"/>
    </row>
    <row r="396" customFormat="false" ht="15" hidden="false" customHeight="true" outlineLevel="0" collapsed="false">
      <c r="D396" s="12"/>
      <c r="H396" s="12"/>
      <c r="K396" s="12"/>
      <c r="R396" s="12"/>
    </row>
    <row r="397" customFormat="false" ht="15" hidden="false" customHeight="true" outlineLevel="0" collapsed="false">
      <c r="D397" s="12"/>
      <c r="H397" s="12"/>
      <c r="K397" s="12"/>
      <c r="R397" s="12"/>
    </row>
    <row r="398" customFormat="false" ht="15" hidden="false" customHeight="true" outlineLevel="0" collapsed="false">
      <c r="D398" s="12"/>
      <c r="H398" s="12"/>
      <c r="K398" s="12"/>
      <c r="R398" s="12"/>
    </row>
    <row r="399" customFormat="false" ht="15" hidden="false" customHeight="true" outlineLevel="0" collapsed="false">
      <c r="D399" s="12"/>
      <c r="H399" s="12"/>
      <c r="K399" s="12"/>
      <c r="R399" s="12"/>
    </row>
    <row r="400" customFormat="false" ht="15" hidden="false" customHeight="true" outlineLevel="0" collapsed="false">
      <c r="D400" s="12"/>
      <c r="H400" s="12"/>
      <c r="K400" s="12"/>
      <c r="R400" s="12"/>
    </row>
    <row r="401" customFormat="false" ht="15" hidden="false" customHeight="true" outlineLevel="0" collapsed="false">
      <c r="D401" s="12"/>
      <c r="H401" s="12"/>
      <c r="K401" s="12"/>
      <c r="R401" s="12"/>
    </row>
    <row r="402" customFormat="false" ht="15" hidden="false" customHeight="true" outlineLevel="0" collapsed="false">
      <c r="D402" s="12"/>
      <c r="H402" s="12"/>
      <c r="K402" s="12"/>
      <c r="R402" s="12"/>
    </row>
    <row r="403" customFormat="false" ht="15" hidden="false" customHeight="true" outlineLevel="0" collapsed="false">
      <c r="D403" s="12"/>
      <c r="H403" s="12"/>
      <c r="K403" s="12"/>
      <c r="R403" s="12"/>
    </row>
    <row r="404" customFormat="false" ht="15" hidden="false" customHeight="true" outlineLevel="0" collapsed="false">
      <c r="D404" s="12"/>
      <c r="H404" s="12"/>
      <c r="K404" s="12"/>
      <c r="R404" s="12"/>
    </row>
    <row r="405" customFormat="false" ht="15" hidden="false" customHeight="true" outlineLevel="0" collapsed="false">
      <c r="D405" s="12"/>
      <c r="H405" s="12"/>
      <c r="K405" s="12"/>
      <c r="R405" s="12"/>
    </row>
    <row r="406" customFormat="false" ht="15" hidden="false" customHeight="true" outlineLevel="0" collapsed="false">
      <c r="D406" s="12"/>
      <c r="H406" s="12"/>
      <c r="K406" s="12"/>
      <c r="R406" s="12"/>
    </row>
    <row r="407" customFormat="false" ht="15" hidden="false" customHeight="true" outlineLevel="0" collapsed="false">
      <c r="D407" s="12"/>
      <c r="H407" s="12"/>
      <c r="K407" s="12"/>
      <c r="R407" s="12"/>
    </row>
    <row r="408" customFormat="false" ht="15" hidden="false" customHeight="true" outlineLevel="0" collapsed="false">
      <c r="D408" s="12"/>
      <c r="H408" s="12"/>
      <c r="K408" s="12"/>
      <c r="R408" s="12"/>
    </row>
    <row r="409" customFormat="false" ht="15" hidden="false" customHeight="true" outlineLevel="0" collapsed="false">
      <c r="D409" s="12"/>
      <c r="H409" s="12"/>
      <c r="K409" s="12"/>
      <c r="R409" s="12"/>
    </row>
    <row r="410" customFormat="false" ht="15" hidden="false" customHeight="true" outlineLevel="0" collapsed="false">
      <c r="D410" s="12"/>
      <c r="H410" s="12"/>
      <c r="K410" s="12"/>
      <c r="R410" s="12"/>
    </row>
    <row r="411" customFormat="false" ht="15" hidden="false" customHeight="true" outlineLevel="0" collapsed="false">
      <c r="D411" s="12"/>
      <c r="H411" s="12"/>
      <c r="K411" s="12"/>
      <c r="R411" s="12"/>
    </row>
    <row r="412" customFormat="false" ht="15" hidden="false" customHeight="true" outlineLevel="0" collapsed="false">
      <c r="D412" s="12"/>
      <c r="H412" s="12"/>
      <c r="K412" s="12"/>
      <c r="R412" s="12"/>
    </row>
    <row r="413" customFormat="false" ht="15" hidden="false" customHeight="true" outlineLevel="0" collapsed="false">
      <c r="D413" s="12"/>
      <c r="H413" s="12"/>
      <c r="K413" s="12"/>
      <c r="R413" s="12"/>
    </row>
    <row r="414" customFormat="false" ht="15" hidden="false" customHeight="true" outlineLevel="0" collapsed="false">
      <c r="D414" s="12"/>
      <c r="H414" s="12"/>
      <c r="K414" s="12"/>
      <c r="R414" s="12"/>
    </row>
    <row r="415" customFormat="false" ht="15" hidden="false" customHeight="true" outlineLevel="0" collapsed="false">
      <c r="D415" s="12"/>
      <c r="H415" s="12"/>
      <c r="K415" s="12"/>
      <c r="R415" s="12"/>
    </row>
    <row r="416" customFormat="false" ht="15" hidden="false" customHeight="true" outlineLevel="0" collapsed="false">
      <c r="D416" s="12"/>
      <c r="H416" s="12"/>
      <c r="K416" s="12"/>
      <c r="R416" s="12"/>
    </row>
    <row r="417" customFormat="false" ht="15" hidden="false" customHeight="true" outlineLevel="0" collapsed="false">
      <c r="D417" s="12"/>
      <c r="H417" s="12"/>
      <c r="K417" s="12"/>
      <c r="R417" s="12"/>
    </row>
    <row r="418" customFormat="false" ht="15" hidden="false" customHeight="true" outlineLevel="0" collapsed="false">
      <c r="D418" s="12"/>
      <c r="H418" s="12"/>
      <c r="K418" s="12"/>
      <c r="R418" s="12"/>
    </row>
    <row r="419" customFormat="false" ht="15" hidden="false" customHeight="true" outlineLevel="0" collapsed="false">
      <c r="D419" s="12"/>
      <c r="H419" s="12"/>
      <c r="K419" s="12"/>
      <c r="R419" s="12"/>
    </row>
    <row r="420" customFormat="false" ht="15" hidden="false" customHeight="true" outlineLevel="0" collapsed="false">
      <c r="D420" s="12"/>
      <c r="H420" s="12"/>
      <c r="K420" s="12"/>
      <c r="R420" s="12"/>
    </row>
    <row r="421" customFormat="false" ht="15" hidden="false" customHeight="true" outlineLevel="0" collapsed="false">
      <c r="D421" s="12"/>
      <c r="H421" s="12"/>
      <c r="K421" s="12"/>
      <c r="R421" s="12"/>
    </row>
    <row r="422" customFormat="false" ht="15" hidden="false" customHeight="true" outlineLevel="0" collapsed="false">
      <c r="D422" s="12"/>
      <c r="H422" s="12"/>
      <c r="K422" s="12"/>
      <c r="R422" s="12"/>
    </row>
    <row r="423" customFormat="false" ht="15" hidden="false" customHeight="true" outlineLevel="0" collapsed="false">
      <c r="D423" s="12"/>
      <c r="H423" s="12"/>
      <c r="K423" s="12"/>
      <c r="R423" s="12"/>
    </row>
    <row r="424" customFormat="false" ht="15" hidden="false" customHeight="true" outlineLevel="0" collapsed="false">
      <c r="D424" s="12"/>
      <c r="H424" s="12"/>
      <c r="K424" s="12"/>
      <c r="R424" s="12"/>
    </row>
    <row r="425" customFormat="false" ht="15" hidden="false" customHeight="true" outlineLevel="0" collapsed="false">
      <c r="D425" s="12"/>
      <c r="H425" s="12"/>
      <c r="K425" s="12"/>
      <c r="R425" s="12"/>
    </row>
    <row r="426" customFormat="false" ht="15" hidden="false" customHeight="true" outlineLevel="0" collapsed="false">
      <c r="D426" s="12"/>
      <c r="H426" s="12"/>
      <c r="K426" s="12"/>
      <c r="R426" s="12"/>
    </row>
    <row r="427" customFormat="false" ht="15" hidden="false" customHeight="true" outlineLevel="0" collapsed="false">
      <c r="D427" s="12"/>
      <c r="H427" s="12"/>
      <c r="K427" s="12"/>
      <c r="R427" s="12"/>
    </row>
    <row r="428" customFormat="false" ht="15" hidden="false" customHeight="true" outlineLevel="0" collapsed="false">
      <c r="D428" s="12"/>
      <c r="H428" s="12"/>
      <c r="K428" s="12"/>
      <c r="R428" s="12"/>
    </row>
    <row r="429" customFormat="false" ht="15" hidden="false" customHeight="true" outlineLevel="0" collapsed="false">
      <c r="D429" s="12"/>
      <c r="H429" s="12"/>
      <c r="K429" s="12"/>
      <c r="R429" s="12"/>
    </row>
    <row r="430" customFormat="false" ht="15" hidden="false" customHeight="true" outlineLevel="0" collapsed="false">
      <c r="D430" s="12"/>
      <c r="H430" s="12"/>
      <c r="K430" s="12"/>
      <c r="R430" s="12"/>
    </row>
    <row r="431" customFormat="false" ht="15" hidden="false" customHeight="true" outlineLevel="0" collapsed="false">
      <c r="D431" s="12"/>
      <c r="H431" s="12"/>
      <c r="K431" s="12"/>
      <c r="R431" s="12"/>
    </row>
    <row r="432" customFormat="false" ht="15" hidden="false" customHeight="true" outlineLevel="0" collapsed="false">
      <c r="D432" s="12"/>
      <c r="H432" s="12"/>
      <c r="K432" s="12"/>
      <c r="R432" s="12"/>
    </row>
    <row r="433" customFormat="false" ht="15" hidden="false" customHeight="true" outlineLevel="0" collapsed="false">
      <c r="D433" s="12"/>
      <c r="H433" s="12"/>
      <c r="K433" s="12"/>
      <c r="R433" s="12"/>
    </row>
    <row r="434" customFormat="false" ht="15" hidden="false" customHeight="true" outlineLevel="0" collapsed="false">
      <c r="D434" s="12"/>
      <c r="H434" s="12"/>
      <c r="K434" s="12"/>
      <c r="R434" s="12"/>
    </row>
    <row r="435" customFormat="false" ht="15" hidden="false" customHeight="true" outlineLevel="0" collapsed="false">
      <c r="D435" s="12"/>
      <c r="H435" s="12"/>
      <c r="K435" s="12"/>
      <c r="R435" s="12"/>
    </row>
    <row r="436" customFormat="false" ht="15" hidden="false" customHeight="true" outlineLevel="0" collapsed="false">
      <c r="D436" s="12"/>
      <c r="H436" s="12"/>
      <c r="K436" s="12"/>
      <c r="R436" s="12"/>
    </row>
    <row r="437" customFormat="false" ht="15" hidden="false" customHeight="true" outlineLevel="0" collapsed="false">
      <c r="D437" s="12"/>
      <c r="H437" s="12"/>
      <c r="K437" s="12"/>
      <c r="R437" s="12"/>
    </row>
    <row r="438" customFormat="false" ht="15" hidden="false" customHeight="true" outlineLevel="0" collapsed="false">
      <c r="D438" s="12"/>
      <c r="H438" s="12"/>
      <c r="K438" s="12"/>
      <c r="R438" s="12"/>
    </row>
    <row r="439" customFormat="false" ht="15" hidden="false" customHeight="true" outlineLevel="0" collapsed="false">
      <c r="D439" s="12"/>
      <c r="H439" s="12"/>
      <c r="K439" s="12"/>
      <c r="R439" s="12"/>
    </row>
    <row r="440" customFormat="false" ht="15" hidden="false" customHeight="true" outlineLevel="0" collapsed="false">
      <c r="D440" s="12"/>
      <c r="H440" s="12"/>
      <c r="K440" s="12"/>
      <c r="R440" s="12"/>
    </row>
    <row r="441" customFormat="false" ht="15" hidden="false" customHeight="true" outlineLevel="0" collapsed="false">
      <c r="D441" s="12"/>
      <c r="H441" s="12"/>
      <c r="K441" s="12"/>
      <c r="R441" s="12"/>
    </row>
    <row r="442" customFormat="false" ht="15" hidden="false" customHeight="true" outlineLevel="0" collapsed="false">
      <c r="D442" s="12"/>
      <c r="H442" s="12"/>
      <c r="K442" s="12"/>
      <c r="R442" s="12"/>
    </row>
    <row r="443" customFormat="false" ht="15" hidden="false" customHeight="true" outlineLevel="0" collapsed="false">
      <c r="D443" s="12"/>
      <c r="H443" s="12"/>
      <c r="K443" s="12"/>
      <c r="R443" s="12"/>
    </row>
    <row r="444" customFormat="false" ht="15" hidden="false" customHeight="true" outlineLevel="0" collapsed="false">
      <c r="D444" s="12"/>
      <c r="H444" s="12"/>
      <c r="K444" s="12"/>
      <c r="R444" s="12"/>
    </row>
    <row r="445" customFormat="false" ht="15" hidden="false" customHeight="true" outlineLevel="0" collapsed="false">
      <c r="D445" s="12"/>
      <c r="H445" s="12"/>
      <c r="K445" s="12"/>
      <c r="R445" s="12"/>
    </row>
    <row r="446" customFormat="false" ht="15" hidden="false" customHeight="true" outlineLevel="0" collapsed="false">
      <c r="D446" s="12"/>
      <c r="H446" s="12"/>
      <c r="K446" s="12"/>
      <c r="R446" s="12"/>
    </row>
    <row r="447" customFormat="false" ht="15" hidden="false" customHeight="true" outlineLevel="0" collapsed="false">
      <c r="D447" s="12"/>
      <c r="H447" s="12"/>
      <c r="K447" s="12"/>
      <c r="R447" s="12"/>
    </row>
    <row r="448" customFormat="false" ht="15" hidden="false" customHeight="true" outlineLevel="0" collapsed="false">
      <c r="D448" s="12"/>
      <c r="H448" s="12"/>
      <c r="K448" s="12"/>
      <c r="R448" s="12"/>
    </row>
    <row r="449" customFormat="false" ht="15" hidden="false" customHeight="true" outlineLevel="0" collapsed="false">
      <c r="D449" s="12"/>
      <c r="H449" s="12"/>
      <c r="K449" s="12"/>
      <c r="R449" s="12"/>
    </row>
    <row r="450" customFormat="false" ht="15" hidden="false" customHeight="true" outlineLevel="0" collapsed="false">
      <c r="D450" s="12"/>
      <c r="H450" s="12"/>
      <c r="K450" s="12"/>
      <c r="R450" s="12"/>
    </row>
    <row r="451" customFormat="false" ht="15" hidden="false" customHeight="true" outlineLevel="0" collapsed="false">
      <c r="D451" s="12"/>
      <c r="H451" s="12"/>
      <c r="K451" s="12"/>
      <c r="R451" s="12"/>
    </row>
    <row r="452" customFormat="false" ht="15" hidden="false" customHeight="true" outlineLevel="0" collapsed="false">
      <c r="D452" s="12"/>
      <c r="H452" s="12"/>
      <c r="K452" s="12"/>
      <c r="R452" s="12"/>
    </row>
    <row r="453" customFormat="false" ht="15" hidden="false" customHeight="true" outlineLevel="0" collapsed="false">
      <c r="D453" s="12"/>
      <c r="H453" s="12"/>
      <c r="K453" s="12"/>
      <c r="R453" s="12"/>
    </row>
    <row r="454" customFormat="false" ht="15" hidden="false" customHeight="true" outlineLevel="0" collapsed="false">
      <c r="D454" s="12"/>
      <c r="H454" s="12"/>
      <c r="K454" s="12"/>
      <c r="R454" s="12"/>
    </row>
    <row r="455" customFormat="false" ht="15" hidden="false" customHeight="true" outlineLevel="0" collapsed="false">
      <c r="D455" s="12"/>
      <c r="H455" s="12"/>
      <c r="K455" s="12"/>
      <c r="R455" s="12"/>
    </row>
    <row r="456" customFormat="false" ht="15" hidden="false" customHeight="true" outlineLevel="0" collapsed="false">
      <c r="D456" s="12"/>
      <c r="H456" s="12"/>
      <c r="K456" s="12"/>
      <c r="R456" s="12"/>
    </row>
    <row r="457" customFormat="false" ht="15" hidden="false" customHeight="true" outlineLevel="0" collapsed="false">
      <c r="D457" s="12"/>
      <c r="H457" s="12"/>
      <c r="K457" s="12"/>
      <c r="R457" s="12"/>
    </row>
    <row r="458" customFormat="false" ht="15" hidden="false" customHeight="true" outlineLevel="0" collapsed="false">
      <c r="D458" s="12"/>
      <c r="H458" s="12"/>
      <c r="K458" s="12"/>
      <c r="R458" s="12"/>
    </row>
    <row r="459" customFormat="false" ht="15" hidden="false" customHeight="true" outlineLevel="0" collapsed="false">
      <c r="D459" s="12"/>
      <c r="H459" s="12"/>
      <c r="K459" s="12"/>
      <c r="R459" s="12"/>
    </row>
    <row r="460" customFormat="false" ht="15" hidden="false" customHeight="true" outlineLevel="0" collapsed="false">
      <c r="D460" s="12"/>
      <c r="H460" s="12"/>
      <c r="K460" s="12"/>
      <c r="R460" s="12"/>
    </row>
    <row r="461" customFormat="false" ht="15" hidden="false" customHeight="true" outlineLevel="0" collapsed="false">
      <c r="D461" s="12"/>
      <c r="H461" s="12"/>
      <c r="K461" s="12"/>
      <c r="R461" s="12"/>
    </row>
    <row r="462" customFormat="false" ht="15" hidden="false" customHeight="true" outlineLevel="0" collapsed="false">
      <c r="D462" s="12"/>
      <c r="H462" s="12"/>
      <c r="K462" s="12"/>
      <c r="R462" s="12"/>
    </row>
    <row r="463" customFormat="false" ht="15" hidden="false" customHeight="true" outlineLevel="0" collapsed="false">
      <c r="D463" s="12"/>
      <c r="H463" s="12"/>
      <c r="K463" s="12"/>
      <c r="R463" s="12"/>
    </row>
    <row r="464" customFormat="false" ht="15" hidden="false" customHeight="true" outlineLevel="0" collapsed="false">
      <c r="D464" s="12"/>
      <c r="H464" s="12"/>
      <c r="K464" s="12"/>
      <c r="R464" s="12"/>
    </row>
    <row r="465" customFormat="false" ht="15" hidden="false" customHeight="true" outlineLevel="0" collapsed="false">
      <c r="D465" s="12"/>
      <c r="H465" s="12"/>
      <c r="K465" s="12"/>
      <c r="R465" s="12"/>
    </row>
    <row r="466" customFormat="false" ht="15" hidden="false" customHeight="true" outlineLevel="0" collapsed="false">
      <c r="D466" s="12"/>
      <c r="H466" s="12"/>
      <c r="K466" s="12"/>
      <c r="R466" s="12"/>
    </row>
    <row r="467" customFormat="false" ht="15" hidden="false" customHeight="true" outlineLevel="0" collapsed="false">
      <c r="D467" s="12"/>
      <c r="H467" s="12"/>
      <c r="K467" s="12"/>
      <c r="R467" s="12"/>
    </row>
    <row r="468" customFormat="false" ht="15" hidden="false" customHeight="true" outlineLevel="0" collapsed="false">
      <c r="D468" s="12"/>
      <c r="H468" s="12"/>
      <c r="K468" s="12"/>
      <c r="R468" s="12"/>
    </row>
    <row r="469" customFormat="false" ht="15" hidden="false" customHeight="true" outlineLevel="0" collapsed="false">
      <c r="D469" s="12"/>
      <c r="H469" s="12"/>
      <c r="K469" s="12"/>
      <c r="R469" s="12"/>
    </row>
    <row r="470" customFormat="false" ht="15" hidden="false" customHeight="true" outlineLevel="0" collapsed="false">
      <c r="D470" s="12"/>
      <c r="H470" s="12"/>
      <c r="K470" s="12"/>
      <c r="R470" s="12"/>
    </row>
    <row r="471" customFormat="false" ht="15" hidden="false" customHeight="true" outlineLevel="0" collapsed="false">
      <c r="D471" s="12"/>
      <c r="H471" s="12"/>
      <c r="K471" s="12"/>
      <c r="R471" s="12"/>
    </row>
    <row r="472" customFormat="false" ht="15" hidden="false" customHeight="true" outlineLevel="0" collapsed="false">
      <c r="D472" s="12"/>
      <c r="H472" s="12"/>
      <c r="K472" s="12"/>
      <c r="R472" s="12"/>
    </row>
    <row r="473" customFormat="false" ht="15" hidden="false" customHeight="true" outlineLevel="0" collapsed="false">
      <c r="D473" s="12"/>
      <c r="H473" s="12"/>
      <c r="K473" s="12"/>
      <c r="R473" s="12"/>
    </row>
    <row r="474" customFormat="false" ht="15" hidden="false" customHeight="true" outlineLevel="0" collapsed="false">
      <c r="D474" s="12"/>
      <c r="H474" s="12"/>
      <c r="K474" s="12"/>
      <c r="R474" s="12"/>
    </row>
    <row r="475" customFormat="false" ht="15" hidden="false" customHeight="true" outlineLevel="0" collapsed="false">
      <c r="D475" s="12"/>
      <c r="H475" s="12"/>
      <c r="K475" s="12"/>
      <c r="R475" s="12"/>
    </row>
    <row r="476" customFormat="false" ht="15" hidden="false" customHeight="true" outlineLevel="0" collapsed="false">
      <c r="D476" s="12"/>
      <c r="H476" s="12"/>
      <c r="K476" s="12"/>
      <c r="R476" s="12"/>
    </row>
    <row r="477" customFormat="false" ht="15" hidden="false" customHeight="true" outlineLevel="0" collapsed="false">
      <c r="D477" s="12"/>
      <c r="H477" s="12"/>
      <c r="K477" s="12"/>
      <c r="R477" s="12"/>
    </row>
    <row r="478" customFormat="false" ht="15" hidden="false" customHeight="true" outlineLevel="0" collapsed="false">
      <c r="D478" s="12"/>
      <c r="H478" s="12"/>
      <c r="K478" s="12"/>
      <c r="R478" s="12"/>
    </row>
    <row r="479" customFormat="false" ht="15" hidden="false" customHeight="true" outlineLevel="0" collapsed="false">
      <c r="D479" s="12"/>
      <c r="H479" s="12"/>
      <c r="K479" s="12"/>
      <c r="R479" s="12"/>
    </row>
    <row r="480" customFormat="false" ht="15" hidden="false" customHeight="true" outlineLevel="0" collapsed="false">
      <c r="D480" s="12"/>
      <c r="H480" s="12"/>
      <c r="K480" s="12"/>
      <c r="R480" s="12"/>
    </row>
    <row r="481" customFormat="false" ht="15" hidden="false" customHeight="true" outlineLevel="0" collapsed="false">
      <c r="D481" s="12"/>
      <c r="H481" s="12"/>
      <c r="K481" s="12"/>
      <c r="R481" s="12"/>
    </row>
    <row r="482" customFormat="false" ht="15" hidden="false" customHeight="true" outlineLevel="0" collapsed="false">
      <c r="D482" s="12"/>
      <c r="H482" s="12"/>
      <c r="K482" s="12"/>
      <c r="R482" s="12"/>
    </row>
    <row r="483" customFormat="false" ht="15" hidden="false" customHeight="true" outlineLevel="0" collapsed="false">
      <c r="D483" s="12"/>
      <c r="H483" s="12"/>
      <c r="K483" s="12"/>
      <c r="R483" s="12"/>
    </row>
    <row r="484" customFormat="false" ht="15" hidden="false" customHeight="true" outlineLevel="0" collapsed="false">
      <c r="D484" s="12"/>
      <c r="H484" s="12"/>
      <c r="K484" s="12"/>
      <c r="R484" s="12"/>
    </row>
    <row r="485" customFormat="false" ht="15" hidden="false" customHeight="true" outlineLevel="0" collapsed="false">
      <c r="D485" s="12"/>
      <c r="H485" s="12"/>
      <c r="K485" s="12"/>
      <c r="R485" s="12"/>
    </row>
    <row r="486" customFormat="false" ht="15" hidden="false" customHeight="true" outlineLevel="0" collapsed="false">
      <c r="D486" s="12"/>
      <c r="H486" s="12"/>
      <c r="K486" s="12"/>
      <c r="R486" s="12"/>
    </row>
    <row r="487" customFormat="false" ht="15" hidden="false" customHeight="true" outlineLevel="0" collapsed="false">
      <c r="D487" s="12"/>
      <c r="H487" s="12"/>
      <c r="K487" s="12"/>
      <c r="R487" s="12"/>
    </row>
    <row r="488" customFormat="false" ht="15" hidden="false" customHeight="true" outlineLevel="0" collapsed="false">
      <c r="D488" s="12"/>
      <c r="H488" s="12"/>
      <c r="K488" s="12"/>
      <c r="R488" s="12"/>
    </row>
    <row r="489" customFormat="false" ht="15" hidden="false" customHeight="true" outlineLevel="0" collapsed="false">
      <c r="D489" s="12"/>
      <c r="H489" s="12"/>
      <c r="K489" s="12"/>
      <c r="R489" s="12"/>
    </row>
    <row r="490" customFormat="false" ht="15" hidden="false" customHeight="true" outlineLevel="0" collapsed="false">
      <c r="D490" s="12"/>
      <c r="H490" s="12"/>
      <c r="K490" s="12"/>
      <c r="R490" s="12"/>
    </row>
    <row r="491" customFormat="false" ht="15" hidden="false" customHeight="true" outlineLevel="0" collapsed="false">
      <c r="D491" s="12"/>
      <c r="H491" s="12"/>
      <c r="K491" s="12"/>
      <c r="R491" s="12"/>
    </row>
    <row r="492" customFormat="false" ht="15" hidden="false" customHeight="true" outlineLevel="0" collapsed="false">
      <c r="D492" s="12"/>
      <c r="H492" s="12"/>
      <c r="K492" s="12"/>
      <c r="R492" s="12"/>
    </row>
    <row r="493" customFormat="false" ht="15" hidden="false" customHeight="true" outlineLevel="0" collapsed="false">
      <c r="D493" s="12"/>
      <c r="H493" s="12"/>
      <c r="K493" s="12"/>
      <c r="R493" s="12"/>
    </row>
    <row r="494" customFormat="false" ht="15" hidden="false" customHeight="true" outlineLevel="0" collapsed="false">
      <c r="D494" s="12"/>
      <c r="H494" s="12"/>
      <c r="K494" s="12"/>
      <c r="R494" s="12"/>
    </row>
    <row r="495" customFormat="false" ht="15" hidden="false" customHeight="true" outlineLevel="0" collapsed="false">
      <c r="D495" s="12"/>
      <c r="H495" s="12"/>
      <c r="K495" s="12"/>
      <c r="R495" s="12"/>
    </row>
    <row r="496" customFormat="false" ht="15" hidden="false" customHeight="true" outlineLevel="0" collapsed="false">
      <c r="D496" s="12"/>
      <c r="H496" s="12"/>
      <c r="K496" s="12"/>
      <c r="R496" s="12"/>
    </row>
    <row r="497" customFormat="false" ht="15" hidden="false" customHeight="true" outlineLevel="0" collapsed="false">
      <c r="D497" s="12"/>
      <c r="H497" s="12"/>
      <c r="K497" s="12"/>
      <c r="R497" s="12"/>
    </row>
    <row r="498" customFormat="false" ht="15" hidden="false" customHeight="true" outlineLevel="0" collapsed="false">
      <c r="D498" s="12"/>
      <c r="H498" s="12"/>
      <c r="K498" s="12"/>
      <c r="R498" s="12"/>
    </row>
    <row r="499" customFormat="false" ht="15" hidden="false" customHeight="true" outlineLevel="0" collapsed="false">
      <c r="D499" s="12"/>
      <c r="H499" s="12"/>
      <c r="K499" s="12"/>
      <c r="R499" s="12"/>
    </row>
    <row r="500" customFormat="false" ht="15" hidden="false" customHeight="true" outlineLevel="0" collapsed="false">
      <c r="D500" s="12"/>
      <c r="H500" s="12"/>
      <c r="K500" s="12"/>
      <c r="R500" s="12"/>
    </row>
    <row r="501" customFormat="false" ht="15" hidden="false" customHeight="true" outlineLevel="0" collapsed="false">
      <c r="D501" s="12"/>
      <c r="H501" s="12"/>
      <c r="K501" s="12"/>
      <c r="R501" s="12"/>
    </row>
  </sheetData>
  <dataValidations count="13">
    <dataValidation allowBlank="true" errorStyle="stop" operator="between" showDropDown="false" showErrorMessage="false" showInputMessage="false" sqref="D2:D501" type="list">
      <formula1>"G2,Crozdesk,GetApp,Capterra,Other"</formula1>
      <formula2>0</formula2>
    </dataValidation>
    <dataValidation allowBlank="true" errorStyle="stop" operator="between" showDropDown="false" showErrorMessage="false" showInputMessage="false" sqref="H2:H501" type="list">
      <formula1>"Yes,No"</formula1>
      <formula2>0</formula2>
    </dataValidation>
    <dataValidation allowBlank="true" errorStyle="stop" operator="between" showDropDown="false" showErrorMessage="false" showInputMessage="false" sqref="K2:K501" type="list">
      <formula1>"Public,Private"</formula1>
      <formula2>0</formula2>
    </dataValidation>
    <dataValidation allowBlank="true" errorStyle="stop" operator="between" showDropDown="false" showErrorMessage="false" showInputMessage="false" sqref="O2:O501" type="list">
      <formula1>"Independent,Acquired,Merged,Rebranded"</formula1>
      <formula2>0</formula2>
    </dataValidation>
    <dataValidation allowBlank="true" errorStyle="stop" operator="between" showDropDown="false" showErrorMessage="false" showInputMessage="false" sqref="Q2:Q501" type="list">
      <formula1>"Yes,No"</formula1>
      <formula2>0</formula2>
    </dataValidation>
    <dataValidation allowBlank="true" errorStyle="stop" operator="between" showDropDown="false" showErrorMessage="false" showInputMessage="false" sqref="R2:R501" type="list">
      <formula1>"SMB,Mid-Market,Enterprise"</formula1>
      <formula2>0</formula2>
    </dataValidation>
    <dataValidation allowBlank="true" errorStyle="stop" operator="between" showDropDown="false" showErrorMessage="false" showInputMessage="false" sqref="S2:S501" type="list">
      <formula1>"PLG,Sales-led,Hybrid"</formula1>
      <formula2>0</formula2>
    </dataValidation>
    <dataValidation allowBlank="true" errorStyle="stop" operator="between" showDropDown="false" showErrorMessage="false" showInputMessage="false" sqref="T2:T501" type="list">
      <formula1>"Technical,Non-technical"</formula1>
      <formula2>0</formula2>
    </dataValidation>
    <dataValidation allowBlank="true" errorStyle="stop" operator="between" showDropDown="false" showErrorMessage="false" showInputMessage="false" sqref="U2:U501" type="list">
      <formula1>"Yes,No"</formula1>
      <formula2>0</formula2>
    </dataValidation>
    <dataValidation allowBlank="true" errorStyle="stop" operator="between" showDropDown="false" showErrorMessage="false" showInputMessage="false" sqref="W2:W501" type="list">
      <formula1>"Include,Exclude,Pending"</formula1>
      <formula2>0</formula2>
    </dataValidation>
    <dataValidation allowBlank="true" errorStyle="stop" operator="between" showDropDown="false" showErrorMessage="false" showInputMessage="false" sqref="Y2:Y501" type="list">
      <formula1>"Yes,No"</formula1>
      <formula2>0</formula2>
    </dataValidation>
    <dataValidation allowBlank="true" errorStyle="stop" operator="between" showDropDown="false" showErrorMessage="false" showInputMessage="false" sqref="Z2:Z501" type="list">
      <formula1>"Yes,No"</formula1>
      <formula2>0</formula2>
    </dataValidation>
    <dataValidation allowBlank="true" errorStyle="stop" operator="between" showDropDown="false" showErrorMessage="false" showInputMessage="false" sqref="AA2:AA501" type="list">
      <formula1>"Not Started,In Progress,Complete"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5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3" min="2" style="1" width="22"/>
    <col collapsed="false" customWidth="true" hidden="false" outlineLevel="0" max="12" min="4" style="1" width="14"/>
    <col collapsed="false" customWidth="true" hidden="false" outlineLevel="0" max="13" min="13" style="1" width="20"/>
    <col collapsed="false" customWidth="true" hidden="false" outlineLevel="0" max="14" min="14" style="1" width="14"/>
    <col collapsed="false" customWidth="true" hidden="false" outlineLevel="0" max="15" min="15" style="1" width="28"/>
    <col collapsed="false" customWidth="true" hidden="false" outlineLevel="0" max="16" min="16" style="1" width="20"/>
    <col collapsed="false" customWidth="true" hidden="false" outlineLevel="0" max="17" min="17" style="1" width="14"/>
    <col collapsed="false" customWidth="true" hidden="false" outlineLevel="0" max="18" min="18" style="1" width="28"/>
    <col collapsed="false" customWidth="true" hidden="false" outlineLevel="0" max="19" min="19" style="1" width="20"/>
    <col collapsed="false" customWidth="true" hidden="false" outlineLevel="0" max="20" min="20" style="1" width="14"/>
    <col collapsed="false" customWidth="true" hidden="false" outlineLevel="0" max="21" min="21" style="1" width="28"/>
    <col collapsed="false" customWidth="true" hidden="false" outlineLevel="0" max="22" min="22" style="1" width="20"/>
    <col collapsed="false" customWidth="true" hidden="false" outlineLevel="0" max="23" min="23" style="1" width="14"/>
    <col collapsed="false" customWidth="true" hidden="false" outlineLevel="0" max="24" min="24" style="1" width="28"/>
    <col collapsed="false" customWidth="true" hidden="false" outlineLevel="0" max="25" min="25" style="1" width="20"/>
    <col collapsed="false" customWidth="true" hidden="false" outlineLevel="0" max="26" min="26" style="1" width="14"/>
    <col collapsed="false" customWidth="true" hidden="false" outlineLevel="0" max="27" min="27" style="1" width="12"/>
    <col collapsed="false" customWidth="true" hidden="false" outlineLevel="0" max="28" min="28" style="1" width="16"/>
    <col collapsed="false" customWidth="true" hidden="false" outlineLevel="0" max="30" min="29" style="1" width="14"/>
    <col collapsed="false" customWidth="true" hidden="false" outlineLevel="0" max="36" min="31" style="1" width="30"/>
    <col collapsed="false" customWidth="true" hidden="false" outlineLevel="0" max="37" min="37" style="1" width="22"/>
    <col collapsed="false" customWidth="true" hidden="false" outlineLevel="0" max="38" min="38" style="1" width="14"/>
    <col collapsed="false" customWidth="true" hidden="false" outlineLevel="0" max="39" min="39" style="1" width="26"/>
    <col collapsed="false" customWidth="true" hidden="false" outlineLevel="0" max="48" min="40" style="1" width="30"/>
  </cols>
  <sheetData>
    <row r="1" customFormat="false" ht="33.75" hidden="false" customHeight="true" outlineLevel="0" collapsed="false">
      <c r="A1" s="11" t="s">
        <v>41</v>
      </c>
      <c r="B1" s="11" t="s">
        <v>19</v>
      </c>
      <c r="C1" s="11" t="s">
        <v>155</v>
      </c>
      <c r="D1" s="11" t="s">
        <v>1416</v>
      </c>
      <c r="E1" s="11" t="s">
        <v>1417</v>
      </c>
      <c r="F1" s="11" t="s">
        <v>1418</v>
      </c>
      <c r="G1" s="11" t="s">
        <v>1419</v>
      </c>
      <c r="H1" s="11" t="s">
        <v>1420</v>
      </c>
      <c r="I1" s="11" t="s">
        <v>157</v>
      </c>
      <c r="J1" s="11" t="s">
        <v>159</v>
      </c>
      <c r="K1" s="11" t="s">
        <v>161</v>
      </c>
      <c r="L1" s="11" t="s">
        <v>1421</v>
      </c>
      <c r="M1" s="11" t="s">
        <v>1422</v>
      </c>
      <c r="N1" s="11" t="s">
        <v>1423</v>
      </c>
      <c r="O1" s="11" t="s">
        <v>1424</v>
      </c>
      <c r="P1" s="11" t="s">
        <v>1425</v>
      </c>
      <c r="Q1" s="11" t="s">
        <v>1426</v>
      </c>
      <c r="R1" s="11" t="s">
        <v>1427</v>
      </c>
      <c r="S1" s="11" t="s">
        <v>1428</v>
      </c>
      <c r="T1" s="11" t="s">
        <v>1429</v>
      </c>
      <c r="U1" s="11" t="s">
        <v>1430</v>
      </c>
      <c r="V1" s="11" t="s">
        <v>1431</v>
      </c>
      <c r="W1" s="11" t="s">
        <v>1432</v>
      </c>
      <c r="X1" s="11" t="s">
        <v>1433</v>
      </c>
      <c r="Y1" s="11" t="s">
        <v>1434</v>
      </c>
      <c r="Z1" s="11" t="s">
        <v>1435</v>
      </c>
      <c r="AA1" s="11" t="s">
        <v>167</v>
      </c>
      <c r="AB1" s="11" t="s">
        <v>170</v>
      </c>
      <c r="AC1" s="11" t="s">
        <v>173</v>
      </c>
      <c r="AD1" s="11" t="s">
        <v>176</v>
      </c>
      <c r="AE1" s="11" t="s">
        <v>178</v>
      </c>
      <c r="AF1" s="11" t="s">
        <v>180</v>
      </c>
      <c r="AG1" s="11" t="s">
        <v>182</v>
      </c>
      <c r="AH1" s="11" t="s">
        <v>184</v>
      </c>
      <c r="AI1" s="11" t="s">
        <v>186</v>
      </c>
      <c r="AJ1" s="11" t="s">
        <v>188</v>
      </c>
      <c r="AK1" s="11" t="s">
        <v>191</v>
      </c>
      <c r="AL1" s="11" t="s">
        <v>192</v>
      </c>
      <c r="AM1" s="11" t="s">
        <v>193</v>
      </c>
      <c r="AN1" s="11" t="s">
        <v>195</v>
      </c>
      <c r="AO1" s="11" t="s">
        <v>197</v>
      </c>
      <c r="AP1" s="11" t="s">
        <v>199</v>
      </c>
      <c r="AQ1" s="11" t="s">
        <v>201</v>
      </c>
      <c r="AR1" s="11" t="s">
        <v>203</v>
      </c>
      <c r="AS1" s="11" t="s">
        <v>205</v>
      </c>
    </row>
    <row r="2" customFormat="false" ht="15" hidden="false" customHeight="true" outlineLevel="0" collapsed="false">
      <c r="B2" s="1" t="str">
        <f aca="false">IFERROR(VLOOKUP(A2,'company tracker'!$a:$s,MATCH("Category",'company tracker'!$1:$1,0),FALSE()),"")</f>
        <v/>
      </c>
      <c r="C2" s="1" t="str">
        <f aca="false">IFERROR(VLOOKUP(A2,'Pass 1 Archive'!$A:$AD,MATCH("LinkedIn Employee Count",'Pass 1 Archive'!$1:$1,0),FALSE()),"")</f>
        <v/>
      </c>
      <c r="D2" s="1" t="str">
        <f aca="false">IFERROR(VLOOKUP(A2,'company tracker'!$a:$s,MATCH("Jan 2025 Traffic",'company tracker'!$1:$1,0),FALSE()),"")</f>
        <v/>
      </c>
      <c r="E2" s="1" t="str">
        <f aca="false">IFERROR(VLOOKUP(A2,'company tracker'!$a:$s,MATCH("Jun 2026 Traffic",'company tracker'!$1:$1,0),FALSE()),"")</f>
        <v/>
      </c>
      <c r="F2" s="1" t="str">
        <f aca="false">IFERROR(VLOOKUP(A2,'company tracker'!$a:$s,MATCH("Traffic % Change",'company tracker'!$1:$1,0),FALSE()),"")</f>
        <v/>
      </c>
      <c r="G2" s="1" t="str">
        <f aca="false">IFERROR(VLOOKUP(A2,'company tracker'!$a:$s,MATCH("Jan 2025 Referring Domains",'company tracker'!$1:$1,0),FALSE()),"")</f>
        <v/>
      </c>
      <c r="H2" s="1" t="str">
        <f aca="false">IFERROR(VLOOKUP(A2,'company tracker'!$a:$s,MATCH("Jun 2026 Referring Domains",'company tracker'!$1:$1,0),FALSE()),"")</f>
        <v/>
      </c>
    </row>
    <row r="3" customFormat="false" ht="15" hidden="false" customHeight="true" outlineLevel="0" collapsed="false">
      <c r="B3" s="1" t="str">
        <f aca="false">IFERROR(VLOOKUP(A3,'company tracker'!$a:$s,MATCH("Category",'company tracker'!$1:$1,0),FALSE()),"")</f>
        <v/>
      </c>
      <c r="C3" s="1" t="str">
        <f aca="false">IFERROR(VLOOKUP(A3,'Pass 1 Archive'!$A:$AD,MATCH("LinkedIn Employee Count",'Pass 1 Archive'!$1:$1,0),FALSE()),"")</f>
        <v/>
      </c>
      <c r="D3" s="1" t="str">
        <f aca="false">IFERROR(VLOOKUP(A3,'company tracker'!$a:$s,MATCH("Jan 2025 Traffic",'company tracker'!$1:$1,0),FALSE()),"")</f>
        <v/>
      </c>
      <c r="E3" s="1" t="str">
        <f aca="false">IFERROR(VLOOKUP(A3,'company tracker'!$a:$s,MATCH("Jun 2026 Traffic",'company tracker'!$1:$1,0),FALSE()),"")</f>
        <v/>
      </c>
      <c r="F3" s="1" t="str">
        <f aca="false">IFERROR(VLOOKUP(A3,'company tracker'!$a:$s,MATCH("Traffic % Change",'company tracker'!$1:$1,0),FALSE()),"")</f>
        <v/>
      </c>
      <c r="G3" s="1" t="str">
        <f aca="false">IFERROR(VLOOKUP(A3,'company tracker'!$a:$s,MATCH("Jan 2025 Referring Domains",'company tracker'!$1:$1,0),FALSE()),"")</f>
        <v/>
      </c>
      <c r="H3" s="1" t="str">
        <f aca="false">IFERROR(VLOOKUP(A3,'company tracker'!$a:$s,MATCH("Jun 2026 Referring Domains",'company tracker'!$1:$1,0),FALSE()),"")</f>
        <v/>
      </c>
    </row>
    <row r="4" customFormat="false" ht="15" hidden="false" customHeight="true" outlineLevel="0" collapsed="false">
      <c r="B4" s="1" t="str">
        <f aca="false">IFERROR(VLOOKUP(A4,'company tracker'!$a:$s,MATCH("Category",'company tracker'!$1:$1,0),FALSE()),"")</f>
        <v/>
      </c>
      <c r="C4" s="1" t="str">
        <f aca="false">IFERROR(VLOOKUP(A4,'Pass 1 Archive'!$A:$AD,MATCH("LinkedIn Employee Count",'Pass 1 Archive'!$1:$1,0),FALSE()),"")</f>
        <v/>
      </c>
      <c r="D4" s="1" t="str">
        <f aca="false">IFERROR(VLOOKUP(A4,'company tracker'!$a:$s,MATCH("Jan 2025 Traffic",'company tracker'!$1:$1,0),FALSE()),"")</f>
        <v/>
      </c>
      <c r="E4" s="1" t="str">
        <f aca="false">IFERROR(VLOOKUP(A4,'company tracker'!$a:$s,MATCH("Jun 2026 Traffic",'company tracker'!$1:$1,0),FALSE()),"")</f>
        <v/>
      </c>
      <c r="F4" s="1" t="str">
        <f aca="false">IFERROR(VLOOKUP(A4,'company tracker'!$a:$s,MATCH("Traffic % Change",'company tracker'!$1:$1,0),FALSE()),"")</f>
        <v/>
      </c>
      <c r="G4" s="1" t="str">
        <f aca="false">IFERROR(VLOOKUP(A4,'company tracker'!$a:$s,MATCH("Jan 2025 Referring Domains",'company tracker'!$1:$1,0),FALSE()),"")</f>
        <v/>
      </c>
      <c r="H4" s="1" t="str">
        <f aca="false">IFERROR(VLOOKUP(A4,'company tracker'!$a:$s,MATCH("Jun 2026 Referring Domains",'company tracker'!$1:$1,0),FALSE()),"")</f>
        <v/>
      </c>
    </row>
    <row r="5" customFormat="false" ht="15" hidden="false" customHeight="true" outlineLevel="0" collapsed="false">
      <c r="B5" s="1" t="str">
        <f aca="false">IFERROR(VLOOKUP(A5,'company tracker'!$a:$s,MATCH("Category",'company tracker'!$1:$1,0),FALSE()),"")</f>
        <v/>
      </c>
      <c r="C5" s="1" t="str">
        <f aca="false">IFERROR(VLOOKUP(A5,'Pass 1 Archive'!$A:$AD,MATCH("LinkedIn Employee Count",'Pass 1 Archive'!$1:$1,0),FALSE()),"")</f>
        <v/>
      </c>
      <c r="D5" s="1" t="str">
        <f aca="false">IFERROR(VLOOKUP(A5,'company tracker'!$a:$s,MATCH("Jan 2025 Traffic",'company tracker'!$1:$1,0),FALSE()),"")</f>
        <v/>
      </c>
      <c r="E5" s="1" t="str">
        <f aca="false">IFERROR(VLOOKUP(A5,'company tracker'!$a:$s,MATCH("Jun 2026 Traffic",'company tracker'!$1:$1,0),FALSE()),"")</f>
        <v/>
      </c>
      <c r="F5" s="1" t="str">
        <f aca="false">IFERROR(VLOOKUP(A5,'company tracker'!$a:$s,MATCH("Traffic % Change",'company tracker'!$1:$1,0),FALSE()),"")</f>
        <v/>
      </c>
      <c r="G5" s="1" t="str">
        <f aca="false">IFERROR(VLOOKUP(A5,'company tracker'!$a:$s,MATCH("Jan 2025 Referring Domains",'company tracker'!$1:$1,0),FALSE()),"")</f>
        <v/>
      </c>
      <c r="H5" s="1" t="str">
        <f aca="false">IFERROR(VLOOKUP(A5,'company tracker'!$a:$s,MATCH("Jun 2026 Referring Domains",'company tracker'!$1:$1,0),FALSE()),"")</f>
        <v/>
      </c>
    </row>
    <row r="6" customFormat="false" ht="15" hidden="false" customHeight="true" outlineLevel="0" collapsed="false">
      <c r="B6" s="1" t="str">
        <f aca="false">IFERROR(VLOOKUP(A6,'company tracker'!$a:$s,MATCH("Category",'company tracker'!$1:$1,0),FALSE()),"")</f>
        <v/>
      </c>
      <c r="C6" s="1" t="str">
        <f aca="false">IFERROR(VLOOKUP(A6,'Pass 1 Archive'!$A:$AD,MATCH("LinkedIn Employee Count",'Pass 1 Archive'!$1:$1,0),FALSE()),"")</f>
        <v/>
      </c>
      <c r="D6" s="1" t="str">
        <f aca="false">IFERROR(VLOOKUP(A6,'company tracker'!$a:$s,MATCH("Jan 2025 Traffic",'company tracker'!$1:$1,0),FALSE()),"")</f>
        <v/>
      </c>
      <c r="E6" s="1" t="str">
        <f aca="false">IFERROR(VLOOKUP(A6,'company tracker'!$a:$s,MATCH("Jun 2026 Traffic",'company tracker'!$1:$1,0),FALSE()),"")</f>
        <v/>
      </c>
      <c r="F6" s="1" t="str">
        <f aca="false">IFERROR(VLOOKUP(A6,'company tracker'!$a:$s,MATCH("Traffic % Change",'company tracker'!$1:$1,0),FALSE()),"")</f>
        <v/>
      </c>
      <c r="G6" s="1" t="str">
        <f aca="false">IFERROR(VLOOKUP(A6,'company tracker'!$a:$s,MATCH("Jan 2025 Referring Domains",'company tracker'!$1:$1,0),FALSE()),"")</f>
        <v/>
      </c>
      <c r="H6" s="1" t="str">
        <f aca="false">IFERROR(VLOOKUP(A6,'company tracker'!$a:$s,MATCH("Jun 2026 Referring Domains",'company tracker'!$1:$1,0),FALSE()),"")</f>
        <v/>
      </c>
    </row>
    <row r="7" customFormat="false" ht="15" hidden="false" customHeight="true" outlineLevel="0" collapsed="false">
      <c r="B7" s="1" t="str">
        <f aca="false">IFERROR(VLOOKUP(A7,'company tracker'!$a:$s,MATCH("Category",'company tracker'!$1:$1,0),FALSE()),"")</f>
        <v/>
      </c>
      <c r="C7" s="1" t="str">
        <f aca="false">IFERROR(VLOOKUP(A7,'Pass 1 Archive'!$A:$AD,MATCH("LinkedIn Employee Count",'Pass 1 Archive'!$1:$1,0),FALSE()),"")</f>
        <v/>
      </c>
      <c r="D7" s="1" t="str">
        <f aca="false">IFERROR(VLOOKUP(A7,'company tracker'!$a:$s,MATCH("Jan 2025 Traffic",'company tracker'!$1:$1,0),FALSE()),"")</f>
        <v/>
      </c>
      <c r="E7" s="1" t="str">
        <f aca="false">IFERROR(VLOOKUP(A7,'company tracker'!$a:$s,MATCH("Jun 2026 Traffic",'company tracker'!$1:$1,0),FALSE()),"")</f>
        <v/>
      </c>
      <c r="F7" s="1" t="str">
        <f aca="false">IFERROR(VLOOKUP(A7,'company tracker'!$a:$s,MATCH("Traffic % Change",'company tracker'!$1:$1,0),FALSE()),"")</f>
        <v/>
      </c>
      <c r="G7" s="1" t="str">
        <f aca="false">IFERROR(VLOOKUP(A7,'company tracker'!$a:$s,MATCH("Jan 2025 Referring Domains",'company tracker'!$1:$1,0),FALSE()),"")</f>
        <v/>
      </c>
      <c r="H7" s="1" t="str">
        <f aca="false">IFERROR(VLOOKUP(A7,'company tracker'!$a:$s,MATCH("Jun 2026 Referring Domains",'company tracker'!$1:$1,0),FALSE()),"")</f>
        <v/>
      </c>
    </row>
    <row r="8" customFormat="false" ht="15" hidden="false" customHeight="true" outlineLevel="0" collapsed="false">
      <c r="B8" s="1" t="str">
        <f aca="false">IFERROR(VLOOKUP(A8,'company tracker'!$a:$s,MATCH("Category",'company tracker'!$1:$1,0),FALSE()),"")</f>
        <v/>
      </c>
      <c r="C8" s="1" t="str">
        <f aca="false">IFERROR(VLOOKUP(A8,'Pass 1 Archive'!$A:$AD,MATCH("LinkedIn Employee Count",'Pass 1 Archive'!$1:$1,0),FALSE()),"")</f>
        <v/>
      </c>
      <c r="D8" s="1" t="str">
        <f aca="false">IFERROR(VLOOKUP(A8,'company tracker'!$a:$s,MATCH("Jan 2025 Traffic",'company tracker'!$1:$1,0),FALSE()),"")</f>
        <v/>
      </c>
      <c r="E8" s="1" t="str">
        <f aca="false">IFERROR(VLOOKUP(A8,'company tracker'!$a:$s,MATCH("Jun 2026 Traffic",'company tracker'!$1:$1,0),FALSE()),"")</f>
        <v/>
      </c>
      <c r="F8" s="1" t="str">
        <f aca="false">IFERROR(VLOOKUP(A8,'company tracker'!$a:$s,MATCH("Traffic % Change",'company tracker'!$1:$1,0),FALSE()),"")</f>
        <v/>
      </c>
      <c r="G8" s="1" t="str">
        <f aca="false">IFERROR(VLOOKUP(A8,'company tracker'!$a:$s,MATCH("Jan 2025 Referring Domains",'company tracker'!$1:$1,0),FALSE()),"")</f>
        <v/>
      </c>
      <c r="H8" s="1" t="str">
        <f aca="false">IFERROR(VLOOKUP(A8,'company tracker'!$a:$s,MATCH("Jun 2026 Referring Domains",'company tracker'!$1:$1,0),FALSE()),"")</f>
        <v/>
      </c>
    </row>
    <row r="9" customFormat="false" ht="15" hidden="false" customHeight="true" outlineLevel="0" collapsed="false">
      <c r="B9" s="1" t="str">
        <f aca="false">IFERROR(VLOOKUP(A9,'company tracker'!$a:$s,MATCH("Category",'company tracker'!$1:$1,0),FALSE()),"")</f>
        <v/>
      </c>
      <c r="C9" s="1" t="str">
        <f aca="false">IFERROR(VLOOKUP(A9,'Pass 1 Archive'!$A:$AD,MATCH("LinkedIn Employee Count",'Pass 1 Archive'!$1:$1,0),FALSE()),"")</f>
        <v/>
      </c>
      <c r="D9" s="1" t="str">
        <f aca="false">IFERROR(VLOOKUP(A9,'company tracker'!$a:$s,MATCH("Jan 2025 Traffic",'company tracker'!$1:$1,0),FALSE()),"")</f>
        <v/>
      </c>
      <c r="E9" s="1" t="str">
        <f aca="false">IFERROR(VLOOKUP(A9,'company tracker'!$a:$s,MATCH("Jun 2026 Traffic",'company tracker'!$1:$1,0),FALSE()),"")</f>
        <v/>
      </c>
      <c r="F9" s="1" t="str">
        <f aca="false">IFERROR(VLOOKUP(A9,'company tracker'!$a:$s,MATCH("Traffic % Change",'company tracker'!$1:$1,0),FALSE()),"")</f>
        <v/>
      </c>
      <c r="G9" s="1" t="str">
        <f aca="false">IFERROR(VLOOKUP(A9,'company tracker'!$a:$s,MATCH("Jan 2025 Referring Domains",'company tracker'!$1:$1,0),FALSE()),"")</f>
        <v/>
      </c>
      <c r="H9" s="1" t="str">
        <f aca="false">IFERROR(VLOOKUP(A9,'company tracker'!$a:$s,MATCH("Jun 2026 Referring Domains",'company tracker'!$1:$1,0),FALSE()),"")</f>
        <v/>
      </c>
    </row>
    <row r="10" customFormat="false" ht="15" hidden="false" customHeight="true" outlineLevel="0" collapsed="false">
      <c r="B10" s="1" t="str">
        <f aca="false">IFERROR(VLOOKUP(A10,'company tracker'!$a:$s,MATCH("Category",'company tracker'!$1:$1,0),FALSE()),"")</f>
        <v/>
      </c>
      <c r="C10" s="1" t="str">
        <f aca="false">IFERROR(VLOOKUP(A10,'Pass 1 Archive'!$A:$AD,MATCH("LinkedIn Employee Count",'Pass 1 Archive'!$1:$1,0),FALSE()),"")</f>
        <v/>
      </c>
      <c r="D10" s="1" t="str">
        <f aca="false">IFERROR(VLOOKUP(A10,'company tracker'!$a:$s,MATCH("Jan 2025 Traffic",'company tracker'!$1:$1,0),FALSE()),"")</f>
        <v/>
      </c>
      <c r="E10" s="1" t="str">
        <f aca="false">IFERROR(VLOOKUP(A10,'company tracker'!$a:$s,MATCH("Jun 2026 Traffic",'company tracker'!$1:$1,0),FALSE()),"")</f>
        <v/>
      </c>
      <c r="F10" s="1" t="str">
        <f aca="false">IFERROR(VLOOKUP(A10,'company tracker'!$a:$s,MATCH("Traffic % Change",'company tracker'!$1:$1,0),FALSE()),"")</f>
        <v/>
      </c>
      <c r="G10" s="1" t="str">
        <f aca="false">IFERROR(VLOOKUP(A10,'company tracker'!$a:$s,MATCH("Jan 2025 Referring Domains",'company tracker'!$1:$1,0),FALSE()),"")</f>
        <v/>
      </c>
      <c r="H10" s="1" t="str">
        <f aca="false">IFERROR(VLOOKUP(A10,'company tracker'!$a:$s,MATCH("Jun 2026 Referring Domains",'company tracker'!$1:$1,0),FALSE()),"")</f>
        <v/>
      </c>
    </row>
    <row r="11" customFormat="false" ht="15" hidden="false" customHeight="true" outlineLevel="0" collapsed="false">
      <c r="B11" s="1" t="str">
        <f aca="false">IFERROR(VLOOKUP(A11,'company tracker'!$a:$s,MATCH("Category",'company tracker'!$1:$1,0),FALSE()),"")</f>
        <v/>
      </c>
      <c r="C11" s="1" t="str">
        <f aca="false">IFERROR(VLOOKUP(A11,'Pass 1 Archive'!$A:$AD,MATCH("LinkedIn Employee Count",'Pass 1 Archive'!$1:$1,0),FALSE()),"")</f>
        <v/>
      </c>
      <c r="D11" s="1" t="str">
        <f aca="false">IFERROR(VLOOKUP(A11,'company tracker'!$a:$s,MATCH("Jan 2025 Traffic",'company tracker'!$1:$1,0),FALSE()),"")</f>
        <v/>
      </c>
      <c r="E11" s="1" t="str">
        <f aca="false">IFERROR(VLOOKUP(A11,'company tracker'!$a:$s,MATCH("Jun 2026 Traffic",'company tracker'!$1:$1,0),FALSE()),"")</f>
        <v/>
      </c>
      <c r="F11" s="1" t="str">
        <f aca="false">IFERROR(VLOOKUP(A11,'company tracker'!$a:$s,MATCH("Traffic % Change",'company tracker'!$1:$1,0),FALSE()),"")</f>
        <v/>
      </c>
      <c r="G11" s="1" t="str">
        <f aca="false">IFERROR(VLOOKUP(A11,'company tracker'!$a:$s,MATCH("Jan 2025 Referring Domains",'company tracker'!$1:$1,0),FALSE()),"")</f>
        <v/>
      </c>
      <c r="H11" s="1" t="str">
        <f aca="false">IFERROR(VLOOKUP(A11,'company tracker'!$a:$s,MATCH("Jun 2026 Referring Domains",'company tracker'!$1:$1,0),FALSE()),"")</f>
        <v/>
      </c>
    </row>
    <row r="12" customFormat="false" ht="15" hidden="false" customHeight="true" outlineLevel="0" collapsed="false">
      <c r="B12" s="1" t="str">
        <f aca="false">IFERROR(VLOOKUP(A12,'company tracker'!$a:$s,MATCH("Category",'company tracker'!$1:$1,0),FALSE()),"")</f>
        <v/>
      </c>
      <c r="C12" s="1" t="str">
        <f aca="false">IFERROR(VLOOKUP(A12,'Pass 1 Archive'!$A:$AD,MATCH("LinkedIn Employee Count",'Pass 1 Archive'!$1:$1,0),FALSE()),"")</f>
        <v/>
      </c>
      <c r="D12" s="1" t="str">
        <f aca="false">IFERROR(VLOOKUP(A12,'company tracker'!$a:$s,MATCH("Jan 2025 Traffic",'company tracker'!$1:$1,0),FALSE()),"")</f>
        <v/>
      </c>
      <c r="E12" s="1" t="str">
        <f aca="false">IFERROR(VLOOKUP(A12,'company tracker'!$a:$s,MATCH("Jun 2026 Traffic",'company tracker'!$1:$1,0),FALSE()),"")</f>
        <v/>
      </c>
      <c r="F12" s="1" t="str">
        <f aca="false">IFERROR(VLOOKUP(A12,'company tracker'!$a:$s,MATCH("Traffic % Change",'company tracker'!$1:$1,0),FALSE()),"")</f>
        <v/>
      </c>
      <c r="G12" s="1" t="str">
        <f aca="false">IFERROR(VLOOKUP(A12,'company tracker'!$a:$s,MATCH("Jan 2025 Referring Domains",'company tracker'!$1:$1,0),FALSE()),"")</f>
        <v/>
      </c>
      <c r="H12" s="1" t="str">
        <f aca="false">IFERROR(VLOOKUP(A12,'company tracker'!$a:$s,MATCH("Jun 2026 Referring Domains",'company tracker'!$1:$1,0),FALSE()),"")</f>
        <v/>
      </c>
    </row>
    <row r="13" customFormat="false" ht="15" hidden="false" customHeight="true" outlineLevel="0" collapsed="false">
      <c r="B13" s="1" t="str">
        <f aca="false">IFERROR(VLOOKUP(A13,'company tracker'!$a:$s,MATCH("Category",'company tracker'!$1:$1,0),FALSE()),"")</f>
        <v/>
      </c>
      <c r="C13" s="1" t="str">
        <f aca="false">IFERROR(VLOOKUP(A13,'Pass 1 Archive'!$A:$AD,MATCH("LinkedIn Employee Count",'Pass 1 Archive'!$1:$1,0),FALSE()),"")</f>
        <v/>
      </c>
      <c r="D13" s="1" t="str">
        <f aca="false">IFERROR(VLOOKUP(A13,'company tracker'!$a:$s,MATCH("Jan 2025 Traffic",'company tracker'!$1:$1,0),FALSE()),"")</f>
        <v/>
      </c>
      <c r="E13" s="1" t="str">
        <f aca="false">IFERROR(VLOOKUP(A13,'company tracker'!$a:$s,MATCH("Jun 2026 Traffic",'company tracker'!$1:$1,0),FALSE()),"")</f>
        <v/>
      </c>
      <c r="F13" s="1" t="str">
        <f aca="false">IFERROR(VLOOKUP(A13,'company tracker'!$a:$s,MATCH("Traffic % Change",'company tracker'!$1:$1,0),FALSE()),"")</f>
        <v/>
      </c>
      <c r="G13" s="1" t="str">
        <f aca="false">IFERROR(VLOOKUP(A13,'company tracker'!$a:$s,MATCH("Jan 2025 Referring Domains",'company tracker'!$1:$1,0),FALSE()),"")</f>
        <v/>
      </c>
      <c r="H13" s="1" t="str">
        <f aca="false">IFERROR(VLOOKUP(A13,'company tracker'!$a:$s,MATCH("Jun 2026 Referring Domains",'company tracker'!$1:$1,0),FALSE()),"")</f>
        <v/>
      </c>
    </row>
    <row r="14" customFormat="false" ht="15" hidden="false" customHeight="true" outlineLevel="0" collapsed="false">
      <c r="B14" s="1" t="str">
        <f aca="false">IFERROR(VLOOKUP(A14,'company tracker'!$a:$s,MATCH("Category",'company tracker'!$1:$1,0),FALSE()),"")</f>
        <v/>
      </c>
      <c r="C14" s="1" t="str">
        <f aca="false">IFERROR(VLOOKUP(A14,'Pass 1 Archive'!$A:$AD,MATCH("LinkedIn Employee Count",'Pass 1 Archive'!$1:$1,0),FALSE()),"")</f>
        <v/>
      </c>
      <c r="D14" s="1" t="str">
        <f aca="false">IFERROR(VLOOKUP(A14,'company tracker'!$a:$s,MATCH("Jan 2025 Traffic",'company tracker'!$1:$1,0),FALSE()),"")</f>
        <v/>
      </c>
      <c r="E14" s="1" t="str">
        <f aca="false">IFERROR(VLOOKUP(A14,'company tracker'!$a:$s,MATCH("Jun 2026 Traffic",'company tracker'!$1:$1,0),FALSE()),"")</f>
        <v/>
      </c>
      <c r="F14" s="1" t="str">
        <f aca="false">IFERROR(VLOOKUP(A14,'company tracker'!$a:$s,MATCH("Traffic % Change",'company tracker'!$1:$1,0),FALSE()),"")</f>
        <v/>
      </c>
      <c r="G14" s="1" t="str">
        <f aca="false">IFERROR(VLOOKUP(A14,'company tracker'!$a:$s,MATCH("Jan 2025 Referring Domains",'company tracker'!$1:$1,0),FALSE()),"")</f>
        <v/>
      </c>
      <c r="H14" s="1" t="str">
        <f aca="false">IFERROR(VLOOKUP(A14,'company tracker'!$a:$s,MATCH("Jun 2026 Referring Domains",'company tracker'!$1:$1,0),FALSE()),"")</f>
        <v/>
      </c>
    </row>
    <row r="15" customFormat="false" ht="15" hidden="false" customHeight="true" outlineLevel="0" collapsed="false">
      <c r="B15" s="1" t="str">
        <f aca="false">IFERROR(VLOOKUP(A15,'company tracker'!$a:$s,MATCH("Category",'company tracker'!$1:$1,0),FALSE()),"")</f>
        <v/>
      </c>
      <c r="C15" s="1" t="str">
        <f aca="false">IFERROR(VLOOKUP(A15,'Pass 1 Archive'!$A:$AD,MATCH("LinkedIn Employee Count",'Pass 1 Archive'!$1:$1,0),FALSE()),"")</f>
        <v/>
      </c>
      <c r="D15" s="1" t="str">
        <f aca="false">IFERROR(VLOOKUP(A15,'company tracker'!$a:$s,MATCH("Jan 2025 Traffic",'company tracker'!$1:$1,0),FALSE()),"")</f>
        <v/>
      </c>
      <c r="E15" s="1" t="str">
        <f aca="false">IFERROR(VLOOKUP(A15,'company tracker'!$a:$s,MATCH("Jun 2026 Traffic",'company tracker'!$1:$1,0),FALSE()),"")</f>
        <v/>
      </c>
      <c r="F15" s="1" t="str">
        <f aca="false">IFERROR(VLOOKUP(A15,'company tracker'!$a:$s,MATCH("Traffic % Change",'company tracker'!$1:$1,0),FALSE()),"")</f>
        <v/>
      </c>
      <c r="G15" s="1" t="str">
        <f aca="false">IFERROR(VLOOKUP(A15,'company tracker'!$a:$s,MATCH("Jan 2025 Referring Domains",'company tracker'!$1:$1,0),FALSE()),"")</f>
        <v/>
      </c>
      <c r="H15" s="1" t="str">
        <f aca="false">IFERROR(VLOOKUP(A15,'company tracker'!$a:$s,MATCH("Jun 2026 Referring Domains",'company tracker'!$1:$1,0),FALSE()),"")</f>
        <v/>
      </c>
    </row>
    <row r="16" customFormat="false" ht="15" hidden="false" customHeight="true" outlineLevel="0" collapsed="false">
      <c r="B16" s="1" t="str">
        <f aca="false">IFERROR(VLOOKUP(A16,'company tracker'!$a:$s,MATCH("Category",'company tracker'!$1:$1,0),FALSE()),"")</f>
        <v/>
      </c>
      <c r="C16" s="1" t="str">
        <f aca="false">IFERROR(VLOOKUP(A16,'Pass 1 Archive'!$A:$AD,MATCH("LinkedIn Employee Count",'Pass 1 Archive'!$1:$1,0),FALSE()),"")</f>
        <v/>
      </c>
      <c r="D16" s="1" t="str">
        <f aca="false">IFERROR(VLOOKUP(A16,'company tracker'!$a:$s,MATCH("Jan 2025 Traffic",'company tracker'!$1:$1,0),FALSE()),"")</f>
        <v/>
      </c>
      <c r="E16" s="1" t="str">
        <f aca="false">IFERROR(VLOOKUP(A16,'company tracker'!$a:$s,MATCH("Jun 2026 Traffic",'company tracker'!$1:$1,0),FALSE()),"")</f>
        <v/>
      </c>
      <c r="F16" s="1" t="str">
        <f aca="false">IFERROR(VLOOKUP(A16,'company tracker'!$a:$s,MATCH("Traffic % Change",'company tracker'!$1:$1,0),FALSE()),"")</f>
        <v/>
      </c>
      <c r="G16" s="1" t="str">
        <f aca="false">IFERROR(VLOOKUP(A16,'company tracker'!$a:$s,MATCH("Jan 2025 Referring Domains",'company tracker'!$1:$1,0),FALSE()),"")</f>
        <v/>
      </c>
      <c r="H16" s="1" t="str">
        <f aca="false">IFERROR(VLOOKUP(A16,'company tracker'!$a:$s,MATCH("Jun 2026 Referring Domains",'company tracker'!$1:$1,0),FALSE()),"")</f>
        <v/>
      </c>
    </row>
    <row r="17" customFormat="false" ht="15" hidden="false" customHeight="true" outlineLevel="0" collapsed="false">
      <c r="B17" s="1" t="str">
        <f aca="false">IFERROR(VLOOKUP(A17,'company tracker'!$a:$s,MATCH("Category",'company tracker'!$1:$1,0),FALSE()),"")</f>
        <v/>
      </c>
      <c r="C17" s="1" t="str">
        <f aca="false">IFERROR(VLOOKUP(A17,'Pass 1 Archive'!$A:$AD,MATCH("LinkedIn Employee Count",'Pass 1 Archive'!$1:$1,0),FALSE()),"")</f>
        <v/>
      </c>
      <c r="D17" s="1" t="str">
        <f aca="false">IFERROR(VLOOKUP(A17,'company tracker'!$a:$s,MATCH("Jan 2025 Traffic",'company tracker'!$1:$1,0),FALSE()),"")</f>
        <v/>
      </c>
      <c r="E17" s="1" t="str">
        <f aca="false">IFERROR(VLOOKUP(A17,'company tracker'!$a:$s,MATCH("Jun 2026 Traffic",'company tracker'!$1:$1,0),FALSE()),"")</f>
        <v/>
      </c>
      <c r="F17" s="1" t="str">
        <f aca="false">IFERROR(VLOOKUP(A17,'company tracker'!$a:$s,MATCH("Traffic % Change",'company tracker'!$1:$1,0),FALSE()),"")</f>
        <v/>
      </c>
      <c r="G17" s="1" t="str">
        <f aca="false">IFERROR(VLOOKUP(A17,'company tracker'!$a:$s,MATCH("Jan 2025 Referring Domains",'company tracker'!$1:$1,0),FALSE()),"")</f>
        <v/>
      </c>
      <c r="H17" s="1" t="str">
        <f aca="false">IFERROR(VLOOKUP(A17,'company tracker'!$a:$s,MATCH("Jun 2026 Referring Domains",'company tracker'!$1:$1,0),FALSE()),"")</f>
        <v/>
      </c>
    </row>
    <row r="18" customFormat="false" ht="15" hidden="false" customHeight="true" outlineLevel="0" collapsed="false">
      <c r="B18" s="1" t="str">
        <f aca="false">IFERROR(VLOOKUP(A18,'company tracker'!$a:$s,MATCH("Category",'company tracker'!$1:$1,0),FALSE()),"")</f>
        <v/>
      </c>
      <c r="C18" s="1" t="str">
        <f aca="false">IFERROR(VLOOKUP(A18,'Pass 1 Archive'!$A:$AD,MATCH("LinkedIn Employee Count",'Pass 1 Archive'!$1:$1,0),FALSE()),"")</f>
        <v/>
      </c>
      <c r="D18" s="1" t="str">
        <f aca="false">IFERROR(VLOOKUP(A18,'company tracker'!$a:$s,MATCH("Jan 2025 Traffic",'company tracker'!$1:$1,0),FALSE()),"")</f>
        <v/>
      </c>
      <c r="E18" s="1" t="str">
        <f aca="false">IFERROR(VLOOKUP(A18,'company tracker'!$a:$s,MATCH("Jun 2026 Traffic",'company tracker'!$1:$1,0),FALSE()),"")</f>
        <v/>
      </c>
      <c r="F18" s="1" t="str">
        <f aca="false">IFERROR(VLOOKUP(A18,'company tracker'!$a:$s,MATCH("Traffic % Change",'company tracker'!$1:$1,0),FALSE()),"")</f>
        <v/>
      </c>
      <c r="G18" s="1" t="str">
        <f aca="false">IFERROR(VLOOKUP(A18,'company tracker'!$a:$s,MATCH("Jan 2025 Referring Domains",'company tracker'!$1:$1,0),FALSE()),"")</f>
        <v/>
      </c>
      <c r="H18" s="1" t="str">
        <f aca="false">IFERROR(VLOOKUP(A18,'company tracker'!$a:$s,MATCH("Jun 2026 Referring Domains",'company tracker'!$1:$1,0),FALSE()),"")</f>
        <v/>
      </c>
    </row>
    <row r="19" customFormat="false" ht="15" hidden="false" customHeight="true" outlineLevel="0" collapsed="false">
      <c r="B19" s="1" t="str">
        <f aca="false">IFERROR(VLOOKUP(A19,'company tracker'!$a:$s,MATCH("Category",'company tracker'!$1:$1,0),FALSE()),"")</f>
        <v/>
      </c>
      <c r="C19" s="1" t="str">
        <f aca="false">IFERROR(VLOOKUP(A19,'Pass 1 Archive'!$A:$AD,MATCH("LinkedIn Employee Count",'Pass 1 Archive'!$1:$1,0),FALSE()),"")</f>
        <v/>
      </c>
      <c r="D19" s="1" t="str">
        <f aca="false">IFERROR(VLOOKUP(A19,'company tracker'!$a:$s,MATCH("Jan 2025 Traffic",'company tracker'!$1:$1,0),FALSE()),"")</f>
        <v/>
      </c>
      <c r="E19" s="1" t="str">
        <f aca="false">IFERROR(VLOOKUP(A19,'company tracker'!$a:$s,MATCH("Jun 2026 Traffic",'company tracker'!$1:$1,0),FALSE()),"")</f>
        <v/>
      </c>
      <c r="F19" s="1" t="str">
        <f aca="false">IFERROR(VLOOKUP(A19,'company tracker'!$a:$s,MATCH("Traffic % Change",'company tracker'!$1:$1,0),FALSE()),"")</f>
        <v/>
      </c>
      <c r="G19" s="1" t="str">
        <f aca="false">IFERROR(VLOOKUP(A19,'company tracker'!$a:$s,MATCH("Jan 2025 Referring Domains",'company tracker'!$1:$1,0),FALSE()),"")</f>
        <v/>
      </c>
      <c r="H19" s="1" t="str">
        <f aca="false">IFERROR(VLOOKUP(A19,'company tracker'!$a:$s,MATCH("Jun 2026 Referring Domains",'company tracker'!$1:$1,0),FALSE()),"")</f>
        <v/>
      </c>
    </row>
    <row r="20" customFormat="false" ht="15" hidden="false" customHeight="true" outlineLevel="0" collapsed="false">
      <c r="B20" s="1" t="str">
        <f aca="false">IFERROR(VLOOKUP(A20,'company tracker'!$a:$s,MATCH("Category",'company tracker'!$1:$1,0),FALSE()),"")</f>
        <v/>
      </c>
      <c r="C20" s="1" t="str">
        <f aca="false">IFERROR(VLOOKUP(A20,'Pass 1 Archive'!$A:$AD,MATCH("LinkedIn Employee Count",'Pass 1 Archive'!$1:$1,0),FALSE()),"")</f>
        <v/>
      </c>
      <c r="D20" s="1" t="str">
        <f aca="false">IFERROR(VLOOKUP(A20,'company tracker'!$a:$s,MATCH("Jan 2025 Traffic",'company tracker'!$1:$1,0),FALSE()),"")</f>
        <v/>
      </c>
      <c r="E20" s="1" t="str">
        <f aca="false">IFERROR(VLOOKUP(A20,'company tracker'!$a:$s,MATCH("Jun 2026 Traffic",'company tracker'!$1:$1,0),FALSE()),"")</f>
        <v/>
      </c>
      <c r="F20" s="1" t="str">
        <f aca="false">IFERROR(VLOOKUP(A20,'company tracker'!$a:$s,MATCH("Traffic % Change",'company tracker'!$1:$1,0),FALSE()),"")</f>
        <v/>
      </c>
      <c r="G20" s="1" t="str">
        <f aca="false">IFERROR(VLOOKUP(A20,'company tracker'!$a:$s,MATCH("Jan 2025 Referring Domains",'company tracker'!$1:$1,0),FALSE()),"")</f>
        <v/>
      </c>
      <c r="H20" s="1" t="str">
        <f aca="false">IFERROR(VLOOKUP(A20,'company tracker'!$a:$s,MATCH("Jun 2026 Referring Domains",'company tracker'!$1:$1,0),FALSE()),"")</f>
        <v/>
      </c>
    </row>
    <row r="21" customFormat="false" ht="15" hidden="false" customHeight="true" outlineLevel="0" collapsed="false">
      <c r="B21" s="1" t="str">
        <f aca="false">IFERROR(VLOOKUP(A21,'company tracker'!$a:$s,MATCH("Category",'company tracker'!$1:$1,0),FALSE()),"")</f>
        <v/>
      </c>
      <c r="C21" s="1" t="str">
        <f aca="false">IFERROR(VLOOKUP(A21,'Pass 1 Archive'!$A:$AD,MATCH("LinkedIn Employee Count",'Pass 1 Archive'!$1:$1,0),FALSE()),"")</f>
        <v/>
      </c>
      <c r="D21" s="1" t="str">
        <f aca="false">IFERROR(VLOOKUP(A21,'company tracker'!$a:$s,MATCH("Jan 2025 Traffic",'company tracker'!$1:$1,0),FALSE()),"")</f>
        <v/>
      </c>
      <c r="E21" s="1" t="str">
        <f aca="false">IFERROR(VLOOKUP(A21,'company tracker'!$a:$s,MATCH("Jun 2026 Traffic",'company tracker'!$1:$1,0),FALSE()),"")</f>
        <v/>
      </c>
      <c r="F21" s="1" t="str">
        <f aca="false">IFERROR(VLOOKUP(A21,'company tracker'!$a:$s,MATCH("Traffic % Change",'company tracker'!$1:$1,0),FALSE()),"")</f>
        <v/>
      </c>
      <c r="G21" s="1" t="str">
        <f aca="false">IFERROR(VLOOKUP(A21,'company tracker'!$a:$s,MATCH("Jan 2025 Referring Domains",'company tracker'!$1:$1,0),FALSE()),"")</f>
        <v/>
      </c>
      <c r="H21" s="1" t="str">
        <f aca="false">IFERROR(VLOOKUP(A21,'company tracker'!$a:$s,MATCH("Jun 2026 Referring Domains",'company tracker'!$1:$1,0),FALSE()),"")</f>
        <v/>
      </c>
    </row>
    <row r="22" customFormat="false" ht="15" hidden="false" customHeight="true" outlineLevel="0" collapsed="false">
      <c r="B22" s="1" t="str">
        <f aca="false">IFERROR(VLOOKUP(A22,'company tracker'!$a:$s,MATCH("Category",'company tracker'!$1:$1,0),FALSE()),"")</f>
        <v/>
      </c>
      <c r="C22" s="1" t="str">
        <f aca="false">IFERROR(VLOOKUP(A22,'Pass 1 Archive'!$A:$AD,MATCH("LinkedIn Employee Count",'Pass 1 Archive'!$1:$1,0),FALSE()),"")</f>
        <v/>
      </c>
      <c r="D22" s="1" t="str">
        <f aca="false">IFERROR(VLOOKUP(A22,'company tracker'!$a:$s,MATCH("Jan 2025 Traffic",'company tracker'!$1:$1,0),FALSE()),"")</f>
        <v/>
      </c>
      <c r="E22" s="1" t="str">
        <f aca="false">IFERROR(VLOOKUP(A22,'company tracker'!$a:$s,MATCH("Jun 2026 Traffic",'company tracker'!$1:$1,0),FALSE()),"")</f>
        <v/>
      </c>
      <c r="F22" s="1" t="str">
        <f aca="false">IFERROR(VLOOKUP(A22,'company tracker'!$a:$s,MATCH("Traffic % Change",'company tracker'!$1:$1,0),FALSE()),"")</f>
        <v/>
      </c>
      <c r="G22" s="1" t="str">
        <f aca="false">IFERROR(VLOOKUP(A22,'company tracker'!$a:$s,MATCH("Jan 2025 Referring Domains",'company tracker'!$1:$1,0),FALSE()),"")</f>
        <v/>
      </c>
      <c r="H22" s="1" t="str">
        <f aca="false">IFERROR(VLOOKUP(A22,'company tracker'!$a:$s,MATCH("Jun 2026 Referring Domains",'company tracker'!$1:$1,0),FALSE()),"")</f>
        <v/>
      </c>
    </row>
    <row r="23" customFormat="false" ht="15" hidden="false" customHeight="true" outlineLevel="0" collapsed="false">
      <c r="B23" s="1" t="str">
        <f aca="false">IFERROR(VLOOKUP(A23,'company tracker'!$a:$s,MATCH("Category",'company tracker'!$1:$1,0),FALSE()),"")</f>
        <v/>
      </c>
      <c r="C23" s="1" t="str">
        <f aca="false">IFERROR(VLOOKUP(A23,'Pass 1 Archive'!$A:$AD,MATCH("LinkedIn Employee Count",'Pass 1 Archive'!$1:$1,0),FALSE()),"")</f>
        <v/>
      </c>
      <c r="D23" s="1" t="str">
        <f aca="false">IFERROR(VLOOKUP(A23,'company tracker'!$a:$s,MATCH("Jan 2025 Traffic",'company tracker'!$1:$1,0),FALSE()),"")</f>
        <v/>
      </c>
      <c r="E23" s="1" t="str">
        <f aca="false">IFERROR(VLOOKUP(A23,'company tracker'!$a:$s,MATCH("Jun 2026 Traffic",'company tracker'!$1:$1,0),FALSE()),"")</f>
        <v/>
      </c>
      <c r="F23" s="1" t="str">
        <f aca="false">IFERROR(VLOOKUP(A23,'company tracker'!$a:$s,MATCH("Traffic % Change",'company tracker'!$1:$1,0),FALSE()),"")</f>
        <v/>
      </c>
      <c r="G23" s="1" t="str">
        <f aca="false">IFERROR(VLOOKUP(A23,'company tracker'!$a:$s,MATCH("Jan 2025 Referring Domains",'company tracker'!$1:$1,0),FALSE()),"")</f>
        <v/>
      </c>
      <c r="H23" s="1" t="str">
        <f aca="false">IFERROR(VLOOKUP(A23,'company tracker'!$a:$s,MATCH("Jun 2026 Referring Domains",'company tracker'!$1:$1,0),FALSE()),"")</f>
        <v/>
      </c>
    </row>
    <row r="24" customFormat="false" ht="15" hidden="false" customHeight="true" outlineLevel="0" collapsed="false">
      <c r="B24" s="1" t="str">
        <f aca="false">IFERROR(VLOOKUP(A24,'company tracker'!$a:$s,MATCH("Category",'company tracker'!$1:$1,0),FALSE()),"")</f>
        <v/>
      </c>
      <c r="C24" s="1" t="str">
        <f aca="false">IFERROR(VLOOKUP(A24,'Pass 1 Archive'!$A:$AD,MATCH("LinkedIn Employee Count",'Pass 1 Archive'!$1:$1,0),FALSE()),"")</f>
        <v/>
      </c>
      <c r="D24" s="1" t="str">
        <f aca="false">IFERROR(VLOOKUP(A24,'company tracker'!$a:$s,MATCH("Jan 2025 Traffic",'company tracker'!$1:$1,0),FALSE()),"")</f>
        <v/>
      </c>
      <c r="E24" s="1" t="str">
        <f aca="false">IFERROR(VLOOKUP(A24,'company tracker'!$a:$s,MATCH("Jun 2026 Traffic",'company tracker'!$1:$1,0),FALSE()),"")</f>
        <v/>
      </c>
      <c r="F24" s="1" t="str">
        <f aca="false">IFERROR(VLOOKUP(A24,'company tracker'!$a:$s,MATCH("Traffic % Change",'company tracker'!$1:$1,0),FALSE()),"")</f>
        <v/>
      </c>
      <c r="G24" s="1" t="str">
        <f aca="false">IFERROR(VLOOKUP(A24,'company tracker'!$a:$s,MATCH("Jan 2025 Referring Domains",'company tracker'!$1:$1,0),FALSE()),"")</f>
        <v/>
      </c>
      <c r="H24" s="1" t="str">
        <f aca="false">IFERROR(VLOOKUP(A24,'company tracker'!$a:$s,MATCH("Jun 2026 Referring Domains",'company tracker'!$1:$1,0),FALSE()),"")</f>
        <v/>
      </c>
    </row>
    <row r="25" customFormat="false" ht="15" hidden="false" customHeight="true" outlineLevel="0" collapsed="false">
      <c r="B25" s="1" t="str">
        <f aca="false">IFERROR(VLOOKUP(A25,'company tracker'!$a:$s,MATCH("Category",'company tracker'!$1:$1,0),FALSE()),"")</f>
        <v/>
      </c>
      <c r="C25" s="1" t="str">
        <f aca="false">IFERROR(VLOOKUP(A25,'Pass 1 Archive'!$A:$AD,MATCH("LinkedIn Employee Count",'Pass 1 Archive'!$1:$1,0),FALSE()),"")</f>
        <v/>
      </c>
      <c r="D25" s="1" t="str">
        <f aca="false">IFERROR(VLOOKUP(A25,'company tracker'!$a:$s,MATCH("Jan 2025 Traffic",'company tracker'!$1:$1,0),FALSE()),"")</f>
        <v/>
      </c>
      <c r="E25" s="1" t="str">
        <f aca="false">IFERROR(VLOOKUP(A25,'company tracker'!$a:$s,MATCH("Jun 2026 Traffic",'company tracker'!$1:$1,0),FALSE()),"")</f>
        <v/>
      </c>
      <c r="F25" s="1" t="str">
        <f aca="false">IFERROR(VLOOKUP(A25,'company tracker'!$a:$s,MATCH("Traffic % Change",'company tracker'!$1:$1,0),FALSE()),"")</f>
        <v/>
      </c>
      <c r="G25" s="1" t="str">
        <f aca="false">IFERROR(VLOOKUP(A25,'company tracker'!$a:$s,MATCH("Jan 2025 Referring Domains",'company tracker'!$1:$1,0),FALSE()),"")</f>
        <v/>
      </c>
      <c r="H25" s="1" t="str">
        <f aca="false">IFERROR(VLOOKUP(A25,'company tracker'!$a:$s,MATCH("Jun 2026 Referring Domains",'company tracker'!$1:$1,0),FALSE()),"")</f>
        <v/>
      </c>
    </row>
    <row r="26" customFormat="false" ht="15" hidden="false" customHeight="true" outlineLevel="0" collapsed="false">
      <c r="B26" s="1" t="str">
        <f aca="false">IFERROR(VLOOKUP(A26,'company tracker'!$a:$s,MATCH("Category",'company tracker'!$1:$1,0),FALSE()),"")</f>
        <v/>
      </c>
      <c r="C26" s="1" t="str">
        <f aca="false">IFERROR(VLOOKUP(A26,'Pass 1 Archive'!$A:$AD,MATCH("LinkedIn Employee Count",'Pass 1 Archive'!$1:$1,0),FALSE()),"")</f>
        <v/>
      </c>
      <c r="D26" s="1" t="str">
        <f aca="false">IFERROR(VLOOKUP(A26,'company tracker'!$a:$s,MATCH("Jan 2025 Traffic",'company tracker'!$1:$1,0),FALSE()),"")</f>
        <v/>
      </c>
      <c r="E26" s="1" t="str">
        <f aca="false">IFERROR(VLOOKUP(A26,'company tracker'!$a:$s,MATCH("Jun 2026 Traffic",'company tracker'!$1:$1,0),FALSE()),"")</f>
        <v/>
      </c>
      <c r="F26" s="1" t="str">
        <f aca="false">IFERROR(VLOOKUP(A26,'company tracker'!$a:$s,MATCH("Traffic % Change",'company tracker'!$1:$1,0),FALSE()),"")</f>
        <v/>
      </c>
      <c r="G26" s="1" t="str">
        <f aca="false">IFERROR(VLOOKUP(A26,'company tracker'!$a:$s,MATCH("Jan 2025 Referring Domains",'company tracker'!$1:$1,0),FALSE()),"")</f>
        <v/>
      </c>
      <c r="H26" s="1" t="str">
        <f aca="false">IFERROR(VLOOKUP(A26,'company tracker'!$a:$s,MATCH("Jun 2026 Referring Domains",'company tracker'!$1:$1,0),FALSE()),"")</f>
        <v/>
      </c>
    </row>
    <row r="27" customFormat="false" ht="15" hidden="false" customHeight="true" outlineLevel="0" collapsed="false">
      <c r="B27" s="1" t="str">
        <f aca="false">IFERROR(VLOOKUP(A27,'company tracker'!$a:$s,MATCH("Category",'company tracker'!$1:$1,0),FALSE()),"")</f>
        <v/>
      </c>
      <c r="C27" s="1" t="str">
        <f aca="false">IFERROR(VLOOKUP(A27,'Pass 1 Archive'!$A:$AD,MATCH("LinkedIn Employee Count",'Pass 1 Archive'!$1:$1,0),FALSE()),"")</f>
        <v/>
      </c>
      <c r="D27" s="1" t="str">
        <f aca="false">IFERROR(VLOOKUP(A27,'company tracker'!$a:$s,MATCH("Jan 2025 Traffic",'company tracker'!$1:$1,0),FALSE()),"")</f>
        <v/>
      </c>
      <c r="E27" s="1" t="str">
        <f aca="false">IFERROR(VLOOKUP(A27,'company tracker'!$a:$s,MATCH("Jun 2026 Traffic",'company tracker'!$1:$1,0),FALSE()),"")</f>
        <v/>
      </c>
      <c r="F27" s="1" t="str">
        <f aca="false">IFERROR(VLOOKUP(A27,'company tracker'!$a:$s,MATCH("Traffic % Change",'company tracker'!$1:$1,0),FALSE()),"")</f>
        <v/>
      </c>
      <c r="G27" s="1" t="str">
        <f aca="false">IFERROR(VLOOKUP(A27,'company tracker'!$a:$s,MATCH("Jan 2025 Referring Domains",'company tracker'!$1:$1,0),FALSE()),"")</f>
        <v/>
      </c>
      <c r="H27" s="1" t="str">
        <f aca="false">IFERROR(VLOOKUP(A27,'company tracker'!$a:$s,MATCH("Jun 2026 Referring Domains",'company tracker'!$1:$1,0),FALSE()),"")</f>
        <v/>
      </c>
    </row>
    <row r="28" customFormat="false" ht="15" hidden="false" customHeight="true" outlineLevel="0" collapsed="false">
      <c r="B28" s="1" t="str">
        <f aca="false">IFERROR(VLOOKUP(A28,'company tracker'!$a:$s,MATCH("Category",'company tracker'!$1:$1,0),FALSE()),"")</f>
        <v/>
      </c>
      <c r="C28" s="1" t="str">
        <f aca="false">IFERROR(VLOOKUP(A28,'Pass 1 Archive'!$A:$AD,MATCH("LinkedIn Employee Count",'Pass 1 Archive'!$1:$1,0),FALSE()),"")</f>
        <v/>
      </c>
      <c r="D28" s="1" t="str">
        <f aca="false">IFERROR(VLOOKUP(A28,'company tracker'!$a:$s,MATCH("Jan 2025 Traffic",'company tracker'!$1:$1,0),FALSE()),"")</f>
        <v/>
      </c>
      <c r="E28" s="1" t="str">
        <f aca="false">IFERROR(VLOOKUP(A28,'company tracker'!$a:$s,MATCH("Jun 2026 Traffic",'company tracker'!$1:$1,0),FALSE()),"")</f>
        <v/>
      </c>
      <c r="F28" s="1" t="str">
        <f aca="false">IFERROR(VLOOKUP(A28,'company tracker'!$a:$s,MATCH("Traffic % Change",'company tracker'!$1:$1,0),FALSE()),"")</f>
        <v/>
      </c>
      <c r="G28" s="1" t="str">
        <f aca="false">IFERROR(VLOOKUP(A28,'company tracker'!$a:$s,MATCH("Jan 2025 Referring Domains",'company tracker'!$1:$1,0),FALSE()),"")</f>
        <v/>
      </c>
      <c r="H28" s="1" t="str">
        <f aca="false">IFERROR(VLOOKUP(A28,'company tracker'!$a:$s,MATCH("Jun 2026 Referring Domains",'company tracker'!$1:$1,0),FALSE()),"")</f>
        <v/>
      </c>
    </row>
    <row r="29" customFormat="false" ht="15" hidden="false" customHeight="true" outlineLevel="0" collapsed="false">
      <c r="B29" s="1" t="str">
        <f aca="false">IFERROR(VLOOKUP(A29,'company tracker'!$a:$s,MATCH("Category",'company tracker'!$1:$1,0),FALSE()),"")</f>
        <v/>
      </c>
      <c r="C29" s="1" t="str">
        <f aca="false">IFERROR(VLOOKUP(A29,'Pass 1 Archive'!$A:$AD,MATCH("LinkedIn Employee Count",'Pass 1 Archive'!$1:$1,0),FALSE()),"")</f>
        <v/>
      </c>
      <c r="D29" s="1" t="str">
        <f aca="false">IFERROR(VLOOKUP(A29,'company tracker'!$a:$s,MATCH("Jan 2025 Traffic",'company tracker'!$1:$1,0),FALSE()),"")</f>
        <v/>
      </c>
      <c r="E29" s="1" t="str">
        <f aca="false">IFERROR(VLOOKUP(A29,'company tracker'!$a:$s,MATCH("Jun 2026 Traffic",'company tracker'!$1:$1,0),FALSE()),"")</f>
        <v/>
      </c>
      <c r="F29" s="1" t="str">
        <f aca="false">IFERROR(VLOOKUP(A29,'company tracker'!$a:$s,MATCH("Traffic % Change",'company tracker'!$1:$1,0),FALSE()),"")</f>
        <v/>
      </c>
      <c r="G29" s="1" t="str">
        <f aca="false">IFERROR(VLOOKUP(A29,'company tracker'!$a:$s,MATCH("Jan 2025 Referring Domains",'company tracker'!$1:$1,0),FALSE()),"")</f>
        <v/>
      </c>
      <c r="H29" s="1" t="str">
        <f aca="false">IFERROR(VLOOKUP(A29,'company tracker'!$a:$s,MATCH("Jun 2026 Referring Domains",'company tracker'!$1:$1,0),FALSE()),"")</f>
        <v/>
      </c>
    </row>
    <row r="30" customFormat="false" ht="15" hidden="false" customHeight="true" outlineLevel="0" collapsed="false">
      <c r="B30" s="1" t="str">
        <f aca="false">IFERROR(VLOOKUP(A30,'company tracker'!$a:$s,MATCH("Category",'company tracker'!$1:$1,0),FALSE()),"")</f>
        <v/>
      </c>
      <c r="C30" s="1" t="str">
        <f aca="false">IFERROR(VLOOKUP(A30,'Pass 1 Archive'!$A:$AD,MATCH("LinkedIn Employee Count",'Pass 1 Archive'!$1:$1,0),FALSE()),"")</f>
        <v/>
      </c>
      <c r="D30" s="1" t="str">
        <f aca="false">IFERROR(VLOOKUP(A30,'company tracker'!$a:$s,MATCH("Jan 2025 Traffic",'company tracker'!$1:$1,0),FALSE()),"")</f>
        <v/>
      </c>
      <c r="E30" s="1" t="str">
        <f aca="false">IFERROR(VLOOKUP(A30,'company tracker'!$a:$s,MATCH("Jun 2026 Traffic",'company tracker'!$1:$1,0),FALSE()),"")</f>
        <v/>
      </c>
      <c r="F30" s="1" t="str">
        <f aca="false">IFERROR(VLOOKUP(A30,'company tracker'!$a:$s,MATCH("Traffic % Change",'company tracker'!$1:$1,0),FALSE()),"")</f>
        <v/>
      </c>
      <c r="G30" s="1" t="str">
        <f aca="false">IFERROR(VLOOKUP(A30,'company tracker'!$a:$s,MATCH("Jan 2025 Referring Domains",'company tracker'!$1:$1,0),FALSE()),"")</f>
        <v/>
      </c>
      <c r="H30" s="1" t="str">
        <f aca="false">IFERROR(VLOOKUP(A30,'company tracker'!$a:$s,MATCH("Jun 2026 Referring Domains",'company tracker'!$1:$1,0),FALSE()),"")</f>
        <v/>
      </c>
    </row>
    <row r="31" customFormat="false" ht="15" hidden="false" customHeight="true" outlineLevel="0" collapsed="false">
      <c r="B31" s="1" t="str">
        <f aca="false">IFERROR(VLOOKUP(A31,'company tracker'!$a:$s,MATCH("Category",'company tracker'!$1:$1,0),FALSE()),"")</f>
        <v/>
      </c>
      <c r="C31" s="1" t="str">
        <f aca="false">IFERROR(VLOOKUP(A31,'Pass 1 Archive'!$A:$AD,MATCH("LinkedIn Employee Count",'Pass 1 Archive'!$1:$1,0),FALSE()),"")</f>
        <v/>
      </c>
      <c r="D31" s="1" t="str">
        <f aca="false">IFERROR(VLOOKUP(A31,'company tracker'!$a:$s,MATCH("Jan 2025 Traffic",'company tracker'!$1:$1,0),FALSE()),"")</f>
        <v/>
      </c>
      <c r="E31" s="1" t="str">
        <f aca="false">IFERROR(VLOOKUP(A31,'company tracker'!$a:$s,MATCH("Jun 2026 Traffic",'company tracker'!$1:$1,0),FALSE()),"")</f>
        <v/>
      </c>
      <c r="F31" s="1" t="str">
        <f aca="false">IFERROR(VLOOKUP(A31,'company tracker'!$a:$s,MATCH("Traffic % Change",'company tracker'!$1:$1,0),FALSE()),"")</f>
        <v/>
      </c>
      <c r="G31" s="1" t="str">
        <f aca="false">IFERROR(VLOOKUP(A31,'company tracker'!$a:$s,MATCH("Jan 2025 Referring Domains",'company tracker'!$1:$1,0),FALSE()),"")</f>
        <v/>
      </c>
      <c r="H31" s="1" t="str">
        <f aca="false">IFERROR(VLOOKUP(A31,'company tracker'!$a:$s,MATCH("Jun 2026 Referring Domains",'company tracker'!$1:$1,0),FALSE()),"")</f>
        <v/>
      </c>
    </row>
    <row r="32" customFormat="false" ht="15" hidden="false" customHeight="true" outlineLevel="0" collapsed="false">
      <c r="B32" s="1" t="str">
        <f aca="false">IFERROR(VLOOKUP(A32,'company tracker'!$a:$s,MATCH("Category",'company tracker'!$1:$1,0),FALSE()),"")</f>
        <v/>
      </c>
      <c r="C32" s="1" t="str">
        <f aca="false">IFERROR(VLOOKUP(A32,'Pass 1 Archive'!$A:$AD,MATCH("LinkedIn Employee Count",'Pass 1 Archive'!$1:$1,0),FALSE()),"")</f>
        <v/>
      </c>
      <c r="D32" s="1" t="str">
        <f aca="false">IFERROR(VLOOKUP(A32,'company tracker'!$a:$s,MATCH("Jan 2025 Traffic",'company tracker'!$1:$1,0),FALSE()),"")</f>
        <v/>
      </c>
      <c r="E32" s="1" t="str">
        <f aca="false">IFERROR(VLOOKUP(A32,'company tracker'!$a:$s,MATCH("Jun 2026 Traffic",'company tracker'!$1:$1,0),FALSE()),"")</f>
        <v/>
      </c>
      <c r="F32" s="1" t="str">
        <f aca="false">IFERROR(VLOOKUP(A32,'company tracker'!$a:$s,MATCH("Traffic % Change",'company tracker'!$1:$1,0),FALSE()),"")</f>
        <v/>
      </c>
      <c r="G32" s="1" t="str">
        <f aca="false">IFERROR(VLOOKUP(A32,'company tracker'!$a:$s,MATCH("Jan 2025 Referring Domains",'company tracker'!$1:$1,0),FALSE()),"")</f>
        <v/>
      </c>
      <c r="H32" s="1" t="str">
        <f aca="false">IFERROR(VLOOKUP(A32,'company tracker'!$a:$s,MATCH("Jun 2026 Referring Domains",'company tracker'!$1:$1,0),FALSE()),"")</f>
        <v/>
      </c>
    </row>
    <row r="33" customFormat="false" ht="15" hidden="false" customHeight="true" outlineLevel="0" collapsed="false">
      <c r="B33" s="1" t="str">
        <f aca="false">IFERROR(VLOOKUP(A33,'company tracker'!$a:$s,MATCH("Category",'company tracker'!$1:$1,0),FALSE()),"")</f>
        <v/>
      </c>
      <c r="C33" s="1" t="str">
        <f aca="false">IFERROR(VLOOKUP(A33,'Pass 1 Archive'!$A:$AD,MATCH("LinkedIn Employee Count",'Pass 1 Archive'!$1:$1,0),FALSE()),"")</f>
        <v/>
      </c>
      <c r="D33" s="1" t="str">
        <f aca="false">IFERROR(VLOOKUP(A33,'company tracker'!$a:$s,MATCH("Jan 2025 Traffic",'company tracker'!$1:$1,0),FALSE()),"")</f>
        <v/>
      </c>
      <c r="E33" s="1" t="str">
        <f aca="false">IFERROR(VLOOKUP(A33,'company tracker'!$a:$s,MATCH("Jun 2026 Traffic",'company tracker'!$1:$1,0),FALSE()),"")</f>
        <v/>
      </c>
      <c r="F33" s="1" t="str">
        <f aca="false">IFERROR(VLOOKUP(A33,'company tracker'!$a:$s,MATCH("Traffic % Change",'company tracker'!$1:$1,0),FALSE()),"")</f>
        <v/>
      </c>
      <c r="G33" s="1" t="str">
        <f aca="false">IFERROR(VLOOKUP(A33,'company tracker'!$a:$s,MATCH("Jan 2025 Referring Domains",'company tracker'!$1:$1,0),FALSE()),"")</f>
        <v/>
      </c>
      <c r="H33" s="1" t="str">
        <f aca="false">IFERROR(VLOOKUP(A33,'company tracker'!$a:$s,MATCH("Jun 2026 Referring Domains",'company tracker'!$1:$1,0),FALSE()),"")</f>
        <v/>
      </c>
    </row>
    <row r="34" customFormat="false" ht="15" hidden="false" customHeight="true" outlineLevel="0" collapsed="false">
      <c r="B34" s="1" t="str">
        <f aca="false">IFERROR(VLOOKUP(A34,'company tracker'!$a:$s,MATCH("Category",'company tracker'!$1:$1,0),FALSE()),"")</f>
        <v/>
      </c>
      <c r="C34" s="1" t="str">
        <f aca="false">IFERROR(VLOOKUP(A34,'Pass 1 Archive'!$A:$AD,MATCH("LinkedIn Employee Count",'Pass 1 Archive'!$1:$1,0),FALSE()),"")</f>
        <v/>
      </c>
      <c r="D34" s="1" t="str">
        <f aca="false">IFERROR(VLOOKUP(A34,'company tracker'!$a:$s,MATCH("Jan 2025 Traffic",'company tracker'!$1:$1,0),FALSE()),"")</f>
        <v/>
      </c>
      <c r="E34" s="1" t="str">
        <f aca="false">IFERROR(VLOOKUP(A34,'company tracker'!$a:$s,MATCH("Jun 2026 Traffic",'company tracker'!$1:$1,0),FALSE()),"")</f>
        <v/>
      </c>
      <c r="F34" s="1" t="str">
        <f aca="false">IFERROR(VLOOKUP(A34,'company tracker'!$a:$s,MATCH("Traffic % Change",'company tracker'!$1:$1,0),FALSE()),"")</f>
        <v/>
      </c>
      <c r="G34" s="1" t="str">
        <f aca="false">IFERROR(VLOOKUP(A34,'company tracker'!$a:$s,MATCH("Jan 2025 Referring Domains",'company tracker'!$1:$1,0),FALSE()),"")</f>
        <v/>
      </c>
      <c r="H34" s="1" t="str">
        <f aca="false">IFERROR(VLOOKUP(A34,'company tracker'!$a:$s,MATCH("Jun 2026 Referring Domains",'company tracker'!$1:$1,0),FALSE()),"")</f>
        <v/>
      </c>
    </row>
    <row r="35" customFormat="false" ht="15" hidden="false" customHeight="true" outlineLevel="0" collapsed="false">
      <c r="B35" s="1" t="str">
        <f aca="false">IFERROR(VLOOKUP(A35,'company tracker'!$a:$s,MATCH("Category",'company tracker'!$1:$1,0),FALSE()),"")</f>
        <v/>
      </c>
      <c r="C35" s="1" t="str">
        <f aca="false">IFERROR(VLOOKUP(A35,'Pass 1 Archive'!$A:$AD,MATCH("LinkedIn Employee Count",'Pass 1 Archive'!$1:$1,0),FALSE()),"")</f>
        <v/>
      </c>
      <c r="D35" s="1" t="str">
        <f aca="false">IFERROR(VLOOKUP(A35,'company tracker'!$a:$s,MATCH("Jan 2025 Traffic",'company tracker'!$1:$1,0),FALSE()),"")</f>
        <v/>
      </c>
      <c r="E35" s="1" t="str">
        <f aca="false">IFERROR(VLOOKUP(A35,'company tracker'!$a:$s,MATCH("Jun 2026 Traffic",'company tracker'!$1:$1,0),FALSE()),"")</f>
        <v/>
      </c>
      <c r="F35" s="1" t="str">
        <f aca="false">IFERROR(VLOOKUP(A35,'company tracker'!$a:$s,MATCH("Traffic % Change",'company tracker'!$1:$1,0),FALSE()),"")</f>
        <v/>
      </c>
      <c r="G35" s="1" t="str">
        <f aca="false">IFERROR(VLOOKUP(A35,'company tracker'!$a:$s,MATCH("Jan 2025 Referring Domains",'company tracker'!$1:$1,0),FALSE()),"")</f>
        <v/>
      </c>
      <c r="H35" s="1" t="str">
        <f aca="false">IFERROR(VLOOKUP(A35,'company tracker'!$a:$s,MATCH("Jun 2026 Referring Domains",'company tracker'!$1:$1,0),FALSE()),"")</f>
        <v/>
      </c>
    </row>
    <row r="36" customFormat="false" ht="15" hidden="false" customHeight="true" outlineLevel="0" collapsed="false">
      <c r="B36" s="1" t="str">
        <f aca="false">IFERROR(VLOOKUP(A36,'company tracker'!$a:$s,MATCH("Category",'company tracker'!$1:$1,0),FALSE()),"")</f>
        <v/>
      </c>
      <c r="C36" s="1" t="str">
        <f aca="false">IFERROR(VLOOKUP(A36,'Pass 1 Archive'!$A:$AD,MATCH("LinkedIn Employee Count",'Pass 1 Archive'!$1:$1,0),FALSE()),"")</f>
        <v/>
      </c>
      <c r="D36" s="1" t="str">
        <f aca="false">IFERROR(VLOOKUP(A36,'company tracker'!$a:$s,MATCH("Jan 2025 Traffic",'company tracker'!$1:$1,0),FALSE()),"")</f>
        <v/>
      </c>
      <c r="E36" s="1" t="str">
        <f aca="false">IFERROR(VLOOKUP(A36,'company tracker'!$a:$s,MATCH("Jun 2026 Traffic",'company tracker'!$1:$1,0),FALSE()),"")</f>
        <v/>
      </c>
      <c r="F36" s="1" t="str">
        <f aca="false">IFERROR(VLOOKUP(A36,'company tracker'!$a:$s,MATCH("Traffic % Change",'company tracker'!$1:$1,0),FALSE()),"")</f>
        <v/>
      </c>
      <c r="G36" s="1" t="str">
        <f aca="false">IFERROR(VLOOKUP(A36,'company tracker'!$a:$s,MATCH("Jan 2025 Referring Domains",'company tracker'!$1:$1,0),FALSE()),"")</f>
        <v/>
      </c>
      <c r="H36" s="1" t="str">
        <f aca="false">IFERROR(VLOOKUP(A36,'company tracker'!$a:$s,MATCH("Jun 2026 Referring Domains",'company tracker'!$1:$1,0),FALSE()),"")</f>
        <v/>
      </c>
    </row>
    <row r="37" customFormat="false" ht="15" hidden="false" customHeight="true" outlineLevel="0" collapsed="false">
      <c r="B37" s="1" t="str">
        <f aca="false">IFERROR(VLOOKUP(A37,'company tracker'!$a:$s,MATCH("Category",'company tracker'!$1:$1,0),FALSE()),"")</f>
        <v/>
      </c>
      <c r="C37" s="1" t="str">
        <f aca="false">IFERROR(VLOOKUP(A37,'Pass 1 Archive'!$A:$AD,MATCH("LinkedIn Employee Count",'Pass 1 Archive'!$1:$1,0),FALSE()),"")</f>
        <v/>
      </c>
      <c r="D37" s="1" t="str">
        <f aca="false">IFERROR(VLOOKUP(A37,'company tracker'!$a:$s,MATCH("Jan 2025 Traffic",'company tracker'!$1:$1,0),FALSE()),"")</f>
        <v/>
      </c>
      <c r="E37" s="1" t="str">
        <f aca="false">IFERROR(VLOOKUP(A37,'company tracker'!$a:$s,MATCH("Jun 2026 Traffic",'company tracker'!$1:$1,0),FALSE()),"")</f>
        <v/>
      </c>
      <c r="F37" s="1" t="str">
        <f aca="false">IFERROR(VLOOKUP(A37,'company tracker'!$a:$s,MATCH("Traffic % Change",'company tracker'!$1:$1,0),FALSE()),"")</f>
        <v/>
      </c>
      <c r="G37" s="1" t="str">
        <f aca="false">IFERROR(VLOOKUP(A37,'company tracker'!$a:$s,MATCH("Jan 2025 Referring Domains",'company tracker'!$1:$1,0),FALSE()),"")</f>
        <v/>
      </c>
      <c r="H37" s="1" t="str">
        <f aca="false">IFERROR(VLOOKUP(A37,'company tracker'!$a:$s,MATCH("Jun 2026 Referring Domains",'company tracker'!$1:$1,0),FALSE()),"")</f>
        <v/>
      </c>
    </row>
    <row r="38" customFormat="false" ht="15" hidden="false" customHeight="true" outlineLevel="0" collapsed="false">
      <c r="B38" s="1" t="str">
        <f aca="false">IFERROR(VLOOKUP(A38,'company tracker'!$a:$s,MATCH("Category",'company tracker'!$1:$1,0),FALSE()),"")</f>
        <v/>
      </c>
      <c r="C38" s="1" t="str">
        <f aca="false">IFERROR(VLOOKUP(A38,'Pass 1 Archive'!$A:$AD,MATCH("LinkedIn Employee Count",'Pass 1 Archive'!$1:$1,0),FALSE()),"")</f>
        <v/>
      </c>
      <c r="D38" s="1" t="str">
        <f aca="false">IFERROR(VLOOKUP(A38,'company tracker'!$a:$s,MATCH("Jan 2025 Traffic",'company tracker'!$1:$1,0),FALSE()),"")</f>
        <v/>
      </c>
      <c r="E38" s="1" t="str">
        <f aca="false">IFERROR(VLOOKUP(A38,'company tracker'!$a:$s,MATCH("Jun 2026 Traffic",'company tracker'!$1:$1,0),FALSE()),"")</f>
        <v/>
      </c>
      <c r="F38" s="1" t="str">
        <f aca="false">IFERROR(VLOOKUP(A38,'company tracker'!$a:$s,MATCH("Traffic % Change",'company tracker'!$1:$1,0),FALSE()),"")</f>
        <v/>
      </c>
      <c r="G38" s="1" t="str">
        <f aca="false">IFERROR(VLOOKUP(A38,'company tracker'!$a:$s,MATCH("Jan 2025 Referring Domains",'company tracker'!$1:$1,0),FALSE()),"")</f>
        <v/>
      </c>
      <c r="H38" s="1" t="str">
        <f aca="false">IFERROR(VLOOKUP(A38,'company tracker'!$a:$s,MATCH("Jun 2026 Referring Domains",'company tracker'!$1:$1,0),FALSE()),"")</f>
        <v/>
      </c>
    </row>
    <row r="39" customFormat="false" ht="15" hidden="false" customHeight="true" outlineLevel="0" collapsed="false">
      <c r="B39" s="1" t="str">
        <f aca="false">IFERROR(VLOOKUP(A39,'company tracker'!$a:$s,MATCH("Category",'company tracker'!$1:$1,0),FALSE()),"")</f>
        <v/>
      </c>
      <c r="C39" s="1" t="str">
        <f aca="false">IFERROR(VLOOKUP(A39,'Pass 1 Archive'!$A:$AD,MATCH("LinkedIn Employee Count",'Pass 1 Archive'!$1:$1,0),FALSE()),"")</f>
        <v/>
      </c>
      <c r="D39" s="1" t="str">
        <f aca="false">IFERROR(VLOOKUP(A39,'company tracker'!$a:$s,MATCH("Jan 2025 Traffic",'company tracker'!$1:$1,0),FALSE()),"")</f>
        <v/>
      </c>
      <c r="E39" s="1" t="str">
        <f aca="false">IFERROR(VLOOKUP(A39,'company tracker'!$a:$s,MATCH("Jun 2026 Traffic",'company tracker'!$1:$1,0),FALSE()),"")</f>
        <v/>
      </c>
      <c r="F39" s="1" t="str">
        <f aca="false">IFERROR(VLOOKUP(A39,'company tracker'!$a:$s,MATCH("Traffic % Change",'company tracker'!$1:$1,0),FALSE()),"")</f>
        <v/>
      </c>
      <c r="G39" s="1" t="str">
        <f aca="false">IFERROR(VLOOKUP(A39,'company tracker'!$a:$s,MATCH("Jan 2025 Referring Domains",'company tracker'!$1:$1,0),FALSE()),"")</f>
        <v/>
      </c>
      <c r="H39" s="1" t="str">
        <f aca="false">IFERROR(VLOOKUP(A39,'company tracker'!$a:$s,MATCH("Jun 2026 Referring Domains",'company tracker'!$1:$1,0),FALSE()),"")</f>
        <v/>
      </c>
    </row>
    <row r="40" customFormat="false" ht="15" hidden="false" customHeight="true" outlineLevel="0" collapsed="false">
      <c r="B40" s="1" t="str">
        <f aca="false">IFERROR(VLOOKUP(A40,'company tracker'!$a:$s,MATCH("Category",'company tracker'!$1:$1,0),FALSE()),"")</f>
        <v/>
      </c>
      <c r="C40" s="1" t="str">
        <f aca="false">IFERROR(VLOOKUP(A40,'Pass 1 Archive'!$A:$AD,MATCH("LinkedIn Employee Count",'Pass 1 Archive'!$1:$1,0),FALSE()),"")</f>
        <v/>
      </c>
      <c r="D40" s="1" t="str">
        <f aca="false">IFERROR(VLOOKUP(A40,'company tracker'!$a:$s,MATCH("Jan 2025 Traffic",'company tracker'!$1:$1,0),FALSE()),"")</f>
        <v/>
      </c>
      <c r="E40" s="1" t="str">
        <f aca="false">IFERROR(VLOOKUP(A40,'company tracker'!$a:$s,MATCH("Jun 2026 Traffic",'company tracker'!$1:$1,0),FALSE()),"")</f>
        <v/>
      </c>
      <c r="F40" s="1" t="str">
        <f aca="false">IFERROR(VLOOKUP(A40,'company tracker'!$a:$s,MATCH("Traffic % Change",'company tracker'!$1:$1,0),FALSE()),"")</f>
        <v/>
      </c>
      <c r="G40" s="1" t="str">
        <f aca="false">IFERROR(VLOOKUP(A40,'company tracker'!$a:$s,MATCH("Jan 2025 Referring Domains",'company tracker'!$1:$1,0),FALSE()),"")</f>
        <v/>
      </c>
      <c r="H40" s="1" t="str">
        <f aca="false">IFERROR(VLOOKUP(A40,'company tracker'!$a:$s,MATCH("Jun 2026 Referring Domains",'company tracker'!$1:$1,0),FALSE()),"")</f>
        <v/>
      </c>
    </row>
    <row r="41" customFormat="false" ht="15" hidden="false" customHeight="true" outlineLevel="0" collapsed="false">
      <c r="B41" s="1" t="str">
        <f aca="false">IFERROR(VLOOKUP(A41,'company tracker'!$a:$s,MATCH("Category",'company tracker'!$1:$1,0),FALSE()),"")</f>
        <v/>
      </c>
      <c r="C41" s="1" t="str">
        <f aca="false">IFERROR(VLOOKUP(A41,'Pass 1 Archive'!$A:$AD,MATCH("LinkedIn Employee Count",'Pass 1 Archive'!$1:$1,0),FALSE()),"")</f>
        <v/>
      </c>
      <c r="D41" s="1" t="str">
        <f aca="false">IFERROR(VLOOKUP(A41,'company tracker'!$a:$s,MATCH("Jan 2025 Traffic",'company tracker'!$1:$1,0),FALSE()),"")</f>
        <v/>
      </c>
      <c r="E41" s="1" t="str">
        <f aca="false">IFERROR(VLOOKUP(A41,'company tracker'!$a:$s,MATCH("Jun 2026 Traffic",'company tracker'!$1:$1,0),FALSE()),"")</f>
        <v/>
      </c>
      <c r="F41" s="1" t="str">
        <f aca="false">IFERROR(VLOOKUP(A41,'company tracker'!$a:$s,MATCH("Traffic % Change",'company tracker'!$1:$1,0),FALSE()),"")</f>
        <v/>
      </c>
      <c r="G41" s="1" t="str">
        <f aca="false">IFERROR(VLOOKUP(A41,'company tracker'!$a:$s,MATCH("Jan 2025 Referring Domains",'company tracker'!$1:$1,0),FALSE()),"")</f>
        <v/>
      </c>
      <c r="H41" s="1" t="str">
        <f aca="false">IFERROR(VLOOKUP(A41,'company tracker'!$a:$s,MATCH("Jun 2026 Referring Domains",'company tracker'!$1:$1,0),FALSE()),"")</f>
        <v/>
      </c>
    </row>
    <row r="42" customFormat="false" ht="15" hidden="false" customHeight="true" outlineLevel="0" collapsed="false">
      <c r="B42" s="1" t="str">
        <f aca="false">IFERROR(VLOOKUP(A42,'company tracker'!$a:$s,MATCH("Category",'company tracker'!$1:$1,0),FALSE()),"")</f>
        <v/>
      </c>
      <c r="C42" s="1" t="str">
        <f aca="false">IFERROR(VLOOKUP(A42,'Pass 1 Archive'!$A:$AD,MATCH("LinkedIn Employee Count",'Pass 1 Archive'!$1:$1,0),FALSE()),"")</f>
        <v/>
      </c>
      <c r="D42" s="1" t="str">
        <f aca="false">IFERROR(VLOOKUP(A42,'company tracker'!$a:$s,MATCH("Jan 2025 Traffic",'company tracker'!$1:$1,0),FALSE()),"")</f>
        <v/>
      </c>
      <c r="E42" s="1" t="str">
        <f aca="false">IFERROR(VLOOKUP(A42,'company tracker'!$a:$s,MATCH("Jun 2026 Traffic",'company tracker'!$1:$1,0),FALSE()),"")</f>
        <v/>
      </c>
      <c r="F42" s="1" t="str">
        <f aca="false">IFERROR(VLOOKUP(A42,'company tracker'!$a:$s,MATCH("Traffic % Change",'company tracker'!$1:$1,0),FALSE()),"")</f>
        <v/>
      </c>
      <c r="G42" s="1" t="str">
        <f aca="false">IFERROR(VLOOKUP(A42,'company tracker'!$a:$s,MATCH("Jan 2025 Referring Domains",'company tracker'!$1:$1,0),FALSE()),"")</f>
        <v/>
      </c>
      <c r="H42" s="1" t="str">
        <f aca="false">IFERROR(VLOOKUP(A42,'company tracker'!$a:$s,MATCH("Jun 2026 Referring Domains",'company tracker'!$1:$1,0),FALSE()),"")</f>
        <v/>
      </c>
    </row>
    <row r="43" customFormat="false" ht="15" hidden="false" customHeight="true" outlineLevel="0" collapsed="false">
      <c r="B43" s="1" t="str">
        <f aca="false">IFERROR(VLOOKUP(A43,'company tracker'!$a:$s,MATCH("Category",'company tracker'!$1:$1,0),FALSE()),"")</f>
        <v/>
      </c>
      <c r="C43" s="1" t="str">
        <f aca="false">IFERROR(VLOOKUP(A43,'Pass 1 Archive'!$A:$AD,MATCH("LinkedIn Employee Count",'Pass 1 Archive'!$1:$1,0),FALSE()),"")</f>
        <v/>
      </c>
      <c r="D43" s="1" t="str">
        <f aca="false">IFERROR(VLOOKUP(A43,'company tracker'!$a:$s,MATCH("Jan 2025 Traffic",'company tracker'!$1:$1,0),FALSE()),"")</f>
        <v/>
      </c>
      <c r="E43" s="1" t="str">
        <f aca="false">IFERROR(VLOOKUP(A43,'company tracker'!$a:$s,MATCH("Jun 2026 Traffic",'company tracker'!$1:$1,0),FALSE()),"")</f>
        <v/>
      </c>
      <c r="F43" s="1" t="str">
        <f aca="false">IFERROR(VLOOKUP(A43,'company tracker'!$a:$s,MATCH("Traffic % Change",'company tracker'!$1:$1,0),FALSE()),"")</f>
        <v/>
      </c>
      <c r="G43" s="1" t="str">
        <f aca="false">IFERROR(VLOOKUP(A43,'company tracker'!$a:$s,MATCH("Jan 2025 Referring Domains",'company tracker'!$1:$1,0),FALSE()),"")</f>
        <v/>
      </c>
      <c r="H43" s="1" t="str">
        <f aca="false">IFERROR(VLOOKUP(A43,'company tracker'!$a:$s,MATCH("Jun 2026 Referring Domains",'company tracker'!$1:$1,0),FALSE()),"")</f>
        <v/>
      </c>
    </row>
    <row r="44" customFormat="false" ht="15" hidden="false" customHeight="true" outlineLevel="0" collapsed="false">
      <c r="B44" s="1" t="str">
        <f aca="false">IFERROR(VLOOKUP(A44,'company tracker'!$a:$s,MATCH("Category",'company tracker'!$1:$1,0),FALSE()),"")</f>
        <v/>
      </c>
      <c r="C44" s="1" t="str">
        <f aca="false">IFERROR(VLOOKUP(A44,'Pass 1 Archive'!$A:$AD,MATCH("LinkedIn Employee Count",'Pass 1 Archive'!$1:$1,0),FALSE()),"")</f>
        <v/>
      </c>
      <c r="D44" s="1" t="str">
        <f aca="false">IFERROR(VLOOKUP(A44,'company tracker'!$a:$s,MATCH("Jan 2025 Traffic",'company tracker'!$1:$1,0),FALSE()),"")</f>
        <v/>
      </c>
      <c r="E44" s="1" t="str">
        <f aca="false">IFERROR(VLOOKUP(A44,'company tracker'!$a:$s,MATCH("Jun 2026 Traffic",'company tracker'!$1:$1,0),FALSE()),"")</f>
        <v/>
      </c>
      <c r="F44" s="1" t="str">
        <f aca="false">IFERROR(VLOOKUP(A44,'company tracker'!$a:$s,MATCH("Traffic % Change",'company tracker'!$1:$1,0),FALSE()),"")</f>
        <v/>
      </c>
      <c r="G44" s="1" t="str">
        <f aca="false">IFERROR(VLOOKUP(A44,'company tracker'!$a:$s,MATCH("Jan 2025 Referring Domains",'company tracker'!$1:$1,0),FALSE()),"")</f>
        <v/>
      </c>
      <c r="H44" s="1" t="str">
        <f aca="false">IFERROR(VLOOKUP(A44,'company tracker'!$a:$s,MATCH("Jun 2026 Referring Domains",'company tracker'!$1:$1,0),FALSE()),"")</f>
        <v/>
      </c>
    </row>
    <row r="45" customFormat="false" ht="15" hidden="false" customHeight="true" outlineLevel="0" collapsed="false">
      <c r="B45" s="1" t="str">
        <f aca="false">IFERROR(VLOOKUP(A45,'company tracker'!$a:$s,MATCH("Category",'company tracker'!$1:$1,0),FALSE()),"")</f>
        <v/>
      </c>
      <c r="C45" s="1" t="str">
        <f aca="false">IFERROR(VLOOKUP(A45,'Pass 1 Archive'!$A:$AD,MATCH("LinkedIn Employee Count",'Pass 1 Archive'!$1:$1,0),FALSE()),"")</f>
        <v/>
      </c>
      <c r="D45" s="1" t="str">
        <f aca="false">IFERROR(VLOOKUP(A45,'company tracker'!$a:$s,MATCH("Jan 2025 Traffic",'company tracker'!$1:$1,0),FALSE()),"")</f>
        <v/>
      </c>
      <c r="E45" s="1" t="str">
        <f aca="false">IFERROR(VLOOKUP(A45,'company tracker'!$a:$s,MATCH("Jun 2026 Traffic",'company tracker'!$1:$1,0),FALSE()),"")</f>
        <v/>
      </c>
      <c r="F45" s="1" t="str">
        <f aca="false">IFERROR(VLOOKUP(A45,'company tracker'!$a:$s,MATCH("Traffic % Change",'company tracker'!$1:$1,0),FALSE()),"")</f>
        <v/>
      </c>
      <c r="G45" s="1" t="str">
        <f aca="false">IFERROR(VLOOKUP(A45,'company tracker'!$a:$s,MATCH("Jan 2025 Referring Domains",'company tracker'!$1:$1,0),FALSE()),"")</f>
        <v/>
      </c>
      <c r="H45" s="1" t="str">
        <f aca="false">IFERROR(VLOOKUP(A45,'company tracker'!$a:$s,MATCH("Jun 2026 Referring Domains",'company tracker'!$1:$1,0),FALSE()),"")</f>
        <v/>
      </c>
    </row>
    <row r="46" customFormat="false" ht="15" hidden="false" customHeight="true" outlineLevel="0" collapsed="false">
      <c r="B46" s="1" t="str">
        <f aca="false">IFERROR(VLOOKUP(A46,'company tracker'!$a:$s,MATCH("Category",'company tracker'!$1:$1,0),FALSE()),"")</f>
        <v/>
      </c>
      <c r="C46" s="1" t="str">
        <f aca="false">IFERROR(VLOOKUP(A46,'Pass 1 Archive'!$A:$AD,MATCH("LinkedIn Employee Count",'Pass 1 Archive'!$1:$1,0),FALSE()),"")</f>
        <v/>
      </c>
      <c r="D46" s="1" t="str">
        <f aca="false">IFERROR(VLOOKUP(A46,'company tracker'!$a:$s,MATCH("Jan 2025 Traffic",'company tracker'!$1:$1,0),FALSE()),"")</f>
        <v/>
      </c>
      <c r="E46" s="1" t="str">
        <f aca="false">IFERROR(VLOOKUP(A46,'company tracker'!$a:$s,MATCH("Jun 2026 Traffic",'company tracker'!$1:$1,0),FALSE()),"")</f>
        <v/>
      </c>
      <c r="F46" s="1" t="str">
        <f aca="false">IFERROR(VLOOKUP(A46,'company tracker'!$a:$s,MATCH("Traffic % Change",'company tracker'!$1:$1,0),FALSE()),"")</f>
        <v/>
      </c>
      <c r="G46" s="1" t="str">
        <f aca="false">IFERROR(VLOOKUP(A46,'company tracker'!$a:$s,MATCH("Jan 2025 Referring Domains",'company tracker'!$1:$1,0),FALSE()),"")</f>
        <v/>
      </c>
      <c r="H46" s="1" t="str">
        <f aca="false">IFERROR(VLOOKUP(A46,'company tracker'!$a:$s,MATCH("Jun 2026 Referring Domains",'company tracker'!$1:$1,0),FALSE()),"")</f>
        <v/>
      </c>
    </row>
    <row r="47" customFormat="false" ht="15" hidden="false" customHeight="true" outlineLevel="0" collapsed="false">
      <c r="B47" s="1" t="str">
        <f aca="false">IFERROR(VLOOKUP(A47,'company tracker'!$a:$s,MATCH("Category",'company tracker'!$1:$1,0),FALSE()),"")</f>
        <v/>
      </c>
      <c r="C47" s="1" t="str">
        <f aca="false">IFERROR(VLOOKUP(A47,'Pass 1 Archive'!$A:$AD,MATCH("LinkedIn Employee Count",'Pass 1 Archive'!$1:$1,0),FALSE()),"")</f>
        <v/>
      </c>
      <c r="D47" s="1" t="str">
        <f aca="false">IFERROR(VLOOKUP(A47,'company tracker'!$a:$s,MATCH("Jan 2025 Traffic",'company tracker'!$1:$1,0),FALSE()),"")</f>
        <v/>
      </c>
      <c r="E47" s="1" t="str">
        <f aca="false">IFERROR(VLOOKUP(A47,'company tracker'!$a:$s,MATCH("Jun 2026 Traffic",'company tracker'!$1:$1,0),FALSE()),"")</f>
        <v/>
      </c>
      <c r="F47" s="1" t="str">
        <f aca="false">IFERROR(VLOOKUP(A47,'company tracker'!$a:$s,MATCH("Traffic % Change",'company tracker'!$1:$1,0),FALSE()),"")</f>
        <v/>
      </c>
      <c r="G47" s="1" t="str">
        <f aca="false">IFERROR(VLOOKUP(A47,'company tracker'!$a:$s,MATCH("Jan 2025 Referring Domains",'company tracker'!$1:$1,0),FALSE()),"")</f>
        <v/>
      </c>
      <c r="H47" s="1" t="str">
        <f aca="false">IFERROR(VLOOKUP(A47,'company tracker'!$a:$s,MATCH("Jun 2026 Referring Domains",'company tracker'!$1:$1,0),FALSE()),"")</f>
        <v/>
      </c>
    </row>
    <row r="48" customFormat="false" ht="15" hidden="false" customHeight="true" outlineLevel="0" collapsed="false">
      <c r="B48" s="1" t="str">
        <f aca="false">IFERROR(VLOOKUP(A48,'company tracker'!$a:$s,MATCH("Category",'company tracker'!$1:$1,0),FALSE()),"")</f>
        <v/>
      </c>
      <c r="C48" s="1" t="str">
        <f aca="false">IFERROR(VLOOKUP(A48,'Pass 1 Archive'!$A:$AD,MATCH("LinkedIn Employee Count",'Pass 1 Archive'!$1:$1,0),FALSE()),"")</f>
        <v/>
      </c>
      <c r="D48" s="1" t="str">
        <f aca="false">IFERROR(VLOOKUP(A48,'company tracker'!$a:$s,MATCH("Jan 2025 Traffic",'company tracker'!$1:$1,0),FALSE()),"")</f>
        <v/>
      </c>
      <c r="E48" s="1" t="str">
        <f aca="false">IFERROR(VLOOKUP(A48,'company tracker'!$a:$s,MATCH("Jun 2026 Traffic",'company tracker'!$1:$1,0),FALSE()),"")</f>
        <v/>
      </c>
      <c r="F48" s="1" t="str">
        <f aca="false">IFERROR(VLOOKUP(A48,'company tracker'!$a:$s,MATCH("Traffic % Change",'company tracker'!$1:$1,0),FALSE()),"")</f>
        <v/>
      </c>
      <c r="G48" s="1" t="str">
        <f aca="false">IFERROR(VLOOKUP(A48,'company tracker'!$a:$s,MATCH("Jan 2025 Referring Domains",'company tracker'!$1:$1,0),FALSE()),"")</f>
        <v/>
      </c>
      <c r="H48" s="1" t="str">
        <f aca="false">IFERROR(VLOOKUP(A48,'company tracker'!$a:$s,MATCH("Jun 2026 Referring Domains",'company tracker'!$1:$1,0),FALSE()),"")</f>
        <v/>
      </c>
    </row>
    <row r="49" customFormat="false" ht="15" hidden="false" customHeight="true" outlineLevel="0" collapsed="false">
      <c r="B49" s="1" t="str">
        <f aca="false">IFERROR(VLOOKUP(A49,'company tracker'!$a:$s,MATCH("Category",'company tracker'!$1:$1,0),FALSE()),"")</f>
        <v/>
      </c>
      <c r="C49" s="1" t="str">
        <f aca="false">IFERROR(VLOOKUP(A49,'Pass 1 Archive'!$A:$AD,MATCH("LinkedIn Employee Count",'Pass 1 Archive'!$1:$1,0),FALSE()),"")</f>
        <v/>
      </c>
      <c r="D49" s="1" t="str">
        <f aca="false">IFERROR(VLOOKUP(A49,'company tracker'!$a:$s,MATCH("Jan 2025 Traffic",'company tracker'!$1:$1,0),FALSE()),"")</f>
        <v/>
      </c>
      <c r="E49" s="1" t="str">
        <f aca="false">IFERROR(VLOOKUP(A49,'company tracker'!$a:$s,MATCH("Jun 2026 Traffic",'company tracker'!$1:$1,0),FALSE()),"")</f>
        <v/>
      </c>
      <c r="F49" s="1" t="str">
        <f aca="false">IFERROR(VLOOKUP(A49,'company tracker'!$a:$s,MATCH("Traffic % Change",'company tracker'!$1:$1,0),FALSE()),"")</f>
        <v/>
      </c>
      <c r="G49" s="1" t="str">
        <f aca="false">IFERROR(VLOOKUP(A49,'company tracker'!$a:$s,MATCH("Jan 2025 Referring Domains",'company tracker'!$1:$1,0),FALSE()),"")</f>
        <v/>
      </c>
      <c r="H49" s="1" t="str">
        <f aca="false">IFERROR(VLOOKUP(A49,'company tracker'!$a:$s,MATCH("Jun 2026 Referring Domains",'company tracker'!$1:$1,0),FALSE()),"")</f>
        <v/>
      </c>
    </row>
    <row r="50" customFormat="false" ht="15" hidden="false" customHeight="true" outlineLevel="0" collapsed="false">
      <c r="B50" s="1" t="str">
        <f aca="false">IFERROR(VLOOKUP(A50,'company tracker'!$a:$s,MATCH("Category",'company tracker'!$1:$1,0),FALSE()),"")</f>
        <v/>
      </c>
      <c r="C50" s="1" t="str">
        <f aca="false">IFERROR(VLOOKUP(A50,'Pass 1 Archive'!$A:$AD,MATCH("LinkedIn Employee Count",'Pass 1 Archive'!$1:$1,0),FALSE()),"")</f>
        <v/>
      </c>
      <c r="D50" s="1" t="str">
        <f aca="false">IFERROR(VLOOKUP(A50,'company tracker'!$a:$s,MATCH("Jan 2025 Traffic",'company tracker'!$1:$1,0),FALSE()),"")</f>
        <v/>
      </c>
      <c r="E50" s="1" t="str">
        <f aca="false">IFERROR(VLOOKUP(A50,'company tracker'!$a:$s,MATCH("Jun 2026 Traffic",'company tracker'!$1:$1,0),FALSE()),"")</f>
        <v/>
      </c>
      <c r="F50" s="1" t="str">
        <f aca="false">IFERROR(VLOOKUP(A50,'company tracker'!$a:$s,MATCH("Traffic % Change",'company tracker'!$1:$1,0),FALSE()),"")</f>
        <v/>
      </c>
      <c r="G50" s="1" t="str">
        <f aca="false">IFERROR(VLOOKUP(A50,'company tracker'!$a:$s,MATCH("Jan 2025 Referring Domains",'company tracker'!$1:$1,0),FALSE()),"")</f>
        <v/>
      </c>
      <c r="H50" s="1" t="str">
        <f aca="false">IFERROR(VLOOKUP(A50,'company tracker'!$a:$s,MATCH("Jun 2026 Referring Domains",'company tracker'!$1:$1,0),FALSE()),"")</f>
        <v/>
      </c>
    </row>
    <row r="51" customFormat="false" ht="15" hidden="false" customHeight="true" outlineLevel="0" collapsed="false">
      <c r="B51" s="1" t="str">
        <f aca="false">IFERROR(VLOOKUP(A51,'company tracker'!$a:$s,MATCH("Category",'company tracker'!$1:$1,0),FALSE()),"")</f>
        <v/>
      </c>
      <c r="C51" s="1" t="str">
        <f aca="false">IFERROR(VLOOKUP(A51,'Pass 1 Archive'!$A:$AD,MATCH("LinkedIn Employee Count",'Pass 1 Archive'!$1:$1,0),FALSE()),"")</f>
        <v/>
      </c>
      <c r="D51" s="1" t="str">
        <f aca="false">IFERROR(VLOOKUP(A51,'company tracker'!$a:$s,MATCH("Jan 2025 Traffic",'company tracker'!$1:$1,0),FALSE()),"")</f>
        <v/>
      </c>
      <c r="E51" s="1" t="str">
        <f aca="false">IFERROR(VLOOKUP(A51,'company tracker'!$a:$s,MATCH("Jun 2026 Traffic",'company tracker'!$1:$1,0),FALSE()),"")</f>
        <v/>
      </c>
      <c r="F51" s="1" t="str">
        <f aca="false">IFERROR(VLOOKUP(A51,'company tracker'!$a:$s,MATCH("Traffic % Change",'company tracker'!$1:$1,0),FALSE()),"")</f>
        <v/>
      </c>
      <c r="G51" s="1" t="str">
        <f aca="false">IFERROR(VLOOKUP(A51,'company tracker'!$a:$s,MATCH("Jan 2025 Referring Domains",'company tracker'!$1:$1,0),FALSE()),"")</f>
        <v/>
      </c>
      <c r="H51" s="1" t="str">
        <f aca="false">IFERROR(VLOOKUP(A51,'company tracker'!$a:$s,MATCH("Jun 2026 Referring Domains",'company tracker'!$1:$1,0),FALSE()),"")</f>
        <v/>
      </c>
    </row>
    <row r="52" customFormat="false" ht="15" hidden="false" customHeight="true" outlineLevel="0" collapsed="false">
      <c r="B52" s="1" t="str">
        <f aca="false">IFERROR(VLOOKUP(A52,'company tracker'!$a:$s,MATCH("Category",'company tracker'!$1:$1,0),FALSE()),"")</f>
        <v/>
      </c>
      <c r="C52" s="1" t="str">
        <f aca="false">IFERROR(VLOOKUP(A52,'Pass 1 Archive'!$A:$AD,MATCH("LinkedIn Employee Count",'Pass 1 Archive'!$1:$1,0),FALSE()),"")</f>
        <v/>
      </c>
      <c r="D52" s="1" t="str">
        <f aca="false">IFERROR(VLOOKUP(A52,'company tracker'!$a:$s,MATCH("Jan 2025 Traffic",'company tracker'!$1:$1,0),FALSE()),"")</f>
        <v/>
      </c>
      <c r="E52" s="1" t="str">
        <f aca="false">IFERROR(VLOOKUP(A52,'company tracker'!$a:$s,MATCH("Jun 2026 Traffic",'company tracker'!$1:$1,0),FALSE()),"")</f>
        <v/>
      </c>
      <c r="F52" s="1" t="str">
        <f aca="false">IFERROR(VLOOKUP(A52,'company tracker'!$a:$s,MATCH("Traffic % Change",'company tracker'!$1:$1,0),FALSE()),"")</f>
        <v/>
      </c>
      <c r="G52" s="1" t="str">
        <f aca="false">IFERROR(VLOOKUP(A52,'company tracker'!$a:$s,MATCH("Jan 2025 Referring Domains",'company tracker'!$1:$1,0),FALSE()),"")</f>
        <v/>
      </c>
      <c r="H52" s="1" t="str">
        <f aca="false">IFERROR(VLOOKUP(A52,'company tracker'!$a:$s,MATCH("Jun 2026 Referring Domains",'company tracker'!$1:$1,0),FALSE()),"")</f>
        <v/>
      </c>
    </row>
    <row r="53" customFormat="false" ht="15" hidden="false" customHeight="true" outlineLevel="0" collapsed="false">
      <c r="B53" s="1" t="str">
        <f aca="false">IFERROR(VLOOKUP(A53,'company tracker'!$a:$s,MATCH("Category",'company tracker'!$1:$1,0),FALSE()),"")</f>
        <v/>
      </c>
      <c r="C53" s="1" t="str">
        <f aca="false">IFERROR(VLOOKUP(A53,'Pass 1 Archive'!$A:$AD,MATCH("LinkedIn Employee Count",'Pass 1 Archive'!$1:$1,0),FALSE()),"")</f>
        <v/>
      </c>
      <c r="D53" s="1" t="str">
        <f aca="false">IFERROR(VLOOKUP(A53,'company tracker'!$a:$s,MATCH("Jan 2025 Traffic",'company tracker'!$1:$1,0),FALSE()),"")</f>
        <v/>
      </c>
      <c r="E53" s="1" t="str">
        <f aca="false">IFERROR(VLOOKUP(A53,'company tracker'!$a:$s,MATCH("Jun 2026 Traffic",'company tracker'!$1:$1,0),FALSE()),"")</f>
        <v/>
      </c>
      <c r="F53" s="1" t="str">
        <f aca="false">IFERROR(VLOOKUP(A53,'company tracker'!$a:$s,MATCH("Traffic % Change",'company tracker'!$1:$1,0),FALSE()),"")</f>
        <v/>
      </c>
      <c r="G53" s="1" t="str">
        <f aca="false">IFERROR(VLOOKUP(A53,'company tracker'!$a:$s,MATCH("Jan 2025 Referring Domains",'company tracker'!$1:$1,0),FALSE()),"")</f>
        <v/>
      </c>
      <c r="H53" s="1" t="str">
        <f aca="false">IFERROR(VLOOKUP(A53,'company tracker'!$a:$s,MATCH("Jun 2026 Referring Domains",'company tracker'!$1:$1,0),FALSE()),"")</f>
        <v/>
      </c>
    </row>
    <row r="54" customFormat="false" ht="15" hidden="false" customHeight="true" outlineLevel="0" collapsed="false">
      <c r="B54" s="1" t="str">
        <f aca="false">IFERROR(VLOOKUP(A54,'company tracker'!$a:$s,MATCH("Category",'company tracker'!$1:$1,0),FALSE()),"")</f>
        <v/>
      </c>
      <c r="C54" s="1" t="str">
        <f aca="false">IFERROR(VLOOKUP(A54,'Pass 1 Archive'!$A:$AD,MATCH("LinkedIn Employee Count",'Pass 1 Archive'!$1:$1,0),FALSE()),"")</f>
        <v/>
      </c>
      <c r="D54" s="1" t="str">
        <f aca="false">IFERROR(VLOOKUP(A54,'company tracker'!$a:$s,MATCH("Jan 2025 Traffic",'company tracker'!$1:$1,0),FALSE()),"")</f>
        <v/>
      </c>
      <c r="E54" s="1" t="str">
        <f aca="false">IFERROR(VLOOKUP(A54,'company tracker'!$a:$s,MATCH("Jun 2026 Traffic",'company tracker'!$1:$1,0),FALSE()),"")</f>
        <v/>
      </c>
      <c r="F54" s="1" t="str">
        <f aca="false">IFERROR(VLOOKUP(A54,'company tracker'!$a:$s,MATCH("Traffic % Change",'company tracker'!$1:$1,0),FALSE()),"")</f>
        <v/>
      </c>
      <c r="G54" s="1" t="str">
        <f aca="false">IFERROR(VLOOKUP(A54,'company tracker'!$a:$s,MATCH("Jan 2025 Referring Domains",'company tracker'!$1:$1,0),FALSE()),"")</f>
        <v/>
      </c>
      <c r="H54" s="1" t="str">
        <f aca="false">IFERROR(VLOOKUP(A54,'company tracker'!$a:$s,MATCH("Jun 2026 Referring Domains",'company tracker'!$1:$1,0),FALSE()),"")</f>
        <v/>
      </c>
    </row>
    <row r="55" customFormat="false" ht="15" hidden="false" customHeight="true" outlineLevel="0" collapsed="false">
      <c r="B55" s="1" t="str">
        <f aca="false">IFERROR(VLOOKUP(A55,'company tracker'!$a:$s,MATCH("Category",'company tracker'!$1:$1,0),FALSE()),"")</f>
        <v/>
      </c>
      <c r="C55" s="1" t="str">
        <f aca="false">IFERROR(VLOOKUP(A55,'Pass 1 Archive'!$A:$AD,MATCH("LinkedIn Employee Count",'Pass 1 Archive'!$1:$1,0),FALSE()),"")</f>
        <v/>
      </c>
      <c r="D55" s="1" t="str">
        <f aca="false">IFERROR(VLOOKUP(A55,'company tracker'!$a:$s,MATCH("Jan 2025 Traffic",'company tracker'!$1:$1,0),FALSE()),"")</f>
        <v/>
      </c>
      <c r="E55" s="1" t="str">
        <f aca="false">IFERROR(VLOOKUP(A55,'company tracker'!$a:$s,MATCH("Jun 2026 Traffic",'company tracker'!$1:$1,0),FALSE()),"")</f>
        <v/>
      </c>
      <c r="F55" s="1" t="str">
        <f aca="false">IFERROR(VLOOKUP(A55,'company tracker'!$a:$s,MATCH("Traffic % Change",'company tracker'!$1:$1,0),FALSE()),"")</f>
        <v/>
      </c>
      <c r="G55" s="1" t="str">
        <f aca="false">IFERROR(VLOOKUP(A55,'company tracker'!$a:$s,MATCH("Jan 2025 Referring Domains",'company tracker'!$1:$1,0),FALSE()),"")</f>
        <v/>
      </c>
      <c r="H55" s="1" t="str">
        <f aca="false">IFERROR(VLOOKUP(A55,'company tracker'!$a:$s,MATCH("Jun 2026 Referring Domains",'company tracker'!$1:$1,0),FALSE()),"")</f>
        <v/>
      </c>
    </row>
    <row r="56" customFormat="false" ht="15" hidden="false" customHeight="true" outlineLevel="0" collapsed="false">
      <c r="B56" s="1" t="str">
        <f aca="false">IFERROR(VLOOKUP(A56,'company tracker'!$a:$s,MATCH("Category",'company tracker'!$1:$1,0),FALSE()),"")</f>
        <v/>
      </c>
      <c r="C56" s="1" t="str">
        <f aca="false">IFERROR(VLOOKUP(A56,'Pass 1 Archive'!$A:$AD,MATCH("LinkedIn Employee Count",'Pass 1 Archive'!$1:$1,0),FALSE()),"")</f>
        <v/>
      </c>
      <c r="D56" s="1" t="str">
        <f aca="false">IFERROR(VLOOKUP(A56,'company tracker'!$a:$s,MATCH("Jan 2025 Traffic",'company tracker'!$1:$1,0),FALSE()),"")</f>
        <v/>
      </c>
      <c r="E56" s="1" t="str">
        <f aca="false">IFERROR(VLOOKUP(A56,'company tracker'!$a:$s,MATCH("Jun 2026 Traffic",'company tracker'!$1:$1,0),FALSE()),"")</f>
        <v/>
      </c>
      <c r="F56" s="1" t="str">
        <f aca="false">IFERROR(VLOOKUP(A56,'company tracker'!$a:$s,MATCH("Traffic % Change",'company tracker'!$1:$1,0),FALSE()),"")</f>
        <v/>
      </c>
      <c r="G56" s="1" t="str">
        <f aca="false">IFERROR(VLOOKUP(A56,'company tracker'!$a:$s,MATCH("Jan 2025 Referring Domains",'company tracker'!$1:$1,0),FALSE()),"")</f>
        <v/>
      </c>
      <c r="H56" s="1" t="str">
        <f aca="false">IFERROR(VLOOKUP(A56,'company tracker'!$a:$s,MATCH("Jun 2026 Referring Domains",'company tracker'!$1:$1,0),FALSE()),"")</f>
        <v/>
      </c>
    </row>
    <row r="57" customFormat="false" ht="15" hidden="false" customHeight="true" outlineLevel="0" collapsed="false">
      <c r="B57" s="1" t="str">
        <f aca="false">IFERROR(VLOOKUP(A57,'company tracker'!$a:$s,MATCH("Category",'company tracker'!$1:$1,0),FALSE()),"")</f>
        <v/>
      </c>
      <c r="C57" s="1" t="str">
        <f aca="false">IFERROR(VLOOKUP(A57,'Pass 1 Archive'!$A:$AD,MATCH("LinkedIn Employee Count",'Pass 1 Archive'!$1:$1,0),FALSE()),"")</f>
        <v/>
      </c>
      <c r="D57" s="1" t="str">
        <f aca="false">IFERROR(VLOOKUP(A57,'company tracker'!$a:$s,MATCH("Jan 2025 Traffic",'company tracker'!$1:$1,0),FALSE()),"")</f>
        <v/>
      </c>
      <c r="E57" s="1" t="str">
        <f aca="false">IFERROR(VLOOKUP(A57,'company tracker'!$a:$s,MATCH("Jun 2026 Traffic",'company tracker'!$1:$1,0),FALSE()),"")</f>
        <v/>
      </c>
      <c r="F57" s="1" t="str">
        <f aca="false">IFERROR(VLOOKUP(A57,'company tracker'!$a:$s,MATCH("Traffic % Change",'company tracker'!$1:$1,0),FALSE()),"")</f>
        <v/>
      </c>
      <c r="G57" s="1" t="str">
        <f aca="false">IFERROR(VLOOKUP(A57,'company tracker'!$a:$s,MATCH("Jan 2025 Referring Domains",'company tracker'!$1:$1,0),FALSE()),"")</f>
        <v/>
      </c>
      <c r="H57" s="1" t="str">
        <f aca="false">IFERROR(VLOOKUP(A57,'company tracker'!$a:$s,MATCH("Jun 2026 Referring Domains",'company tracker'!$1:$1,0),FALSE()),"")</f>
        <v/>
      </c>
    </row>
    <row r="58" customFormat="false" ht="15" hidden="false" customHeight="true" outlineLevel="0" collapsed="false">
      <c r="B58" s="1" t="str">
        <f aca="false">IFERROR(VLOOKUP(A58,'company tracker'!$a:$s,MATCH("Category",'company tracker'!$1:$1,0),FALSE()),"")</f>
        <v/>
      </c>
      <c r="C58" s="1" t="str">
        <f aca="false">IFERROR(VLOOKUP(A58,'Pass 1 Archive'!$A:$AD,MATCH("LinkedIn Employee Count",'Pass 1 Archive'!$1:$1,0),FALSE()),"")</f>
        <v/>
      </c>
      <c r="D58" s="1" t="str">
        <f aca="false">IFERROR(VLOOKUP(A58,'company tracker'!$a:$s,MATCH("Jan 2025 Traffic",'company tracker'!$1:$1,0),FALSE()),"")</f>
        <v/>
      </c>
      <c r="E58" s="1" t="str">
        <f aca="false">IFERROR(VLOOKUP(A58,'company tracker'!$a:$s,MATCH("Jun 2026 Traffic",'company tracker'!$1:$1,0),FALSE()),"")</f>
        <v/>
      </c>
      <c r="F58" s="1" t="str">
        <f aca="false">IFERROR(VLOOKUP(A58,'company tracker'!$a:$s,MATCH("Traffic % Change",'company tracker'!$1:$1,0),FALSE()),"")</f>
        <v/>
      </c>
      <c r="G58" s="1" t="str">
        <f aca="false">IFERROR(VLOOKUP(A58,'company tracker'!$a:$s,MATCH("Jan 2025 Referring Domains",'company tracker'!$1:$1,0),FALSE()),"")</f>
        <v/>
      </c>
      <c r="H58" s="1" t="str">
        <f aca="false">IFERROR(VLOOKUP(A58,'company tracker'!$a:$s,MATCH("Jun 2026 Referring Domains",'company tracker'!$1:$1,0),FALSE()),"")</f>
        <v/>
      </c>
    </row>
    <row r="59" customFormat="false" ht="15" hidden="false" customHeight="true" outlineLevel="0" collapsed="false">
      <c r="B59" s="1" t="str">
        <f aca="false">IFERROR(VLOOKUP(A59,'company tracker'!$a:$s,MATCH("Category",'company tracker'!$1:$1,0),FALSE()),"")</f>
        <v/>
      </c>
      <c r="C59" s="1" t="str">
        <f aca="false">IFERROR(VLOOKUP(A59,'Pass 1 Archive'!$A:$AD,MATCH("LinkedIn Employee Count",'Pass 1 Archive'!$1:$1,0),FALSE()),"")</f>
        <v/>
      </c>
      <c r="D59" s="1" t="str">
        <f aca="false">IFERROR(VLOOKUP(A59,'company tracker'!$a:$s,MATCH("Jan 2025 Traffic",'company tracker'!$1:$1,0),FALSE()),"")</f>
        <v/>
      </c>
      <c r="E59" s="1" t="str">
        <f aca="false">IFERROR(VLOOKUP(A59,'company tracker'!$a:$s,MATCH("Jun 2026 Traffic",'company tracker'!$1:$1,0),FALSE()),"")</f>
        <v/>
      </c>
      <c r="F59" s="1" t="str">
        <f aca="false">IFERROR(VLOOKUP(A59,'company tracker'!$a:$s,MATCH("Traffic % Change",'company tracker'!$1:$1,0),FALSE()),"")</f>
        <v/>
      </c>
      <c r="G59" s="1" t="str">
        <f aca="false">IFERROR(VLOOKUP(A59,'company tracker'!$a:$s,MATCH("Jan 2025 Referring Domains",'company tracker'!$1:$1,0),FALSE()),"")</f>
        <v/>
      </c>
      <c r="H59" s="1" t="str">
        <f aca="false">IFERROR(VLOOKUP(A59,'company tracker'!$a:$s,MATCH("Jun 2026 Referring Domains",'company tracker'!$1:$1,0),FALSE()),"")</f>
        <v/>
      </c>
    </row>
    <row r="60" customFormat="false" ht="15" hidden="false" customHeight="true" outlineLevel="0" collapsed="false">
      <c r="B60" s="1" t="str">
        <f aca="false">IFERROR(VLOOKUP(A60,'company tracker'!$a:$s,MATCH("Category",'company tracker'!$1:$1,0),FALSE()),"")</f>
        <v/>
      </c>
      <c r="C60" s="1" t="str">
        <f aca="false">IFERROR(VLOOKUP(A60,'Pass 1 Archive'!$A:$AD,MATCH("LinkedIn Employee Count",'Pass 1 Archive'!$1:$1,0),FALSE()),"")</f>
        <v/>
      </c>
      <c r="D60" s="1" t="str">
        <f aca="false">IFERROR(VLOOKUP(A60,'company tracker'!$a:$s,MATCH("Jan 2025 Traffic",'company tracker'!$1:$1,0),FALSE()),"")</f>
        <v/>
      </c>
      <c r="E60" s="1" t="str">
        <f aca="false">IFERROR(VLOOKUP(A60,'company tracker'!$a:$s,MATCH("Jun 2026 Traffic",'company tracker'!$1:$1,0),FALSE()),"")</f>
        <v/>
      </c>
      <c r="F60" s="1" t="str">
        <f aca="false">IFERROR(VLOOKUP(A60,'company tracker'!$a:$s,MATCH("Traffic % Change",'company tracker'!$1:$1,0),FALSE()),"")</f>
        <v/>
      </c>
      <c r="G60" s="1" t="str">
        <f aca="false">IFERROR(VLOOKUP(A60,'company tracker'!$a:$s,MATCH("Jan 2025 Referring Domains",'company tracker'!$1:$1,0),FALSE()),"")</f>
        <v/>
      </c>
      <c r="H60" s="1" t="str">
        <f aca="false">IFERROR(VLOOKUP(A60,'company tracker'!$a:$s,MATCH("Jun 2026 Referring Domains",'company tracker'!$1:$1,0),FALSE()),"")</f>
        <v/>
      </c>
    </row>
    <row r="61" customFormat="false" ht="15" hidden="false" customHeight="true" outlineLevel="0" collapsed="false">
      <c r="B61" s="1" t="str">
        <f aca="false">IFERROR(VLOOKUP(A61,'company tracker'!$a:$s,MATCH("Category",'company tracker'!$1:$1,0),FALSE()),"")</f>
        <v/>
      </c>
      <c r="C61" s="1" t="str">
        <f aca="false">IFERROR(VLOOKUP(A61,'Pass 1 Archive'!$A:$AD,MATCH("LinkedIn Employee Count",'Pass 1 Archive'!$1:$1,0),FALSE()),"")</f>
        <v/>
      </c>
      <c r="D61" s="1" t="str">
        <f aca="false">IFERROR(VLOOKUP(A61,'company tracker'!$a:$s,MATCH("Jan 2025 Traffic",'company tracker'!$1:$1,0),FALSE()),"")</f>
        <v/>
      </c>
      <c r="E61" s="1" t="str">
        <f aca="false">IFERROR(VLOOKUP(A61,'company tracker'!$a:$s,MATCH("Jun 2026 Traffic",'company tracker'!$1:$1,0),FALSE()),"")</f>
        <v/>
      </c>
      <c r="F61" s="1" t="str">
        <f aca="false">IFERROR(VLOOKUP(A61,'company tracker'!$a:$s,MATCH("Traffic % Change",'company tracker'!$1:$1,0),FALSE()),"")</f>
        <v/>
      </c>
      <c r="G61" s="1" t="str">
        <f aca="false">IFERROR(VLOOKUP(A61,'company tracker'!$a:$s,MATCH("Jan 2025 Referring Domains",'company tracker'!$1:$1,0),FALSE()),"")</f>
        <v/>
      </c>
      <c r="H61" s="1" t="str">
        <f aca="false">IFERROR(VLOOKUP(A61,'company tracker'!$a:$s,MATCH("Jun 2026 Referring Domains",'company tracker'!$1:$1,0),FALSE()),"")</f>
        <v/>
      </c>
    </row>
    <row r="62" customFormat="false" ht="15" hidden="false" customHeight="true" outlineLevel="0" collapsed="false">
      <c r="B62" s="1" t="str">
        <f aca="false">IFERROR(VLOOKUP(A62,'company tracker'!$a:$s,MATCH("Category",'company tracker'!$1:$1,0),FALSE()),"")</f>
        <v/>
      </c>
      <c r="C62" s="1" t="str">
        <f aca="false">IFERROR(VLOOKUP(A62,'Pass 1 Archive'!$A:$AD,MATCH("LinkedIn Employee Count",'Pass 1 Archive'!$1:$1,0),FALSE()),"")</f>
        <v/>
      </c>
      <c r="D62" s="1" t="str">
        <f aca="false">IFERROR(VLOOKUP(A62,'company tracker'!$a:$s,MATCH("Jan 2025 Traffic",'company tracker'!$1:$1,0),FALSE()),"")</f>
        <v/>
      </c>
      <c r="E62" s="1" t="str">
        <f aca="false">IFERROR(VLOOKUP(A62,'company tracker'!$a:$s,MATCH("Jun 2026 Traffic",'company tracker'!$1:$1,0),FALSE()),"")</f>
        <v/>
      </c>
      <c r="F62" s="1" t="str">
        <f aca="false">IFERROR(VLOOKUP(A62,'company tracker'!$a:$s,MATCH("Traffic % Change",'company tracker'!$1:$1,0),FALSE()),"")</f>
        <v/>
      </c>
      <c r="G62" s="1" t="str">
        <f aca="false">IFERROR(VLOOKUP(A62,'company tracker'!$a:$s,MATCH("Jan 2025 Referring Domains",'company tracker'!$1:$1,0),FALSE()),"")</f>
        <v/>
      </c>
      <c r="H62" s="1" t="str">
        <f aca="false">IFERROR(VLOOKUP(A62,'company tracker'!$a:$s,MATCH("Jun 2026 Referring Domains",'company tracker'!$1:$1,0),FALSE()),"")</f>
        <v/>
      </c>
    </row>
    <row r="63" customFormat="false" ht="15" hidden="false" customHeight="true" outlineLevel="0" collapsed="false">
      <c r="B63" s="1" t="str">
        <f aca="false">IFERROR(VLOOKUP(A63,'company tracker'!$a:$s,MATCH("Category",'company tracker'!$1:$1,0),FALSE()),"")</f>
        <v/>
      </c>
      <c r="C63" s="1" t="str">
        <f aca="false">IFERROR(VLOOKUP(A63,'Pass 1 Archive'!$A:$AD,MATCH("LinkedIn Employee Count",'Pass 1 Archive'!$1:$1,0),FALSE()),"")</f>
        <v/>
      </c>
      <c r="D63" s="1" t="str">
        <f aca="false">IFERROR(VLOOKUP(A63,'company tracker'!$a:$s,MATCH("Jan 2025 Traffic",'company tracker'!$1:$1,0),FALSE()),"")</f>
        <v/>
      </c>
      <c r="E63" s="1" t="str">
        <f aca="false">IFERROR(VLOOKUP(A63,'company tracker'!$a:$s,MATCH("Jun 2026 Traffic",'company tracker'!$1:$1,0),FALSE()),"")</f>
        <v/>
      </c>
      <c r="F63" s="1" t="str">
        <f aca="false">IFERROR(VLOOKUP(A63,'company tracker'!$a:$s,MATCH("Traffic % Change",'company tracker'!$1:$1,0),FALSE()),"")</f>
        <v/>
      </c>
      <c r="G63" s="1" t="str">
        <f aca="false">IFERROR(VLOOKUP(A63,'company tracker'!$a:$s,MATCH("Jan 2025 Referring Domains",'company tracker'!$1:$1,0),FALSE()),"")</f>
        <v/>
      </c>
      <c r="H63" s="1" t="str">
        <f aca="false">IFERROR(VLOOKUP(A63,'company tracker'!$a:$s,MATCH("Jun 2026 Referring Domains",'company tracker'!$1:$1,0),FALSE()),"")</f>
        <v/>
      </c>
    </row>
    <row r="64" customFormat="false" ht="15" hidden="false" customHeight="true" outlineLevel="0" collapsed="false">
      <c r="B64" s="1" t="str">
        <f aca="false">IFERROR(VLOOKUP(A64,'company tracker'!$a:$s,MATCH("Category",'company tracker'!$1:$1,0),FALSE()),"")</f>
        <v/>
      </c>
      <c r="C64" s="1" t="str">
        <f aca="false">IFERROR(VLOOKUP(A64,'Pass 1 Archive'!$A:$AD,MATCH("LinkedIn Employee Count",'Pass 1 Archive'!$1:$1,0),FALSE()),"")</f>
        <v/>
      </c>
      <c r="D64" s="1" t="str">
        <f aca="false">IFERROR(VLOOKUP(A64,'company tracker'!$a:$s,MATCH("Jan 2025 Traffic",'company tracker'!$1:$1,0),FALSE()),"")</f>
        <v/>
      </c>
      <c r="E64" s="1" t="str">
        <f aca="false">IFERROR(VLOOKUP(A64,'company tracker'!$a:$s,MATCH("Jun 2026 Traffic",'company tracker'!$1:$1,0),FALSE()),"")</f>
        <v/>
      </c>
      <c r="F64" s="1" t="str">
        <f aca="false">IFERROR(VLOOKUP(A64,'company tracker'!$a:$s,MATCH("Traffic % Change",'company tracker'!$1:$1,0),FALSE()),"")</f>
        <v/>
      </c>
      <c r="G64" s="1" t="str">
        <f aca="false">IFERROR(VLOOKUP(A64,'company tracker'!$a:$s,MATCH("Jan 2025 Referring Domains",'company tracker'!$1:$1,0),FALSE()),"")</f>
        <v/>
      </c>
      <c r="H64" s="1" t="str">
        <f aca="false">IFERROR(VLOOKUP(A64,'company tracker'!$a:$s,MATCH("Jun 2026 Referring Domains",'company tracker'!$1:$1,0),FALSE()),"")</f>
        <v/>
      </c>
    </row>
    <row r="65" customFormat="false" ht="15" hidden="false" customHeight="true" outlineLevel="0" collapsed="false">
      <c r="B65" s="1" t="str">
        <f aca="false">IFERROR(VLOOKUP(A65,'company tracker'!$a:$s,MATCH("Category",'company tracker'!$1:$1,0),FALSE()),"")</f>
        <v/>
      </c>
      <c r="C65" s="1" t="str">
        <f aca="false">IFERROR(VLOOKUP(A65,'Pass 1 Archive'!$A:$AD,MATCH("LinkedIn Employee Count",'Pass 1 Archive'!$1:$1,0),FALSE()),"")</f>
        <v/>
      </c>
      <c r="D65" s="1" t="str">
        <f aca="false">IFERROR(VLOOKUP(A65,'company tracker'!$a:$s,MATCH("Jan 2025 Traffic",'company tracker'!$1:$1,0),FALSE()),"")</f>
        <v/>
      </c>
      <c r="E65" s="1" t="str">
        <f aca="false">IFERROR(VLOOKUP(A65,'company tracker'!$a:$s,MATCH("Jun 2026 Traffic",'company tracker'!$1:$1,0),FALSE()),"")</f>
        <v/>
      </c>
      <c r="F65" s="1" t="str">
        <f aca="false">IFERROR(VLOOKUP(A65,'company tracker'!$a:$s,MATCH("Traffic % Change",'company tracker'!$1:$1,0),FALSE()),"")</f>
        <v/>
      </c>
      <c r="G65" s="1" t="str">
        <f aca="false">IFERROR(VLOOKUP(A65,'company tracker'!$a:$s,MATCH("Jan 2025 Referring Domains",'company tracker'!$1:$1,0),FALSE()),"")</f>
        <v/>
      </c>
      <c r="H65" s="1" t="str">
        <f aca="false">IFERROR(VLOOKUP(A65,'company tracker'!$a:$s,MATCH("Jun 2026 Referring Domains",'company tracker'!$1:$1,0),FALSE()),"")</f>
        <v/>
      </c>
    </row>
    <row r="66" customFormat="false" ht="15" hidden="false" customHeight="true" outlineLevel="0" collapsed="false">
      <c r="B66" s="1" t="str">
        <f aca="false">IFERROR(VLOOKUP(A66,'company tracker'!$a:$s,MATCH("Category",'company tracker'!$1:$1,0),FALSE()),"")</f>
        <v/>
      </c>
      <c r="C66" s="1" t="str">
        <f aca="false">IFERROR(VLOOKUP(A66,'Pass 1 Archive'!$A:$AD,MATCH("LinkedIn Employee Count",'Pass 1 Archive'!$1:$1,0),FALSE()),"")</f>
        <v/>
      </c>
      <c r="D66" s="1" t="str">
        <f aca="false">IFERROR(VLOOKUP(A66,'company tracker'!$a:$s,MATCH("Jan 2025 Traffic",'company tracker'!$1:$1,0),FALSE()),"")</f>
        <v/>
      </c>
      <c r="E66" s="1" t="str">
        <f aca="false">IFERROR(VLOOKUP(A66,'company tracker'!$a:$s,MATCH("Jun 2026 Traffic",'company tracker'!$1:$1,0),FALSE()),"")</f>
        <v/>
      </c>
      <c r="F66" s="1" t="str">
        <f aca="false">IFERROR(VLOOKUP(A66,'company tracker'!$a:$s,MATCH("Traffic % Change",'company tracker'!$1:$1,0),FALSE()),"")</f>
        <v/>
      </c>
      <c r="G66" s="1" t="str">
        <f aca="false">IFERROR(VLOOKUP(A66,'company tracker'!$a:$s,MATCH("Jan 2025 Referring Domains",'company tracker'!$1:$1,0),FALSE()),"")</f>
        <v/>
      </c>
      <c r="H66" s="1" t="str">
        <f aca="false">IFERROR(VLOOKUP(A66,'company tracker'!$a:$s,MATCH("Jun 2026 Referring Domains",'company tracker'!$1:$1,0),FALSE()),"")</f>
        <v/>
      </c>
    </row>
    <row r="67" customFormat="false" ht="15" hidden="false" customHeight="true" outlineLevel="0" collapsed="false">
      <c r="B67" s="1" t="str">
        <f aca="false">IFERROR(VLOOKUP(A67,'company tracker'!$a:$s,MATCH("Category",'company tracker'!$1:$1,0),FALSE()),"")</f>
        <v/>
      </c>
      <c r="C67" s="1" t="str">
        <f aca="false">IFERROR(VLOOKUP(A67,'Pass 1 Archive'!$A:$AD,MATCH("LinkedIn Employee Count",'Pass 1 Archive'!$1:$1,0),FALSE()),"")</f>
        <v/>
      </c>
      <c r="D67" s="1" t="str">
        <f aca="false">IFERROR(VLOOKUP(A67,'company tracker'!$a:$s,MATCH("Jan 2025 Traffic",'company tracker'!$1:$1,0),FALSE()),"")</f>
        <v/>
      </c>
      <c r="E67" s="1" t="str">
        <f aca="false">IFERROR(VLOOKUP(A67,'company tracker'!$a:$s,MATCH("Jun 2026 Traffic",'company tracker'!$1:$1,0),FALSE()),"")</f>
        <v/>
      </c>
      <c r="F67" s="1" t="str">
        <f aca="false">IFERROR(VLOOKUP(A67,'company tracker'!$a:$s,MATCH("Traffic % Change",'company tracker'!$1:$1,0),FALSE()),"")</f>
        <v/>
      </c>
      <c r="G67" s="1" t="str">
        <f aca="false">IFERROR(VLOOKUP(A67,'company tracker'!$a:$s,MATCH("Jan 2025 Referring Domains",'company tracker'!$1:$1,0),FALSE()),"")</f>
        <v/>
      </c>
      <c r="H67" s="1" t="str">
        <f aca="false">IFERROR(VLOOKUP(A67,'company tracker'!$a:$s,MATCH("Jun 2026 Referring Domains",'company tracker'!$1:$1,0),FALSE()),"")</f>
        <v/>
      </c>
    </row>
    <row r="68" customFormat="false" ht="15" hidden="false" customHeight="true" outlineLevel="0" collapsed="false">
      <c r="B68" s="1" t="str">
        <f aca="false">IFERROR(VLOOKUP(A68,'company tracker'!$a:$s,MATCH("Category",'company tracker'!$1:$1,0),FALSE()),"")</f>
        <v/>
      </c>
      <c r="C68" s="1" t="str">
        <f aca="false">IFERROR(VLOOKUP(A68,'Pass 1 Archive'!$A:$AD,MATCH("LinkedIn Employee Count",'Pass 1 Archive'!$1:$1,0),FALSE()),"")</f>
        <v/>
      </c>
      <c r="D68" s="1" t="str">
        <f aca="false">IFERROR(VLOOKUP(A68,'company tracker'!$a:$s,MATCH("Jan 2025 Traffic",'company tracker'!$1:$1,0),FALSE()),"")</f>
        <v/>
      </c>
      <c r="E68" s="1" t="str">
        <f aca="false">IFERROR(VLOOKUP(A68,'company tracker'!$a:$s,MATCH("Jun 2026 Traffic",'company tracker'!$1:$1,0),FALSE()),"")</f>
        <v/>
      </c>
      <c r="F68" s="1" t="str">
        <f aca="false">IFERROR(VLOOKUP(A68,'company tracker'!$a:$s,MATCH("Traffic % Change",'company tracker'!$1:$1,0),FALSE()),"")</f>
        <v/>
      </c>
      <c r="G68" s="1" t="str">
        <f aca="false">IFERROR(VLOOKUP(A68,'company tracker'!$a:$s,MATCH("Jan 2025 Referring Domains",'company tracker'!$1:$1,0),FALSE()),"")</f>
        <v/>
      </c>
      <c r="H68" s="1" t="str">
        <f aca="false">IFERROR(VLOOKUP(A68,'company tracker'!$a:$s,MATCH("Jun 2026 Referring Domains",'company tracker'!$1:$1,0),FALSE()),"")</f>
        <v/>
      </c>
    </row>
    <row r="69" customFormat="false" ht="15" hidden="false" customHeight="true" outlineLevel="0" collapsed="false">
      <c r="B69" s="1" t="str">
        <f aca="false">IFERROR(VLOOKUP(A69,'company tracker'!$a:$s,MATCH("Category",'company tracker'!$1:$1,0),FALSE()),"")</f>
        <v/>
      </c>
      <c r="C69" s="1" t="str">
        <f aca="false">IFERROR(VLOOKUP(A69,'Pass 1 Archive'!$A:$AD,MATCH("LinkedIn Employee Count",'Pass 1 Archive'!$1:$1,0),FALSE()),"")</f>
        <v/>
      </c>
      <c r="D69" s="1" t="str">
        <f aca="false">IFERROR(VLOOKUP(A69,'company tracker'!$a:$s,MATCH("Jan 2025 Traffic",'company tracker'!$1:$1,0),FALSE()),"")</f>
        <v/>
      </c>
      <c r="E69" s="1" t="str">
        <f aca="false">IFERROR(VLOOKUP(A69,'company tracker'!$a:$s,MATCH("Jun 2026 Traffic",'company tracker'!$1:$1,0),FALSE()),"")</f>
        <v/>
      </c>
      <c r="F69" s="1" t="str">
        <f aca="false">IFERROR(VLOOKUP(A69,'company tracker'!$a:$s,MATCH("Traffic % Change",'company tracker'!$1:$1,0),FALSE()),"")</f>
        <v/>
      </c>
      <c r="G69" s="1" t="str">
        <f aca="false">IFERROR(VLOOKUP(A69,'company tracker'!$a:$s,MATCH("Jan 2025 Referring Domains",'company tracker'!$1:$1,0),FALSE()),"")</f>
        <v/>
      </c>
      <c r="H69" s="1" t="str">
        <f aca="false">IFERROR(VLOOKUP(A69,'company tracker'!$a:$s,MATCH("Jun 2026 Referring Domains",'company tracker'!$1:$1,0),FALSE()),"")</f>
        <v/>
      </c>
    </row>
    <row r="70" customFormat="false" ht="15" hidden="false" customHeight="true" outlineLevel="0" collapsed="false">
      <c r="B70" s="1" t="str">
        <f aca="false">IFERROR(VLOOKUP(A70,'company tracker'!$a:$s,MATCH("Category",'company tracker'!$1:$1,0),FALSE()),"")</f>
        <v/>
      </c>
      <c r="C70" s="1" t="str">
        <f aca="false">IFERROR(VLOOKUP(A70,'Pass 1 Archive'!$A:$AD,MATCH("LinkedIn Employee Count",'Pass 1 Archive'!$1:$1,0),FALSE()),"")</f>
        <v/>
      </c>
      <c r="D70" s="1" t="str">
        <f aca="false">IFERROR(VLOOKUP(A70,'company tracker'!$a:$s,MATCH("Jan 2025 Traffic",'company tracker'!$1:$1,0),FALSE()),"")</f>
        <v/>
      </c>
      <c r="E70" s="1" t="str">
        <f aca="false">IFERROR(VLOOKUP(A70,'company tracker'!$a:$s,MATCH("Jun 2026 Traffic",'company tracker'!$1:$1,0),FALSE()),"")</f>
        <v/>
      </c>
      <c r="F70" s="1" t="str">
        <f aca="false">IFERROR(VLOOKUP(A70,'company tracker'!$a:$s,MATCH("Traffic % Change",'company tracker'!$1:$1,0),FALSE()),"")</f>
        <v/>
      </c>
      <c r="G70" s="1" t="str">
        <f aca="false">IFERROR(VLOOKUP(A70,'company tracker'!$a:$s,MATCH("Jan 2025 Referring Domains",'company tracker'!$1:$1,0),FALSE()),"")</f>
        <v/>
      </c>
      <c r="H70" s="1" t="str">
        <f aca="false">IFERROR(VLOOKUP(A70,'company tracker'!$a:$s,MATCH("Jun 2026 Referring Domains",'company tracker'!$1:$1,0),FALSE()),"")</f>
        <v/>
      </c>
    </row>
    <row r="71" customFormat="false" ht="15" hidden="false" customHeight="true" outlineLevel="0" collapsed="false">
      <c r="B71" s="1" t="str">
        <f aca="false">IFERROR(VLOOKUP(A71,'company tracker'!$a:$s,MATCH("Category",'company tracker'!$1:$1,0),FALSE()),"")</f>
        <v/>
      </c>
      <c r="C71" s="1" t="str">
        <f aca="false">IFERROR(VLOOKUP(A71,'Pass 1 Archive'!$A:$AD,MATCH("LinkedIn Employee Count",'Pass 1 Archive'!$1:$1,0),FALSE()),"")</f>
        <v/>
      </c>
      <c r="D71" s="1" t="str">
        <f aca="false">IFERROR(VLOOKUP(A71,'company tracker'!$a:$s,MATCH("Jan 2025 Traffic",'company tracker'!$1:$1,0),FALSE()),"")</f>
        <v/>
      </c>
      <c r="E71" s="1" t="str">
        <f aca="false">IFERROR(VLOOKUP(A71,'company tracker'!$a:$s,MATCH("Jun 2026 Traffic",'company tracker'!$1:$1,0),FALSE()),"")</f>
        <v/>
      </c>
      <c r="F71" s="1" t="str">
        <f aca="false">IFERROR(VLOOKUP(A71,'company tracker'!$a:$s,MATCH("Traffic % Change",'company tracker'!$1:$1,0),FALSE()),"")</f>
        <v/>
      </c>
      <c r="G71" s="1" t="str">
        <f aca="false">IFERROR(VLOOKUP(A71,'company tracker'!$a:$s,MATCH("Jan 2025 Referring Domains",'company tracker'!$1:$1,0),FALSE()),"")</f>
        <v/>
      </c>
      <c r="H71" s="1" t="str">
        <f aca="false">IFERROR(VLOOKUP(A71,'company tracker'!$a:$s,MATCH("Jun 2026 Referring Domains",'company tracker'!$1:$1,0),FALSE()),"")</f>
        <v/>
      </c>
    </row>
    <row r="72" customFormat="false" ht="15" hidden="false" customHeight="true" outlineLevel="0" collapsed="false">
      <c r="B72" s="1" t="str">
        <f aca="false">IFERROR(VLOOKUP(A72,'company tracker'!$a:$s,MATCH("Category",'company tracker'!$1:$1,0),FALSE()),"")</f>
        <v/>
      </c>
      <c r="C72" s="1" t="str">
        <f aca="false">IFERROR(VLOOKUP(A72,'Pass 1 Archive'!$A:$AD,MATCH("LinkedIn Employee Count",'Pass 1 Archive'!$1:$1,0),FALSE()),"")</f>
        <v/>
      </c>
      <c r="D72" s="1" t="str">
        <f aca="false">IFERROR(VLOOKUP(A72,'company tracker'!$a:$s,MATCH("Jan 2025 Traffic",'company tracker'!$1:$1,0),FALSE()),"")</f>
        <v/>
      </c>
      <c r="E72" s="1" t="str">
        <f aca="false">IFERROR(VLOOKUP(A72,'company tracker'!$a:$s,MATCH("Jun 2026 Traffic",'company tracker'!$1:$1,0),FALSE()),"")</f>
        <v/>
      </c>
      <c r="F72" s="1" t="str">
        <f aca="false">IFERROR(VLOOKUP(A72,'company tracker'!$a:$s,MATCH("Traffic % Change",'company tracker'!$1:$1,0),FALSE()),"")</f>
        <v/>
      </c>
      <c r="G72" s="1" t="str">
        <f aca="false">IFERROR(VLOOKUP(A72,'company tracker'!$a:$s,MATCH("Jan 2025 Referring Domains",'company tracker'!$1:$1,0),FALSE()),"")</f>
        <v/>
      </c>
      <c r="H72" s="1" t="str">
        <f aca="false">IFERROR(VLOOKUP(A72,'company tracker'!$a:$s,MATCH("Jun 2026 Referring Domains",'company tracker'!$1:$1,0),FALSE()),"")</f>
        <v/>
      </c>
    </row>
    <row r="73" customFormat="false" ht="15" hidden="false" customHeight="true" outlineLevel="0" collapsed="false">
      <c r="B73" s="1" t="str">
        <f aca="false">IFERROR(VLOOKUP(A73,'company tracker'!$a:$s,MATCH("Category",'company tracker'!$1:$1,0),FALSE()),"")</f>
        <v/>
      </c>
      <c r="C73" s="1" t="str">
        <f aca="false">IFERROR(VLOOKUP(A73,'Pass 1 Archive'!$A:$AD,MATCH("LinkedIn Employee Count",'Pass 1 Archive'!$1:$1,0),FALSE()),"")</f>
        <v/>
      </c>
      <c r="D73" s="1" t="str">
        <f aca="false">IFERROR(VLOOKUP(A73,'company tracker'!$a:$s,MATCH("Jan 2025 Traffic",'company tracker'!$1:$1,0),FALSE()),"")</f>
        <v/>
      </c>
      <c r="E73" s="1" t="str">
        <f aca="false">IFERROR(VLOOKUP(A73,'company tracker'!$a:$s,MATCH("Jun 2026 Traffic",'company tracker'!$1:$1,0),FALSE()),"")</f>
        <v/>
      </c>
      <c r="F73" s="1" t="str">
        <f aca="false">IFERROR(VLOOKUP(A73,'company tracker'!$a:$s,MATCH("Traffic % Change",'company tracker'!$1:$1,0),FALSE()),"")</f>
        <v/>
      </c>
      <c r="G73" s="1" t="str">
        <f aca="false">IFERROR(VLOOKUP(A73,'company tracker'!$a:$s,MATCH("Jan 2025 Referring Domains",'company tracker'!$1:$1,0),FALSE()),"")</f>
        <v/>
      </c>
      <c r="H73" s="1" t="str">
        <f aca="false">IFERROR(VLOOKUP(A73,'company tracker'!$a:$s,MATCH("Jun 2026 Referring Domains",'company tracker'!$1:$1,0),FALSE()),"")</f>
        <v/>
      </c>
    </row>
    <row r="74" customFormat="false" ht="15" hidden="false" customHeight="true" outlineLevel="0" collapsed="false">
      <c r="B74" s="1" t="str">
        <f aca="false">IFERROR(VLOOKUP(A74,'company tracker'!$a:$s,MATCH("Category",'company tracker'!$1:$1,0),FALSE()),"")</f>
        <v/>
      </c>
      <c r="C74" s="1" t="str">
        <f aca="false">IFERROR(VLOOKUP(A74,'Pass 1 Archive'!$A:$AD,MATCH("LinkedIn Employee Count",'Pass 1 Archive'!$1:$1,0),FALSE()),"")</f>
        <v/>
      </c>
      <c r="D74" s="1" t="str">
        <f aca="false">IFERROR(VLOOKUP(A74,'company tracker'!$a:$s,MATCH("Jan 2025 Traffic",'company tracker'!$1:$1,0),FALSE()),"")</f>
        <v/>
      </c>
      <c r="E74" s="1" t="str">
        <f aca="false">IFERROR(VLOOKUP(A74,'company tracker'!$a:$s,MATCH("Jun 2026 Traffic",'company tracker'!$1:$1,0),FALSE()),"")</f>
        <v/>
      </c>
      <c r="F74" s="1" t="str">
        <f aca="false">IFERROR(VLOOKUP(A74,'company tracker'!$a:$s,MATCH("Traffic % Change",'company tracker'!$1:$1,0),FALSE()),"")</f>
        <v/>
      </c>
      <c r="G74" s="1" t="str">
        <f aca="false">IFERROR(VLOOKUP(A74,'company tracker'!$a:$s,MATCH("Jan 2025 Referring Domains",'company tracker'!$1:$1,0),FALSE()),"")</f>
        <v/>
      </c>
      <c r="H74" s="1" t="str">
        <f aca="false">IFERROR(VLOOKUP(A74,'company tracker'!$a:$s,MATCH("Jun 2026 Referring Domains",'company tracker'!$1:$1,0),FALSE()),"")</f>
        <v/>
      </c>
    </row>
    <row r="75" customFormat="false" ht="15" hidden="false" customHeight="true" outlineLevel="0" collapsed="false">
      <c r="B75" s="1" t="str">
        <f aca="false">IFERROR(VLOOKUP(A75,'company tracker'!$a:$s,MATCH("Category",'company tracker'!$1:$1,0),FALSE()),"")</f>
        <v/>
      </c>
      <c r="C75" s="1" t="str">
        <f aca="false">IFERROR(VLOOKUP(A75,'Pass 1 Archive'!$A:$AD,MATCH("LinkedIn Employee Count",'Pass 1 Archive'!$1:$1,0),FALSE()),"")</f>
        <v/>
      </c>
      <c r="D75" s="1" t="str">
        <f aca="false">IFERROR(VLOOKUP(A75,'company tracker'!$a:$s,MATCH("Jan 2025 Traffic",'company tracker'!$1:$1,0),FALSE()),"")</f>
        <v/>
      </c>
      <c r="E75" s="1" t="str">
        <f aca="false">IFERROR(VLOOKUP(A75,'company tracker'!$a:$s,MATCH("Jun 2026 Traffic",'company tracker'!$1:$1,0),FALSE()),"")</f>
        <v/>
      </c>
      <c r="F75" s="1" t="str">
        <f aca="false">IFERROR(VLOOKUP(A75,'company tracker'!$a:$s,MATCH("Traffic % Change",'company tracker'!$1:$1,0),FALSE()),"")</f>
        <v/>
      </c>
      <c r="G75" s="1" t="str">
        <f aca="false">IFERROR(VLOOKUP(A75,'company tracker'!$a:$s,MATCH("Jan 2025 Referring Domains",'company tracker'!$1:$1,0),FALSE()),"")</f>
        <v/>
      </c>
      <c r="H75" s="1" t="str">
        <f aca="false">IFERROR(VLOOKUP(A75,'company tracker'!$a:$s,MATCH("Jun 2026 Referring Domains",'company tracker'!$1:$1,0),FALSE()),"")</f>
        <v/>
      </c>
    </row>
    <row r="76" customFormat="false" ht="15" hidden="false" customHeight="true" outlineLevel="0" collapsed="false">
      <c r="B76" s="1" t="str">
        <f aca="false">IFERROR(VLOOKUP(A76,'company tracker'!$a:$s,MATCH("Category",'company tracker'!$1:$1,0),FALSE()),"")</f>
        <v/>
      </c>
      <c r="C76" s="1" t="str">
        <f aca="false">IFERROR(VLOOKUP(A76,'Pass 1 Archive'!$A:$AD,MATCH("LinkedIn Employee Count",'Pass 1 Archive'!$1:$1,0),FALSE()),"")</f>
        <v/>
      </c>
      <c r="D76" s="1" t="str">
        <f aca="false">IFERROR(VLOOKUP(A76,'company tracker'!$a:$s,MATCH("Jan 2025 Traffic",'company tracker'!$1:$1,0),FALSE()),"")</f>
        <v/>
      </c>
      <c r="E76" s="1" t="str">
        <f aca="false">IFERROR(VLOOKUP(A76,'company tracker'!$a:$s,MATCH("Jun 2026 Traffic",'company tracker'!$1:$1,0),FALSE()),"")</f>
        <v/>
      </c>
      <c r="F76" s="1" t="str">
        <f aca="false">IFERROR(VLOOKUP(A76,'company tracker'!$a:$s,MATCH("Traffic % Change",'company tracker'!$1:$1,0),FALSE()),"")</f>
        <v/>
      </c>
      <c r="G76" s="1" t="str">
        <f aca="false">IFERROR(VLOOKUP(A76,'company tracker'!$a:$s,MATCH("Jan 2025 Referring Domains",'company tracker'!$1:$1,0),FALSE()),"")</f>
        <v/>
      </c>
      <c r="H76" s="1" t="str">
        <f aca="false">IFERROR(VLOOKUP(A76,'company tracker'!$a:$s,MATCH("Jun 2026 Referring Domains",'company tracker'!$1:$1,0),FALSE()),"")</f>
        <v/>
      </c>
    </row>
    <row r="77" customFormat="false" ht="15" hidden="false" customHeight="true" outlineLevel="0" collapsed="false">
      <c r="B77" s="1" t="str">
        <f aca="false">IFERROR(VLOOKUP(A77,'company tracker'!$a:$s,MATCH("Category",'company tracker'!$1:$1,0),FALSE()),"")</f>
        <v/>
      </c>
      <c r="C77" s="1" t="str">
        <f aca="false">IFERROR(VLOOKUP(A77,'Pass 1 Archive'!$A:$AD,MATCH("LinkedIn Employee Count",'Pass 1 Archive'!$1:$1,0),FALSE()),"")</f>
        <v/>
      </c>
      <c r="D77" s="1" t="str">
        <f aca="false">IFERROR(VLOOKUP(A77,'company tracker'!$a:$s,MATCH("Jan 2025 Traffic",'company tracker'!$1:$1,0),FALSE()),"")</f>
        <v/>
      </c>
      <c r="E77" s="1" t="str">
        <f aca="false">IFERROR(VLOOKUP(A77,'company tracker'!$a:$s,MATCH("Jun 2026 Traffic",'company tracker'!$1:$1,0),FALSE()),"")</f>
        <v/>
      </c>
      <c r="F77" s="1" t="str">
        <f aca="false">IFERROR(VLOOKUP(A77,'company tracker'!$a:$s,MATCH("Traffic % Change",'company tracker'!$1:$1,0),FALSE()),"")</f>
        <v/>
      </c>
      <c r="G77" s="1" t="str">
        <f aca="false">IFERROR(VLOOKUP(A77,'company tracker'!$a:$s,MATCH("Jan 2025 Referring Domains",'company tracker'!$1:$1,0),FALSE()),"")</f>
        <v/>
      </c>
      <c r="H77" s="1" t="str">
        <f aca="false">IFERROR(VLOOKUP(A77,'company tracker'!$a:$s,MATCH("Jun 2026 Referring Domains",'company tracker'!$1:$1,0),FALSE()),"")</f>
        <v/>
      </c>
    </row>
    <row r="78" customFormat="false" ht="15" hidden="false" customHeight="true" outlineLevel="0" collapsed="false">
      <c r="B78" s="1" t="str">
        <f aca="false">IFERROR(VLOOKUP(A78,'company tracker'!$a:$s,MATCH("Category",'company tracker'!$1:$1,0),FALSE()),"")</f>
        <v/>
      </c>
      <c r="C78" s="1" t="str">
        <f aca="false">IFERROR(VLOOKUP(A78,'Pass 1 Archive'!$A:$AD,MATCH("LinkedIn Employee Count",'Pass 1 Archive'!$1:$1,0),FALSE()),"")</f>
        <v/>
      </c>
      <c r="D78" s="1" t="str">
        <f aca="false">IFERROR(VLOOKUP(A78,'company tracker'!$a:$s,MATCH("Jan 2025 Traffic",'company tracker'!$1:$1,0),FALSE()),"")</f>
        <v/>
      </c>
      <c r="E78" s="1" t="str">
        <f aca="false">IFERROR(VLOOKUP(A78,'company tracker'!$a:$s,MATCH("Jun 2026 Traffic",'company tracker'!$1:$1,0),FALSE()),"")</f>
        <v/>
      </c>
      <c r="F78" s="1" t="str">
        <f aca="false">IFERROR(VLOOKUP(A78,'company tracker'!$a:$s,MATCH("Traffic % Change",'company tracker'!$1:$1,0),FALSE()),"")</f>
        <v/>
      </c>
      <c r="G78" s="1" t="str">
        <f aca="false">IFERROR(VLOOKUP(A78,'company tracker'!$a:$s,MATCH("Jan 2025 Referring Domains",'company tracker'!$1:$1,0),FALSE()),"")</f>
        <v/>
      </c>
      <c r="H78" s="1" t="str">
        <f aca="false">IFERROR(VLOOKUP(A78,'company tracker'!$a:$s,MATCH("Jun 2026 Referring Domains",'company tracker'!$1:$1,0),FALSE()),"")</f>
        <v/>
      </c>
    </row>
    <row r="79" customFormat="false" ht="15" hidden="false" customHeight="true" outlineLevel="0" collapsed="false">
      <c r="B79" s="1" t="str">
        <f aca="false">IFERROR(VLOOKUP(A79,'company tracker'!$a:$s,MATCH("Category",'company tracker'!$1:$1,0),FALSE()),"")</f>
        <v/>
      </c>
      <c r="C79" s="1" t="str">
        <f aca="false">IFERROR(VLOOKUP(A79,'Pass 1 Archive'!$A:$AD,MATCH("LinkedIn Employee Count",'Pass 1 Archive'!$1:$1,0),FALSE()),"")</f>
        <v/>
      </c>
      <c r="D79" s="1" t="str">
        <f aca="false">IFERROR(VLOOKUP(A79,'company tracker'!$a:$s,MATCH("Jan 2025 Traffic",'company tracker'!$1:$1,0),FALSE()),"")</f>
        <v/>
      </c>
      <c r="E79" s="1" t="str">
        <f aca="false">IFERROR(VLOOKUP(A79,'company tracker'!$a:$s,MATCH("Jun 2026 Traffic",'company tracker'!$1:$1,0),FALSE()),"")</f>
        <v/>
      </c>
      <c r="F79" s="1" t="str">
        <f aca="false">IFERROR(VLOOKUP(A79,'company tracker'!$a:$s,MATCH("Traffic % Change",'company tracker'!$1:$1,0),FALSE()),"")</f>
        <v/>
      </c>
      <c r="G79" s="1" t="str">
        <f aca="false">IFERROR(VLOOKUP(A79,'company tracker'!$a:$s,MATCH("Jan 2025 Referring Domains",'company tracker'!$1:$1,0),FALSE()),"")</f>
        <v/>
      </c>
      <c r="H79" s="1" t="str">
        <f aca="false">IFERROR(VLOOKUP(A79,'company tracker'!$a:$s,MATCH("Jun 2026 Referring Domains",'company tracker'!$1:$1,0),FALSE()),"")</f>
        <v/>
      </c>
    </row>
    <row r="80" customFormat="false" ht="15" hidden="false" customHeight="true" outlineLevel="0" collapsed="false">
      <c r="B80" s="1" t="str">
        <f aca="false">IFERROR(VLOOKUP(A80,'company tracker'!$a:$s,MATCH("Category",'company tracker'!$1:$1,0),FALSE()),"")</f>
        <v/>
      </c>
      <c r="C80" s="1" t="str">
        <f aca="false">IFERROR(VLOOKUP(A80,'Pass 1 Archive'!$A:$AD,MATCH("LinkedIn Employee Count",'Pass 1 Archive'!$1:$1,0),FALSE()),"")</f>
        <v/>
      </c>
      <c r="D80" s="1" t="str">
        <f aca="false">IFERROR(VLOOKUP(A80,'company tracker'!$a:$s,MATCH("Jan 2025 Traffic",'company tracker'!$1:$1,0),FALSE()),"")</f>
        <v/>
      </c>
      <c r="E80" s="1" t="str">
        <f aca="false">IFERROR(VLOOKUP(A80,'company tracker'!$a:$s,MATCH("Jun 2026 Traffic",'company tracker'!$1:$1,0),FALSE()),"")</f>
        <v/>
      </c>
      <c r="F80" s="1" t="str">
        <f aca="false">IFERROR(VLOOKUP(A80,'company tracker'!$a:$s,MATCH("Traffic % Change",'company tracker'!$1:$1,0),FALSE()),"")</f>
        <v/>
      </c>
      <c r="G80" s="1" t="str">
        <f aca="false">IFERROR(VLOOKUP(A80,'company tracker'!$a:$s,MATCH("Jan 2025 Referring Domains",'company tracker'!$1:$1,0),FALSE()),"")</f>
        <v/>
      </c>
      <c r="H80" s="1" t="str">
        <f aca="false">IFERROR(VLOOKUP(A80,'company tracker'!$a:$s,MATCH("Jun 2026 Referring Domains",'company tracker'!$1:$1,0),FALSE()),"")</f>
        <v/>
      </c>
    </row>
    <row r="81" customFormat="false" ht="15" hidden="false" customHeight="true" outlineLevel="0" collapsed="false">
      <c r="B81" s="1" t="str">
        <f aca="false">IFERROR(VLOOKUP(A81,'company tracker'!$a:$s,MATCH("Category",'company tracker'!$1:$1,0),FALSE()),"")</f>
        <v/>
      </c>
      <c r="C81" s="1" t="str">
        <f aca="false">IFERROR(VLOOKUP(A81,'Pass 1 Archive'!$A:$AD,MATCH("LinkedIn Employee Count",'Pass 1 Archive'!$1:$1,0),FALSE()),"")</f>
        <v/>
      </c>
      <c r="D81" s="1" t="str">
        <f aca="false">IFERROR(VLOOKUP(A81,'company tracker'!$a:$s,MATCH("Jan 2025 Traffic",'company tracker'!$1:$1,0),FALSE()),"")</f>
        <v/>
      </c>
      <c r="E81" s="1" t="str">
        <f aca="false">IFERROR(VLOOKUP(A81,'company tracker'!$a:$s,MATCH("Jun 2026 Traffic",'company tracker'!$1:$1,0),FALSE()),"")</f>
        <v/>
      </c>
      <c r="F81" s="1" t="str">
        <f aca="false">IFERROR(VLOOKUP(A81,'company tracker'!$a:$s,MATCH("Traffic % Change",'company tracker'!$1:$1,0),FALSE()),"")</f>
        <v/>
      </c>
      <c r="G81" s="1" t="str">
        <f aca="false">IFERROR(VLOOKUP(A81,'company tracker'!$a:$s,MATCH("Jan 2025 Referring Domains",'company tracker'!$1:$1,0),FALSE()),"")</f>
        <v/>
      </c>
      <c r="H81" s="1" t="str">
        <f aca="false">IFERROR(VLOOKUP(A81,'company tracker'!$a:$s,MATCH("Jun 2026 Referring Domains",'company tracker'!$1:$1,0),FALSE()),"")</f>
        <v/>
      </c>
    </row>
    <row r="82" customFormat="false" ht="15" hidden="false" customHeight="true" outlineLevel="0" collapsed="false">
      <c r="B82" s="1" t="str">
        <f aca="false">IFERROR(VLOOKUP(A82,'company tracker'!$a:$s,MATCH("Category",'company tracker'!$1:$1,0),FALSE()),"")</f>
        <v/>
      </c>
      <c r="C82" s="1" t="str">
        <f aca="false">IFERROR(VLOOKUP(A82,'Pass 1 Archive'!$A:$AD,MATCH("LinkedIn Employee Count",'Pass 1 Archive'!$1:$1,0),FALSE()),"")</f>
        <v/>
      </c>
      <c r="D82" s="1" t="str">
        <f aca="false">IFERROR(VLOOKUP(A82,'company tracker'!$a:$s,MATCH("Jan 2025 Traffic",'company tracker'!$1:$1,0),FALSE()),"")</f>
        <v/>
      </c>
      <c r="E82" s="1" t="str">
        <f aca="false">IFERROR(VLOOKUP(A82,'company tracker'!$a:$s,MATCH("Jun 2026 Traffic",'company tracker'!$1:$1,0),FALSE()),"")</f>
        <v/>
      </c>
      <c r="F82" s="1" t="str">
        <f aca="false">IFERROR(VLOOKUP(A82,'company tracker'!$a:$s,MATCH("Traffic % Change",'company tracker'!$1:$1,0),FALSE()),"")</f>
        <v/>
      </c>
      <c r="G82" s="1" t="str">
        <f aca="false">IFERROR(VLOOKUP(A82,'company tracker'!$a:$s,MATCH("Jan 2025 Referring Domains",'company tracker'!$1:$1,0),FALSE()),"")</f>
        <v/>
      </c>
      <c r="H82" s="1" t="str">
        <f aca="false">IFERROR(VLOOKUP(A82,'company tracker'!$a:$s,MATCH("Jun 2026 Referring Domains",'company tracker'!$1:$1,0),FALSE()),"")</f>
        <v/>
      </c>
    </row>
    <row r="83" customFormat="false" ht="15" hidden="false" customHeight="true" outlineLevel="0" collapsed="false">
      <c r="B83" s="1" t="str">
        <f aca="false">IFERROR(VLOOKUP(A83,'company tracker'!$a:$s,MATCH("Category",'company tracker'!$1:$1,0),FALSE()),"")</f>
        <v/>
      </c>
      <c r="C83" s="1" t="str">
        <f aca="false">IFERROR(VLOOKUP(A83,'Pass 1 Archive'!$A:$AD,MATCH("LinkedIn Employee Count",'Pass 1 Archive'!$1:$1,0),FALSE()),"")</f>
        <v/>
      </c>
      <c r="D83" s="1" t="str">
        <f aca="false">IFERROR(VLOOKUP(A83,'company tracker'!$a:$s,MATCH("Jan 2025 Traffic",'company tracker'!$1:$1,0),FALSE()),"")</f>
        <v/>
      </c>
      <c r="E83" s="1" t="str">
        <f aca="false">IFERROR(VLOOKUP(A83,'company tracker'!$a:$s,MATCH("Jun 2026 Traffic",'company tracker'!$1:$1,0),FALSE()),"")</f>
        <v/>
      </c>
      <c r="F83" s="1" t="str">
        <f aca="false">IFERROR(VLOOKUP(A83,'company tracker'!$a:$s,MATCH("Traffic % Change",'company tracker'!$1:$1,0),FALSE()),"")</f>
        <v/>
      </c>
      <c r="G83" s="1" t="str">
        <f aca="false">IFERROR(VLOOKUP(A83,'company tracker'!$a:$s,MATCH("Jan 2025 Referring Domains",'company tracker'!$1:$1,0),FALSE()),"")</f>
        <v/>
      </c>
      <c r="H83" s="1" t="str">
        <f aca="false">IFERROR(VLOOKUP(A83,'company tracker'!$a:$s,MATCH("Jun 2026 Referring Domains",'company tracker'!$1:$1,0),FALSE()),"")</f>
        <v/>
      </c>
    </row>
    <row r="84" customFormat="false" ht="15" hidden="false" customHeight="true" outlineLevel="0" collapsed="false">
      <c r="B84" s="1" t="str">
        <f aca="false">IFERROR(VLOOKUP(A84,'company tracker'!$a:$s,MATCH("Category",'company tracker'!$1:$1,0),FALSE()),"")</f>
        <v/>
      </c>
      <c r="C84" s="1" t="str">
        <f aca="false">IFERROR(VLOOKUP(A84,'Pass 1 Archive'!$A:$AD,MATCH("LinkedIn Employee Count",'Pass 1 Archive'!$1:$1,0),FALSE()),"")</f>
        <v/>
      </c>
      <c r="D84" s="1" t="str">
        <f aca="false">IFERROR(VLOOKUP(A84,'company tracker'!$a:$s,MATCH("Jan 2025 Traffic",'company tracker'!$1:$1,0),FALSE()),"")</f>
        <v/>
      </c>
      <c r="E84" s="1" t="str">
        <f aca="false">IFERROR(VLOOKUP(A84,'company tracker'!$a:$s,MATCH("Jun 2026 Traffic",'company tracker'!$1:$1,0),FALSE()),"")</f>
        <v/>
      </c>
      <c r="F84" s="1" t="str">
        <f aca="false">IFERROR(VLOOKUP(A84,'company tracker'!$a:$s,MATCH("Traffic % Change",'company tracker'!$1:$1,0),FALSE()),"")</f>
        <v/>
      </c>
      <c r="G84" s="1" t="str">
        <f aca="false">IFERROR(VLOOKUP(A84,'company tracker'!$a:$s,MATCH("Jan 2025 Referring Domains",'company tracker'!$1:$1,0),FALSE()),"")</f>
        <v/>
      </c>
      <c r="H84" s="1" t="str">
        <f aca="false">IFERROR(VLOOKUP(A84,'company tracker'!$a:$s,MATCH("Jun 2026 Referring Domains",'company tracker'!$1:$1,0),FALSE()),"")</f>
        <v/>
      </c>
    </row>
    <row r="85" customFormat="false" ht="15" hidden="false" customHeight="true" outlineLevel="0" collapsed="false">
      <c r="B85" s="1" t="str">
        <f aca="false">IFERROR(VLOOKUP(A85,'company tracker'!$a:$s,MATCH("Category",'company tracker'!$1:$1,0),FALSE()),"")</f>
        <v/>
      </c>
      <c r="C85" s="1" t="str">
        <f aca="false">IFERROR(VLOOKUP(A85,'Pass 1 Archive'!$A:$AD,MATCH("LinkedIn Employee Count",'Pass 1 Archive'!$1:$1,0),FALSE()),"")</f>
        <v/>
      </c>
      <c r="D85" s="1" t="str">
        <f aca="false">IFERROR(VLOOKUP(A85,'company tracker'!$a:$s,MATCH("Jan 2025 Traffic",'company tracker'!$1:$1,0),FALSE()),"")</f>
        <v/>
      </c>
      <c r="E85" s="1" t="str">
        <f aca="false">IFERROR(VLOOKUP(A85,'company tracker'!$a:$s,MATCH("Jun 2026 Traffic",'company tracker'!$1:$1,0),FALSE()),"")</f>
        <v/>
      </c>
      <c r="F85" s="1" t="str">
        <f aca="false">IFERROR(VLOOKUP(A85,'company tracker'!$a:$s,MATCH("Traffic % Change",'company tracker'!$1:$1,0),FALSE()),"")</f>
        <v/>
      </c>
      <c r="G85" s="1" t="str">
        <f aca="false">IFERROR(VLOOKUP(A85,'company tracker'!$a:$s,MATCH("Jan 2025 Referring Domains",'company tracker'!$1:$1,0),FALSE()),"")</f>
        <v/>
      </c>
      <c r="H85" s="1" t="str">
        <f aca="false">IFERROR(VLOOKUP(A85,'company tracker'!$a:$s,MATCH("Jun 2026 Referring Domains",'company tracker'!$1:$1,0),FALSE()),"")</f>
        <v/>
      </c>
    </row>
    <row r="86" customFormat="false" ht="15" hidden="false" customHeight="true" outlineLevel="0" collapsed="false">
      <c r="B86" s="1" t="str">
        <f aca="false">IFERROR(VLOOKUP(A86,'company tracker'!$a:$s,MATCH("Category",'company tracker'!$1:$1,0),FALSE()),"")</f>
        <v/>
      </c>
      <c r="C86" s="1" t="str">
        <f aca="false">IFERROR(VLOOKUP(A86,'Pass 1 Archive'!$A:$AD,MATCH("LinkedIn Employee Count",'Pass 1 Archive'!$1:$1,0),FALSE()),"")</f>
        <v/>
      </c>
      <c r="D86" s="1" t="str">
        <f aca="false">IFERROR(VLOOKUP(A86,'company tracker'!$a:$s,MATCH("Jan 2025 Traffic",'company tracker'!$1:$1,0),FALSE()),"")</f>
        <v/>
      </c>
      <c r="E86" s="1" t="str">
        <f aca="false">IFERROR(VLOOKUP(A86,'company tracker'!$a:$s,MATCH("Jun 2026 Traffic",'company tracker'!$1:$1,0),FALSE()),"")</f>
        <v/>
      </c>
      <c r="F86" s="1" t="str">
        <f aca="false">IFERROR(VLOOKUP(A86,'company tracker'!$a:$s,MATCH("Traffic % Change",'company tracker'!$1:$1,0),FALSE()),"")</f>
        <v/>
      </c>
      <c r="G86" s="1" t="str">
        <f aca="false">IFERROR(VLOOKUP(A86,'company tracker'!$a:$s,MATCH("Jan 2025 Referring Domains",'company tracker'!$1:$1,0),FALSE()),"")</f>
        <v/>
      </c>
      <c r="H86" s="1" t="str">
        <f aca="false">IFERROR(VLOOKUP(A86,'company tracker'!$a:$s,MATCH("Jun 2026 Referring Domains",'company tracker'!$1:$1,0),FALSE()),"")</f>
        <v/>
      </c>
    </row>
    <row r="87" customFormat="false" ht="15" hidden="false" customHeight="true" outlineLevel="0" collapsed="false">
      <c r="B87" s="1" t="str">
        <f aca="false">IFERROR(VLOOKUP(A87,'company tracker'!$a:$s,MATCH("Category",'company tracker'!$1:$1,0),FALSE()),"")</f>
        <v/>
      </c>
      <c r="C87" s="1" t="str">
        <f aca="false">IFERROR(VLOOKUP(A87,'Pass 1 Archive'!$A:$AD,MATCH("LinkedIn Employee Count",'Pass 1 Archive'!$1:$1,0),FALSE()),"")</f>
        <v/>
      </c>
      <c r="D87" s="1" t="str">
        <f aca="false">IFERROR(VLOOKUP(A87,'company tracker'!$a:$s,MATCH("Jan 2025 Traffic",'company tracker'!$1:$1,0),FALSE()),"")</f>
        <v/>
      </c>
      <c r="E87" s="1" t="str">
        <f aca="false">IFERROR(VLOOKUP(A87,'company tracker'!$a:$s,MATCH("Jun 2026 Traffic",'company tracker'!$1:$1,0),FALSE()),"")</f>
        <v/>
      </c>
      <c r="F87" s="1" t="str">
        <f aca="false">IFERROR(VLOOKUP(A87,'company tracker'!$a:$s,MATCH("Traffic % Change",'company tracker'!$1:$1,0),FALSE()),"")</f>
        <v/>
      </c>
      <c r="G87" s="1" t="str">
        <f aca="false">IFERROR(VLOOKUP(A87,'company tracker'!$a:$s,MATCH("Jan 2025 Referring Domains",'company tracker'!$1:$1,0),FALSE()),"")</f>
        <v/>
      </c>
      <c r="H87" s="1" t="str">
        <f aca="false">IFERROR(VLOOKUP(A87,'company tracker'!$a:$s,MATCH("Jun 2026 Referring Domains",'company tracker'!$1:$1,0),FALSE()),"")</f>
        <v/>
      </c>
    </row>
    <row r="88" customFormat="false" ht="15" hidden="false" customHeight="true" outlineLevel="0" collapsed="false">
      <c r="B88" s="1" t="str">
        <f aca="false">IFERROR(VLOOKUP(A88,'company tracker'!$a:$s,MATCH("Category",'company tracker'!$1:$1,0),FALSE()),"")</f>
        <v/>
      </c>
      <c r="C88" s="1" t="str">
        <f aca="false">IFERROR(VLOOKUP(A88,'Pass 1 Archive'!$A:$AD,MATCH("LinkedIn Employee Count",'Pass 1 Archive'!$1:$1,0),FALSE()),"")</f>
        <v/>
      </c>
      <c r="D88" s="1" t="str">
        <f aca="false">IFERROR(VLOOKUP(A88,'company tracker'!$a:$s,MATCH("Jan 2025 Traffic",'company tracker'!$1:$1,0),FALSE()),"")</f>
        <v/>
      </c>
      <c r="E88" s="1" t="str">
        <f aca="false">IFERROR(VLOOKUP(A88,'company tracker'!$a:$s,MATCH("Jun 2026 Traffic",'company tracker'!$1:$1,0),FALSE()),"")</f>
        <v/>
      </c>
      <c r="F88" s="1" t="str">
        <f aca="false">IFERROR(VLOOKUP(A88,'company tracker'!$a:$s,MATCH("Traffic % Change",'company tracker'!$1:$1,0),FALSE()),"")</f>
        <v/>
      </c>
      <c r="G88" s="1" t="str">
        <f aca="false">IFERROR(VLOOKUP(A88,'company tracker'!$a:$s,MATCH("Jan 2025 Referring Domains",'company tracker'!$1:$1,0),FALSE()),"")</f>
        <v/>
      </c>
      <c r="H88" s="1" t="str">
        <f aca="false">IFERROR(VLOOKUP(A88,'company tracker'!$a:$s,MATCH("Jun 2026 Referring Domains",'company tracker'!$1:$1,0),FALSE()),"")</f>
        <v/>
      </c>
    </row>
    <row r="89" customFormat="false" ht="15" hidden="false" customHeight="true" outlineLevel="0" collapsed="false">
      <c r="B89" s="1" t="str">
        <f aca="false">IFERROR(VLOOKUP(A89,'company tracker'!$a:$s,MATCH("Category",'company tracker'!$1:$1,0),FALSE()),"")</f>
        <v/>
      </c>
      <c r="C89" s="1" t="str">
        <f aca="false">IFERROR(VLOOKUP(A89,'Pass 1 Archive'!$A:$AD,MATCH("LinkedIn Employee Count",'Pass 1 Archive'!$1:$1,0),FALSE()),"")</f>
        <v/>
      </c>
      <c r="D89" s="1" t="str">
        <f aca="false">IFERROR(VLOOKUP(A89,'company tracker'!$a:$s,MATCH("Jan 2025 Traffic",'company tracker'!$1:$1,0),FALSE()),"")</f>
        <v/>
      </c>
      <c r="E89" s="1" t="str">
        <f aca="false">IFERROR(VLOOKUP(A89,'company tracker'!$a:$s,MATCH("Jun 2026 Traffic",'company tracker'!$1:$1,0),FALSE()),"")</f>
        <v/>
      </c>
      <c r="F89" s="1" t="str">
        <f aca="false">IFERROR(VLOOKUP(A89,'company tracker'!$a:$s,MATCH("Traffic % Change",'company tracker'!$1:$1,0),FALSE()),"")</f>
        <v/>
      </c>
      <c r="G89" s="1" t="str">
        <f aca="false">IFERROR(VLOOKUP(A89,'company tracker'!$a:$s,MATCH("Jan 2025 Referring Domains",'company tracker'!$1:$1,0),FALSE()),"")</f>
        <v/>
      </c>
      <c r="H89" s="1" t="str">
        <f aca="false">IFERROR(VLOOKUP(A89,'company tracker'!$a:$s,MATCH("Jun 2026 Referring Domains",'company tracker'!$1:$1,0),FALSE()),"")</f>
        <v/>
      </c>
    </row>
    <row r="90" customFormat="false" ht="15" hidden="false" customHeight="true" outlineLevel="0" collapsed="false">
      <c r="B90" s="1" t="str">
        <f aca="false">IFERROR(VLOOKUP(A90,'company tracker'!$a:$s,MATCH("Category",'company tracker'!$1:$1,0),FALSE()),"")</f>
        <v/>
      </c>
      <c r="C90" s="1" t="str">
        <f aca="false">IFERROR(VLOOKUP(A90,'Pass 1 Archive'!$A:$AD,MATCH("LinkedIn Employee Count",'Pass 1 Archive'!$1:$1,0),FALSE()),"")</f>
        <v/>
      </c>
      <c r="D90" s="1" t="str">
        <f aca="false">IFERROR(VLOOKUP(A90,'company tracker'!$a:$s,MATCH("Jan 2025 Traffic",'company tracker'!$1:$1,0),FALSE()),"")</f>
        <v/>
      </c>
      <c r="E90" s="1" t="str">
        <f aca="false">IFERROR(VLOOKUP(A90,'company tracker'!$a:$s,MATCH("Jun 2026 Traffic",'company tracker'!$1:$1,0),FALSE()),"")</f>
        <v/>
      </c>
      <c r="F90" s="1" t="str">
        <f aca="false">IFERROR(VLOOKUP(A90,'company tracker'!$a:$s,MATCH("Traffic % Change",'company tracker'!$1:$1,0),FALSE()),"")</f>
        <v/>
      </c>
      <c r="G90" s="1" t="str">
        <f aca="false">IFERROR(VLOOKUP(A90,'company tracker'!$a:$s,MATCH("Jan 2025 Referring Domains",'company tracker'!$1:$1,0),FALSE()),"")</f>
        <v/>
      </c>
      <c r="H90" s="1" t="str">
        <f aca="false">IFERROR(VLOOKUP(A90,'company tracker'!$a:$s,MATCH("Jun 2026 Referring Domains",'company tracker'!$1:$1,0),FALSE()),"")</f>
        <v/>
      </c>
    </row>
    <row r="91" customFormat="false" ht="15" hidden="false" customHeight="true" outlineLevel="0" collapsed="false">
      <c r="B91" s="1" t="str">
        <f aca="false">IFERROR(VLOOKUP(A91,'company tracker'!$a:$s,MATCH("Category",'company tracker'!$1:$1,0),FALSE()),"")</f>
        <v/>
      </c>
      <c r="C91" s="1" t="str">
        <f aca="false">IFERROR(VLOOKUP(A91,'Pass 1 Archive'!$A:$AD,MATCH("LinkedIn Employee Count",'Pass 1 Archive'!$1:$1,0),FALSE()),"")</f>
        <v/>
      </c>
      <c r="D91" s="1" t="str">
        <f aca="false">IFERROR(VLOOKUP(A91,'company tracker'!$a:$s,MATCH("Jan 2025 Traffic",'company tracker'!$1:$1,0),FALSE()),"")</f>
        <v/>
      </c>
      <c r="E91" s="1" t="str">
        <f aca="false">IFERROR(VLOOKUP(A91,'company tracker'!$a:$s,MATCH("Jun 2026 Traffic",'company tracker'!$1:$1,0),FALSE()),"")</f>
        <v/>
      </c>
      <c r="F91" s="1" t="str">
        <f aca="false">IFERROR(VLOOKUP(A91,'company tracker'!$a:$s,MATCH("Traffic % Change",'company tracker'!$1:$1,0),FALSE()),"")</f>
        <v/>
      </c>
      <c r="G91" s="1" t="str">
        <f aca="false">IFERROR(VLOOKUP(A91,'company tracker'!$a:$s,MATCH("Jan 2025 Referring Domains",'company tracker'!$1:$1,0),FALSE()),"")</f>
        <v/>
      </c>
      <c r="H91" s="1" t="str">
        <f aca="false">IFERROR(VLOOKUP(A91,'company tracker'!$a:$s,MATCH("Jun 2026 Referring Domains",'company tracker'!$1:$1,0),FALSE()),"")</f>
        <v/>
      </c>
    </row>
    <row r="92" customFormat="false" ht="15" hidden="false" customHeight="true" outlineLevel="0" collapsed="false">
      <c r="B92" s="1" t="str">
        <f aca="false">IFERROR(VLOOKUP(A92,'company tracker'!$a:$s,MATCH("Category",'company tracker'!$1:$1,0),FALSE()),"")</f>
        <v/>
      </c>
      <c r="C92" s="1" t="str">
        <f aca="false">IFERROR(VLOOKUP(A92,'Pass 1 Archive'!$A:$AD,MATCH("LinkedIn Employee Count",'Pass 1 Archive'!$1:$1,0),FALSE()),"")</f>
        <v/>
      </c>
      <c r="D92" s="1" t="str">
        <f aca="false">IFERROR(VLOOKUP(A92,'company tracker'!$a:$s,MATCH("Jan 2025 Traffic",'company tracker'!$1:$1,0),FALSE()),"")</f>
        <v/>
      </c>
      <c r="E92" s="1" t="str">
        <f aca="false">IFERROR(VLOOKUP(A92,'company tracker'!$a:$s,MATCH("Jun 2026 Traffic",'company tracker'!$1:$1,0),FALSE()),"")</f>
        <v/>
      </c>
      <c r="F92" s="1" t="str">
        <f aca="false">IFERROR(VLOOKUP(A92,'company tracker'!$a:$s,MATCH("Traffic % Change",'company tracker'!$1:$1,0),FALSE()),"")</f>
        <v/>
      </c>
      <c r="G92" s="1" t="str">
        <f aca="false">IFERROR(VLOOKUP(A92,'company tracker'!$a:$s,MATCH("Jan 2025 Referring Domains",'company tracker'!$1:$1,0),FALSE()),"")</f>
        <v/>
      </c>
      <c r="H92" s="1" t="str">
        <f aca="false">IFERROR(VLOOKUP(A92,'company tracker'!$a:$s,MATCH("Jun 2026 Referring Domains",'company tracker'!$1:$1,0),FALSE()),"")</f>
        <v/>
      </c>
    </row>
    <row r="93" customFormat="false" ht="15" hidden="false" customHeight="true" outlineLevel="0" collapsed="false">
      <c r="B93" s="1" t="str">
        <f aca="false">IFERROR(VLOOKUP(A93,'company tracker'!$a:$s,MATCH("Category",'company tracker'!$1:$1,0),FALSE()),"")</f>
        <v/>
      </c>
      <c r="C93" s="1" t="str">
        <f aca="false">IFERROR(VLOOKUP(A93,'Pass 1 Archive'!$A:$AD,MATCH("LinkedIn Employee Count",'Pass 1 Archive'!$1:$1,0),FALSE()),"")</f>
        <v/>
      </c>
      <c r="D93" s="1" t="str">
        <f aca="false">IFERROR(VLOOKUP(A93,'company tracker'!$a:$s,MATCH("Jan 2025 Traffic",'company tracker'!$1:$1,0),FALSE()),"")</f>
        <v/>
      </c>
      <c r="E93" s="1" t="str">
        <f aca="false">IFERROR(VLOOKUP(A93,'company tracker'!$a:$s,MATCH("Jun 2026 Traffic",'company tracker'!$1:$1,0),FALSE()),"")</f>
        <v/>
      </c>
      <c r="F93" s="1" t="str">
        <f aca="false">IFERROR(VLOOKUP(A93,'company tracker'!$a:$s,MATCH("Traffic % Change",'company tracker'!$1:$1,0),FALSE()),"")</f>
        <v/>
      </c>
      <c r="G93" s="1" t="str">
        <f aca="false">IFERROR(VLOOKUP(A93,'company tracker'!$a:$s,MATCH("Jan 2025 Referring Domains",'company tracker'!$1:$1,0),FALSE()),"")</f>
        <v/>
      </c>
      <c r="H93" s="1" t="str">
        <f aca="false">IFERROR(VLOOKUP(A93,'company tracker'!$a:$s,MATCH("Jun 2026 Referring Domains",'company tracker'!$1:$1,0),FALSE()),"")</f>
        <v/>
      </c>
    </row>
    <row r="94" customFormat="false" ht="15" hidden="false" customHeight="true" outlineLevel="0" collapsed="false">
      <c r="B94" s="1" t="str">
        <f aca="false">IFERROR(VLOOKUP(A94,'company tracker'!$a:$s,MATCH("Category",'company tracker'!$1:$1,0),FALSE()),"")</f>
        <v/>
      </c>
      <c r="C94" s="1" t="str">
        <f aca="false">IFERROR(VLOOKUP(A94,'Pass 1 Archive'!$A:$AD,MATCH("LinkedIn Employee Count",'Pass 1 Archive'!$1:$1,0),FALSE()),"")</f>
        <v/>
      </c>
      <c r="D94" s="1" t="str">
        <f aca="false">IFERROR(VLOOKUP(A94,'company tracker'!$a:$s,MATCH("Jan 2025 Traffic",'company tracker'!$1:$1,0),FALSE()),"")</f>
        <v/>
      </c>
      <c r="E94" s="1" t="str">
        <f aca="false">IFERROR(VLOOKUP(A94,'company tracker'!$a:$s,MATCH("Jun 2026 Traffic",'company tracker'!$1:$1,0),FALSE()),"")</f>
        <v/>
      </c>
      <c r="F94" s="1" t="str">
        <f aca="false">IFERROR(VLOOKUP(A94,'company tracker'!$a:$s,MATCH("Traffic % Change",'company tracker'!$1:$1,0),FALSE()),"")</f>
        <v/>
      </c>
      <c r="G94" s="1" t="str">
        <f aca="false">IFERROR(VLOOKUP(A94,'company tracker'!$a:$s,MATCH("Jan 2025 Referring Domains",'company tracker'!$1:$1,0),FALSE()),"")</f>
        <v/>
      </c>
      <c r="H94" s="1" t="str">
        <f aca="false">IFERROR(VLOOKUP(A94,'company tracker'!$a:$s,MATCH("Jun 2026 Referring Domains",'company tracker'!$1:$1,0),FALSE()),"")</f>
        <v/>
      </c>
    </row>
    <row r="95" customFormat="false" ht="15" hidden="false" customHeight="true" outlineLevel="0" collapsed="false">
      <c r="B95" s="1" t="str">
        <f aca="false">IFERROR(VLOOKUP(A95,'company tracker'!$a:$s,MATCH("Category",'company tracker'!$1:$1,0),FALSE()),"")</f>
        <v/>
      </c>
      <c r="C95" s="1" t="str">
        <f aca="false">IFERROR(VLOOKUP(A95,'Pass 1 Archive'!$A:$AD,MATCH("LinkedIn Employee Count",'Pass 1 Archive'!$1:$1,0),FALSE()),"")</f>
        <v/>
      </c>
      <c r="D95" s="1" t="str">
        <f aca="false">IFERROR(VLOOKUP(A95,'company tracker'!$a:$s,MATCH("Jan 2025 Traffic",'company tracker'!$1:$1,0),FALSE()),"")</f>
        <v/>
      </c>
      <c r="E95" s="1" t="str">
        <f aca="false">IFERROR(VLOOKUP(A95,'company tracker'!$a:$s,MATCH("Jun 2026 Traffic",'company tracker'!$1:$1,0),FALSE()),"")</f>
        <v/>
      </c>
      <c r="F95" s="1" t="str">
        <f aca="false">IFERROR(VLOOKUP(A95,'company tracker'!$a:$s,MATCH("Traffic % Change",'company tracker'!$1:$1,0),FALSE()),"")</f>
        <v/>
      </c>
      <c r="G95" s="1" t="str">
        <f aca="false">IFERROR(VLOOKUP(A95,'company tracker'!$a:$s,MATCH("Jan 2025 Referring Domains",'company tracker'!$1:$1,0),FALSE()),"")</f>
        <v/>
      </c>
      <c r="H95" s="1" t="str">
        <f aca="false">IFERROR(VLOOKUP(A95,'company tracker'!$a:$s,MATCH("Jun 2026 Referring Domains",'company tracker'!$1:$1,0),FALSE()),"")</f>
        <v/>
      </c>
    </row>
    <row r="96" customFormat="false" ht="15" hidden="false" customHeight="true" outlineLevel="0" collapsed="false">
      <c r="B96" s="1" t="str">
        <f aca="false">IFERROR(VLOOKUP(A96,'company tracker'!$a:$s,MATCH("Category",'company tracker'!$1:$1,0),FALSE()),"")</f>
        <v/>
      </c>
      <c r="C96" s="1" t="str">
        <f aca="false">IFERROR(VLOOKUP(A96,'Pass 1 Archive'!$A:$AD,MATCH("LinkedIn Employee Count",'Pass 1 Archive'!$1:$1,0),FALSE()),"")</f>
        <v/>
      </c>
      <c r="D96" s="1" t="str">
        <f aca="false">IFERROR(VLOOKUP(A96,'company tracker'!$a:$s,MATCH("Jan 2025 Traffic",'company tracker'!$1:$1,0),FALSE()),"")</f>
        <v/>
      </c>
      <c r="E96" s="1" t="str">
        <f aca="false">IFERROR(VLOOKUP(A96,'company tracker'!$a:$s,MATCH("Jun 2026 Traffic",'company tracker'!$1:$1,0),FALSE()),"")</f>
        <v/>
      </c>
      <c r="F96" s="1" t="str">
        <f aca="false">IFERROR(VLOOKUP(A96,'company tracker'!$a:$s,MATCH("Traffic % Change",'company tracker'!$1:$1,0),FALSE()),"")</f>
        <v/>
      </c>
      <c r="G96" s="1" t="str">
        <f aca="false">IFERROR(VLOOKUP(A96,'company tracker'!$a:$s,MATCH("Jan 2025 Referring Domains",'company tracker'!$1:$1,0),FALSE()),"")</f>
        <v/>
      </c>
      <c r="H96" s="1" t="str">
        <f aca="false">IFERROR(VLOOKUP(A96,'company tracker'!$a:$s,MATCH("Jun 2026 Referring Domains",'company tracker'!$1:$1,0),FALSE()),"")</f>
        <v/>
      </c>
    </row>
    <row r="97" customFormat="false" ht="15" hidden="false" customHeight="true" outlineLevel="0" collapsed="false">
      <c r="B97" s="1" t="str">
        <f aca="false">IFERROR(VLOOKUP(A97,'company tracker'!$a:$s,MATCH("Category",'company tracker'!$1:$1,0),FALSE()),"")</f>
        <v/>
      </c>
      <c r="C97" s="1" t="str">
        <f aca="false">IFERROR(VLOOKUP(A97,'Pass 1 Archive'!$A:$AD,MATCH("LinkedIn Employee Count",'Pass 1 Archive'!$1:$1,0),FALSE()),"")</f>
        <v/>
      </c>
      <c r="D97" s="1" t="str">
        <f aca="false">IFERROR(VLOOKUP(A97,'company tracker'!$a:$s,MATCH("Jan 2025 Traffic",'company tracker'!$1:$1,0),FALSE()),"")</f>
        <v/>
      </c>
      <c r="E97" s="1" t="str">
        <f aca="false">IFERROR(VLOOKUP(A97,'company tracker'!$a:$s,MATCH("Jun 2026 Traffic",'company tracker'!$1:$1,0),FALSE()),"")</f>
        <v/>
      </c>
      <c r="F97" s="1" t="str">
        <f aca="false">IFERROR(VLOOKUP(A97,'company tracker'!$a:$s,MATCH("Traffic % Change",'company tracker'!$1:$1,0),FALSE()),"")</f>
        <v/>
      </c>
      <c r="G97" s="1" t="str">
        <f aca="false">IFERROR(VLOOKUP(A97,'company tracker'!$a:$s,MATCH("Jan 2025 Referring Domains",'company tracker'!$1:$1,0),FALSE()),"")</f>
        <v/>
      </c>
      <c r="H97" s="1" t="str">
        <f aca="false">IFERROR(VLOOKUP(A97,'company tracker'!$a:$s,MATCH("Jun 2026 Referring Domains",'company tracker'!$1:$1,0),FALSE()),"")</f>
        <v/>
      </c>
    </row>
    <row r="98" customFormat="false" ht="15" hidden="false" customHeight="true" outlineLevel="0" collapsed="false">
      <c r="B98" s="1" t="str">
        <f aca="false">IFERROR(VLOOKUP(A98,'company tracker'!$a:$s,MATCH("Category",'company tracker'!$1:$1,0),FALSE()),"")</f>
        <v/>
      </c>
      <c r="C98" s="1" t="str">
        <f aca="false">IFERROR(VLOOKUP(A98,'Pass 1 Archive'!$A:$AD,MATCH("LinkedIn Employee Count",'Pass 1 Archive'!$1:$1,0),FALSE()),"")</f>
        <v/>
      </c>
      <c r="D98" s="1" t="str">
        <f aca="false">IFERROR(VLOOKUP(A98,'company tracker'!$a:$s,MATCH("Jan 2025 Traffic",'company tracker'!$1:$1,0),FALSE()),"")</f>
        <v/>
      </c>
      <c r="E98" s="1" t="str">
        <f aca="false">IFERROR(VLOOKUP(A98,'company tracker'!$a:$s,MATCH("Jun 2026 Traffic",'company tracker'!$1:$1,0),FALSE()),"")</f>
        <v/>
      </c>
      <c r="F98" s="1" t="str">
        <f aca="false">IFERROR(VLOOKUP(A98,'company tracker'!$a:$s,MATCH("Traffic % Change",'company tracker'!$1:$1,0),FALSE()),"")</f>
        <v/>
      </c>
      <c r="G98" s="1" t="str">
        <f aca="false">IFERROR(VLOOKUP(A98,'company tracker'!$a:$s,MATCH("Jan 2025 Referring Domains",'company tracker'!$1:$1,0),FALSE()),"")</f>
        <v/>
      </c>
      <c r="H98" s="1" t="str">
        <f aca="false">IFERROR(VLOOKUP(A98,'company tracker'!$a:$s,MATCH("Jun 2026 Referring Domains",'company tracker'!$1:$1,0),FALSE()),"")</f>
        <v/>
      </c>
    </row>
    <row r="99" customFormat="false" ht="15" hidden="false" customHeight="true" outlineLevel="0" collapsed="false">
      <c r="B99" s="1" t="str">
        <f aca="false">IFERROR(VLOOKUP(A99,'company tracker'!$a:$s,MATCH("Category",'company tracker'!$1:$1,0),FALSE()),"")</f>
        <v/>
      </c>
      <c r="C99" s="1" t="str">
        <f aca="false">IFERROR(VLOOKUP(A99,'Pass 1 Archive'!$A:$AD,MATCH("LinkedIn Employee Count",'Pass 1 Archive'!$1:$1,0),FALSE()),"")</f>
        <v/>
      </c>
      <c r="D99" s="1" t="str">
        <f aca="false">IFERROR(VLOOKUP(A99,'company tracker'!$a:$s,MATCH("Jan 2025 Traffic",'company tracker'!$1:$1,0),FALSE()),"")</f>
        <v/>
      </c>
      <c r="E99" s="1" t="str">
        <f aca="false">IFERROR(VLOOKUP(A99,'company tracker'!$a:$s,MATCH("Jun 2026 Traffic",'company tracker'!$1:$1,0),FALSE()),"")</f>
        <v/>
      </c>
      <c r="F99" s="1" t="str">
        <f aca="false">IFERROR(VLOOKUP(A99,'company tracker'!$a:$s,MATCH("Traffic % Change",'company tracker'!$1:$1,0),FALSE()),"")</f>
        <v/>
      </c>
      <c r="G99" s="1" t="str">
        <f aca="false">IFERROR(VLOOKUP(A99,'company tracker'!$a:$s,MATCH("Jan 2025 Referring Domains",'company tracker'!$1:$1,0),FALSE()),"")</f>
        <v/>
      </c>
      <c r="H99" s="1" t="str">
        <f aca="false">IFERROR(VLOOKUP(A99,'company tracker'!$a:$s,MATCH("Jun 2026 Referring Domains",'company tracker'!$1:$1,0),FALSE()),"")</f>
        <v/>
      </c>
    </row>
    <row r="100" customFormat="false" ht="15" hidden="false" customHeight="true" outlineLevel="0" collapsed="false">
      <c r="B100" s="1" t="str">
        <f aca="false">IFERROR(VLOOKUP(A100,'company tracker'!$a:$s,MATCH("Category",'company tracker'!$1:$1,0),FALSE()),"")</f>
        <v/>
      </c>
      <c r="C100" s="1" t="str">
        <f aca="false">IFERROR(VLOOKUP(A100,'Pass 1 Archive'!$A:$AD,MATCH("LinkedIn Employee Count",'Pass 1 Archive'!$1:$1,0),FALSE()),"")</f>
        <v/>
      </c>
      <c r="D100" s="1" t="str">
        <f aca="false">IFERROR(VLOOKUP(A100,'company tracker'!$a:$s,MATCH("Jan 2025 Traffic",'company tracker'!$1:$1,0),FALSE()),"")</f>
        <v/>
      </c>
      <c r="E100" s="1" t="str">
        <f aca="false">IFERROR(VLOOKUP(A100,'company tracker'!$a:$s,MATCH("Jun 2026 Traffic",'company tracker'!$1:$1,0),FALSE()),"")</f>
        <v/>
      </c>
      <c r="F100" s="1" t="str">
        <f aca="false">IFERROR(VLOOKUP(A100,'company tracker'!$a:$s,MATCH("Traffic % Change",'company tracker'!$1:$1,0),FALSE()),"")</f>
        <v/>
      </c>
      <c r="G100" s="1" t="str">
        <f aca="false">IFERROR(VLOOKUP(A100,'company tracker'!$a:$s,MATCH("Jan 2025 Referring Domains",'company tracker'!$1:$1,0),FALSE()),"")</f>
        <v/>
      </c>
      <c r="H100" s="1" t="str">
        <f aca="false">IFERROR(VLOOKUP(A100,'company tracker'!$a:$s,MATCH("Jun 2026 Referring Domains",'company tracker'!$1:$1,0),FALSE()),"")</f>
        <v/>
      </c>
    </row>
    <row r="101" customFormat="false" ht="15" hidden="false" customHeight="true" outlineLevel="0" collapsed="false">
      <c r="B101" s="1" t="str">
        <f aca="false">IFERROR(VLOOKUP(A101,'company tracker'!$a:$s,MATCH("Category",'company tracker'!$1:$1,0),FALSE()),"")</f>
        <v/>
      </c>
      <c r="C101" s="1" t="str">
        <f aca="false">IFERROR(VLOOKUP(A101,'Pass 1 Archive'!$A:$AD,MATCH("LinkedIn Employee Count",'Pass 1 Archive'!$1:$1,0),FALSE()),"")</f>
        <v/>
      </c>
      <c r="D101" s="1" t="str">
        <f aca="false">IFERROR(VLOOKUP(A101,'company tracker'!$a:$s,MATCH("Jan 2025 Traffic",'company tracker'!$1:$1,0),FALSE()),"")</f>
        <v/>
      </c>
      <c r="E101" s="1" t="str">
        <f aca="false">IFERROR(VLOOKUP(A101,'company tracker'!$a:$s,MATCH("Jun 2026 Traffic",'company tracker'!$1:$1,0),FALSE()),"")</f>
        <v/>
      </c>
      <c r="F101" s="1" t="str">
        <f aca="false">IFERROR(VLOOKUP(A101,'company tracker'!$a:$s,MATCH("Traffic % Change",'company tracker'!$1:$1,0),FALSE()),"")</f>
        <v/>
      </c>
      <c r="G101" s="1" t="str">
        <f aca="false">IFERROR(VLOOKUP(A101,'company tracker'!$a:$s,MATCH("Jan 2025 Referring Domains",'company tracker'!$1:$1,0),FALSE()),"")</f>
        <v/>
      </c>
      <c r="H101" s="1" t="str">
        <f aca="false">IFERROR(VLOOKUP(A101,'company tracker'!$a:$s,MATCH("Jun 2026 Referring Domains",'company tracker'!$1:$1,0),FALSE()),"")</f>
        <v/>
      </c>
    </row>
    <row r="102" customFormat="false" ht="15" hidden="false" customHeight="true" outlineLevel="0" collapsed="false">
      <c r="B102" s="1" t="str">
        <f aca="false">IFERROR(VLOOKUP(A102,'company tracker'!$a:$s,MATCH("Category",'company tracker'!$1:$1,0),FALSE()),"")</f>
        <v/>
      </c>
      <c r="C102" s="1" t="str">
        <f aca="false">IFERROR(VLOOKUP(A102,'Pass 1 Archive'!$A:$AD,MATCH("LinkedIn Employee Count",'Pass 1 Archive'!$1:$1,0),FALSE()),"")</f>
        <v/>
      </c>
      <c r="D102" s="1" t="str">
        <f aca="false">IFERROR(VLOOKUP(A102,'company tracker'!$a:$s,MATCH("Jan 2025 Traffic",'company tracker'!$1:$1,0),FALSE()),"")</f>
        <v/>
      </c>
      <c r="E102" s="1" t="str">
        <f aca="false">IFERROR(VLOOKUP(A102,'company tracker'!$a:$s,MATCH("Jun 2026 Traffic",'company tracker'!$1:$1,0),FALSE()),"")</f>
        <v/>
      </c>
      <c r="F102" s="1" t="str">
        <f aca="false">IFERROR(VLOOKUP(A102,'company tracker'!$a:$s,MATCH("Traffic % Change",'company tracker'!$1:$1,0),FALSE()),"")</f>
        <v/>
      </c>
      <c r="G102" s="1" t="str">
        <f aca="false">IFERROR(VLOOKUP(A102,'company tracker'!$a:$s,MATCH("Jan 2025 Referring Domains",'company tracker'!$1:$1,0),FALSE()),"")</f>
        <v/>
      </c>
      <c r="H102" s="1" t="str">
        <f aca="false">IFERROR(VLOOKUP(A102,'company tracker'!$a:$s,MATCH("Jun 2026 Referring Domains",'company tracker'!$1:$1,0),FALSE()),"")</f>
        <v/>
      </c>
    </row>
    <row r="103" customFormat="false" ht="15" hidden="false" customHeight="true" outlineLevel="0" collapsed="false">
      <c r="B103" s="1" t="str">
        <f aca="false">IFERROR(VLOOKUP(A103,'company tracker'!$a:$s,MATCH("Category",'company tracker'!$1:$1,0),FALSE()),"")</f>
        <v/>
      </c>
      <c r="C103" s="1" t="str">
        <f aca="false">IFERROR(VLOOKUP(A103,'Pass 1 Archive'!$A:$AD,MATCH("LinkedIn Employee Count",'Pass 1 Archive'!$1:$1,0),FALSE()),"")</f>
        <v/>
      </c>
      <c r="D103" s="1" t="str">
        <f aca="false">IFERROR(VLOOKUP(A103,'company tracker'!$a:$s,MATCH("Jan 2025 Traffic",'company tracker'!$1:$1,0),FALSE()),"")</f>
        <v/>
      </c>
      <c r="E103" s="1" t="str">
        <f aca="false">IFERROR(VLOOKUP(A103,'company tracker'!$a:$s,MATCH("Jun 2026 Traffic",'company tracker'!$1:$1,0),FALSE()),"")</f>
        <v/>
      </c>
      <c r="F103" s="1" t="str">
        <f aca="false">IFERROR(VLOOKUP(A103,'company tracker'!$a:$s,MATCH("Traffic % Change",'company tracker'!$1:$1,0),FALSE()),"")</f>
        <v/>
      </c>
      <c r="G103" s="1" t="str">
        <f aca="false">IFERROR(VLOOKUP(A103,'company tracker'!$a:$s,MATCH("Jan 2025 Referring Domains",'company tracker'!$1:$1,0),FALSE()),"")</f>
        <v/>
      </c>
      <c r="H103" s="1" t="str">
        <f aca="false">IFERROR(VLOOKUP(A103,'company tracker'!$a:$s,MATCH("Jun 2026 Referring Domains",'company tracker'!$1:$1,0),FALSE()),"")</f>
        <v/>
      </c>
    </row>
    <row r="104" customFormat="false" ht="15" hidden="false" customHeight="true" outlineLevel="0" collapsed="false">
      <c r="B104" s="1" t="str">
        <f aca="false">IFERROR(VLOOKUP(A104,'company tracker'!$a:$s,MATCH("Category",'company tracker'!$1:$1,0),FALSE()),"")</f>
        <v/>
      </c>
      <c r="C104" s="1" t="str">
        <f aca="false">IFERROR(VLOOKUP(A104,'Pass 1 Archive'!$A:$AD,MATCH("LinkedIn Employee Count",'Pass 1 Archive'!$1:$1,0),FALSE()),"")</f>
        <v/>
      </c>
      <c r="D104" s="1" t="str">
        <f aca="false">IFERROR(VLOOKUP(A104,'company tracker'!$a:$s,MATCH("Jan 2025 Traffic",'company tracker'!$1:$1,0),FALSE()),"")</f>
        <v/>
      </c>
      <c r="E104" s="1" t="str">
        <f aca="false">IFERROR(VLOOKUP(A104,'company tracker'!$a:$s,MATCH("Jun 2026 Traffic",'company tracker'!$1:$1,0),FALSE()),"")</f>
        <v/>
      </c>
      <c r="F104" s="1" t="str">
        <f aca="false">IFERROR(VLOOKUP(A104,'company tracker'!$a:$s,MATCH("Traffic % Change",'company tracker'!$1:$1,0),FALSE()),"")</f>
        <v/>
      </c>
      <c r="G104" s="1" t="str">
        <f aca="false">IFERROR(VLOOKUP(A104,'company tracker'!$a:$s,MATCH("Jan 2025 Referring Domains",'company tracker'!$1:$1,0),FALSE()),"")</f>
        <v/>
      </c>
      <c r="H104" s="1" t="str">
        <f aca="false">IFERROR(VLOOKUP(A104,'company tracker'!$a:$s,MATCH("Jun 2026 Referring Domains",'company tracker'!$1:$1,0),FALSE()),"")</f>
        <v/>
      </c>
    </row>
    <row r="105" customFormat="false" ht="15" hidden="false" customHeight="true" outlineLevel="0" collapsed="false">
      <c r="B105" s="1" t="str">
        <f aca="false">IFERROR(VLOOKUP(A105,'company tracker'!$a:$s,MATCH("Category",'company tracker'!$1:$1,0),FALSE()),"")</f>
        <v/>
      </c>
      <c r="C105" s="1" t="str">
        <f aca="false">IFERROR(VLOOKUP(A105,'Pass 1 Archive'!$A:$AD,MATCH("LinkedIn Employee Count",'Pass 1 Archive'!$1:$1,0),FALSE()),"")</f>
        <v/>
      </c>
      <c r="D105" s="1" t="str">
        <f aca="false">IFERROR(VLOOKUP(A105,'company tracker'!$a:$s,MATCH("Jan 2025 Traffic",'company tracker'!$1:$1,0),FALSE()),"")</f>
        <v/>
      </c>
      <c r="E105" s="1" t="str">
        <f aca="false">IFERROR(VLOOKUP(A105,'company tracker'!$a:$s,MATCH("Jun 2026 Traffic",'company tracker'!$1:$1,0),FALSE()),"")</f>
        <v/>
      </c>
      <c r="F105" s="1" t="str">
        <f aca="false">IFERROR(VLOOKUP(A105,'company tracker'!$a:$s,MATCH("Traffic % Change",'company tracker'!$1:$1,0),FALSE()),"")</f>
        <v/>
      </c>
      <c r="G105" s="1" t="str">
        <f aca="false">IFERROR(VLOOKUP(A105,'company tracker'!$a:$s,MATCH("Jan 2025 Referring Domains",'company tracker'!$1:$1,0),FALSE()),"")</f>
        <v/>
      </c>
      <c r="H105" s="1" t="str">
        <f aca="false">IFERROR(VLOOKUP(A105,'company tracker'!$a:$s,MATCH("Jun 2026 Referring Domains",'company tracker'!$1:$1,0),FALSE()),"")</f>
        <v/>
      </c>
    </row>
    <row r="106" customFormat="false" ht="15" hidden="false" customHeight="true" outlineLevel="0" collapsed="false">
      <c r="B106" s="1" t="str">
        <f aca="false">IFERROR(VLOOKUP(A106,'company tracker'!$a:$s,MATCH("Category",'company tracker'!$1:$1,0),FALSE()),"")</f>
        <v/>
      </c>
      <c r="C106" s="1" t="str">
        <f aca="false">IFERROR(VLOOKUP(A106,'Pass 1 Archive'!$A:$AD,MATCH("LinkedIn Employee Count",'Pass 1 Archive'!$1:$1,0),FALSE()),"")</f>
        <v/>
      </c>
      <c r="D106" s="1" t="str">
        <f aca="false">IFERROR(VLOOKUP(A106,'company tracker'!$a:$s,MATCH("Jan 2025 Traffic",'company tracker'!$1:$1,0),FALSE()),"")</f>
        <v/>
      </c>
      <c r="E106" s="1" t="str">
        <f aca="false">IFERROR(VLOOKUP(A106,'company tracker'!$a:$s,MATCH("Jun 2026 Traffic",'company tracker'!$1:$1,0),FALSE()),"")</f>
        <v/>
      </c>
      <c r="F106" s="1" t="str">
        <f aca="false">IFERROR(VLOOKUP(A106,'company tracker'!$a:$s,MATCH("Traffic % Change",'company tracker'!$1:$1,0),FALSE()),"")</f>
        <v/>
      </c>
      <c r="G106" s="1" t="str">
        <f aca="false">IFERROR(VLOOKUP(A106,'company tracker'!$a:$s,MATCH("Jan 2025 Referring Domains",'company tracker'!$1:$1,0),FALSE()),"")</f>
        <v/>
      </c>
      <c r="H106" s="1" t="str">
        <f aca="false">IFERROR(VLOOKUP(A106,'company tracker'!$a:$s,MATCH("Jun 2026 Referring Domains",'company tracker'!$1:$1,0),FALSE()),"")</f>
        <v/>
      </c>
    </row>
    <row r="107" customFormat="false" ht="15" hidden="false" customHeight="true" outlineLevel="0" collapsed="false">
      <c r="B107" s="1" t="str">
        <f aca="false">IFERROR(VLOOKUP(A107,'company tracker'!$a:$s,MATCH("Category",'company tracker'!$1:$1,0),FALSE()),"")</f>
        <v/>
      </c>
      <c r="C107" s="1" t="str">
        <f aca="false">IFERROR(VLOOKUP(A107,'Pass 1 Archive'!$A:$AD,MATCH("LinkedIn Employee Count",'Pass 1 Archive'!$1:$1,0),FALSE()),"")</f>
        <v/>
      </c>
      <c r="D107" s="1" t="str">
        <f aca="false">IFERROR(VLOOKUP(A107,'company tracker'!$a:$s,MATCH("Jan 2025 Traffic",'company tracker'!$1:$1,0),FALSE()),"")</f>
        <v/>
      </c>
      <c r="E107" s="1" t="str">
        <f aca="false">IFERROR(VLOOKUP(A107,'company tracker'!$a:$s,MATCH("Jun 2026 Traffic",'company tracker'!$1:$1,0),FALSE()),"")</f>
        <v/>
      </c>
      <c r="F107" s="1" t="str">
        <f aca="false">IFERROR(VLOOKUP(A107,'company tracker'!$a:$s,MATCH("Traffic % Change",'company tracker'!$1:$1,0),FALSE()),"")</f>
        <v/>
      </c>
      <c r="G107" s="1" t="str">
        <f aca="false">IFERROR(VLOOKUP(A107,'company tracker'!$a:$s,MATCH("Jan 2025 Referring Domains",'company tracker'!$1:$1,0),FALSE()),"")</f>
        <v/>
      </c>
      <c r="H107" s="1" t="str">
        <f aca="false">IFERROR(VLOOKUP(A107,'company tracker'!$a:$s,MATCH("Jun 2026 Referring Domains",'company tracker'!$1:$1,0),FALSE()),"")</f>
        <v/>
      </c>
    </row>
    <row r="108" customFormat="false" ht="15" hidden="false" customHeight="true" outlineLevel="0" collapsed="false">
      <c r="B108" s="1" t="str">
        <f aca="false">IFERROR(VLOOKUP(A108,'company tracker'!$a:$s,MATCH("Category",'company tracker'!$1:$1,0),FALSE()),"")</f>
        <v/>
      </c>
      <c r="C108" s="1" t="str">
        <f aca="false">IFERROR(VLOOKUP(A108,'Pass 1 Archive'!$A:$AD,MATCH("LinkedIn Employee Count",'Pass 1 Archive'!$1:$1,0),FALSE()),"")</f>
        <v/>
      </c>
      <c r="D108" s="1" t="str">
        <f aca="false">IFERROR(VLOOKUP(A108,'company tracker'!$a:$s,MATCH("Jan 2025 Traffic",'company tracker'!$1:$1,0),FALSE()),"")</f>
        <v/>
      </c>
      <c r="E108" s="1" t="str">
        <f aca="false">IFERROR(VLOOKUP(A108,'company tracker'!$a:$s,MATCH("Jun 2026 Traffic",'company tracker'!$1:$1,0),FALSE()),"")</f>
        <v/>
      </c>
      <c r="F108" s="1" t="str">
        <f aca="false">IFERROR(VLOOKUP(A108,'company tracker'!$a:$s,MATCH("Traffic % Change",'company tracker'!$1:$1,0),FALSE()),"")</f>
        <v/>
      </c>
      <c r="G108" s="1" t="str">
        <f aca="false">IFERROR(VLOOKUP(A108,'company tracker'!$a:$s,MATCH("Jan 2025 Referring Domains",'company tracker'!$1:$1,0),FALSE()),"")</f>
        <v/>
      </c>
      <c r="H108" s="1" t="str">
        <f aca="false">IFERROR(VLOOKUP(A108,'company tracker'!$a:$s,MATCH("Jun 2026 Referring Domains",'company tracker'!$1:$1,0),FALSE()),"")</f>
        <v/>
      </c>
    </row>
    <row r="109" customFormat="false" ht="15" hidden="false" customHeight="true" outlineLevel="0" collapsed="false">
      <c r="B109" s="1" t="str">
        <f aca="false">IFERROR(VLOOKUP(A109,'company tracker'!$a:$s,MATCH("Category",'company tracker'!$1:$1,0),FALSE()),"")</f>
        <v/>
      </c>
      <c r="C109" s="1" t="str">
        <f aca="false">IFERROR(VLOOKUP(A109,'Pass 1 Archive'!$A:$AD,MATCH("LinkedIn Employee Count",'Pass 1 Archive'!$1:$1,0),FALSE()),"")</f>
        <v/>
      </c>
      <c r="D109" s="1" t="str">
        <f aca="false">IFERROR(VLOOKUP(A109,'company tracker'!$a:$s,MATCH("Jan 2025 Traffic",'company tracker'!$1:$1,0),FALSE()),"")</f>
        <v/>
      </c>
      <c r="E109" s="1" t="str">
        <f aca="false">IFERROR(VLOOKUP(A109,'company tracker'!$a:$s,MATCH("Jun 2026 Traffic",'company tracker'!$1:$1,0),FALSE()),"")</f>
        <v/>
      </c>
      <c r="F109" s="1" t="str">
        <f aca="false">IFERROR(VLOOKUP(A109,'company tracker'!$a:$s,MATCH("Traffic % Change",'company tracker'!$1:$1,0),FALSE()),"")</f>
        <v/>
      </c>
      <c r="G109" s="1" t="str">
        <f aca="false">IFERROR(VLOOKUP(A109,'company tracker'!$a:$s,MATCH("Jan 2025 Referring Domains",'company tracker'!$1:$1,0),FALSE()),"")</f>
        <v/>
      </c>
      <c r="H109" s="1" t="str">
        <f aca="false">IFERROR(VLOOKUP(A109,'company tracker'!$a:$s,MATCH("Jun 2026 Referring Domains",'company tracker'!$1:$1,0),FALSE()),"")</f>
        <v/>
      </c>
    </row>
    <row r="110" customFormat="false" ht="15" hidden="false" customHeight="true" outlineLevel="0" collapsed="false">
      <c r="B110" s="1" t="str">
        <f aca="false">IFERROR(VLOOKUP(A110,'company tracker'!$a:$s,MATCH("Category",'company tracker'!$1:$1,0),FALSE()),"")</f>
        <v/>
      </c>
      <c r="C110" s="1" t="str">
        <f aca="false">IFERROR(VLOOKUP(A110,'Pass 1 Archive'!$A:$AD,MATCH("LinkedIn Employee Count",'Pass 1 Archive'!$1:$1,0),FALSE()),"")</f>
        <v/>
      </c>
      <c r="D110" s="1" t="str">
        <f aca="false">IFERROR(VLOOKUP(A110,'company tracker'!$a:$s,MATCH("Jan 2025 Traffic",'company tracker'!$1:$1,0),FALSE()),"")</f>
        <v/>
      </c>
      <c r="E110" s="1" t="str">
        <f aca="false">IFERROR(VLOOKUP(A110,'company tracker'!$a:$s,MATCH("Jun 2026 Traffic",'company tracker'!$1:$1,0),FALSE()),"")</f>
        <v/>
      </c>
      <c r="F110" s="1" t="str">
        <f aca="false">IFERROR(VLOOKUP(A110,'company tracker'!$a:$s,MATCH("Traffic % Change",'company tracker'!$1:$1,0),FALSE()),"")</f>
        <v/>
      </c>
      <c r="G110" s="1" t="str">
        <f aca="false">IFERROR(VLOOKUP(A110,'company tracker'!$a:$s,MATCH("Jan 2025 Referring Domains",'company tracker'!$1:$1,0),FALSE()),"")</f>
        <v/>
      </c>
      <c r="H110" s="1" t="str">
        <f aca="false">IFERROR(VLOOKUP(A110,'company tracker'!$a:$s,MATCH("Jun 2026 Referring Domains",'company tracker'!$1:$1,0),FALSE()),"")</f>
        <v/>
      </c>
    </row>
    <row r="111" customFormat="false" ht="15" hidden="false" customHeight="true" outlineLevel="0" collapsed="false">
      <c r="B111" s="1" t="str">
        <f aca="false">IFERROR(VLOOKUP(A111,'company tracker'!$a:$s,MATCH("Category",'company tracker'!$1:$1,0),FALSE()),"")</f>
        <v/>
      </c>
      <c r="C111" s="1" t="str">
        <f aca="false">IFERROR(VLOOKUP(A111,'Pass 1 Archive'!$A:$AD,MATCH("LinkedIn Employee Count",'Pass 1 Archive'!$1:$1,0),FALSE()),"")</f>
        <v/>
      </c>
      <c r="D111" s="1" t="str">
        <f aca="false">IFERROR(VLOOKUP(A111,'company tracker'!$a:$s,MATCH("Jan 2025 Traffic",'company tracker'!$1:$1,0),FALSE()),"")</f>
        <v/>
      </c>
      <c r="E111" s="1" t="str">
        <f aca="false">IFERROR(VLOOKUP(A111,'company tracker'!$a:$s,MATCH("Jun 2026 Traffic",'company tracker'!$1:$1,0),FALSE()),"")</f>
        <v/>
      </c>
      <c r="F111" s="1" t="str">
        <f aca="false">IFERROR(VLOOKUP(A111,'company tracker'!$a:$s,MATCH("Traffic % Change",'company tracker'!$1:$1,0),FALSE()),"")</f>
        <v/>
      </c>
      <c r="G111" s="1" t="str">
        <f aca="false">IFERROR(VLOOKUP(A111,'company tracker'!$a:$s,MATCH("Jan 2025 Referring Domains",'company tracker'!$1:$1,0),FALSE()),"")</f>
        <v/>
      </c>
      <c r="H111" s="1" t="str">
        <f aca="false">IFERROR(VLOOKUP(A111,'company tracker'!$a:$s,MATCH("Jun 2026 Referring Domains",'company tracker'!$1:$1,0),FALSE()),"")</f>
        <v/>
      </c>
    </row>
    <row r="112" customFormat="false" ht="15" hidden="false" customHeight="true" outlineLevel="0" collapsed="false">
      <c r="B112" s="1" t="str">
        <f aca="false">IFERROR(VLOOKUP(A112,'company tracker'!$a:$s,MATCH("Category",'company tracker'!$1:$1,0),FALSE()),"")</f>
        <v/>
      </c>
      <c r="C112" s="1" t="str">
        <f aca="false">IFERROR(VLOOKUP(A112,'Pass 1 Archive'!$A:$AD,MATCH("LinkedIn Employee Count",'Pass 1 Archive'!$1:$1,0),FALSE()),"")</f>
        <v/>
      </c>
      <c r="D112" s="1" t="str">
        <f aca="false">IFERROR(VLOOKUP(A112,'company tracker'!$a:$s,MATCH("Jan 2025 Traffic",'company tracker'!$1:$1,0),FALSE()),"")</f>
        <v/>
      </c>
      <c r="E112" s="1" t="str">
        <f aca="false">IFERROR(VLOOKUP(A112,'company tracker'!$a:$s,MATCH("Jun 2026 Traffic",'company tracker'!$1:$1,0),FALSE()),"")</f>
        <v/>
      </c>
      <c r="F112" s="1" t="str">
        <f aca="false">IFERROR(VLOOKUP(A112,'company tracker'!$a:$s,MATCH("Traffic % Change",'company tracker'!$1:$1,0),FALSE()),"")</f>
        <v/>
      </c>
      <c r="G112" s="1" t="str">
        <f aca="false">IFERROR(VLOOKUP(A112,'company tracker'!$a:$s,MATCH("Jan 2025 Referring Domains",'company tracker'!$1:$1,0),FALSE()),"")</f>
        <v/>
      </c>
      <c r="H112" s="1" t="str">
        <f aca="false">IFERROR(VLOOKUP(A112,'company tracker'!$a:$s,MATCH("Jun 2026 Referring Domains",'company tracker'!$1:$1,0),FALSE()),"")</f>
        <v/>
      </c>
    </row>
    <row r="113" customFormat="false" ht="15" hidden="false" customHeight="true" outlineLevel="0" collapsed="false">
      <c r="B113" s="1" t="str">
        <f aca="false">IFERROR(VLOOKUP(A113,'company tracker'!$a:$s,MATCH("Category",'company tracker'!$1:$1,0),FALSE()),"")</f>
        <v/>
      </c>
      <c r="C113" s="1" t="str">
        <f aca="false">IFERROR(VLOOKUP(A113,'Pass 1 Archive'!$A:$AD,MATCH("LinkedIn Employee Count",'Pass 1 Archive'!$1:$1,0),FALSE()),"")</f>
        <v/>
      </c>
      <c r="D113" s="1" t="str">
        <f aca="false">IFERROR(VLOOKUP(A113,'company tracker'!$a:$s,MATCH("Jan 2025 Traffic",'company tracker'!$1:$1,0),FALSE()),"")</f>
        <v/>
      </c>
      <c r="E113" s="1" t="str">
        <f aca="false">IFERROR(VLOOKUP(A113,'company tracker'!$a:$s,MATCH("Jun 2026 Traffic",'company tracker'!$1:$1,0),FALSE()),"")</f>
        <v/>
      </c>
      <c r="F113" s="1" t="str">
        <f aca="false">IFERROR(VLOOKUP(A113,'company tracker'!$a:$s,MATCH("Traffic % Change",'company tracker'!$1:$1,0),FALSE()),"")</f>
        <v/>
      </c>
      <c r="G113" s="1" t="str">
        <f aca="false">IFERROR(VLOOKUP(A113,'company tracker'!$a:$s,MATCH("Jan 2025 Referring Domains",'company tracker'!$1:$1,0),FALSE()),"")</f>
        <v/>
      </c>
      <c r="H113" s="1" t="str">
        <f aca="false">IFERROR(VLOOKUP(A113,'company tracker'!$a:$s,MATCH("Jun 2026 Referring Domains",'company tracker'!$1:$1,0),FALSE()),"")</f>
        <v/>
      </c>
    </row>
    <row r="114" customFormat="false" ht="15" hidden="false" customHeight="true" outlineLevel="0" collapsed="false">
      <c r="B114" s="1" t="str">
        <f aca="false">IFERROR(VLOOKUP(A114,'company tracker'!$a:$s,MATCH("Category",'company tracker'!$1:$1,0),FALSE()),"")</f>
        <v/>
      </c>
      <c r="C114" s="1" t="str">
        <f aca="false">IFERROR(VLOOKUP(A114,'Pass 1 Archive'!$A:$AD,MATCH("LinkedIn Employee Count",'Pass 1 Archive'!$1:$1,0),FALSE()),"")</f>
        <v/>
      </c>
      <c r="D114" s="1" t="str">
        <f aca="false">IFERROR(VLOOKUP(A114,'company tracker'!$a:$s,MATCH("Jan 2025 Traffic",'company tracker'!$1:$1,0),FALSE()),"")</f>
        <v/>
      </c>
      <c r="E114" s="1" t="str">
        <f aca="false">IFERROR(VLOOKUP(A114,'company tracker'!$a:$s,MATCH("Jun 2026 Traffic",'company tracker'!$1:$1,0),FALSE()),"")</f>
        <v/>
      </c>
      <c r="F114" s="1" t="str">
        <f aca="false">IFERROR(VLOOKUP(A114,'company tracker'!$a:$s,MATCH("Traffic % Change",'company tracker'!$1:$1,0),FALSE()),"")</f>
        <v/>
      </c>
      <c r="G114" s="1" t="str">
        <f aca="false">IFERROR(VLOOKUP(A114,'company tracker'!$a:$s,MATCH("Jan 2025 Referring Domains",'company tracker'!$1:$1,0),FALSE()),"")</f>
        <v/>
      </c>
      <c r="H114" s="1" t="str">
        <f aca="false">IFERROR(VLOOKUP(A114,'company tracker'!$a:$s,MATCH("Jun 2026 Referring Domains",'company tracker'!$1:$1,0),FALSE()),"")</f>
        <v/>
      </c>
    </row>
    <row r="115" customFormat="false" ht="15" hidden="false" customHeight="true" outlineLevel="0" collapsed="false">
      <c r="B115" s="1" t="str">
        <f aca="false">IFERROR(VLOOKUP(A115,'company tracker'!$a:$s,MATCH("Category",'company tracker'!$1:$1,0),FALSE()),"")</f>
        <v/>
      </c>
      <c r="C115" s="1" t="str">
        <f aca="false">IFERROR(VLOOKUP(A115,'Pass 1 Archive'!$A:$AD,MATCH("LinkedIn Employee Count",'Pass 1 Archive'!$1:$1,0),FALSE()),"")</f>
        <v/>
      </c>
      <c r="D115" s="1" t="str">
        <f aca="false">IFERROR(VLOOKUP(A115,'company tracker'!$a:$s,MATCH("Jan 2025 Traffic",'company tracker'!$1:$1,0),FALSE()),"")</f>
        <v/>
      </c>
      <c r="E115" s="1" t="str">
        <f aca="false">IFERROR(VLOOKUP(A115,'company tracker'!$a:$s,MATCH("Jun 2026 Traffic",'company tracker'!$1:$1,0),FALSE()),"")</f>
        <v/>
      </c>
      <c r="F115" s="1" t="str">
        <f aca="false">IFERROR(VLOOKUP(A115,'company tracker'!$a:$s,MATCH("Traffic % Change",'company tracker'!$1:$1,0),FALSE()),"")</f>
        <v/>
      </c>
      <c r="G115" s="1" t="str">
        <f aca="false">IFERROR(VLOOKUP(A115,'company tracker'!$a:$s,MATCH("Jan 2025 Referring Domains",'company tracker'!$1:$1,0),FALSE()),"")</f>
        <v/>
      </c>
      <c r="H115" s="1" t="str">
        <f aca="false">IFERROR(VLOOKUP(A115,'company tracker'!$a:$s,MATCH("Jun 2026 Referring Domains",'company tracker'!$1:$1,0),FALSE()),"")</f>
        <v/>
      </c>
    </row>
    <row r="116" customFormat="false" ht="15" hidden="false" customHeight="true" outlineLevel="0" collapsed="false">
      <c r="B116" s="1" t="str">
        <f aca="false">IFERROR(VLOOKUP(A116,'company tracker'!$a:$s,MATCH("Category",'company tracker'!$1:$1,0),FALSE()),"")</f>
        <v/>
      </c>
      <c r="C116" s="1" t="str">
        <f aca="false">IFERROR(VLOOKUP(A116,'Pass 1 Archive'!$A:$AD,MATCH("LinkedIn Employee Count",'Pass 1 Archive'!$1:$1,0),FALSE()),"")</f>
        <v/>
      </c>
      <c r="D116" s="1" t="str">
        <f aca="false">IFERROR(VLOOKUP(A116,'company tracker'!$a:$s,MATCH("Jan 2025 Traffic",'company tracker'!$1:$1,0),FALSE()),"")</f>
        <v/>
      </c>
      <c r="E116" s="1" t="str">
        <f aca="false">IFERROR(VLOOKUP(A116,'company tracker'!$a:$s,MATCH("Jun 2026 Traffic",'company tracker'!$1:$1,0),FALSE()),"")</f>
        <v/>
      </c>
      <c r="F116" s="1" t="str">
        <f aca="false">IFERROR(VLOOKUP(A116,'company tracker'!$a:$s,MATCH("Traffic % Change",'company tracker'!$1:$1,0),FALSE()),"")</f>
        <v/>
      </c>
      <c r="G116" s="1" t="str">
        <f aca="false">IFERROR(VLOOKUP(A116,'company tracker'!$a:$s,MATCH("Jan 2025 Referring Domains",'company tracker'!$1:$1,0),FALSE()),"")</f>
        <v/>
      </c>
      <c r="H116" s="1" t="str">
        <f aca="false">IFERROR(VLOOKUP(A116,'company tracker'!$a:$s,MATCH("Jun 2026 Referring Domains",'company tracker'!$1:$1,0),FALSE()),"")</f>
        <v/>
      </c>
    </row>
    <row r="117" customFormat="false" ht="15" hidden="false" customHeight="true" outlineLevel="0" collapsed="false">
      <c r="B117" s="1" t="str">
        <f aca="false">IFERROR(VLOOKUP(A117,'company tracker'!$a:$s,MATCH("Category",'company tracker'!$1:$1,0),FALSE()),"")</f>
        <v/>
      </c>
      <c r="C117" s="1" t="str">
        <f aca="false">IFERROR(VLOOKUP(A117,'Pass 1 Archive'!$A:$AD,MATCH("LinkedIn Employee Count",'Pass 1 Archive'!$1:$1,0),FALSE()),"")</f>
        <v/>
      </c>
      <c r="D117" s="1" t="str">
        <f aca="false">IFERROR(VLOOKUP(A117,'company tracker'!$a:$s,MATCH("Jan 2025 Traffic",'company tracker'!$1:$1,0),FALSE()),"")</f>
        <v/>
      </c>
      <c r="E117" s="1" t="str">
        <f aca="false">IFERROR(VLOOKUP(A117,'company tracker'!$a:$s,MATCH("Jun 2026 Traffic",'company tracker'!$1:$1,0),FALSE()),"")</f>
        <v/>
      </c>
      <c r="F117" s="1" t="str">
        <f aca="false">IFERROR(VLOOKUP(A117,'company tracker'!$a:$s,MATCH("Traffic % Change",'company tracker'!$1:$1,0),FALSE()),"")</f>
        <v/>
      </c>
      <c r="G117" s="1" t="str">
        <f aca="false">IFERROR(VLOOKUP(A117,'company tracker'!$a:$s,MATCH("Jan 2025 Referring Domains",'company tracker'!$1:$1,0),FALSE()),"")</f>
        <v/>
      </c>
      <c r="H117" s="1" t="str">
        <f aca="false">IFERROR(VLOOKUP(A117,'company tracker'!$a:$s,MATCH("Jun 2026 Referring Domains",'company tracker'!$1:$1,0),FALSE()),"")</f>
        <v/>
      </c>
    </row>
    <row r="118" customFormat="false" ht="15" hidden="false" customHeight="true" outlineLevel="0" collapsed="false">
      <c r="B118" s="1" t="str">
        <f aca="false">IFERROR(VLOOKUP(A118,'company tracker'!$a:$s,MATCH("Category",'company tracker'!$1:$1,0),FALSE()),"")</f>
        <v/>
      </c>
      <c r="C118" s="1" t="str">
        <f aca="false">IFERROR(VLOOKUP(A118,'Pass 1 Archive'!$A:$AD,MATCH("LinkedIn Employee Count",'Pass 1 Archive'!$1:$1,0),FALSE()),"")</f>
        <v/>
      </c>
      <c r="D118" s="1" t="str">
        <f aca="false">IFERROR(VLOOKUP(A118,'company tracker'!$a:$s,MATCH("Jan 2025 Traffic",'company tracker'!$1:$1,0),FALSE()),"")</f>
        <v/>
      </c>
      <c r="E118" s="1" t="str">
        <f aca="false">IFERROR(VLOOKUP(A118,'company tracker'!$a:$s,MATCH("Jun 2026 Traffic",'company tracker'!$1:$1,0),FALSE()),"")</f>
        <v/>
      </c>
      <c r="F118" s="1" t="str">
        <f aca="false">IFERROR(VLOOKUP(A118,'company tracker'!$a:$s,MATCH("Traffic % Change",'company tracker'!$1:$1,0),FALSE()),"")</f>
        <v/>
      </c>
      <c r="G118" s="1" t="str">
        <f aca="false">IFERROR(VLOOKUP(A118,'company tracker'!$a:$s,MATCH("Jan 2025 Referring Domains",'company tracker'!$1:$1,0),FALSE()),"")</f>
        <v/>
      </c>
      <c r="H118" s="1" t="str">
        <f aca="false">IFERROR(VLOOKUP(A118,'company tracker'!$a:$s,MATCH("Jun 2026 Referring Domains",'company tracker'!$1:$1,0),FALSE()),"")</f>
        <v/>
      </c>
    </row>
    <row r="119" customFormat="false" ht="15" hidden="false" customHeight="true" outlineLevel="0" collapsed="false">
      <c r="B119" s="1" t="str">
        <f aca="false">IFERROR(VLOOKUP(A119,'company tracker'!$a:$s,MATCH("Category",'company tracker'!$1:$1,0),FALSE()),"")</f>
        <v/>
      </c>
      <c r="C119" s="1" t="str">
        <f aca="false">IFERROR(VLOOKUP(A119,'Pass 1 Archive'!$A:$AD,MATCH("LinkedIn Employee Count",'Pass 1 Archive'!$1:$1,0),FALSE()),"")</f>
        <v/>
      </c>
      <c r="D119" s="1" t="str">
        <f aca="false">IFERROR(VLOOKUP(A119,'company tracker'!$a:$s,MATCH("Jan 2025 Traffic",'company tracker'!$1:$1,0),FALSE()),"")</f>
        <v/>
      </c>
      <c r="E119" s="1" t="str">
        <f aca="false">IFERROR(VLOOKUP(A119,'company tracker'!$a:$s,MATCH("Jun 2026 Traffic",'company tracker'!$1:$1,0),FALSE()),"")</f>
        <v/>
      </c>
      <c r="F119" s="1" t="str">
        <f aca="false">IFERROR(VLOOKUP(A119,'company tracker'!$a:$s,MATCH("Traffic % Change",'company tracker'!$1:$1,0),FALSE()),"")</f>
        <v/>
      </c>
      <c r="G119" s="1" t="str">
        <f aca="false">IFERROR(VLOOKUP(A119,'company tracker'!$a:$s,MATCH("Jan 2025 Referring Domains",'company tracker'!$1:$1,0),FALSE()),"")</f>
        <v/>
      </c>
      <c r="H119" s="1" t="str">
        <f aca="false">IFERROR(VLOOKUP(A119,'company tracker'!$a:$s,MATCH("Jun 2026 Referring Domains",'company tracker'!$1:$1,0),FALSE()),"")</f>
        <v/>
      </c>
    </row>
    <row r="120" customFormat="false" ht="15" hidden="false" customHeight="true" outlineLevel="0" collapsed="false">
      <c r="B120" s="1" t="str">
        <f aca="false">IFERROR(VLOOKUP(A120,'company tracker'!$a:$s,MATCH("Category",'company tracker'!$1:$1,0),FALSE()),"")</f>
        <v/>
      </c>
      <c r="C120" s="1" t="str">
        <f aca="false">IFERROR(VLOOKUP(A120,'Pass 1 Archive'!$A:$AD,MATCH("LinkedIn Employee Count",'Pass 1 Archive'!$1:$1,0),FALSE()),"")</f>
        <v/>
      </c>
      <c r="D120" s="1" t="str">
        <f aca="false">IFERROR(VLOOKUP(A120,'company tracker'!$a:$s,MATCH("Jan 2025 Traffic",'company tracker'!$1:$1,0),FALSE()),"")</f>
        <v/>
      </c>
      <c r="E120" s="1" t="str">
        <f aca="false">IFERROR(VLOOKUP(A120,'company tracker'!$a:$s,MATCH("Jun 2026 Traffic",'company tracker'!$1:$1,0),FALSE()),"")</f>
        <v/>
      </c>
      <c r="F120" s="1" t="str">
        <f aca="false">IFERROR(VLOOKUP(A120,'company tracker'!$a:$s,MATCH("Traffic % Change",'company tracker'!$1:$1,0),FALSE()),"")</f>
        <v/>
      </c>
      <c r="G120" s="1" t="str">
        <f aca="false">IFERROR(VLOOKUP(A120,'company tracker'!$a:$s,MATCH("Jan 2025 Referring Domains",'company tracker'!$1:$1,0),FALSE()),"")</f>
        <v/>
      </c>
      <c r="H120" s="1" t="str">
        <f aca="false">IFERROR(VLOOKUP(A120,'company tracker'!$a:$s,MATCH("Jun 2026 Referring Domains",'company tracker'!$1:$1,0),FALSE()),"")</f>
        <v/>
      </c>
    </row>
    <row r="121" customFormat="false" ht="15" hidden="false" customHeight="true" outlineLevel="0" collapsed="false">
      <c r="B121" s="1" t="str">
        <f aca="false">IFERROR(VLOOKUP(A121,'company tracker'!$a:$s,MATCH("Category",'company tracker'!$1:$1,0),FALSE()),"")</f>
        <v/>
      </c>
      <c r="C121" s="1" t="str">
        <f aca="false">IFERROR(VLOOKUP(A121,'Pass 1 Archive'!$A:$AD,MATCH("LinkedIn Employee Count",'Pass 1 Archive'!$1:$1,0),FALSE()),"")</f>
        <v/>
      </c>
      <c r="D121" s="1" t="str">
        <f aca="false">IFERROR(VLOOKUP(A121,'company tracker'!$a:$s,MATCH("Jan 2025 Traffic",'company tracker'!$1:$1,0),FALSE()),"")</f>
        <v/>
      </c>
      <c r="E121" s="1" t="str">
        <f aca="false">IFERROR(VLOOKUP(A121,'company tracker'!$a:$s,MATCH("Jun 2026 Traffic",'company tracker'!$1:$1,0),FALSE()),"")</f>
        <v/>
      </c>
      <c r="F121" s="1" t="str">
        <f aca="false">IFERROR(VLOOKUP(A121,'company tracker'!$a:$s,MATCH("Traffic % Change",'company tracker'!$1:$1,0),FALSE()),"")</f>
        <v/>
      </c>
      <c r="G121" s="1" t="str">
        <f aca="false">IFERROR(VLOOKUP(A121,'company tracker'!$a:$s,MATCH("Jan 2025 Referring Domains",'company tracker'!$1:$1,0),FALSE()),"")</f>
        <v/>
      </c>
      <c r="H121" s="1" t="str">
        <f aca="false">IFERROR(VLOOKUP(A121,'company tracker'!$a:$s,MATCH("Jun 2026 Referring Domains",'company tracker'!$1:$1,0),FALSE()),"")</f>
        <v/>
      </c>
    </row>
    <row r="122" customFormat="false" ht="15" hidden="false" customHeight="true" outlineLevel="0" collapsed="false">
      <c r="B122" s="1" t="str">
        <f aca="false">IFERROR(VLOOKUP(A122,'company tracker'!$a:$s,MATCH("Category",'company tracker'!$1:$1,0),FALSE()),"")</f>
        <v/>
      </c>
      <c r="C122" s="1" t="str">
        <f aca="false">IFERROR(VLOOKUP(A122,'Pass 1 Archive'!$A:$AD,MATCH("LinkedIn Employee Count",'Pass 1 Archive'!$1:$1,0),FALSE()),"")</f>
        <v/>
      </c>
      <c r="D122" s="1" t="str">
        <f aca="false">IFERROR(VLOOKUP(A122,'company tracker'!$a:$s,MATCH("Jan 2025 Traffic",'company tracker'!$1:$1,0),FALSE()),"")</f>
        <v/>
      </c>
      <c r="E122" s="1" t="str">
        <f aca="false">IFERROR(VLOOKUP(A122,'company tracker'!$a:$s,MATCH("Jun 2026 Traffic",'company tracker'!$1:$1,0),FALSE()),"")</f>
        <v/>
      </c>
      <c r="F122" s="1" t="str">
        <f aca="false">IFERROR(VLOOKUP(A122,'company tracker'!$a:$s,MATCH("Traffic % Change",'company tracker'!$1:$1,0),FALSE()),"")</f>
        <v/>
      </c>
      <c r="G122" s="1" t="str">
        <f aca="false">IFERROR(VLOOKUP(A122,'company tracker'!$a:$s,MATCH("Jan 2025 Referring Domains",'company tracker'!$1:$1,0),FALSE()),"")</f>
        <v/>
      </c>
      <c r="H122" s="1" t="str">
        <f aca="false">IFERROR(VLOOKUP(A122,'company tracker'!$a:$s,MATCH("Jun 2026 Referring Domains",'company tracker'!$1:$1,0),FALSE()),"")</f>
        <v/>
      </c>
    </row>
    <row r="123" customFormat="false" ht="15" hidden="false" customHeight="true" outlineLevel="0" collapsed="false">
      <c r="B123" s="1" t="str">
        <f aca="false">IFERROR(VLOOKUP(A123,'company tracker'!$a:$s,MATCH("Category",'company tracker'!$1:$1,0),FALSE()),"")</f>
        <v/>
      </c>
      <c r="C123" s="1" t="str">
        <f aca="false">IFERROR(VLOOKUP(A123,'Pass 1 Archive'!$A:$AD,MATCH("LinkedIn Employee Count",'Pass 1 Archive'!$1:$1,0),FALSE()),"")</f>
        <v/>
      </c>
      <c r="D123" s="1" t="str">
        <f aca="false">IFERROR(VLOOKUP(A123,'company tracker'!$a:$s,MATCH("Jan 2025 Traffic",'company tracker'!$1:$1,0),FALSE()),"")</f>
        <v/>
      </c>
      <c r="E123" s="1" t="str">
        <f aca="false">IFERROR(VLOOKUP(A123,'company tracker'!$a:$s,MATCH("Jun 2026 Traffic",'company tracker'!$1:$1,0),FALSE()),"")</f>
        <v/>
      </c>
      <c r="F123" s="1" t="str">
        <f aca="false">IFERROR(VLOOKUP(A123,'company tracker'!$a:$s,MATCH("Traffic % Change",'company tracker'!$1:$1,0),FALSE()),"")</f>
        <v/>
      </c>
      <c r="G123" s="1" t="str">
        <f aca="false">IFERROR(VLOOKUP(A123,'company tracker'!$a:$s,MATCH("Jan 2025 Referring Domains",'company tracker'!$1:$1,0),FALSE()),"")</f>
        <v/>
      </c>
      <c r="H123" s="1" t="str">
        <f aca="false">IFERROR(VLOOKUP(A123,'company tracker'!$a:$s,MATCH("Jun 2026 Referring Domains",'company tracker'!$1:$1,0),FALSE()),"")</f>
        <v/>
      </c>
    </row>
    <row r="124" customFormat="false" ht="15" hidden="false" customHeight="true" outlineLevel="0" collapsed="false">
      <c r="B124" s="1" t="str">
        <f aca="false">IFERROR(VLOOKUP(A124,'company tracker'!$a:$s,MATCH("Category",'company tracker'!$1:$1,0),FALSE()),"")</f>
        <v/>
      </c>
      <c r="C124" s="1" t="str">
        <f aca="false">IFERROR(VLOOKUP(A124,'Pass 1 Archive'!$A:$AD,MATCH("LinkedIn Employee Count",'Pass 1 Archive'!$1:$1,0),FALSE()),"")</f>
        <v/>
      </c>
      <c r="D124" s="1" t="str">
        <f aca="false">IFERROR(VLOOKUP(A124,'company tracker'!$a:$s,MATCH("Jan 2025 Traffic",'company tracker'!$1:$1,0),FALSE()),"")</f>
        <v/>
      </c>
      <c r="E124" s="1" t="str">
        <f aca="false">IFERROR(VLOOKUP(A124,'company tracker'!$a:$s,MATCH("Jun 2026 Traffic",'company tracker'!$1:$1,0),FALSE()),"")</f>
        <v/>
      </c>
      <c r="F124" s="1" t="str">
        <f aca="false">IFERROR(VLOOKUP(A124,'company tracker'!$a:$s,MATCH("Traffic % Change",'company tracker'!$1:$1,0),FALSE()),"")</f>
        <v/>
      </c>
      <c r="G124" s="1" t="str">
        <f aca="false">IFERROR(VLOOKUP(A124,'company tracker'!$a:$s,MATCH("Jan 2025 Referring Domains",'company tracker'!$1:$1,0),FALSE()),"")</f>
        <v/>
      </c>
      <c r="H124" s="1" t="str">
        <f aca="false">IFERROR(VLOOKUP(A124,'company tracker'!$a:$s,MATCH("Jun 2026 Referring Domains",'company tracker'!$1:$1,0),FALSE()),"")</f>
        <v/>
      </c>
    </row>
    <row r="125" customFormat="false" ht="15" hidden="false" customHeight="true" outlineLevel="0" collapsed="false">
      <c r="B125" s="1" t="str">
        <f aca="false">IFERROR(VLOOKUP(A125,'company tracker'!$a:$s,MATCH("Category",'company tracker'!$1:$1,0),FALSE()),"")</f>
        <v/>
      </c>
      <c r="C125" s="1" t="str">
        <f aca="false">IFERROR(VLOOKUP(A125,'Pass 1 Archive'!$A:$AD,MATCH("LinkedIn Employee Count",'Pass 1 Archive'!$1:$1,0),FALSE()),"")</f>
        <v/>
      </c>
      <c r="D125" s="1" t="str">
        <f aca="false">IFERROR(VLOOKUP(A125,'company tracker'!$a:$s,MATCH("Jan 2025 Traffic",'company tracker'!$1:$1,0),FALSE()),"")</f>
        <v/>
      </c>
      <c r="E125" s="1" t="str">
        <f aca="false">IFERROR(VLOOKUP(A125,'company tracker'!$a:$s,MATCH("Jun 2026 Traffic",'company tracker'!$1:$1,0),FALSE()),"")</f>
        <v/>
      </c>
      <c r="F125" s="1" t="str">
        <f aca="false">IFERROR(VLOOKUP(A125,'company tracker'!$a:$s,MATCH("Traffic % Change",'company tracker'!$1:$1,0),FALSE()),"")</f>
        <v/>
      </c>
      <c r="G125" s="1" t="str">
        <f aca="false">IFERROR(VLOOKUP(A125,'company tracker'!$a:$s,MATCH("Jan 2025 Referring Domains",'company tracker'!$1:$1,0),FALSE()),"")</f>
        <v/>
      </c>
      <c r="H125" s="1" t="str">
        <f aca="false">IFERROR(VLOOKUP(A125,'company tracker'!$a:$s,MATCH("Jun 2026 Referring Domains",'company tracker'!$1:$1,0),FALSE()),"")</f>
        <v/>
      </c>
    </row>
    <row r="126" customFormat="false" ht="15" hidden="false" customHeight="true" outlineLevel="0" collapsed="false">
      <c r="B126" s="1" t="str">
        <f aca="false">IFERROR(VLOOKUP(A126,'company tracker'!$a:$s,MATCH("Category",'company tracker'!$1:$1,0),FALSE()),"")</f>
        <v/>
      </c>
      <c r="C126" s="1" t="str">
        <f aca="false">IFERROR(VLOOKUP(A126,'Pass 1 Archive'!$A:$AD,MATCH("LinkedIn Employee Count",'Pass 1 Archive'!$1:$1,0),FALSE()),"")</f>
        <v/>
      </c>
      <c r="D126" s="1" t="str">
        <f aca="false">IFERROR(VLOOKUP(A126,'company tracker'!$a:$s,MATCH("Jan 2025 Traffic",'company tracker'!$1:$1,0),FALSE()),"")</f>
        <v/>
      </c>
      <c r="E126" s="1" t="str">
        <f aca="false">IFERROR(VLOOKUP(A126,'company tracker'!$a:$s,MATCH("Jun 2026 Traffic",'company tracker'!$1:$1,0),FALSE()),"")</f>
        <v/>
      </c>
      <c r="F126" s="1" t="str">
        <f aca="false">IFERROR(VLOOKUP(A126,'company tracker'!$a:$s,MATCH("Traffic % Change",'company tracker'!$1:$1,0),FALSE()),"")</f>
        <v/>
      </c>
      <c r="G126" s="1" t="str">
        <f aca="false">IFERROR(VLOOKUP(A126,'company tracker'!$a:$s,MATCH("Jan 2025 Referring Domains",'company tracker'!$1:$1,0),FALSE()),"")</f>
        <v/>
      </c>
      <c r="H126" s="1" t="str">
        <f aca="false">IFERROR(VLOOKUP(A126,'company tracker'!$a:$s,MATCH("Jun 2026 Referring Domains",'company tracker'!$1:$1,0),FALSE()),"")</f>
        <v/>
      </c>
    </row>
    <row r="127" customFormat="false" ht="15" hidden="false" customHeight="true" outlineLevel="0" collapsed="false">
      <c r="B127" s="1" t="str">
        <f aca="false">IFERROR(VLOOKUP(A127,'company tracker'!$a:$s,MATCH("Category",'company tracker'!$1:$1,0),FALSE()),"")</f>
        <v/>
      </c>
      <c r="C127" s="1" t="str">
        <f aca="false">IFERROR(VLOOKUP(A127,'Pass 1 Archive'!$A:$AD,MATCH("LinkedIn Employee Count",'Pass 1 Archive'!$1:$1,0),FALSE()),"")</f>
        <v/>
      </c>
      <c r="D127" s="1" t="str">
        <f aca="false">IFERROR(VLOOKUP(A127,'company tracker'!$a:$s,MATCH("Jan 2025 Traffic",'company tracker'!$1:$1,0),FALSE()),"")</f>
        <v/>
      </c>
      <c r="E127" s="1" t="str">
        <f aca="false">IFERROR(VLOOKUP(A127,'company tracker'!$a:$s,MATCH("Jun 2026 Traffic",'company tracker'!$1:$1,0),FALSE()),"")</f>
        <v/>
      </c>
      <c r="F127" s="1" t="str">
        <f aca="false">IFERROR(VLOOKUP(A127,'company tracker'!$a:$s,MATCH("Traffic % Change",'company tracker'!$1:$1,0),FALSE()),"")</f>
        <v/>
      </c>
      <c r="G127" s="1" t="str">
        <f aca="false">IFERROR(VLOOKUP(A127,'company tracker'!$a:$s,MATCH("Jan 2025 Referring Domains",'company tracker'!$1:$1,0),FALSE()),"")</f>
        <v/>
      </c>
      <c r="H127" s="1" t="str">
        <f aca="false">IFERROR(VLOOKUP(A127,'company tracker'!$a:$s,MATCH("Jun 2026 Referring Domains",'company tracker'!$1:$1,0),FALSE()),"")</f>
        <v/>
      </c>
    </row>
    <row r="128" customFormat="false" ht="15" hidden="false" customHeight="true" outlineLevel="0" collapsed="false">
      <c r="B128" s="1" t="str">
        <f aca="false">IFERROR(VLOOKUP(A128,'company tracker'!$a:$s,MATCH("Category",'company tracker'!$1:$1,0),FALSE()),"")</f>
        <v/>
      </c>
      <c r="C128" s="1" t="str">
        <f aca="false">IFERROR(VLOOKUP(A128,'Pass 1 Archive'!$A:$AD,MATCH("LinkedIn Employee Count",'Pass 1 Archive'!$1:$1,0),FALSE()),"")</f>
        <v/>
      </c>
      <c r="D128" s="1" t="str">
        <f aca="false">IFERROR(VLOOKUP(A128,'company tracker'!$a:$s,MATCH("Jan 2025 Traffic",'company tracker'!$1:$1,0),FALSE()),"")</f>
        <v/>
      </c>
      <c r="E128" s="1" t="str">
        <f aca="false">IFERROR(VLOOKUP(A128,'company tracker'!$a:$s,MATCH("Jun 2026 Traffic",'company tracker'!$1:$1,0),FALSE()),"")</f>
        <v/>
      </c>
      <c r="F128" s="1" t="str">
        <f aca="false">IFERROR(VLOOKUP(A128,'company tracker'!$a:$s,MATCH("Traffic % Change",'company tracker'!$1:$1,0),FALSE()),"")</f>
        <v/>
      </c>
      <c r="G128" s="1" t="str">
        <f aca="false">IFERROR(VLOOKUP(A128,'company tracker'!$a:$s,MATCH("Jan 2025 Referring Domains",'company tracker'!$1:$1,0),FALSE()),"")</f>
        <v/>
      </c>
      <c r="H128" s="1" t="str">
        <f aca="false">IFERROR(VLOOKUP(A128,'company tracker'!$a:$s,MATCH("Jun 2026 Referring Domains",'company tracker'!$1:$1,0),FALSE()),"")</f>
        <v/>
      </c>
    </row>
    <row r="129" customFormat="false" ht="15" hidden="false" customHeight="true" outlineLevel="0" collapsed="false">
      <c r="B129" s="1" t="str">
        <f aca="false">IFERROR(VLOOKUP(A129,'company tracker'!$a:$s,MATCH("Category",'company tracker'!$1:$1,0),FALSE()),"")</f>
        <v/>
      </c>
      <c r="C129" s="1" t="str">
        <f aca="false">IFERROR(VLOOKUP(A129,'Pass 1 Archive'!$A:$AD,MATCH("LinkedIn Employee Count",'Pass 1 Archive'!$1:$1,0),FALSE()),"")</f>
        <v/>
      </c>
      <c r="D129" s="1" t="str">
        <f aca="false">IFERROR(VLOOKUP(A129,'company tracker'!$a:$s,MATCH("Jan 2025 Traffic",'company tracker'!$1:$1,0),FALSE()),"")</f>
        <v/>
      </c>
      <c r="E129" s="1" t="str">
        <f aca="false">IFERROR(VLOOKUP(A129,'company tracker'!$a:$s,MATCH("Jun 2026 Traffic",'company tracker'!$1:$1,0),FALSE()),"")</f>
        <v/>
      </c>
      <c r="F129" s="1" t="str">
        <f aca="false">IFERROR(VLOOKUP(A129,'company tracker'!$a:$s,MATCH("Traffic % Change",'company tracker'!$1:$1,0),FALSE()),"")</f>
        <v/>
      </c>
      <c r="G129" s="1" t="str">
        <f aca="false">IFERROR(VLOOKUP(A129,'company tracker'!$a:$s,MATCH("Jan 2025 Referring Domains",'company tracker'!$1:$1,0),FALSE()),"")</f>
        <v/>
      </c>
      <c r="H129" s="1" t="str">
        <f aca="false">IFERROR(VLOOKUP(A129,'company tracker'!$a:$s,MATCH("Jun 2026 Referring Domains",'company tracker'!$1:$1,0),FALSE()),"")</f>
        <v/>
      </c>
    </row>
    <row r="130" customFormat="false" ht="15" hidden="false" customHeight="true" outlineLevel="0" collapsed="false">
      <c r="B130" s="1" t="str">
        <f aca="false">IFERROR(VLOOKUP(A130,'company tracker'!$a:$s,MATCH("Category",'company tracker'!$1:$1,0),FALSE()),"")</f>
        <v/>
      </c>
      <c r="C130" s="1" t="str">
        <f aca="false">IFERROR(VLOOKUP(A130,'Pass 1 Archive'!$A:$AD,MATCH("LinkedIn Employee Count",'Pass 1 Archive'!$1:$1,0),FALSE()),"")</f>
        <v/>
      </c>
      <c r="D130" s="1" t="str">
        <f aca="false">IFERROR(VLOOKUP(A130,'company tracker'!$a:$s,MATCH("Jan 2025 Traffic",'company tracker'!$1:$1,0),FALSE()),"")</f>
        <v/>
      </c>
      <c r="E130" s="1" t="str">
        <f aca="false">IFERROR(VLOOKUP(A130,'company tracker'!$a:$s,MATCH("Jun 2026 Traffic",'company tracker'!$1:$1,0),FALSE()),"")</f>
        <v/>
      </c>
      <c r="F130" s="1" t="str">
        <f aca="false">IFERROR(VLOOKUP(A130,'company tracker'!$a:$s,MATCH("Traffic % Change",'company tracker'!$1:$1,0),FALSE()),"")</f>
        <v/>
      </c>
      <c r="G130" s="1" t="str">
        <f aca="false">IFERROR(VLOOKUP(A130,'company tracker'!$a:$s,MATCH("Jan 2025 Referring Domains",'company tracker'!$1:$1,0),FALSE()),"")</f>
        <v/>
      </c>
      <c r="H130" s="1" t="str">
        <f aca="false">IFERROR(VLOOKUP(A130,'company tracker'!$a:$s,MATCH("Jun 2026 Referring Domains",'company tracker'!$1:$1,0),FALSE()),"")</f>
        <v/>
      </c>
    </row>
    <row r="131" customFormat="false" ht="15" hidden="false" customHeight="true" outlineLevel="0" collapsed="false">
      <c r="B131" s="1" t="str">
        <f aca="false">IFERROR(VLOOKUP(A131,'company tracker'!$a:$s,MATCH("Category",'company tracker'!$1:$1,0),FALSE()),"")</f>
        <v/>
      </c>
      <c r="C131" s="1" t="str">
        <f aca="false">IFERROR(VLOOKUP(A131,'Pass 1 Archive'!$A:$AD,MATCH("LinkedIn Employee Count",'Pass 1 Archive'!$1:$1,0),FALSE()),"")</f>
        <v/>
      </c>
      <c r="D131" s="1" t="str">
        <f aca="false">IFERROR(VLOOKUP(A131,'company tracker'!$a:$s,MATCH("Jan 2025 Traffic",'company tracker'!$1:$1,0),FALSE()),"")</f>
        <v/>
      </c>
      <c r="E131" s="1" t="str">
        <f aca="false">IFERROR(VLOOKUP(A131,'company tracker'!$a:$s,MATCH("Jun 2026 Traffic",'company tracker'!$1:$1,0),FALSE()),"")</f>
        <v/>
      </c>
      <c r="F131" s="1" t="str">
        <f aca="false">IFERROR(VLOOKUP(A131,'company tracker'!$a:$s,MATCH("Traffic % Change",'company tracker'!$1:$1,0),FALSE()),"")</f>
        <v/>
      </c>
      <c r="G131" s="1" t="str">
        <f aca="false">IFERROR(VLOOKUP(A131,'company tracker'!$a:$s,MATCH("Jan 2025 Referring Domains",'company tracker'!$1:$1,0),FALSE()),"")</f>
        <v/>
      </c>
      <c r="H131" s="1" t="str">
        <f aca="false">IFERROR(VLOOKUP(A131,'company tracker'!$a:$s,MATCH("Jun 2026 Referring Domains",'company tracker'!$1:$1,0),FALSE()),"")</f>
        <v/>
      </c>
    </row>
    <row r="132" customFormat="false" ht="15" hidden="false" customHeight="true" outlineLevel="0" collapsed="false">
      <c r="B132" s="1" t="str">
        <f aca="false">IFERROR(VLOOKUP(A132,'company tracker'!$a:$s,MATCH("Category",'company tracker'!$1:$1,0),FALSE()),"")</f>
        <v/>
      </c>
      <c r="C132" s="1" t="str">
        <f aca="false">IFERROR(VLOOKUP(A132,'Pass 1 Archive'!$A:$AD,MATCH("LinkedIn Employee Count",'Pass 1 Archive'!$1:$1,0),FALSE()),"")</f>
        <v/>
      </c>
      <c r="D132" s="1" t="str">
        <f aca="false">IFERROR(VLOOKUP(A132,'company tracker'!$a:$s,MATCH("Jan 2025 Traffic",'company tracker'!$1:$1,0),FALSE()),"")</f>
        <v/>
      </c>
      <c r="E132" s="1" t="str">
        <f aca="false">IFERROR(VLOOKUP(A132,'company tracker'!$a:$s,MATCH("Jun 2026 Traffic",'company tracker'!$1:$1,0),FALSE()),"")</f>
        <v/>
      </c>
      <c r="F132" s="1" t="str">
        <f aca="false">IFERROR(VLOOKUP(A132,'company tracker'!$a:$s,MATCH("Traffic % Change",'company tracker'!$1:$1,0),FALSE()),"")</f>
        <v/>
      </c>
      <c r="G132" s="1" t="str">
        <f aca="false">IFERROR(VLOOKUP(A132,'company tracker'!$a:$s,MATCH("Jan 2025 Referring Domains",'company tracker'!$1:$1,0),FALSE()),"")</f>
        <v/>
      </c>
      <c r="H132" s="1" t="str">
        <f aca="false">IFERROR(VLOOKUP(A132,'company tracker'!$a:$s,MATCH("Jun 2026 Referring Domains",'company tracker'!$1:$1,0),FALSE()),"")</f>
        <v/>
      </c>
    </row>
    <row r="133" customFormat="false" ht="15" hidden="false" customHeight="true" outlineLevel="0" collapsed="false">
      <c r="B133" s="1" t="str">
        <f aca="false">IFERROR(VLOOKUP(A133,'company tracker'!$a:$s,MATCH("Category",'company tracker'!$1:$1,0),FALSE()),"")</f>
        <v/>
      </c>
      <c r="C133" s="1" t="str">
        <f aca="false">IFERROR(VLOOKUP(A133,'Pass 1 Archive'!$A:$AD,MATCH("LinkedIn Employee Count",'Pass 1 Archive'!$1:$1,0),FALSE()),"")</f>
        <v/>
      </c>
      <c r="D133" s="1" t="str">
        <f aca="false">IFERROR(VLOOKUP(A133,'company tracker'!$a:$s,MATCH("Jan 2025 Traffic",'company tracker'!$1:$1,0),FALSE()),"")</f>
        <v/>
      </c>
      <c r="E133" s="1" t="str">
        <f aca="false">IFERROR(VLOOKUP(A133,'company tracker'!$a:$s,MATCH("Jun 2026 Traffic",'company tracker'!$1:$1,0),FALSE()),"")</f>
        <v/>
      </c>
      <c r="F133" s="1" t="str">
        <f aca="false">IFERROR(VLOOKUP(A133,'company tracker'!$a:$s,MATCH("Traffic % Change",'company tracker'!$1:$1,0),FALSE()),"")</f>
        <v/>
      </c>
      <c r="G133" s="1" t="str">
        <f aca="false">IFERROR(VLOOKUP(A133,'company tracker'!$a:$s,MATCH("Jan 2025 Referring Domains",'company tracker'!$1:$1,0),FALSE()),"")</f>
        <v/>
      </c>
      <c r="H133" s="1" t="str">
        <f aca="false">IFERROR(VLOOKUP(A133,'company tracker'!$a:$s,MATCH("Jun 2026 Referring Domains",'company tracker'!$1:$1,0),FALSE()),"")</f>
        <v/>
      </c>
    </row>
    <row r="134" customFormat="false" ht="15" hidden="false" customHeight="true" outlineLevel="0" collapsed="false">
      <c r="B134" s="1" t="str">
        <f aca="false">IFERROR(VLOOKUP(A134,'company tracker'!$a:$s,MATCH("Category",'company tracker'!$1:$1,0),FALSE()),"")</f>
        <v/>
      </c>
      <c r="C134" s="1" t="str">
        <f aca="false">IFERROR(VLOOKUP(A134,'Pass 1 Archive'!$A:$AD,MATCH("LinkedIn Employee Count",'Pass 1 Archive'!$1:$1,0),FALSE()),"")</f>
        <v/>
      </c>
      <c r="D134" s="1" t="str">
        <f aca="false">IFERROR(VLOOKUP(A134,'company tracker'!$a:$s,MATCH("Jan 2025 Traffic",'company tracker'!$1:$1,0),FALSE()),"")</f>
        <v/>
      </c>
      <c r="E134" s="1" t="str">
        <f aca="false">IFERROR(VLOOKUP(A134,'company tracker'!$a:$s,MATCH("Jun 2026 Traffic",'company tracker'!$1:$1,0),FALSE()),"")</f>
        <v/>
      </c>
      <c r="F134" s="1" t="str">
        <f aca="false">IFERROR(VLOOKUP(A134,'company tracker'!$a:$s,MATCH("Traffic % Change",'company tracker'!$1:$1,0),FALSE()),"")</f>
        <v/>
      </c>
      <c r="G134" s="1" t="str">
        <f aca="false">IFERROR(VLOOKUP(A134,'company tracker'!$a:$s,MATCH("Jan 2025 Referring Domains",'company tracker'!$1:$1,0),FALSE()),"")</f>
        <v/>
      </c>
      <c r="H134" s="1" t="str">
        <f aca="false">IFERROR(VLOOKUP(A134,'company tracker'!$a:$s,MATCH("Jun 2026 Referring Domains",'company tracker'!$1:$1,0),FALSE()),"")</f>
        <v/>
      </c>
    </row>
    <row r="135" customFormat="false" ht="15" hidden="false" customHeight="true" outlineLevel="0" collapsed="false">
      <c r="B135" s="1" t="str">
        <f aca="false">IFERROR(VLOOKUP(A135,'company tracker'!$a:$s,MATCH("Category",'company tracker'!$1:$1,0),FALSE()),"")</f>
        <v/>
      </c>
      <c r="C135" s="1" t="str">
        <f aca="false">IFERROR(VLOOKUP(A135,'Pass 1 Archive'!$A:$AD,MATCH("LinkedIn Employee Count",'Pass 1 Archive'!$1:$1,0),FALSE()),"")</f>
        <v/>
      </c>
      <c r="D135" s="1" t="str">
        <f aca="false">IFERROR(VLOOKUP(A135,'company tracker'!$a:$s,MATCH("Jan 2025 Traffic",'company tracker'!$1:$1,0),FALSE()),"")</f>
        <v/>
      </c>
      <c r="E135" s="1" t="str">
        <f aca="false">IFERROR(VLOOKUP(A135,'company tracker'!$a:$s,MATCH("Jun 2026 Traffic",'company tracker'!$1:$1,0),FALSE()),"")</f>
        <v/>
      </c>
      <c r="F135" s="1" t="str">
        <f aca="false">IFERROR(VLOOKUP(A135,'company tracker'!$a:$s,MATCH("Traffic % Change",'company tracker'!$1:$1,0),FALSE()),"")</f>
        <v/>
      </c>
      <c r="G135" s="1" t="str">
        <f aca="false">IFERROR(VLOOKUP(A135,'company tracker'!$a:$s,MATCH("Jan 2025 Referring Domains",'company tracker'!$1:$1,0),FALSE()),"")</f>
        <v/>
      </c>
      <c r="H135" s="1" t="str">
        <f aca="false">IFERROR(VLOOKUP(A135,'company tracker'!$a:$s,MATCH("Jun 2026 Referring Domains",'company tracker'!$1:$1,0),FALSE()),"")</f>
        <v/>
      </c>
    </row>
    <row r="136" customFormat="false" ht="15" hidden="false" customHeight="true" outlineLevel="0" collapsed="false">
      <c r="B136" s="1" t="str">
        <f aca="false">IFERROR(VLOOKUP(A136,'company tracker'!$a:$s,MATCH("Category",'company tracker'!$1:$1,0),FALSE()),"")</f>
        <v/>
      </c>
      <c r="C136" s="1" t="str">
        <f aca="false">IFERROR(VLOOKUP(A136,'Pass 1 Archive'!$A:$AD,MATCH("LinkedIn Employee Count",'Pass 1 Archive'!$1:$1,0),FALSE()),"")</f>
        <v/>
      </c>
      <c r="D136" s="1" t="str">
        <f aca="false">IFERROR(VLOOKUP(A136,'company tracker'!$a:$s,MATCH("Jan 2025 Traffic",'company tracker'!$1:$1,0),FALSE()),"")</f>
        <v/>
      </c>
      <c r="E136" s="1" t="str">
        <f aca="false">IFERROR(VLOOKUP(A136,'company tracker'!$a:$s,MATCH("Jun 2026 Traffic",'company tracker'!$1:$1,0),FALSE()),"")</f>
        <v/>
      </c>
      <c r="F136" s="1" t="str">
        <f aca="false">IFERROR(VLOOKUP(A136,'company tracker'!$a:$s,MATCH("Traffic % Change",'company tracker'!$1:$1,0),FALSE()),"")</f>
        <v/>
      </c>
      <c r="G136" s="1" t="str">
        <f aca="false">IFERROR(VLOOKUP(A136,'company tracker'!$a:$s,MATCH("Jan 2025 Referring Domains",'company tracker'!$1:$1,0),FALSE()),"")</f>
        <v/>
      </c>
      <c r="H136" s="1" t="str">
        <f aca="false">IFERROR(VLOOKUP(A136,'company tracker'!$a:$s,MATCH("Jun 2026 Referring Domains",'company tracker'!$1:$1,0),FALSE()),"")</f>
        <v/>
      </c>
    </row>
    <row r="137" customFormat="false" ht="15" hidden="false" customHeight="true" outlineLevel="0" collapsed="false">
      <c r="B137" s="1" t="str">
        <f aca="false">IFERROR(VLOOKUP(A137,'company tracker'!$a:$s,MATCH("Category",'company tracker'!$1:$1,0),FALSE()),"")</f>
        <v/>
      </c>
      <c r="C137" s="1" t="str">
        <f aca="false">IFERROR(VLOOKUP(A137,'Pass 1 Archive'!$A:$AD,MATCH("LinkedIn Employee Count",'Pass 1 Archive'!$1:$1,0),FALSE()),"")</f>
        <v/>
      </c>
      <c r="D137" s="1" t="str">
        <f aca="false">IFERROR(VLOOKUP(A137,'company tracker'!$a:$s,MATCH("Jan 2025 Traffic",'company tracker'!$1:$1,0),FALSE()),"")</f>
        <v/>
      </c>
      <c r="E137" s="1" t="str">
        <f aca="false">IFERROR(VLOOKUP(A137,'company tracker'!$a:$s,MATCH("Jun 2026 Traffic",'company tracker'!$1:$1,0),FALSE()),"")</f>
        <v/>
      </c>
      <c r="F137" s="1" t="str">
        <f aca="false">IFERROR(VLOOKUP(A137,'company tracker'!$a:$s,MATCH("Traffic % Change",'company tracker'!$1:$1,0),FALSE()),"")</f>
        <v/>
      </c>
      <c r="G137" s="1" t="str">
        <f aca="false">IFERROR(VLOOKUP(A137,'company tracker'!$a:$s,MATCH("Jan 2025 Referring Domains",'company tracker'!$1:$1,0),FALSE()),"")</f>
        <v/>
      </c>
      <c r="H137" s="1" t="str">
        <f aca="false">IFERROR(VLOOKUP(A137,'company tracker'!$a:$s,MATCH("Jun 2026 Referring Domains",'company tracker'!$1:$1,0),FALSE()),"")</f>
        <v/>
      </c>
    </row>
    <row r="138" customFormat="false" ht="15" hidden="false" customHeight="true" outlineLevel="0" collapsed="false">
      <c r="B138" s="1" t="str">
        <f aca="false">IFERROR(VLOOKUP(A138,'company tracker'!$a:$s,MATCH("Category",'company tracker'!$1:$1,0),FALSE()),"")</f>
        <v/>
      </c>
      <c r="C138" s="1" t="str">
        <f aca="false">IFERROR(VLOOKUP(A138,'Pass 1 Archive'!$A:$AD,MATCH("LinkedIn Employee Count",'Pass 1 Archive'!$1:$1,0),FALSE()),"")</f>
        <v/>
      </c>
      <c r="D138" s="1" t="str">
        <f aca="false">IFERROR(VLOOKUP(A138,'company tracker'!$a:$s,MATCH("Jan 2025 Traffic",'company tracker'!$1:$1,0),FALSE()),"")</f>
        <v/>
      </c>
      <c r="E138" s="1" t="str">
        <f aca="false">IFERROR(VLOOKUP(A138,'company tracker'!$a:$s,MATCH("Jun 2026 Traffic",'company tracker'!$1:$1,0),FALSE()),"")</f>
        <v/>
      </c>
      <c r="F138" s="1" t="str">
        <f aca="false">IFERROR(VLOOKUP(A138,'company tracker'!$a:$s,MATCH("Traffic % Change",'company tracker'!$1:$1,0),FALSE()),"")</f>
        <v/>
      </c>
      <c r="G138" s="1" t="str">
        <f aca="false">IFERROR(VLOOKUP(A138,'company tracker'!$a:$s,MATCH("Jan 2025 Referring Domains",'company tracker'!$1:$1,0),FALSE()),"")</f>
        <v/>
      </c>
      <c r="H138" s="1" t="str">
        <f aca="false">IFERROR(VLOOKUP(A138,'company tracker'!$a:$s,MATCH("Jun 2026 Referring Domains",'company tracker'!$1:$1,0),FALSE()),"")</f>
        <v/>
      </c>
    </row>
    <row r="139" customFormat="false" ht="15" hidden="false" customHeight="true" outlineLevel="0" collapsed="false">
      <c r="B139" s="1" t="str">
        <f aca="false">IFERROR(VLOOKUP(A139,'company tracker'!$a:$s,MATCH("Category",'company tracker'!$1:$1,0),FALSE()),"")</f>
        <v/>
      </c>
      <c r="C139" s="1" t="str">
        <f aca="false">IFERROR(VLOOKUP(A139,'Pass 1 Archive'!$A:$AD,MATCH("LinkedIn Employee Count",'Pass 1 Archive'!$1:$1,0),FALSE()),"")</f>
        <v/>
      </c>
      <c r="D139" s="1" t="str">
        <f aca="false">IFERROR(VLOOKUP(A139,'company tracker'!$a:$s,MATCH("Jan 2025 Traffic",'company tracker'!$1:$1,0),FALSE()),"")</f>
        <v/>
      </c>
      <c r="E139" s="1" t="str">
        <f aca="false">IFERROR(VLOOKUP(A139,'company tracker'!$a:$s,MATCH("Jun 2026 Traffic",'company tracker'!$1:$1,0),FALSE()),"")</f>
        <v/>
      </c>
      <c r="F139" s="1" t="str">
        <f aca="false">IFERROR(VLOOKUP(A139,'company tracker'!$a:$s,MATCH("Traffic % Change",'company tracker'!$1:$1,0),FALSE()),"")</f>
        <v/>
      </c>
      <c r="G139" s="1" t="str">
        <f aca="false">IFERROR(VLOOKUP(A139,'company tracker'!$a:$s,MATCH("Jan 2025 Referring Domains",'company tracker'!$1:$1,0),FALSE()),"")</f>
        <v/>
      </c>
      <c r="H139" s="1" t="str">
        <f aca="false">IFERROR(VLOOKUP(A139,'company tracker'!$a:$s,MATCH("Jun 2026 Referring Domains",'company tracker'!$1:$1,0),FALSE()),"")</f>
        <v/>
      </c>
    </row>
    <row r="140" customFormat="false" ht="15" hidden="false" customHeight="true" outlineLevel="0" collapsed="false">
      <c r="B140" s="1" t="str">
        <f aca="false">IFERROR(VLOOKUP(A140,'company tracker'!$a:$s,MATCH("Category",'company tracker'!$1:$1,0),FALSE()),"")</f>
        <v/>
      </c>
      <c r="C140" s="1" t="str">
        <f aca="false">IFERROR(VLOOKUP(A140,'Pass 1 Archive'!$A:$AD,MATCH("LinkedIn Employee Count",'Pass 1 Archive'!$1:$1,0),FALSE()),"")</f>
        <v/>
      </c>
      <c r="D140" s="1" t="str">
        <f aca="false">IFERROR(VLOOKUP(A140,'company tracker'!$a:$s,MATCH("Jan 2025 Traffic",'company tracker'!$1:$1,0),FALSE()),"")</f>
        <v/>
      </c>
      <c r="E140" s="1" t="str">
        <f aca="false">IFERROR(VLOOKUP(A140,'company tracker'!$a:$s,MATCH("Jun 2026 Traffic",'company tracker'!$1:$1,0),FALSE()),"")</f>
        <v/>
      </c>
      <c r="F140" s="1" t="str">
        <f aca="false">IFERROR(VLOOKUP(A140,'company tracker'!$a:$s,MATCH("Traffic % Change",'company tracker'!$1:$1,0),FALSE()),"")</f>
        <v/>
      </c>
      <c r="G140" s="1" t="str">
        <f aca="false">IFERROR(VLOOKUP(A140,'company tracker'!$a:$s,MATCH("Jan 2025 Referring Domains",'company tracker'!$1:$1,0),FALSE()),"")</f>
        <v/>
      </c>
      <c r="H140" s="1" t="str">
        <f aca="false">IFERROR(VLOOKUP(A140,'company tracker'!$a:$s,MATCH("Jun 2026 Referring Domains",'company tracker'!$1:$1,0),FALSE()),"")</f>
        <v/>
      </c>
    </row>
    <row r="141" customFormat="false" ht="15" hidden="false" customHeight="true" outlineLevel="0" collapsed="false">
      <c r="B141" s="1" t="str">
        <f aca="false">IFERROR(VLOOKUP(A141,'company tracker'!$a:$s,MATCH("Category",'company tracker'!$1:$1,0),FALSE()),"")</f>
        <v/>
      </c>
      <c r="C141" s="1" t="str">
        <f aca="false">IFERROR(VLOOKUP(A141,'Pass 1 Archive'!$A:$AD,MATCH("LinkedIn Employee Count",'Pass 1 Archive'!$1:$1,0),FALSE()),"")</f>
        <v/>
      </c>
      <c r="D141" s="1" t="str">
        <f aca="false">IFERROR(VLOOKUP(A141,'company tracker'!$a:$s,MATCH("Jan 2025 Traffic",'company tracker'!$1:$1,0),FALSE()),"")</f>
        <v/>
      </c>
      <c r="E141" s="1" t="str">
        <f aca="false">IFERROR(VLOOKUP(A141,'company tracker'!$a:$s,MATCH("Jun 2026 Traffic",'company tracker'!$1:$1,0),FALSE()),"")</f>
        <v/>
      </c>
      <c r="F141" s="1" t="str">
        <f aca="false">IFERROR(VLOOKUP(A141,'company tracker'!$a:$s,MATCH("Traffic % Change",'company tracker'!$1:$1,0),FALSE()),"")</f>
        <v/>
      </c>
      <c r="G141" s="1" t="str">
        <f aca="false">IFERROR(VLOOKUP(A141,'company tracker'!$a:$s,MATCH("Jan 2025 Referring Domains",'company tracker'!$1:$1,0),FALSE()),"")</f>
        <v/>
      </c>
      <c r="H141" s="1" t="str">
        <f aca="false">IFERROR(VLOOKUP(A141,'company tracker'!$a:$s,MATCH("Jun 2026 Referring Domains",'company tracker'!$1:$1,0),FALSE()),"")</f>
        <v/>
      </c>
    </row>
    <row r="142" customFormat="false" ht="15" hidden="false" customHeight="true" outlineLevel="0" collapsed="false">
      <c r="B142" s="1" t="str">
        <f aca="false">IFERROR(VLOOKUP(A142,'company tracker'!$a:$s,MATCH("Category",'company tracker'!$1:$1,0),FALSE()),"")</f>
        <v/>
      </c>
      <c r="C142" s="1" t="str">
        <f aca="false">IFERROR(VLOOKUP(A142,'Pass 1 Archive'!$A:$AD,MATCH("LinkedIn Employee Count",'Pass 1 Archive'!$1:$1,0),FALSE()),"")</f>
        <v/>
      </c>
      <c r="D142" s="1" t="str">
        <f aca="false">IFERROR(VLOOKUP(A142,'company tracker'!$a:$s,MATCH("Jan 2025 Traffic",'company tracker'!$1:$1,0),FALSE()),"")</f>
        <v/>
      </c>
      <c r="E142" s="1" t="str">
        <f aca="false">IFERROR(VLOOKUP(A142,'company tracker'!$a:$s,MATCH("Jun 2026 Traffic",'company tracker'!$1:$1,0),FALSE()),"")</f>
        <v/>
      </c>
      <c r="F142" s="1" t="str">
        <f aca="false">IFERROR(VLOOKUP(A142,'company tracker'!$a:$s,MATCH("Traffic % Change",'company tracker'!$1:$1,0),FALSE()),"")</f>
        <v/>
      </c>
      <c r="G142" s="1" t="str">
        <f aca="false">IFERROR(VLOOKUP(A142,'company tracker'!$a:$s,MATCH("Jan 2025 Referring Domains",'company tracker'!$1:$1,0),FALSE()),"")</f>
        <v/>
      </c>
      <c r="H142" s="1" t="str">
        <f aca="false">IFERROR(VLOOKUP(A142,'company tracker'!$a:$s,MATCH("Jun 2026 Referring Domains",'company tracker'!$1:$1,0),FALSE()),"")</f>
        <v/>
      </c>
    </row>
    <row r="143" customFormat="false" ht="15" hidden="false" customHeight="true" outlineLevel="0" collapsed="false">
      <c r="B143" s="1" t="str">
        <f aca="false">IFERROR(VLOOKUP(A143,'company tracker'!$a:$s,MATCH("Category",'company tracker'!$1:$1,0),FALSE()),"")</f>
        <v/>
      </c>
      <c r="C143" s="1" t="str">
        <f aca="false">IFERROR(VLOOKUP(A143,'Pass 1 Archive'!$A:$AD,MATCH("LinkedIn Employee Count",'Pass 1 Archive'!$1:$1,0),FALSE()),"")</f>
        <v/>
      </c>
      <c r="D143" s="1" t="str">
        <f aca="false">IFERROR(VLOOKUP(A143,'company tracker'!$a:$s,MATCH("Jan 2025 Traffic",'company tracker'!$1:$1,0),FALSE()),"")</f>
        <v/>
      </c>
      <c r="E143" s="1" t="str">
        <f aca="false">IFERROR(VLOOKUP(A143,'company tracker'!$a:$s,MATCH("Jun 2026 Traffic",'company tracker'!$1:$1,0),FALSE()),"")</f>
        <v/>
      </c>
      <c r="F143" s="1" t="str">
        <f aca="false">IFERROR(VLOOKUP(A143,'company tracker'!$a:$s,MATCH("Traffic % Change",'company tracker'!$1:$1,0),FALSE()),"")</f>
        <v/>
      </c>
      <c r="G143" s="1" t="str">
        <f aca="false">IFERROR(VLOOKUP(A143,'company tracker'!$a:$s,MATCH("Jan 2025 Referring Domains",'company tracker'!$1:$1,0),FALSE()),"")</f>
        <v/>
      </c>
      <c r="H143" s="1" t="str">
        <f aca="false">IFERROR(VLOOKUP(A143,'company tracker'!$a:$s,MATCH("Jun 2026 Referring Domains",'company tracker'!$1:$1,0),FALSE()),"")</f>
        <v/>
      </c>
    </row>
    <row r="144" customFormat="false" ht="15" hidden="false" customHeight="true" outlineLevel="0" collapsed="false">
      <c r="B144" s="1" t="str">
        <f aca="false">IFERROR(VLOOKUP(A144,'company tracker'!$a:$s,MATCH("Category",'company tracker'!$1:$1,0),FALSE()),"")</f>
        <v/>
      </c>
      <c r="C144" s="1" t="str">
        <f aca="false">IFERROR(VLOOKUP(A144,'Pass 1 Archive'!$A:$AD,MATCH("LinkedIn Employee Count",'Pass 1 Archive'!$1:$1,0),FALSE()),"")</f>
        <v/>
      </c>
      <c r="D144" s="1" t="str">
        <f aca="false">IFERROR(VLOOKUP(A144,'company tracker'!$a:$s,MATCH("Jan 2025 Traffic",'company tracker'!$1:$1,0),FALSE()),"")</f>
        <v/>
      </c>
      <c r="E144" s="1" t="str">
        <f aca="false">IFERROR(VLOOKUP(A144,'company tracker'!$a:$s,MATCH("Jun 2026 Traffic",'company tracker'!$1:$1,0),FALSE()),"")</f>
        <v/>
      </c>
      <c r="F144" s="1" t="str">
        <f aca="false">IFERROR(VLOOKUP(A144,'company tracker'!$a:$s,MATCH("Traffic % Change",'company tracker'!$1:$1,0),FALSE()),"")</f>
        <v/>
      </c>
      <c r="G144" s="1" t="str">
        <f aca="false">IFERROR(VLOOKUP(A144,'company tracker'!$a:$s,MATCH("Jan 2025 Referring Domains",'company tracker'!$1:$1,0),FALSE()),"")</f>
        <v/>
      </c>
      <c r="H144" s="1" t="str">
        <f aca="false">IFERROR(VLOOKUP(A144,'company tracker'!$a:$s,MATCH("Jun 2026 Referring Domains",'company tracker'!$1:$1,0),FALSE()),"")</f>
        <v/>
      </c>
    </row>
    <row r="145" customFormat="false" ht="15" hidden="false" customHeight="true" outlineLevel="0" collapsed="false">
      <c r="B145" s="1" t="str">
        <f aca="false">IFERROR(VLOOKUP(A145,'company tracker'!$a:$s,MATCH("Category",'company tracker'!$1:$1,0),FALSE()),"")</f>
        <v/>
      </c>
      <c r="C145" s="1" t="str">
        <f aca="false">IFERROR(VLOOKUP(A145,'Pass 1 Archive'!$A:$AD,MATCH("LinkedIn Employee Count",'Pass 1 Archive'!$1:$1,0),FALSE()),"")</f>
        <v/>
      </c>
      <c r="D145" s="1" t="str">
        <f aca="false">IFERROR(VLOOKUP(A145,'company tracker'!$a:$s,MATCH("Jan 2025 Traffic",'company tracker'!$1:$1,0),FALSE()),"")</f>
        <v/>
      </c>
      <c r="E145" s="1" t="str">
        <f aca="false">IFERROR(VLOOKUP(A145,'company tracker'!$a:$s,MATCH("Jun 2026 Traffic",'company tracker'!$1:$1,0),FALSE()),"")</f>
        <v/>
      </c>
      <c r="F145" s="1" t="str">
        <f aca="false">IFERROR(VLOOKUP(A145,'company tracker'!$a:$s,MATCH("Traffic % Change",'company tracker'!$1:$1,0),FALSE()),"")</f>
        <v/>
      </c>
      <c r="G145" s="1" t="str">
        <f aca="false">IFERROR(VLOOKUP(A145,'company tracker'!$a:$s,MATCH("Jan 2025 Referring Domains",'company tracker'!$1:$1,0),FALSE()),"")</f>
        <v/>
      </c>
      <c r="H145" s="1" t="str">
        <f aca="false">IFERROR(VLOOKUP(A145,'company tracker'!$a:$s,MATCH("Jun 2026 Referring Domains",'company tracker'!$1:$1,0),FALSE()),"")</f>
        <v/>
      </c>
    </row>
    <row r="146" customFormat="false" ht="15" hidden="false" customHeight="true" outlineLevel="0" collapsed="false">
      <c r="B146" s="1" t="str">
        <f aca="false">IFERROR(VLOOKUP(A146,'company tracker'!$a:$s,MATCH("Category",'company tracker'!$1:$1,0),FALSE()),"")</f>
        <v/>
      </c>
      <c r="C146" s="1" t="str">
        <f aca="false">IFERROR(VLOOKUP(A146,'Pass 1 Archive'!$A:$AD,MATCH("LinkedIn Employee Count",'Pass 1 Archive'!$1:$1,0),FALSE()),"")</f>
        <v/>
      </c>
      <c r="D146" s="1" t="str">
        <f aca="false">IFERROR(VLOOKUP(A146,'company tracker'!$a:$s,MATCH("Jan 2025 Traffic",'company tracker'!$1:$1,0),FALSE()),"")</f>
        <v/>
      </c>
      <c r="E146" s="1" t="str">
        <f aca="false">IFERROR(VLOOKUP(A146,'company tracker'!$a:$s,MATCH("Jun 2026 Traffic",'company tracker'!$1:$1,0),FALSE()),"")</f>
        <v/>
      </c>
      <c r="F146" s="1" t="str">
        <f aca="false">IFERROR(VLOOKUP(A146,'company tracker'!$a:$s,MATCH("Traffic % Change",'company tracker'!$1:$1,0),FALSE()),"")</f>
        <v/>
      </c>
      <c r="G146" s="1" t="str">
        <f aca="false">IFERROR(VLOOKUP(A146,'company tracker'!$a:$s,MATCH("Jan 2025 Referring Domains",'company tracker'!$1:$1,0),FALSE()),"")</f>
        <v/>
      </c>
      <c r="H146" s="1" t="str">
        <f aca="false">IFERROR(VLOOKUP(A146,'company tracker'!$a:$s,MATCH("Jun 2026 Referring Domains",'company tracker'!$1:$1,0),FALSE()),"")</f>
        <v/>
      </c>
    </row>
    <row r="147" customFormat="false" ht="15" hidden="false" customHeight="true" outlineLevel="0" collapsed="false">
      <c r="B147" s="1" t="str">
        <f aca="false">IFERROR(VLOOKUP(A147,'company tracker'!$a:$s,MATCH("Category",'company tracker'!$1:$1,0),FALSE()),"")</f>
        <v/>
      </c>
      <c r="C147" s="1" t="str">
        <f aca="false">IFERROR(VLOOKUP(A147,'Pass 1 Archive'!$A:$AD,MATCH("LinkedIn Employee Count",'Pass 1 Archive'!$1:$1,0),FALSE()),"")</f>
        <v/>
      </c>
      <c r="D147" s="1" t="str">
        <f aca="false">IFERROR(VLOOKUP(A147,'company tracker'!$a:$s,MATCH("Jan 2025 Traffic",'company tracker'!$1:$1,0),FALSE()),"")</f>
        <v/>
      </c>
      <c r="E147" s="1" t="str">
        <f aca="false">IFERROR(VLOOKUP(A147,'company tracker'!$a:$s,MATCH("Jun 2026 Traffic",'company tracker'!$1:$1,0),FALSE()),"")</f>
        <v/>
      </c>
      <c r="F147" s="1" t="str">
        <f aca="false">IFERROR(VLOOKUP(A147,'company tracker'!$a:$s,MATCH("Traffic % Change",'company tracker'!$1:$1,0),FALSE()),"")</f>
        <v/>
      </c>
      <c r="G147" s="1" t="str">
        <f aca="false">IFERROR(VLOOKUP(A147,'company tracker'!$a:$s,MATCH("Jan 2025 Referring Domains",'company tracker'!$1:$1,0),FALSE()),"")</f>
        <v/>
      </c>
      <c r="H147" s="1" t="str">
        <f aca="false">IFERROR(VLOOKUP(A147,'company tracker'!$a:$s,MATCH("Jun 2026 Referring Domains",'company tracker'!$1:$1,0),FALSE()),"")</f>
        <v/>
      </c>
    </row>
    <row r="148" customFormat="false" ht="15" hidden="false" customHeight="true" outlineLevel="0" collapsed="false">
      <c r="B148" s="1" t="str">
        <f aca="false">IFERROR(VLOOKUP(A148,'company tracker'!$a:$s,MATCH("Category",'company tracker'!$1:$1,0),FALSE()),"")</f>
        <v/>
      </c>
      <c r="C148" s="1" t="str">
        <f aca="false">IFERROR(VLOOKUP(A148,'Pass 1 Archive'!$A:$AD,MATCH("LinkedIn Employee Count",'Pass 1 Archive'!$1:$1,0),FALSE()),"")</f>
        <v/>
      </c>
      <c r="D148" s="1" t="str">
        <f aca="false">IFERROR(VLOOKUP(A148,'company tracker'!$a:$s,MATCH("Jan 2025 Traffic",'company tracker'!$1:$1,0),FALSE()),"")</f>
        <v/>
      </c>
      <c r="E148" s="1" t="str">
        <f aca="false">IFERROR(VLOOKUP(A148,'company tracker'!$a:$s,MATCH("Jun 2026 Traffic",'company tracker'!$1:$1,0),FALSE()),"")</f>
        <v/>
      </c>
      <c r="F148" s="1" t="str">
        <f aca="false">IFERROR(VLOOKUP(A148,'company tracker'!$a:$s,MATCH("Traffic % Change",'company tracker'!$1:$1,0),FALSE()),"")</f>
        <v/>
      </c>
      <c r="G148" s="1" t="str">
        <f aca="false">IFERROR(VLOOKUP(A148,'company tracker'!$a:$s,MATCH("Jan 2025 Referring Domains",'company tracker'!$1:$1,0),FALSE()),"")</f>
        <v/>
      </c>
      <c r="H148" s="1" t="str">
        <f aca="false">IFERROR(VLOOKUP(A148,'company tracker'!$a:$s,MATCH("Jun 2026 Referring Domains",'company tracker'!$1:$1,0),FALSE()),"")</f>
        <v/>
      </c>
    </row>
    <row r="149" customFormat="false" ht="15" hidden="false" customHeight="true" outlineLevel="0" collapsed="false">
      <c r="B149" s="1" t="str">
        <f aca="false">IFERROR(VLOOKUP(A149,'company tracker'!$a:$s,MATCH("Category",'company tracker'!$1:$1,0),FALSE()),"")</f>
        <v/>
      </c>
      <c r="C149" s="1" t="str">
        <f aca="false">IFERROR(VLOOKUP(A149,'Pass 1 Archive'!$A:$AD,MATCH("LinkedIn Employee Count",'Pass 1 Archive'!$1:$1,0),FALSE()),"")</f>
        <v/>
      </c>
      <c r="D149" s="1" t="str">
        <f aca="false">IFERROR(VLOOKUP(A149,'company tracker'!$a:$s,MATCH("Jan 2025 Traffic",'company tracker'!$1:$1,0),FALSE()),"")</f>
        <v/>
      </c>
      <c r="E149" s="1" t="str">
        <f aca="false">IFERROR(VLOOKUP(A149,'company tracker'!$a:$s,MATCH("Jun 2026 Traffic",'company tracker'!$1:$1,0),FALSE()),"")</f>
        <v/>
      </c>
      <c r="F149" s="1" t="str">
        <f aca="false">IFERROR(VLOOKUP(A149,'company tracker'!$a:$s,MATCH("Traffic % Change",'company tracker'!$1:$1,0),FALSE()),"")</f>
        <v/>
      </c>
      <c r="G149" s="1" t="str">
        <f aca="false">IFERROR(VLOOKUP(A149,'company tracker'!$a:$s,MATCH("Jan 2025 Referring Domains",'company tracker'!$1:$1,0),FALSE()),"")</f>
        <v/>
      </c>
      <c r="H149" s="1" t="str">
        <f aca="false">IFERROR(VLOOKUP(A149,'company tracker'!$a:$s,MATCH("Jun 2026 Referring Domains",'company tracker'!$1:$1,0),FALSE()),"")</f>
        <v/>
      </c>
    </row>
    <row r="150" customFormat="false" ht="15" hidden="false" customHeight="true" outlineLevel="0" collapsed="false">
      <c r="B150" s="1" t="str">
        <f aca="false">IFERROR(VLOOKUP(A150,'company tracker'!$a:$s,MATCH("Category",'company tracker'!$1:$1,0),FALSE()),"")</f>
        <v/>
      </c>
      <c r="C150" s="1" t="str">
        <f aca="false">IFERROR(VLOOKUP(A150,'Pass 1 Archive'!$A:$AD,MATCH("LinkedIn Employee Count",'Pass 1 Archive'!$1:$1,0),FALSE()),"")</f>
        <v/>
      </c>
      <c r="D150" s="1" t="str">
        <f aca="false">IFERROR(VLOOKUP(A150,'company tracker'!$a:$s,MATCH("Jan 2025 Traffic",'company tracker'!$1:$1,0),FALSE()),"")</f>
        <v/>
      </c>
      <c r="E150" s="1" t="str">
        <f aca="false">IFERROR(VLOOKUP(A150,'company tracker'!$a:$s,MATCH("Jun 2026 Traffic",'company tracker'!$1:$1,0),FALSE()),"")</f>
        <v/>
      </c>
      <c r="F150" s="1" t="str">
        <f aca="false">IFERROR(VLOOKUP(A150,'company tracker'!$a:$s,MATCH("Traffic % Change",'company tracker'!$1:$1,0),FALSE()),"")</f>
        <v/>
      </c>
      <c r="G150" s="1" t="str">
        <f aca="false">IFERROR(VLOOKUP(A150,'company tracker'!$a:$s,MATCH("Jan 2025 Referring Domains",'company tracker'!$1:$1,0),FALSE()),"")</f>
        <v/>
      </c>
      <c r="H150" s="1" t="str">
        <f aca="false">IFERROR(VLOOKUP(A150,'company tracker'!$a:$s,MATCH("Jun 2026 Referring Domains",'company tracker'!$1:$1,0),FALSE()),"")</f>
        <v/>
      </c>
    </row>
    <row r="151" customFormat="false" ht="15" hidden="false" customHeight="true" outlineLevel="0" collapsed="false">
      <c r="B151" s="1" t="str">
        <f aca="false">IFERROR(VLOOKUP(A151,'company tracker'!$a:$s,MATCH("Category",'company tracker'!$1:$1,0),FALSE()),"")</f>
        <v/>
      </c>
      <c r="C151" s="1" t="str">
        <f aca="false">IFERROR(VLOOKUP(A151,'Pass 1 Archive'!$A:$AD,MATCH("LinkedIn Employee Count",'Pass 1 Archive'!$1:$1,0),FALSE()),"")</f>
        <v/>
      </c>
      <c r="D151" s="1" t="str">
        <f aca="false">IFERROR(VLOOKUP(A151,'company tracker'!$a:$s,MATCH("Jan 2025 Traffic",'company tracker'!$1:$1,0),FALSE()),"")</f>
        <v/>
      </c>
      <c r="E151" s="1" t="str">
        <f aca="false">IFERROR(VLOOKUP(A151,'company tracker'!$a:$s,MATCH("Jun 2026 Traffic",'company tracker'!$1:$1,0),FALSE()),"")</f>
        <v/>
      </c>
      <c r="F151" s="1" t="str">
        <f aca="false">IFERROR(VLOOKUP(A151,'company tracker'!$a:$s,MATCH("Traffic % Change",'company tracker'!$1:$1,0),FALSE()),"")</f>
        <v/>
      </c>
      <c r="G151" s="1" t="str">
        <f aca="false">IFERROR(VLOOKUP(A151,'company tracker'!$a:$s,MATCH("Jan 2025 Referring Domains",'company tracker'!$1:$1,0),FALSE()),"")</f>
        <v/>
      </c>
      <c r="H151" s="1" t="str">
        <f aca="false">IFERROR(VLOOKUP(A151,'company tracker'!$a:$s,MATCH("Jun 2026 Referring Domains",'company tracker'!$1:$1,0),FALSE()),"")</f>
        <v/>
      </c>
    </row>
    <row r="152" customFormat="false" ht="15" hidden="false" customHeight="true" outlineLevel="0" collapsed="false">
      <c r="B152" s="1" t="str">
        <f aca="false">IFERROR(VLOOKUP(A152,'company tracker'!$a:$s,MATCH("Category",'company tracker'!$1:$1,0),FALSE()),"")</f>
        <v/>
      </c>
      <c r="C152" s="1" t="str">
        <f aca="false">IFERROR(VLOOKUP(A152,'Pass 1 Archive'!$A:$AD,MATCH("LinkedIn Employee Count",'Pass 1 Archive'!$1:$1,0),FALSE()),"")</f>
        <v/>
      </c>
      <c r="D152" s="1" t="str">
        <f aca="false">IFERROR(VLOOKUP(A152,'company tracker'!$a:$s,MATCH("Jan 2025 Traffic",'company tracker'!$1:$1,0),FALSE()),"")</f>
        <v/>
      </c>
      <c r="E152" s="1" t="str">
        <f aca="false">IFERROR(VLOOKUP(A152,'company tracker'!$a:$s,MATCH("Jun 2026 Traffic",'company tracker'!$1:$1,0),FALSE()),"")</f>
        <v/>
      </c>
      <c r="F152" s="1" t="str">
        <f aca="false">IFERROR(VLOOKUP(A152,'company tracker'!$a:$s,MATCH("Traffic % Change",'company tracker'!$1:$1,0),FALSE()),"")</f>
        <v/>
      </c>
      <c r="G152" s="1" t="str">
        <f aca="false">IFERROR(VLOOKUP(A152,'company tracker'!$a:$s,MATCH("Jan 2025 Referring Domains",'company tracker'!$1:$1,0),FALSE()),"")</f>
        <v/>
      </c>
      <c r="H152" s="1" t="str">
        <f aca="false">IFERROR(VLOOKUP(A152,'company tracker'!$a:$s,MATCH("Jun 2026 Referring Domains",'company tracker'!$1:$1,0),FALSE()),"")</f>
        <v/>
      </c>
    </row>
    <row r="153" customFormat="false" ht="15" hidden="false" customHeight="true" outlineLevel="0" collapsed="false">
      <c r="B153" s="1" t="str">
        <f aca="false">IFERROR(VLOOKUP(A153,'company tracker'!$a:$s,MATCH("Category",'company tracker'!$1:$1,0),FALSE()),"")</f>
        <v/>
      </c>
      <c r="C153" s="1" t="str">
        <f aca="false">IFERROR(VLOOKUP(A153,'Pass 1 Archive'!$A:$AD,MATCH("LinkedIn Employee Count",'Pass 1 Archive'!$1:$1,0),FALSE()),"")</f>
        <v/>
      </c>
      <c r="D153" s="1" t="str">
        <f aca="false">IFERROR(VLOOKUP(A153,'company tracker'!$a:$s,MATCH("Jan 2025 Traffic",'company tracker'!$1:$1,0),FALSE()),"")</f>
        <v/>
      </c>
      <c r="E153" s="1" t="str">
        <f aca="false">IFERROR(VLOOKUP(A153,'company tracker'!$a:$s,MATCH("Jun 2026 Traffic",'company tracker'!$1:$1,0),FALSE()),"")</f>
        <v/>
      </c>
      <c r="F153" s="1" t="str">
        <f aca="false">IFERROR(VLOOKUP(A153,'company tracker'!$a:$s,MATCH("Traffic % Change",'company tracker'!$1:$1,0),FALSE()),"")</f>
        <v/>
      </c>
      <c r="G153" s="1" t="str">
        <f aca="false">IFERROR(VLOOKUP(A153,'company tracker'!$a:$s,MATCH("Jan 2025 Referring Domains",'company tracker'!$1:$1,0),FALSE()),"")</f>
        <v/>
      </c>
      <c r="H153" s="1" t="str">
        <f aca="false">IFERROR(VLOOKUP(A153,'company tracker'!$a:$s,MATCH("Jun 2026 Referring Domains",'company tracker'!$1:$1,0),FALSE()),"")</f>
        <v/>
      </c>
    </row>
    <row r="154" customFormat="false" ht="15" hidden="false" customHeight="true" outlineLevel="0" collapsed="false">
      <c r="B154" s="1" t="str">
        <f aca="false">IFERROR(VLOOKUP(A154,'company tracker'!$a:$s,MATCH("Category",'company tracker'!$1:$1,0),FALSE()),"")</f>
        <v/>
      </c>
      <c r="C154" s="1" t="str">
        <f aca="false">IFERROR(VLOOKUP(A154,'Pass 1 Archive'!$A:$AD,MATCH("LinkedIn Employee Count",'Pass 1 Archive'!$1:$1,0),FALSE()),"")</f>
        <v/>
      </c>
      <c r="D154" s="1" t="str">
        <f aca="false">IFERROR(VLOOKUP(A154,'company tracker'!$a:$s,MATCH("Jan 2025 Traffic",'company tracker'!$1:$1,0),FALSE()),"")</f>
        <v/>
      </c>
      <c r="E154" s="1" t="str">
        <f aca="false">IFERROR(VLOOKUP(A154,'company tracker'!$a:$s,MATCH("Jun 2026 Traffic",'company tracker'!$1:$1,0),FALSE()),"")</f>
        <v/>
      </c>
      <c r="F154" s="1" t="str">
        <f aca="false">IFERROR(VLOOKUP(A154,'company tracker'!$a:$s,MATCH("Traffic % Change",'company tracker'!$1:$1,0),FALSE()),"")</f>
        <v/>
      </c>
      <c r="G154" s="1" t="str">
        <f aca="false">IFERROR(VLOOKUP(A154,'company tracker'!$a:$s,MATCH("Jan 2025 Referring Domains",'company tracker'!$1:$1,0),FALSE()),"")</f>
        <v/>
      </c>
      <c r="H154" s="1" t="str">
        <f aca="false">IFERROR(VLOOKUP(A154,'company tracker'!$a:$s,MATCH("Jun 2026 Referring Domains",'company tracker'!$1:$1,0),FALSE()),"")</f>
        <v/>
      </c>
    </row>
    <row r="155" customFormat="false" ht="15" hidden="false" customHeight="true" outlineLevel="0" collapsed="false">
      <c r="B155" s="1" t="str">
        <f aca="false">IFERROR(VLOOKUP(A155,'company tracker'!$a:$s,MATCH("Category",'company tracker'!$1:$1,0),FALSE()),"")</f>
        <v/>
      </c>
      <c r="C155" s="1" t="str">
        <f aca="false">IFERROR(VLOOKUP(A155,'Pass 1 Archive'!$A:$AD,MATCH("LinkedIn Employee Count",'Pass 1 Archive'!$1:$1,0),FALSE()),"")</f>
        <v/>
      </c>
      <c r="D155" s="1" t="str">
        <f aca="false">IFERROR(VLOOKUP(A155,'company tracker'!$a:$s,MATCH("Jan 2025 Traffic",'company tracker'!$1:$1,0),FALSE()),"")</f>
        <v/>
      </c>
      <c r="E155" s="1" t="str">
        <f aca="false">IFERROR(VLOOKUP(A155,'company tracker'!$a:$s,MATCH("Jun 2026 Traffic",'company tracker'!$1:$1,0),FALSE()),"")</f>
        <v/>
      </c>
      <c r="F155" s="1" t="str">
        <f aca="false">IFERROR(VLOOKUP(A155,'company tracker'!$a:$s,MATCH("Traffic % Change",'company tracker'!$1:$1,0),FALSE()),"")</f>
        <v/>
      </c>
      <c r="G155" s="1" t="str">
        <f aca="false">IFERROR(VLOOKUP(A155,'company tracker'!$a:$s,MATCH("Jan 2025 Referring Domains",'company tracker'!$1:$1,0),FALSE()),"")</f>
        <v/>
      </c>
      <c r="H155" s="1" t="str">
        <f aca="false">IFERROR(VLOOKUP(A155,'company tracker'!$a:$s,MATCH("Jun 2026 Referring Domains",'company tracker'!$1:$1,0),FALSE()),"")</f>
        <v/>
      </c>
    </row>
    <row r="156" customFormat="false" ht="15" hidden="false" customHeight="true" outlineLevel="0" collapsed="false">
      <c r="B156" s="1" t="str">
        <f aca="false">IFERROR(VLOOKUP(A156,'company tracker'!$a:$s,MATCH("Category",'company tracker'!$1:$1,0),FALSE()),"")</f>
        <v/>
      </c>
      <c r="C156" s="1" t="str">
        <f aca="false">IFERROR(VLOOKUP(A156,'Pass 1 Archive'!$A:$AD,MATCH("LinkedIn Employee Count",'Pass 1 Archive'!$1:$1,0),FALSE()),"")</f>
        <v/>
      </c>
      <c r="D156" s="1" t="str">
        <f aca="false">IFERROR(VLOOKUP(A156,'company tracker'!$a:$s,MATCH("Jan 2025 Traffic",'company tracker'!$1:$1,0),FALSE()),"")</f>
        <v/>
      </c>
      <c r="E156" s="1" t="str">
        <f aca="false">IFERROR(VLOOKUP(A156,'company tracker'!$a:$s,MATCH("Jun 2026 Traffic",'company tracker'!$1:$1,0),FALSE()),"")</f>
        <v/>
      </c>
      <c r="F156" s="1" t="str">
        <f aca="false">IFERROR(VLOOKUP(A156,'company tracker'!$a:$s,MATCH("Traffic % Change",'company tracker'!$1:$1,0),FALSE()),"")</f>
        <v/>
      </c>
      <c r="G156" s="1" t="str">
        <f aca="false">IFERROR(VLOOKUP(A156,'company tracker'!$a:$s,MATCH("Jan 2025 Referring Domains",'company tracker'!$1:$1,0),FALSE()),"")</f>
        <v/>
      </c>
      <c r="H156" s="1" t="str">
        <f aca="false">IFERROR(VLOOKUP(A156,'company tracker'!$a:$s,MATCH("Jun 2026 Referring Domains",'company tracker'!$1:$1,0),FALSE()),"")</f>
        <v/>
      </c>
    </row>
    <row r="157" customFormat="false" ht="15" hidden="false" customHeight="true" outlineLevel="0" collapsed="false">
      <c r="B157" s="1" t="str">
        <f aca="false">IFERROR(VLOOKUP(A157,'company tracker'!$a:$s,MATCH("Category",'company tracker'!$1:$1,0),FALSE()),"")</f>
        <v/>
      </c>
      <c r="C157" s="1" t="str">
        <f aca="false">IFERROR(VLOOKUP(A157,'Pass 1 Archive'!$A:$AD,MATCH("LinkedIn Employee Count",'Pass 1 Archive'!$1:$1,0),FALSE()),"")</f>
        <v/>
      </c>
      <c r="D157" s="1" t="str">
        <f aca="false">IFERROR(VLOOKUP(A157,'company tracker'!$a:$s,MATCH("Jan 2025 Traffic",'company tracker'!$1:$1,0),FALSE()),"")</f>
        <v/>
      </c>
      <c r="E157" s="1" t="str">
        <f aca="false">IFERROR(VLOOKUP(A157,'company tracker'!$a:$s,MATCH("Jun 2026 Traffic",'company tracker'!$1:$1,0),FALSE()),"")</f>
        <v/>
      </c>
      <c r="F157" s="1" t="str">
        <f aca="false">IFERROR(VLOOKUP(A157,'company tracker'!$a:$s,MATCH("Traffic % Change",'company tracker'!$1:$1,0),FALSE()),"")</f>
        <v/>
      </c>
      <c r="G157" s="1" t="str">
        <f aca="false">IFERROR(VLOOKUP(A157,'company tracker'!$a:$s,MATCH("Jan 2025 Referring Domains",'company tracker'!$1:$1,0),FALSE()),"")</f>
        <v/>
      </c>
      <c r="H157" s="1" t="str">
        <f aca="false">IFERROR(VLOOKUP(A157,'company tracker'!$a:$s,MATCH("Jun 2026 Referring Domains",'company tracker'!$1:$1,0),FALSE()),"")</f>
        <v/>
      </c>
    </row>
    <row r="158" customFormat="false" ht="15" hidden="false" customHeight="true" outlineLevel="0" collapsed="false">
      <c r="B158" s="1" t="str">
        <f aca="false">IFERROR(VLOOKUP(A158,'company tracker'!$a:$s,MATCH("Category",'company tracker'!$1:$1,0),FALSE()),"")</f>
        <v/>
      </c>
      <c r="C158" s="1" t="str">
        <f aca="false">IFERROR(VLOOKUP(A158,'Pass 1 Archive'!$A:$AD,MATCH("LinkedIn Employee Count",'Pass 1 Archive'!$1:$1,0),FALSE()),"")</f>
        <v/>
      </c>
      <c r="D158" s="1" t="str">
        <f aca="false">IFERROR(VLOOKUP(A158,'company tracker'!$a:$s,MATCH("Jan 2025 Traffic",'company tracker'!$1:$1,0),FALSE()),"")</f>
        <v/>
      </c>
      <c r="E158" s="1" t="str">
        <f aca="false">IFERROR(VLOOKUP(A158,'company tracker'!$a:$s,MATCH("Jun 2026 Traffic",'company tracker'!$1:$1,0),FALSE()),"")</f>
        <v/>
      </c>
      <c r="F158" s="1" t="str">
        <f aca="false">IFERROR(VLOOKUP(A158,'company tracker'!$a:$s,MATCH("Traffic % Change",'company tracker'!$1:$1,0),FALSE()),"")</f>
        <v/>
      </c>
      <c r="G158" s="1" t="str">
        <f aca="false">IFERROR(VLOOKUP(A158,'company tracker'!$a:$s,MATCH("Jan 2025 Referring Domains",'company tracker'!$1:$1,0),FALSE()),"")</f>
        <v/>
      </c>
      <c r="H158" s="1" t="str">
        <f aca="false">IFERROR(VLOOKUP(A158,'company tracker'!$a:$s,MATCH("Jun 2026 Referring Domains",'company tracker'!$1:$1,0),FALSE()),"")</f>
        <v/>
      </c>
    </row>
    <row r="159" customFormat="false" ht="15" hidden="false" customHeight="true" outlineLevel="0" collapsed="false">
      <c r="B159" s="1" t="str">
        <f aca="false">IFERROR(VLOOKUP(A159,'company tracker'!$a:$s,MATCH("Category",'company tracker'!$1:$1,0),FALSE()),"")</f>
        <v/>
      </c>
      <c r="C159" s="1" t="str">
        <f aca="false">IFERROR(VLOOKUP(A159,'Pass 1 Archive'!$A:$AD,MATCH("LinkedIn Employee Count",'Pass 1 Archive'!$1:$1,0),FALSE()),"")</f>
        <v/>
      </c>
      <c r="D159" s="1" t="str">
        <f aca="false">IFERROR(VLOOKUP(A159,'company tracker'!$a:$s,MATCH("Jan 2025 Traffic",'company tracker'!$1:$1,0),FALSE()),"")</f>
        <v/>
      </c>
      <c r="E159" s="1" t="str">
        <f aca="false">IFERROR(VLOOKUP(A159,'company tracker'!$a:$s,MATCH("Jun 2026 Traffic",'company tracker'!$1:$1,0),FALSE()),"")</f>
        <v/>
      </c>
      <c r="F159" s="1" t="str">
        <f aca="false">IFERROR(VLOOKUP(A159,'company tracker'!$a:$s,MATCH("Traffic % Change",'company tracker'!$1:$1,0),FALSE()),"")</f>
        <v/>
      </c>
      <c r="G159" s="1" t="str">
        <f aca="false">IFERROR(VLOOKUP(A159,'company tracker'!$a:$s,MATCH("Jan 2025 Referring Domains",'company tracker'!$1:$1,0),FALSE()),"")</f>
        <v/>
      </c>
      <c r="H159" s="1" t="str">
        <f aca="false">IFERROR(VLOOKUP(A159,'company tracker'!$a:$s,MATCH("Jun 2026 Referring Domains",'company tracker'!$1:$1,0),FALSE()),"")</f>
        <v/>
      </c>
    </row>
    <row r="160" customFormat="false" ht="15" hidden="false" customHeight="true" outlineLevel="0" collapsed="false">
      <c r="B160" s="1" t="str">
        <f aca="false">IFERROR(VLOOKUP(A160,'company tracker'!$a:$s,MATCH("Category",'company tracker'!$1:$1,0),FALSE()),"")</f>
        <v/>
      </c>
      <c r="C160" s="1" t="str">
        <f aca="false">IFERROR(VLOOKUP(A160,'Pass 1 Archive'!$A:$AD,MATCH("LinkedIn Employee Count",'Pass 1 Archive'!$1:$1,0),FALSE()),"")</f>
        <v/>
      </c>
      <c r="D160" s="1" t="str">
        <f aca="false">IFERROR(VLOOKUP(A160,'company tracker'!$a:$s,MATCH("Jan 2025 Traffic",'company tracker'!$1:$1,0),FALSE()),"")</f>
        <v/>
      </c>
      <c r="E160" s="1" t="str">
        <f aca="false">IFERROR(VLOOKUP(A160,'company tracker'!$a:$s,MATCH("Jun 2026 Traffic",'company tracker'!$1:$1,0),FALSE()),"")</f>
        <v/>
      </c>
      <c r="F160" s="1" t="str">
        <f aca="false">IFERROR(VLOOKUP(A160,'company tracker'!$a:$s,MATCH("Traffic % Change",'company tracker'!$1:$1,0),FALSE()),"")</f>
        <v/>
      </c>
      <c r="G160" s="1" t="str">
        <f aca="false">IFERROR(VLOOKUP(A160,'company tracker'!$a:$s,MATCH("Jan 2025 Referring Domains",'company tracker'!$1:$1,0),FALSE()),"")</f>
        <v/>
      </c>
      <c r="H160" s="1" t="str">
        <f aca="false">IFERROR(VLOOKUP(A160,'company tracker'!$a:$s,MATCH("Jun 2026 Referring Domains",'company tracker'!$1:$1,0),FALSE()),"")</f>
        <v/>
      </c>
    </row>
    <row r="161" customFormat="false" ht="15" hidden="false" customHeight="true" outlineLevel="0" collapsed="false">
      <c r="B161" s="1" t="str">
        <f aca="false">IFERROR(VLOOKUP(A161,'company tracker'!$a:$s,MATCH("Category",'company tracker'!$1:$1,0),FALSE()),"")</f>
        <v/>
      </c>
      <c r="C161" s="1" t="str">
        <f aca="false">IFERROR(VLOOKUP(A161,'Pass 1 Archive'!$A:$AD,MATCH("LinkedIn Employee Count",'Pass 1 Archive'!$1:$1,0),FALSE()),"")</f>
        <v/>
      </c>
      <c r="D161" s="1" t="str">
        <f aca="false">IFERROR(VLOOKUP(A161,'company tracker'!$a:$s,MATCH("Jan 2025 Traffic",'company tracker'!$1:$1,0),FALSE()),"")</f>
        <v/>
      </c>
      <c r="E161" s="1" t="str">
        <f aca="false">IFERROR(VLOOKUP(A161,'company tracker'!$a:$s,MATCH("Jun 2026 Traffic",'company tracker'!$1:$1,0),FALSE()),"")</f>
        <v/>
      </c>
      <c r="F161" s="1" t="str">
        <f aca="false">IFERROR(VLOOKUP(A161,'company tracker'!$a:$s,MATCH("Traffic % Change",'company tracker'!$1:$1,0),FALSE()),"")</f>
        <v/>
      </c>
      <c r="G161" s="1" t="str">
        <f aca="false">IFERROR(VLOOKUP(A161,'company tracker'!$a:$s,MATCH("Jan 2025 Referring Domains",'company tracker'!$1:$1,0),FALSE()),"")</f>
        <v/>
      </c>
      <c r="H161" s="1" t="str">
        <f aca="false">IFERROR(VLOOKUP(A161,'company tracker'!$a:$s,MATCH("Jun 2026 Referring Domains",'company tracker'!$1:$1,0),FALSE()),"")</f>
        <v/>
      </c>
    </row>
    <row r="162" customFormat="false" ht="15" hidden="false" customHeight="true" outlineLevel="0" collapsed="false">
      <c r="B162" s="1" t="str">
        <f aca="false">IFERROR(VLOOKUP(A162,'company tracker'!$a:$s,MATCH("Category",'company tracker'!$1:$1,0),FALSE()),"")</f>
        <v/>
      </c>
      <c r="C162" s="1" t="str">
        <f aca="false">IFERROR(VLOOKUP(A162,'Pass 1 Archive'!$A:$AD,MATCH("LinkedIn Employee Count",'Pass 1 Archive'!$1:$1,0),FALSE()),"")</f>
        <v/>
      </c>
      <c r="D162" s="1" t="str">
        <f aca="false">IFERROR(VLOOKUP(A162,'company tracker'!$a:$s,MATCH("Jan 2025 Traffic",'company tracker'!$1:$1,0),FALSE()),"")</f>
        <v/>
      </c>
      <c r="E162" s="1" t="str">
        <f aca="false">IFERROR(VLOOKUP(A162,'company tracker'!$a:$s,MATCH("Jun 2026 Traffic",'company tracker'!$1:$1,0),FALSE()),"")</f>
        <v/>
      </c>
      <c r="F162" s="1" t="str">
        <f aca="false">IFERROR(VLOOKUP(A162,'company tracker'!$a:$s,MATCH("Traffic % Change",'company tracker'!$1:$1,0),FALSE()),"")</f>
        <v/>
      </c>
      <c r="G162" s="1" t="str">
        <f aca="false">IFERROR(VLOOKUP(A162,'company tracker'!$a:$s,MATCH("Jan 2025 Referring Domains",'company tracker'!$1:$1,0),FALSE()),"")</f>
        <v/>
      </c>
      <c r="H162" s="1" t="str">
        <f aca="false">IFERROR(VLOOKUP(A162,'company tracker'!$a:$s,MATCH("Jun 2026 Referring Domains",'company tracker'!$1:$1,0),FALSE()),"")</f>
        <v/>
      </c>
    </row>
    <row r="163" customFormat="false" ht="15" hidden="false" customHeight="true" outlineLevel="0" collapsed="false">
      <c r="B163" s="1" t="str">
        <f aca="false">IFERROR(VLOOKUP(A163,'company tracker'!$a:$s,MATCH("Category",'company tracker'!$1:$1,0),FALSE()),"")</f>
        <v/>
      </c>
      <c r="C163" s="1" t="str">
        <f aca="false">IFERROR(VLOOKUP(A163,'Pass 1 Archive'!$A:$AD,MATCH("LinkedIn Employee Count",'Pass 1 Archive'!$1:$1,0),FALSE()),"")</f>
        <v/>
      </c>
      <c r="D163" s="1" t="str">
        <f aca="false">IFERROR(VLOOKUP(A163,'company tracker'!$a:$s,MATCH("Jan 2025 Traffic",'company tracker'!$1:$1,0),FALSE()),"")</f>
        <v/>
      </c>
      <c r="E163" s="1" t="str">
        <f aca="false">IFERROR(VLOOKUP(A163,'company tracker'!$a:$s,MATCH("Jun 2026 Traffic",'company tracker'!$1:$1,0),FALSE()),"")</f>
        <v/>
      </c>
      <c r="F163" s="1" t="str">
        <f aca="false">IFERROR(VLOOKUP(A163,'company tracker'!$a:$s,MATCH("Traffic % Change",'company tracker'!$1:$1,0),FALSE()),"")</f>
        <v/>
      </c>
      <c r="G163" s="1" t="str">
        <f aca="false">IFERROR(VLOOKUP(A163,'company tracker'!$a:$s,MATCH("Jan 2025 Referring Domains",'company tracker'!$1:$1,0),FALSE()),"")</f>
        <v/>
      </c>
      <c r="H163" s="1" t="str">
        <f aca="false">IFERROR(VLOOKUP(A163,'company tracker'!$a:$s,MATCH("Jun 2026 Referring Domains",'company tracker'!$1:$1,0),FALSE()),"")</f>
        <v/>
      </c>
    </row>
    <row r="164" customFormat="false" ht="15" hidden="false" customHeight="true" outlineLevel="0" collapsed="false">
      <c r="B164" s="1" t="str">
        <f aca="false">IFERROR(VLOOKUP(A164,'company tracker'!$a:$s,MATCH("Category",'company tracker'!$1:$1,0),FALSE()),"")</f>
        <v/>
      </c>
      <c r="C164" s="1" t="str">
        <f aca="false">IFERROR(VLOOKUP(A164,'Pass 1 Archive'!$A:$AD,MATCH("LinkedIn Employee Count",'Pass 1 Archive'!$1:$1,0),FALSE()),"")</f>
        <v/>
      </c>
      <c r="D164" s="1" t="str">
        <f aca="false">IFERROR(VLOOKUP(A164,'company tracker'!$a:$s,MATCH("Jan 2025 Traffic",'company tracker'!$1:$1,0),FALSE()),"")</f>
        <v/>
      </c>
      <c r="E164" s="1" t="str">
        <f aca="false">IFERROR(VLOOKUP(A164,'company tracker'!$a:$s,MATCH("Jun 2026 Traffic",'company tracker'!$1:$1,0),FALSE()),"")</f>
        <v/>
      </c>
      <c r="F164" s="1" t="str">
        <f aca="false">IFERROR(VLOOKUP(A164,'company tracker'!$a:$s,MATCH("Traffic % Change",'company tracker'!$1:$1,0),FALSE()),"")</f>
        <v/>
      </c>
      <c r="G164" s="1" t="str">
        <f aca="false">IFERROR(VLOOKUP(A164,'company tracker'!$a:$s,MATCH("Jan 2025 Referring Domains",'company tracker'!$1:$1,0),FALSE()),"")</f>
        <v/>
      </c>
      <c r="H164" s="1" t="str">
        <f aca="false">IFERROR(VLOOKUP(A164,'company tracker'!$a:$s,MATCH("Jun 2026 Referring Domains",'company tracker'!$1:$1,0),FALSE()),"")</f>
        <v/>
      </c>
    </row>
    <row r="165" customFormat="false" ht="15" hidden="false" customHeight="true" outlineLevel="0" collapsed="false">
      <c r="B165" s="1" t="str">
        <f aca="false">IFERROR(VLOOKUP(A165,'company tracker'!$a:$s,MATCH("Category",'company tracker'!$1:$1,0),FALSE()),"")</f>
        <v/>
      </c>
      <c r="C165" s="1" t="str">
        <f aca="false">IFERROR(VLOOKUP(A165,'Pass 1 Archive'!$A:$AD,MATCH("LinkedIn Employee Count",'Pass 1 Archive'!$1:$1,0),FALSE()),"")</f>
        <v/>
      </c>
      <c r="D165" s="1" t="str">
        <f aca="false">IFERROR(VLOOKUP(A165,'company tracker'!$a:$s,MATCH("Jan 2025 Traffic",'company tracker'!$1:$1,0),FALSE()),"")</f>
        <v/>
      </c>
      <c r="E165" s="1" t="str">
        <f aca="false">IFERROR(VLOOKUP(A165,'company tracker'!$a:$s,MATCH("Jun 2026 Traffic",'company tracker'!$1:$1,0),FALSE()),"")</f>
        <v/>
      </c>
      <c r="F165" s="1" t="str">
        <f aca="false">IFERROR(VLOOKUP(A165,'company tracker'!$a:$s,MATCH("Traffic % Change",'company tracker'!$1:$1,0),FALSE()),"")</f>
        <v/>
      </c>
      <c r="G165" s="1" t="str">
        <f aca="false">IFERROR(VLOOKUP(A165,'company tracker'!$a:$s,MATCH("Jan 2025 Referring Domains",'company tracker'!$1:$1,0),FALSE()),"")</f>
        <v/>
      </c>
      <c r="H165" s="1" t="str">
        <f aca="false">IFERROR(VLOOKUP(A165,'company tracker'!$a:$s,MATCH("Jun 2026 Referring Domains",'company tracker'!$1:$1,0),FALSE()),"")</f>
        <v/>
      </c>
    </row>
    <row r="166" customFormat="false" ht="15" hidden="false" customHeight="true" outlineLevel="0" collapsed="false">
      <c r="B166" s="1" t="str">
        <f aca="false">IFERROR(VLOOKUP(A166,'company tracker'!$a:$s,MATCH("Category",'company tracker'!$1:$1,0),FALSE()),"")</f>
        <v/>
      </c>
      <c r="C166" s="1" t="str">
        <f aca="false">IFERROR(VLOOKUP(A166,'Pass 1 Archive'!$A:$AD,MATCH("LinkedIn Employee Count",'Pass 1 Archive'!$1:$1,0),FALSE()),"")</f>
        <v/>
      </c>
      <c r="D166" s="1" t="str">
        <f aca="false">IFERROR(VLOOKUP(A166,'company tracker'!$a:$s,MATCH("Jan 2025 Traffic",'company tracker'!$1:$1,0),FALSE()),"")</f>
        <v/>
      </c>
      <c r="E166" s="1" t="str">
        <f aca="false">IFERROR(VLOOKUP(A166,'company tracker'!$a:$s,MATCH("Jun 2026 Traffic",'company tracker'!$1:$1,0),FALSE()),"")</f>
        <v/>
      </c>
      <c r="F166" s="1" t="str">
        <f aca="false">IFERROR(VLOOKUP(A166,'company tracker'!$a:$s,MATCH("Traffic % Change",'company tracker'!$1:$1,0),FALSE()),"")</f>
        <v/>
      </c>
      <c r="G166" s="1" t="str">
        <f aca="false">IFERROR(VLOOKUP(A166,'company tracker'!$a:$s,MATCH("Jan 2025 Referring Domains",'company tracker'!$1:$1,0),FALSE()),"")</f>
        <v/>
      </c>
      <c r="H166" s="1" t="str">
        <f aca="false">IFERROR(VLOOKUP(A166,'company tracker'!$a:$s,MATCH("Jun 2026 Referring Domains",'company tracker'!$1:$1,0),FALSE()),"")</f>
        <v/>
      </c>
    </row>
    <row r="167" customFormat="false" ht="15" hidden="false" customHeight="true" outlineLevel="0" collapsed="false">
      <c r="B167" s="1" t="str">
        <f aca="false">IFERROR(VLOOKUP(A167,'company tracker'!$a:$s,MATCH("Category",'company tracker'!$1:$1,0),FALSE()),"")</f>
        <v/>
      </c>
      <c r="C167" s="1" t="str">
        <f aca="false">IFERROR(VLOOKUP(A167,'Pass 1 Archive'!$A:$AD,MATCH("LinkedIn Employee Count",'Pass 1 Archive'!$1:$1,0),FALSE()),"")</f>
        <v/>
      </c>
      <c r="D167" s="1" t="str">
        <f aca="false">IFERROR(VLOOKUP(A167,'company tracker'!$a:$s,MATCH("Jan 2025 Traffic",'company tracker'!$1:$1,0),FALSE()),"")</f>
        <v/>
      </c>
      <c r="E167" s="1" t="str">
        <f aca="false">IFERROR(VLOOKUP(A167,'company tracker'!$a:$s,MATCH("Jun 2026 Traffic",'company tracker'!$1:$1,0),FALSE()),"")</f>
        <v/>
      </c>
      <c r="F167" s="1" t="str">
        <f aca="false">IFERROR(VLOOKUP(A167,'company tracker'!$a:$s,MATCH("Traffic % Change",'company tracker'!$1:$1,0),FALSE()),"")</f>
        <v/>
      </c>
      <c r="G167" s="1" t="str">
        <f aca="false">IFERROR(VLOOKUP(A167,'company tracker'!$a:$s,MATCH("Jan 2025 Referring Domains",'company tracker'!$1:$1,0),FALSE()),"")</f>
        <v/>
      </c>
      <c r="H167" s="1" t="str">
        <f aca="false">IFERROR(VLOOKUP(A167,'company tracker'!$a:$s,MATCH("Jun 2026 Referring Domains",'company tracker'!$1:$1,0),FALSE()),"")</f>
        <v/>
      </c>
    </row>
    <row r="168" customFormat="false" ht="15" hidden="false" customHeight="true" outlineLevel="0" collapsed="false">
      <c r="B168" s="1" t="str">
        <f aca="false">IFERROR(VLOOKUP(A168,'company tracker'!$a:$s,MATCH("Category",'company tracker'!$1:$1,0),FALSE()),"")</f>
        <v/>
      </c>
      <c r="C168" s="1" t="str">
        <f aca="false">IFERROR(VLOOKUP(A168,'Pass 1 Archive'!$A:$AD,MATCH("LinkedIn Employee Count",'Pass 1 Archive'!$1:$1,0),FALSE()),"")</f>
        <v/>
      </c>
      <c r="D168" s="1" t="str">
        <f aca="false">IFERROR(VLOOKUP(A168,'company tracker'!$a:$s,MATCH("Jan 2025 Traffic",'company tracker'!$1:$1,0),FALSE()),"")</f>
        <v/>
      </c>
      <c r="E168" s="1" t="str">
        <f aca="false">IFERROR(VLOOKUP(A168,'company tracker'!$a:$s,MATCH("Jun 2026 Traffic",'company tracker'!$1:$1,0),FALSE()),"")</f>
        <v/>
      </c>
      <c r="F168" s="1" t="str">
        <f aca="false">IFERROR(VLOOKUP(A168,'company tracker'!$a:$s,MATCH("Traffic % Change",'company tracker'!$1:$1,0),FALSE()),"")</f>
        <v/>
      </c>
      <c r="G168" s="1" t="str">
        <f aca="false">IFERROR(VLOOKUP(A168,'company tracker'!$a:$s,MATCH("Jan 2025 Referring Domains",'company tracker'!$1:$1,0),FALSE()),"")</f>
        <v/>
      </c>
      <c r="H168" s="1" t="str">
        <f aca="false">IFERROR(VLOOKUP(A168,'company tracker'!$a:$s,MATCH("Jun 2026 Referring Domains",'company tracker'!$1:$1,0),FALSE()),"")</f>
        <v/>
      </c>
    </row>
    <row r="169" customFormat="false" ht="15" hidden="false" customHeight="true" outlineLevel="0" collapsed="false">
      <c r="B169" s="1" t="str">
        <f aca="false">IFERROR(VLOOKUP(A169,'company tracker'!$a:$s,MATCH("Category",'company tracker'!$1:$1,0),FALSE()),"")</f>
        <v/>
      </c>
      <c r="C169" s="1" t="str">
        <f aca="false">IFERROR(VLOOKUP(A169,'Pass 1 Archive'!$A:$AD,MATCH("LinkedIn Employee Count",'Pass 1 Archive'!$1:$1,0),FALSE()),"")</f>
        <v/>
      </c>
      <c r="D169" s="1" t="str">
        <f aca="false">IFERROR(VLOOKUP(A169,'company tracker'!$a:$s,MATCH("Jan 2025 Traffic",'company tracker'!$1:$1,0),FALSE()),"")</f>
        <v/>
      </c>
      <c r="E169" s="1" t="str">
        <f aca="false">IFERROR(VLOOKUP(A169,'company tracker'!$a:$s,MATCH("Jun 2026 Traffic",'company tracker'!$1:$1,0),FALSE()),"")</f>
        <v/>
      </c>
      <c r="F169" s="1" t="str">
        <f aca="false">IFERROR(VLOOKUP(A169,'company tracker'!$a:$s,MATCH("Traffic % Change",'company tracker'!$1:$1,0),FALSE()),"")</f>
        <v/>
      </c>
      <c r="G169" s="1" t="str">
        <f aca="false">IFERROR(VLOOKUP(A169,'company tracker'!$a:$s,MATCH("Jan 2025 Referring Domains",'company tracker'!$1:$1,0),FALSE()),"")</f>
        <v/>
      </c>
      <c r="H169" s="1" t="str">
        <f aca="false">IFERROR(VLOOKUP(A169,'company tracker'!$a:$s,MATCH("Jun 2026 Referring Domains",'company tracker'!$1:$1,0),FALSE()),"")</f>
        <v/>
      </c>
    </row>
    <row r="170" customFormat="false" ht="15" hidden="false" customHeight="true" outlineLevel="0" collapsed="false">
      <c r="B170" s="1" t="str">
        <f aca="false">IFERROR(VLOOKUP(A170,'company tracker'!$a:$s,MATCH("Category",'company tracker'!$1:$1,0),FALSE()),"")</f>
        <v/>
      </c>
      <c r="C170" s="1" t="str">
        <f aca="false">IFERROR(VLOOKUP(A170,'Pass 1 Archive'!$A:$AD,MATCH("LinkedIn Employee Count",'Pass 1 Archive'!$1:$1,0),FALSE()),"")</f>
        <v/>
      </c>
      <c r="D170" s="1" t="str">
        <f aca="false">IFERROR(VLOOKUP(A170,'company tracker'!$a:$s,MATCH("Jan 2025 Traffic",'company tracker'!$1:$1,0),FALSE()),"")</f>
        <v/>
      </c>
      <c r="E170" s="1" t="str">
        <f aca="false">IFERROR(VLOOKUP(A170,'company tracker'!$a:$s,MATCH("Jun 2026 Traffic",'company tracker'!$1:$1,0),FALSE()),"")</f>
        <v/>
      </c>
      <c r="F170" s="1" t="str">
        <f aca="false">IFERROR(VLOOKUP(A170,'company tracker'!$a:$s,MATCH("Traffic % Change",'company tracker'!$1:$1,0),FALSE()),"")</f>
        <v/>
      </c>
      <c r="G170" s="1" t="str">
        <f aca="false">IFERROR(VLOOKUP(A170,'company tracker'!$a:$s,MATCH("Jan 2025 Referring Domains",'company tracker'!$1:$1,0),FALSE()),"")</f>
        <v/>
      </c>
      <c r="H170" s="1" t="str">
        <f aca="false">IFERROR(VLOOKUP(A170,'company tracker'!$a:$s,MATCH("Jun 2026 Referring Domains",'company tracker'!$1:$1,0),FALSE()),"")</f>
        <v/>
      </c>
    </row>
    <row r="171" customFormat="false" ht="15" hidden="false" customHeight="true" outlineLevel="0" collapsed="false">
      <c r="B171" s="1" t="str">
        <f aca="false">IFERROR(VLOOKUP(A171,'company tracker'!$a:$s,MATCH("Category",'company tracker'!$1:$1,0),FALSE()),"")</f>
        <v/>
      </c>
      <c r="C171" s="1" t="str">
        <f aca="false">IFERROR(VLOOKUP(A171,'Pass 1 Archive'!$A:$AD,MATCH("LinkedIn Employee Count",'Pass 1 Archive'!$1:$1,0),FALSE()),"")</f>
        <v/>
      </c>
      <c r="D171" s="1" t="str">
        <f aca="false">IFERROR(VLOOKUP(A171,'company tracker'!$a:$s,MATCH("Jan 2025 Traffic",'company tracker'!$1:$1,0),FALSE()),"")</f>
        <v/>
      </c>
      <c r="E171" s="1" t="str">
        <f aca="false">IFERROR(VLOOKUP(A171,'company tracker'!$a:$s,MATCH("Jun 2026 Traffic",'company tracker'!$1:$1,0),FALSE()),"")</f>
        <v/>
      </c>
      <c r="F171" s="1" t="str">
        <f aca="false">IFERROR(VLOOKUP(A171,'company tracker'!$a:$s,MATCH("Traffic % Change",'company tracker'!$1:$1,0),FALSE()),"")</f>
        <v/>
      </c>
      <c r="G171" s="1" t="str">
        <f aca="false">IFERROR(VLOOKUP(A171,'company tracker'!$a:$s,MATCH("Jan 2025 Referring Domains",'company tracker'!$1:$1,0),FALSE()),"")</f>
        <v/>
      </c>
      <c r="H171" s="1" t="str">
        <f aca="false">IFERROR(VLOOKUP(A171,'company tracker'!$a:$s,MATCH("Jun 2026 Referring Domains",'company tracker'!$1:$1,0),FALSE()),"")</f>
        <v/>
      </c>
    </row>
    <row r="172" customFormat="false" ht="15" hidden="false" customHeight="true" outlineLevel="0" collapsed="false">
      <c r="B172" s="1" t="str">
        <f aca="false">IFERROR(VLOOKUP(A172,'company tracker'!$a:$s,MATCH("Category",'company tracker'!$1:$1,0),FALSE()),"")</f>
        <v/>
      </c>
      <c r="C172" s="1" t="str">
        <f aca="false">IFERROR(VLOOKUP(A172,'Pass 1 Archive'!$A:$AD,MATCH("LinkedIn Employee Count",'Pass 1 Archive'!$1:$1,0),FALSE()),"")</f>
        <v/>
      </c>
      <c r="D172" s="1" t="str">
        <f aca="false">IFERROR(VLOOKUP(A172,'company tracker'!$a:$s,MATCH("Jan 2025 Traffic",'company tracker'!$1:$1,0),FALSE()),"")</f>
        <v/>
      </c>
      <c r="E172" s="1" t="str">
        <f aca="false">IFERROR(VLOOKUP(A172,'company tracker'!$a:$s,MATCH("Jun 2026 Traffic",'company tracker'!$1:$1,0),FALSE()),"")</f>
        <v/>
      </c>
      <c r="F172" s="1" t="str">
        <f aca="false">IFERROR(VLOOKUP(A172,'company tracker'!$a:$s,MATCH("Traffic % Change",'company tracker'!$1:$1,0),FALSE()),"")</f>
        <v/>
      </c>
      <c r="G172" s="1" t="str">
        <f aca="false">IFERROR(VLOOKUP(A172,'company tracker'!$a:$s,MATCH("Jan 2025 Referring Domains",'company tracker'!$1:$1,0),FALSE()),"")</f>
        <v/>
      </c>
      <c r="H172" s="1" t="str">
        <f aca="false">IFERROR(VLOOKUP(A172,'company tracker'!$a:$s,MATCH("Jun 2026 Referring Domains",'company tracker'!$1:$1,0),FALSE()),"")</f>
        <v/>
      </c>
    </row>
    <row r="173" customFormat="false" ht="15" hidden="false" customHeight="true" outlineLevel="0" collapsed="false">
      <c r="B173" s="1" t="str">
        <f aca="false">IFERROR(VLOOKUP(A173,'company tracker'!$a:$s,MATCH("Category",'company tracker'!$1:$1,0),FALSE()),"")</f>
        <v/>
      </c>
      <c r="C173" s="1" t="str">
        <f aca="false">IFERROR(VLOOKUP(A173,'Pass 1 Archive'!$A:$AD,MATCH("LinkedIn Employee Count",'Pass 1 Archive'!$1:$1,0),FALSE()),"")</f>
        <v/>
      </c>
      <c r="D173" s="1" t="str">
        <f aca="false">IFERROR(VLOOKUP(A173,'company tracker'!$a:$s,MATCH("Jan 2025 Traffic",'company tracker'!$1:$1,0),FALSE()),"")</f>
        <v/>
      </c>
      <c r="E173" s="1" t="str">
        <f aca="false">IFERROR(VLOOKUP(A173,'company tracker'!$a:$s,MATCH("Jun 2026 Traffic",'company tracker'!$1:$1,0),FALSE()),"")</f>
        <v/>
      </c>
      <c r="F173" s="1" t="str">
        <f aca="false">IFERROR(VLOOKUP(A173,'company tracker'!$a:$s,MATCH("Traffic % Change",'company tracker'!$1:$1,0),FALSE()),"")</f>
        <v/>
      </c>
      <c r="G173" s="1" t="str">
        <f aca="false">IFERROR(VLOOKUP(A173,'company tracker'!$a:$s,MATCH("Jan 2025 Referring Domains",'company tracker'!$1:$1,0),FALSE()),"")</f>
        <v/>
      </c>
      <c r="H173" s="1" t="str">
        <f aca="false">IFERROR(VLOOKUP(A173,'company tracker'!$a:$s,MATCH("Jun 2026 Referring Domains",'company tracker'!$1:$1,0),FALSE()),"")</f>
        <v/>
      </c>
    </row>
    <row r="174" customFormat="false" ht="15" hidden="false" customHeight="true" outlineLevel="0" collapsed="false">
      <c r="B174" s="1" t="str">
        <f aca="false">IFERROR(VLOOKUP(A174,'company tracker'!$a:$s,MATCH("Category",'company tracker'!$1:$1,0),FALSE()),"")</f>
        <v/>
      </c>
      <c r="C174" s="1" t="str">
        <f aca="false">IFERROR(VLOOKUP(A174,'Pass 1 Archive'!$A:$AD,MATCH("LinkedIn Employee Count",'Pass 1 Archive'!$1:$1,0),FALSE()),"")</f>
        <v/>
      </c>
      <c r="D174" s="1" t="str">
        <f aca="false">IFERROR(VLOOKUP(A174,'company tracker'!$a:$s,MATCH("Jan 2025 Traffic",'company tracker'!$1:$1,0),FALSE()),"")</f>
        <v/>
      </c>
      <c r="E174" s="1" t="str">
        <f aca="false">IFERROR(VLOOKUP(A174,'company tracker'!$a:$s,MATCH("Jun 2026 Traffic",'company tracker'!$1:$1,0),FALSE()),"")</f>
        <v/>
      </c>
      <c r="F174" s="1" t="str">
        <f aca="false">IFERROR(VLOOKUP(A174,'company tracker'!$a:$s,MATCH("Traffic % Change",'company tracker'!$1:$1,0),FALSE()),"")</f>
        <v/>
      </c>
      <c r="G174" s="1" t="str">
        <f aca="false">IFERROR(VLOOKUP(A174,'company tracker'!$a:$s,MATCH("Jan 2025 Referring Domains",'company tracker'!$1:$1,0),FALSE()),"")</f>
        <v/>
      </c>
      <c r="H174" s="1" t="str">
        <f aca="false">IFERROR(VLOOKUP(A174,'company tracker'!$a:$s,MATCH("Jun 2026 Referring Domains",'company tracker'!$1:$1,0),FALSE()),"")</f>
        <v/>
      </c>
    </row>
    <row r="175" customFormat="false" ht="15" hidden="false" customHeight="true" outlineLevel="0" collapsed="false">
      <c r="B175" s="1" t="str">
        <f aca="false">IFERROR(VLOOKUP(A175,'company tracker'!$a:$s,MATCH("Category",'company tracker'!$1:$1,0),FALSE()),"")</f>
        <v/>
      </c>
      <c r="C175" s="1" t="str">
        <f aca="false">IFERROR(VLOOKUP(A175,'Pass 1 Archive'!$A:$AD,MATCH("LinkedIn Employee Count",'Pass 1 Archive'!$1:$1,0),FALSE()),"")</f>
        <v/>
      </c>
      <c r="D175" s="1" t="str">
        <f aca="false">IFERROR(VLOOKUP(A175,'company tracker'!$a:$s,MATCH("Jan 2025 Traffic",'company tracker'!$1:$1,0),FALSE()),"")</f>
        <v/>
      </c>
      <c r="E175" s="1" t="str">
        <f aca="false">IFERROR(VLOOKUP(A175,'company tracker'!$a:$s,MATCH("Jun 2026 Traffic",'company tracker'!$1:$1,0),FALSE()),"")</f>
        <v/>
      </c>
      <c r="F175" s="1" t="str">
        <f aca="false">IFERROR(VLOOKUP(A175,'company tracker'!$a:$s,MATCH("Traffic % Change",'company tracker'!$1:$1,0),FALSE()),"")</f>
        <v/>
      </c>
      <c r="G175" s="1" t="str">
        <f aca="false">IFERROR(VLOOKUP(A175,'company tracker'!$a:$s,MATCH("Jan 2025 Referring Domains",'company tracker'!$1:$1,0),FALSE()),"")</f>
        <v/>
      </c>
      <c r="H175" s="1" t="str">
        <f aca="false">IFERROR(VLOOKUP(A175,'company tracker'!$a:$s,MATCH("Jun 2026 Referring Domains",'company tracker'!$1:$1,0),FALSE()),"")</f>
        <v/>
      </c>
    </row>
    <row r="176" customFormat="false" ht="15" hidden="false" customHeight="true" outlineLevel="0" collapsed="false">
      <c r="B176" s="1" t="str">
        <f aca="false">IFERROR(VLOOKUP(A176,'company tracker'!$a:$s,MATCH("Category",'company tracker'!$1:$1,0),FALSE()),"")</f>
        <v/>
      </c>
      <c r="C176" s="1" t="str">
        <f aca="false">IFERROR(VLOOKUP(A176,'Pass 1 Archive'!$A:$AD,MATCH("LinkedIn Employee Count",'Pass 1 Archive'!$1:$1,0),FALSE()),"")</f>
        <v/>
      </c>
      <c r="D176" s="1" t="str">
        <f aca="false">IFERROR(VLOOKUP(A176,'company tracker'!$a:$s,MATCH("Jan 2025 Traffic",'company tracker'!$1:$1,0),FALSE()),"")</f>
        <v/>
      </c>
      <c r="E176" s="1" t="str">
        <f aca="false">IFERROR(VLOOKUP(A176,'company tracker'!$a:$s,MATCH("Jun 2026 Traffic",'company tracker'!$1:$1,0),FALSE()),"")</f>
        <v/>
      </c>
      <c r="F176" s="1" t="str">
        <f aca="false">IFERROR(VLOOKUP(A176,'company tracker'!$a:$s,MATCH("Traffic % Change",'company tracker'!$1:$1,0),FALSE()),"")</f>
        <v/>
      </c>
      <c r="G176" s="1" t="str">
        <f aca="false">IFERROR(VLOOKUP(A176,'company tracker'!$a:$s,MATCH("Jan 2025 Referring Domains",'company tracker'!$1:$1,0),FALSE()),"")</f>
        <v/>
      </c>
      <c r="H176" s="1" t="str">
        <f aca="false">IFERROR(VLOOKUP(A176,'company tracker'!$a:$s,MATCH("Jun 2026 Referring Domains",'company tracker'!$1:$1,0),FALSE()),"")</f>
        <v/>
      </c>
    </row>
    <row r="177" customFormat="false" ht="15" hidden="false" customHeight="true" outlineLevel="0" collapsed="false">
      <c r="B177" s="1" t="str">
        <f aca="false">IFERROR(VLOOKUP(A177,'company tracker'!$a:$s,MATCH("Category",'company tracker'!$1:$1,0),FALSE()),"")</f>
        <v/>
      </c>
      <c r="C177" s="1" t="str">
        <f aca="false">IFERROR(VLOOKUP(A177,'Pass 1 Archive'!$A:$AD,MATCH("LinkedIn Employee Count",'Pass 1 Archive'!$1:$1,0),FALSE()),"")</f>
        <v/>
      </c>
      <c r="D177" s="1" t="str">
        <f aca="false">IFERROR(VLOOKUP(A177,'company tracker'!$a:$s,MATCH("Jan 2025 Traffic",'company tracker'!$1:$1,0),FALSE()),"")</f>
        <v/>
      </c>
      <c r="E177" s="1" t="str">
        <f aca="false">IFERROR(VLOOKUP(A177,'company tracker'!$a:$s,MATCH("Jun 2026 Traffic",'company tracker'!$1:$1,0),FALSE()),"")</f>
        <v/>
      </c>
      <c r="F177" s="1" t="str">
        <f aca="false">IFERROR(VLOOKUP(A177,'company tracker'!$a:$s,MATCH("Traffic % Change",'company tracker'!$1:$1,0),FALSE()),"")</f>
        <v/>
      </c>
      <c r="G177" s="1" t="str">
        <f aca="false">IFERROR(VLOOKUP(A177,'company tracker'!$a:$s,MATCH("Jan 2025 Referring Domains",'company tracker'!$1:$1,0),FALSE()),"")</f>
        <v/>
      </c>
      <c r="H177" s="1" t="str">
        <f aca="false">IFERROR(VLOOKUP(A177,'company tracker'!$a:$s,MATCH("Jun 2026 Referring Domains",'company tracker'!$1:$1,0),FALSE()),"")</f>
        <v/>
      </c>
    </row>
    <row r="178" customFormat="false" ht="15" hidden="false" customHeight="true" outlineLevel="0" collapsed="false">
      <c r="B178" s="1" t="str">
        <f aca="false">IFERROR(VLOOKUP(A178,'company tracker'!$a:$s,MATCH("Category",'company tracker'!$1:$1,0),FALSE()),"")</f>
        <v/>
      </c>
      <c r="C178" s="1" t="str">
        <f aca="false">IFERROR(VLOOKUP(A178,'Pass 1 Archive'!$A:$AD,MATCH("LinkedIn Employee Count",'Pass 1 Archive'!$1:$1,0),FALSE()),"")</f>
        <v/>
      </c>
      <c r="D178" s="1" t="str">
        <f aca="false">IFERROR(VLOOKUP(A178,'company tracker'!$a:$s,MATCH("Jan 2025 Traffic",'company tracker'!$1:$1,0),FALSE()),"")</f>
        <v/>
      </c>
      <c r="E178" s="1" t="str">
        <f aca="false">IFERROR(VLOOKUP(A178,'company tracker'!$a:$s,MATCH("Jun 2026 Traffic",'company tracker'!$1:$1,0),FALSE()),"")</f>
        <v/>
      </c>
      <c r="F178" s="1" t="str">
        <f aca="false">IFERROR(VLOOKUP(A178,'company tracker'!$a:$s,MATCH("Traffic % Change",'company tracker'!$1:$1,0),FALSE()),"")</f>
        <v/>
      </c>
      <c r="G178" s="1" t="str">
        <f aca="false">IFERROR(VLOOKUP(A178,'company tracker'!$a:$s,MATCH("Jan 2025 Referring Domains",'company tracker'!$1:$1,0),FALSE()),"")</f>
        <v/>
      </c>
      <c r="H178" s="1" t="str">
        <f aca="false">IFERROR(VLOOKUP(A178,'company tracker'!$a:$s,MATCH("Jun 2026 Referring Domains",'company tracker'!$1:$1,0),FALSE()),"")</f>
        <v/>
      </c>
    </row>
    <row r="179" customFormat="false" ht="15" hidden="false" customHeight="true" outlineLevel="0" collapsed="false">
      <c r="B179" s="1" t="str">
        <f aca="false">IFERROR(VLOOKUP(A179,'company tracker'!$a:$s,MATCH("Category",'company tracker'!$1:$1,0),FALSE()),"")</f>
        <v/>
      </c>
      <c r="C179" s="1" t="str">
        <f aca="false">IFERROR(VLOOKUP(A179,'Pass 1 Archive'!$A:$AD,MATCH("LinkedIn Employee Count",'Pass 1 Archive'!$1:$1,0),FALSE()),"")</f>
        <v/>
      </c>
      <c r="D179" s="1" t="str">
        <f aca="false">IFERROR(VLOOKUP(A179,'company tracker'!$a:$s,MATCH("Jan 2025 Traffic",'company tracker'!$1:$1,0),FALSE()),"")</f>
        <v/>
      </c>
      <c r="E179" s="1" t="str">
        <f aca="false">IFERROR(VLOOKUP(A179,'company tracker'!$a:$s,MATCH("Jun 2026 Traffic",'company tracker'!$1:$1,0),FALSE()),"")</f>
        <v/>
      </c>
      <c r="F179" s="1" t="str">
        <f aca="false">IFERROR(VLOOKUP(A179,'company tracker'!$a:$s,MATCH("Traffic % Change",'company tracker'!$1:$1,0),FALSE()),"")</f>
        <v/>
      </c>
      <c r="G179" s="1" t="str">
        <f aca="false">IFERROR(VLOOKUP(A179,'company tracker'!$a:$s,MATCH("Jan 2025 Referring Domains",'company tracker'!$1:$1,0),FALSE()),"")</f>
        <v/>
      </c>
      <c r="H179" s="1" t="str">
        <f aca="false">IFERROR(VLOOKUP(A179,'company tracker'!$a:$s,MATCH("Jun 2026 Referring Domains",'company tracker'!$1:$1,0),FALSE()),"")</f>
        <v/>
      </c>
    </row>
    <row r="180" customFormat="false" ht="15" hidden="false" customHeight="true" outlineLevel="0" collapsed="false">
      <c r="B180" s="1" t="str">
        <f aca="false">IFERROR(VLOOKUP(A180,'company tracker'!$a:$s,MATCH("Category",'company tracker'!$1:$1,0),FALSE()),"")</f>
        <v/>
      </c>
      <c r="C180" s="1" t="str">
        <f aca="false">IFERROR(VLOOKUP(A180,'Pass 1 Archive'!$A:$AD,MATCH("LinkedIn Employee Count",'Pass 1 Archive'!$1:$1,0),FALSE()),"")</f>
        <v/>
      </c>
      <c r="D180" s="1" t="str">
        <f aca="false">IFERROR(VLOOKUP(A180,'company tracker'!$a:$s,MATCH("Jan 2025 Traffic",'company tracker'!$1:$1,0),FALSE()),"")</f>
        <v/>
      </c>
      <c r="E180" s="1" t="str">
        <f aca="false">IFERROR(VLOOKUP(A180,'company tracker'!$a:$s,MATCH("Jun 2026 Traffic",'company tracker'!$1:$1,0),FALSE()),"")</f>
        <v/>
      </c>
      <c r="F180" s="1" t="str">
        <f aca="false">IFERROR(VLOOKUP(A180,'company tracker'!$a:$s,MATCH("Traffic % Change",'company tracker'!$1:$1,0),FALSE()),"")</f>
        <v/>
      </c>
      <c r="G180" s="1" t="str">
        <f aca="false">IFERROR(VLOOKUP(A180,'company tracker'!$a:$s,MATCH("Jan 2025 Referring Domains",'company tracker'!$1:$1,0),FALSE()),"")</f>
        <v/>
      </c>
      <c r="H180" s="1" t="str">
        <f aca="false">IFERROR(VLOOKUP(A180,'company tracker'!$a:$s,MATCH("Jun 2026 Referring Domains",'company tracker'!$1:$1,0),FALSE()),"")</f>
        <v/>
      </c>
    </row>
    <row r="181" customFormat="false" ht="15" hidden="false" customHeight="true" outlineLevel="0" collapsed="false">
      <c r="B181" s="1" t="str">
        <f aca="false">IFERROR(VLOOKUP(A181,'company tracker'!$a:$s,MATCH("Category",'company tracker'!$1:$1,0),FALSE()),"")</f>
        <v/>
      </c>
      <c r="C181" s="1" t="str">
        <f aca="false">IFERROR(VLOOKUP(A181,'Pass 1 Archive'!$A:$AD,MATCH("LinkedIn Employee Count",'Pass 1 Archive'!$1:$1,0),FALSE()),"")</f>
        <v/>
      </c>
      <c r="D181" s="1" t="str">
        <f aca="false">IFERROR(VLOOKUP(A181,'company tracker'!$a:$s,MATCH("Jan 2025 Traffic",'company tracker'!$1:$1,0),FALSE()),"")</f>
        <v/>
      </c>
      <c r="E181" s="1" t="str">
        <f aca="false">IFERROR(VLOOKUP(A181,'company tracker'!$a:$s,MATCH("Jun 2026 Traffic",'company tracker'!$1:$1,0),FALSE()),"")</f>
        <v/>
      </c>
      <c r="F181" s="1" t="str">
        <f aca="false">IFERROR(VLOOKUP(A181,'company tracker'!$a:$s,MATCH("Traffic % Change",'company tracker'!$1:$1,0),FALSE()),"")</f>
        <v/>
      </c>
      <c r="G181" s="1" t="str">
        <f aca="false">IFERROR(VLOOKUP(A181,'company tracker'!$a:$s,MATCH("Jan 2025 Referring Domains",'company tracker'!$1:$1,0),FALSE()),"")</f>
        <v/>
      </c>
      <c r="H181" s="1" t="str">
        <f aca="false">IFERROR(VLOOKUP(A181,'company tracker'!$a:$s,MATCH("Jun 2026 Referring Domains",'company tracker'!$1:$1,0),FALSE()),"")</f>
        <v/>
      </c>
    </row>
    <row r="182" customFormat="false" ht="15" hidden="false" customHeight="true" outlineLevel="0" collapsed="false">
      <c r="B182" s="1" t="str">
        <f aca="false">IFERROR(VLOOKUP(A182,'company tracker'!$a:$s,MATCH("Category",'company tracker'!$1:$1,0),FALSE()),"")</f>
        <v/>
      </c>
      <c r="C182" s="1" t="str">
        <f aca="false">IFERROR(VLOOKUP(A182,'Pass 1 Archive'!$A:$AD,MATCH("LinkedIn Employee Count",'Pass 1 Archive'!$1:$1,0),FALSE()),"")</f>
        <v/>
      </c>
      <c r="D182" s="1" t="str">
        <f aca="false">IFERROR(VLOOKUP(A182,'company tracker'!$a:$s,MATCH("Jan 2025 Traffic",'company tracker'!$1:$1,0),FALSE()),"")</f>
        <v/>
      </c>
      <c r="E182" s="1" t="str">
        <f aca="false">IFERROR(VLOOKUP(A182,'company tracker'!$a:$s,MATCH("Jun 2026 Traffic",'company tracker'!$1:$1,0),FALSE()),"")</f>
        <v/>
      </c>
      <c r="F182" s="1" t="str">
        <f aca="false">IFERROR(VLOOKUP(A182,'company tracker'!$a:$s,MATCH("Traffic % Change",'company tracker'!$1:$1,0),FALSE()),"")</f>
        <v/>
      </c>
      <c r="G182" s="1" t="str">
        <f aca="false">IFERROR(VLOOKUP(A182,'company tracker'!$a:$s,MATCH("Jan 2025 Referring Domains",'company tracker'!$1:$1,0),FALSE()),"")</f>
        <v/>
      </c>
      <c r="H182" s="1" t="str">
        <f aca="false">IFERROR(VLOOKUP(A182,'company tracker'!$a:$s,MATCH("Jun 2026 Referring Domains",'company tracker'!$1:$1,0),FALSE()),"")</f>
        <v/>
      </c>
    </row>
    <row r="183" customFormat="false" ht="15" hidden="false" customHeight="true" outlineLevel="0" collapsed="false">
      <c r="B183" s="1" t="str">
        <f aca="false">IFERROR(VLOOKUP(A183,'company tracker'!$a:$s,MATCH("Category",'company tracker'!$1:$1,0),FALSE()),"")</f>
        <v/>
      </c>
      <c r="C183" s="1" t="str">
        <f aca="false">IFERROR(VLOOKUP(A183,'Pass 1 Archive'!$A:$AD,MATCH("LinkedIn Employee Count",'Pass 1 Archive'!$1:$1,0),FALSE()),"")</f>
        <v/>
      </c>
      <c r="D183" s="1" t="str">
        <f aca="false">IFERROR(VLOOKUP(A183,'company tracker'!$a:$s,MATCH("Jan 2025 Traffic",'company tracker'!$1:$1,0),FALSE()),"")</f>
        <v/>
      </c>
      <c r="E183" s="1" t="str">
        <f aca="false">IFERROR(VLOOKUP(A183,'company tracker'!$a:$s,MATCH("Jun 2026 Traffic",'company tracker'!$1:$1,0),FALSE()),"")</f>
        <v/>
      </c>
      <c r="F183" s="1" t="str">
        <f aca="false">IFERROR(VLOOKUP(A183,'company tracker'!$a:$s,MATCH("Traffic % Change",'company tracker'!$1:$1,0),FALSE()),"")</f>
        <v/>
      </c>
      <c r="G183" s="1" t="str">
        <f aca="false">IFERROR(VLOOKUP(A183,'company tracker'!$a:$s,MATCH("Jan 2025 Referring Domains",'company tracker'!$1:$1,0),FALSE()),"")</f>
        <v/>
      </c>
      <c r="H183" s="1" t="str">
        <f aca="false">IFERROR(VLOOKUP(A183,'company tracker'!$a:$s,MATCH("Jun 2026 Referring Domains",'company tracker'!$1:$1,0),FALSE()),"")</f>
        <v/>
      </c>
    </row>
    <row r="184" customFormat="false" ht="15" hidden="false" customHeight="true" outlineLevel="0" collapsed="false">
      <c r="B184" s="1" t="str">
        <f aca="false">IFERROR(VLOOKUP(A184,'company tracker'!$a:$s,MATCH("Category",'company tracker'!$1:$1,0),FALSE()),"")</f>
        <v/>
      </c>
      <c r="C184" s="1" t="str">
        <f aca="false">IFERROR(VLOOKUP(A184,'Pass 1 Archive'!$A:$AD,MATCH("LinkedIn Employee Count",'Pass 1 Archive'!$1:$1,0),FALSE()),"")</f>
        <v/>
      </c>
      <c r="D184" s="1" t="str">
        <f aca="false">IFERROR(VLOOKUP(A184,'company tracker'!$a:$s,MATCH("Jan 2025 Traffic",'company tracker'!$1:$1,0),FALSE()),"")</f>
        <v/>
      </c>
      <c r="E184" s="1" t="str">
        <f aca="false">IFERROR(VLOOKUP(A184,'company tracker'!$a:$s,MATCH("Jun 2026 Traffic",'company tracker'!$1:$1,0),FALSE()),"")</f>
        <v/>
      </c>
      <c r="F184" s="1" t="str">
        <f aca="false">IFERROR(VLOOKUP(A184,'company tracker'!$a:$s,MATCH("Traffic % Change",'company tracker'!$1:$1,0),FALSE()),"")</f>
        <v/>
      </c>
      <c r="G184" s="1" t="str">
        <f aca="false">IFERROR(VLOOKUP(A184,'company tracker'!$a:$s,MATCH("Jan 2025 Referring Domains",'company tracker'!$1:$1,0),FALSE()),"")</f>
        <v/>
      </c>
      <c r="H184" s="1" t="str">
        <f aca="false">IFERROR(VLOOKUP(A184,'company tracker'!$a:$s,MATCH("Jun 2026 Referring Domains",'company tracker'!$1:$1,0),FALSE()),"")</f>
        <v/>
      </c>
    </row>
    <row r="185" customFormat="false" ht="15" hidden="false" customHeight="true" outlineLevel="0" collapsed="false">
      <c r="B185" s="1" t="str">
        <f aca="false">IFERROR(VLOOKUP(A185,'company tracker'!$a:$s,MATCH("Category",'company tracker'!$1:$1,0),FALSE()),"")</f>
        <v/>
      </c>
      <c r="C185" s="1" t="str">
        <f aca="false">IFERROR(VLOOKUP(A185,'Pass 1 Archive'!$A:$AD,MATCH("LinkedIn Employee Count",'Pass 1 Archive'!$1:$1,0),FALSE()),"")</f>
        <v/>
      </c>
      <c r="D185" s="1" t="str">
        <f aca="false">IFERROR(VLOOKUP(A185,'company tracker'!$a:$s,MATCH("Jan 2025 Traffic",'company tracker'!$1:$1,0),FALSE()),"")</f>
        <v/>
      </c>
      <c r="E185" s="1" t="str">
        <f aca="false">IFERROR(VLOOKUP(A185,'company tracker'!$a:$s,MATCH("Jun 2026 Traffic",'company tracker'!$1:$1,0),FALSE()),"")</f>
        <v/>
      </c>
      <c r="F185" s="1" t="str">
        <f aca="false">IFERROR(VLOOKUP(A185,'company tracker'!$a:$s,MATCH("Traffic % Change",'company tracker'!$1:$1,0),FALSE()),"")</f>
        <v/>
      </c>
      <c r="G185" s="1" t="str">
        <f aca="false">IFERROR(VLOOKUP(A185,'company tracker'!$a:$s,MATCH("Jan 2025 Referring Domains",'company tracker'!$1:$1,0),FALSE()),"")</f>
        <v/>
      </c>
      <c r="H185" s="1" t="str">
        <f aca="false">IFERROR(VLOOKUP(A185,'company tracker'!$a:$s,MATCH("Jun 2026 Referring Domains",'company tracker'!$1:$1,0),FALSE()),"")</f>
        <v/>
      </c>
    </row>
    <row r="186" customFormat="false" ht="15" hidden="false" customHeight="true" outlineLevel="0" collapsed="false">
      <c r="B186" s="1" t="str">
        <f aca="false">IFERROR(VLOOKUP(A186,'company tracker'!$a:$s,MATCH("Category",'company tracker'!$1:$1,0),FALSE()),"")</f>
        <v/>
      </c>
      <c r="C186" s="1" t="str">
        <f aca="false">IFERROR(VLOOKUP(A186,'Pass 1 Archive'!$A:$AD,MATCH("LinkedIn Employee Count",'Pass 1 Archive'!$1:$1,0),FALSE()),"")</f>
        <v/>
      </c>
      <c r="D186" s="1" t="str">
        <f aca="false">IFERROR(VLOOKUP(A186,'company tracker'!$a:$s,MATCH("Jan 2025 Traffic",'company tracker'!$1:$1,0),FALSE()),"")</f>
        <v/>
      </c>
      <c r="E186" s="1" t="str">
        <f aca="false">IFERROR(VLOOKUP(A186,'company tracker'!$a:$s,MATCH("Jun 2026 Traffic",'company tracker'!$1:$1,0),FALSE()),"")</f>
        <v/>
      </c>
      <c r="F186" s="1" t="str">
        <f aca="false">IFERROR(VLOOKUP(A186,'company tracker'!$a:$s,MATCH("Traffic % Change",'company tracker'!$1:$1,0),FALSE()),"")</f>
        <v/>
      </c>
      <c r="G186" s="1" t="str">
        <f aca="false">IFERROR(VLOOKUP(A186,'company tracker'!$a:$s,MATCH("Jan 2025 Referring Domains",'company tracker'!$1:$1,0),FALSE()),"")</f>
        <v/>
      </c>
      <c r="H186" s="1" t="str">
        <f aca="false">IFERROR(VLOOKUP(A186,'company tracker'!$a:$s,MATCH("Jun 2026 Referring Domains",'company tracker'!$1:$1,0),FALSE()),"")</f>
        <v/>
      </c>
    </row>
    <row r="187" customFormat="false" ht="15" hidden="false" customHeight="true" outlineLevel="0" collapsed="false">
      <c r="B187" s="1" t="str">
        <f aca="false">IFERROR(VLOOKUP(A187,'company tracker'!$a:$s,MATCH("Category",'company tracker'!$1:$1,0),FALSE()),"")</f>
        <v/>
      </c>
      <c r="C187" s="1" t="str">
        <f aca="false">IFERROR(VLOOKUP(A187,'Pass 1 Archive'!$A:$AD,MATCH("LinkedIn Employee Count",'Pass 1 Archive'!$1:$1,0),FALSE()),"")</f>
        <v/>
      </c>
      <c r="D187" s="1" t="str">
        <f aca="false">IFERROR(VLOOKUP(A187,'company tracker'!$a:$s,MATCH("Jan 2025 Traffic",'company tracker'!$1:$1,0),FALSE()),"")</f>
        <v/>
      </c>
      <c r="E187" s="1" t="str">
        <f aca="false">IFERROR(VLOOKUP(A187,'company tracker'!$a:$s,MATCH("Jun 2026 Traffic",'company tracker'!$1:$1,0),FALSE()),"")</f>
        <v/>
      </c>
      <c r="F187" s="1" t="str">
        <f aca="false">IFERROR(VLOOKUP(A187,'company tracker'!$a:$s,MATCH("Traffic % Change",'company tracker'!$1:$1,0),FALSE()),"")</f>
        <v/>
      </c>
      <c r="G187" s="1" t="str">
        <f aca="false">IFERROR(VLOOKUP(A187,'company tracker'!$a:$s,MATCH("Jan 2025 Referring Domains",'company tracker'!$1:$1,0),FALSE()),"")</f>
        <v/>
      </c>
      <c r="H187" s="1" t="str">
        <f aca="false">IFERROR(VLOOKUP(A187,'company tracker'!$a:$s,MATCH("Jun 2026 Referring Domains",'company tracker'!$1:$1,0),FALSE()),"")</f>
        <v/>
      </c>
    </row>
    <row r="188" customFormat="false" ht="15" hidden="false" customHeight="true" outlineLevel="0" collapsed="false">
      <c r="B188" s="1" t="str">
        <f aca="false">IFERROR(VLOOKUP(A188,'company tracker'!$a:$s,MATCH("Category",'company tracker'!$1:$1,0),FALSE()),"")</f>
        <v/>
      </c>
      <c r="C188" s="1" t="str">
        <f aca="false">IFERROR(VLOOKUP(A188,'Pass 1 Archive'!$A:$AD,MATCH("LinkedIn Employee Count",'Pass 1 Archive'!$1:$1,0),FALSE()),"")</f>
        <v/>
      </c>
      <c r="D188" s="1" t="str">
        <f aca="false">IFERROR(VLOOKUP(A188,'company tracker'!$a:$s,MATCH("Jan 2025 Traffic",'company tracker'!$1:$1,0),FALSE()),"")</f>
        <v/>
      </c>
      <c r="E188" s="1" t="str">
        <f aca="false">IFERROR(VLOOKUP(A188,'company tracker'!$a:$s,MATCH("Jun 2026 Traffic",'company tracker'!$1:$1,0),FALSE()),"")</f>
        <v/>
      </c>
      <c r="F188" s="1" t="str">
        <f aca="false">IFERROR(VLOOKUP(A188,'company tracker'!$a:$s,MATCH("Traffic % Change",'company tracker'!$1:$1,0),FALSE()),"")</f>
        <v/>
      </c>
      <c r="G188" s="1" t="str">
        <f aca="false">IFERROR(VLOOKUP(A188,'company tracker'!$a:$s,MATCH("Jan 2025 Referring Domains",'company tracker'!$1:$1,0),FALSE()),"")</f>
        <v/>
      </c>
      <c r="H188" s="1" t="str">
        <f aca="false">IFERROR(VLOOKUP(A188,'company tracker'!$a:$s,MATCH("Jun 2026 Referring Domains",'company tracker'!$1:$1,0),FALSE()),"")</f>
        <v/>
      </c>
    </row>
    <row r="189" customFormat="false" ht="15" hidden="false" customHeight="true" outlineLevel="0" collapsed="false">
      <c r="B189" s="1" t="str">
        <f aca="false">IFERROR(VLOOKUP(A189,'company tracker'!$a:$s,MATCH("Category",'company tracker'!$1:$1,0),FALSE()),"")</f>
        <v/>
      </c>
      <c r="C189" s="1" t="str">
        <f aca="false">IFERROR(VLOOKUP(A189,'Pass 1 Archive'!$A:$AD,MATCH("LinkedIn Employee Count",'Pass 1 Archive'!$1:$1,0),FALSE()),"")</f>
        <v/>
      </c>
      <c r="D189" s="1" t="str">
        <f aca="false">IFERROR(VLOOKUP(A189,'company tracker'!$a:$s,MATCH("Jan 2025 Traffic",'company tracker'!$1:$1,0),FALSE()),"")</f>
        <v/>
      </c>
      <c r="E189" s="1" t="str">
        <f aca="false">IFERROR(VLOOKUP(A189,'company tracker'!$a:$s,MATCH("Jun 2026 Traffic",'company tracker'!$1:$1,0),FALSE()),"")</f>
        <v/>
      </c>
      <c r="F189" s="1" t="str">
        <f aca="false">IFERROR(VLOOKUP(A189,'company tracker'!$a:$s,MATCH("Traffic % Change",'company tracker'!$1:$1,0),FALSE()),"")</f>
        <v/>
      </c>
      <c r="G189" s="1" t="str">
        <f aca="false">IFERROR(VLOOKUP(A189,'company tracker'!$a:$s,MATCH("Jan 2025 Referring Domains",'company tracker'!$1:$1,0),FALSE()),"")</f>
        <v/>
      </c>
      <c r="H189" s="1" t="str">
        <f aca="false">IFERROR(VLOOKUP(A189,'company tracker'!$a:$s,MATCH("Jun 2026 Referring Domains",'company tracker'!$1:$1,0),FALSE()),"")</f>
        <v/>
      </c>
    </row>
    <row r="190" customFormat="false" ht="15" hidden="false" customHeight="true" outlineLevel="0" collapsed="false">
      <c r="B190" s="1" t="str">
        <f aca="false">IFERROR(VLOOKUP(A190,'company tracker'!$a:$s,MATCH("Category",'company tracker'!$1:$1,0),FALSE()),"")</f>
        <v/>
      </c>
      <c r="C190" s="1" t="str">
        <f aca="false">IFERROR(VLOOKUP(A190,'Pass 1 Archive'!$A:$AD,MATCH("LinkedIn Employee Count",'Pass 1 Archive'!$1:$1,0),FALSE()),"")</f>
        <v/>
      </c>
      <c r="D190" s="1" t="str">
        <f aca="false">IFERROR(VLOOKUP(A190,'company tracker'!$a:$s,MATCH("Jan 2025 Traffic",'company tracker'!$1:$1,0),FALSE()),"")</f>
        <v/>
      </c>
      <c r="E190" s="1" t="str">
        <f aca="false">IFERROR(VLOOKUP(A190,'company tracker'!$a:$s,MATCH("Jun 2026 Traffic",'company tracker'!$1:$1,0),FALSE()),"")</f>
        <v/>
      </c>
      <c r="F190" s="1" t="str">
        <f aca="false">IFERROR(VLOOKUP(A190,'company tracker'!$a:$s,MATCH("Traffic % Change",'company tracker'!$1:$1,0),FALSE()),"")</f>
        <v/>
      </c>
      <c r="G190" s="1" t="str">
        <f aca="false">IFERROR(VLOOKUP(A190,'company tracker'!$a:$s,MATCH("Jan 2025 Referring Domains",'company tracker'!$1:$1,0),FALSE()),"")</f>
        <v/>
      </c>
      <c r="H190" s="1" t="str">
        <f aca="false">IFERROR(VLOOKUP(A190,'company tracker'!$a:$s,MATCH("Jun 2026 Referring Domains",'company tracker'!$1:$1,0),FALSE()),"")</f>
        <v/>
      </c>
    </row>
    <row r="191" customFormat="false" ht="15" hidden="false" customHeight="true" outlineLevel="0" collapsed="false">
      <c r="B191" s="1" t="str">
        <f aca="false">IFERROR(VLOOKUP(A191,'company tracker'!$a:$s,MATCH("Category",'company tracker'!$1:$1,0),FALSE()),"")</f>
        <v/>
      </c>
      <c r="C191" s="1" t="str">
        <f aca="false">IFERROR(VLOOKUP(A191,'Pass 1 Archive'!$A:$AD,MATCH("LinkedIn Employee Count",'Pass 1 Archive'!$1:$1,0),FALSE()),"")</f>
        <v/>
      </c>
      <c r="D191" s="1" t="str">
        <f aca="false">IFERROR(VLOOKUP(A191,'company tracker'!$a:$s,MATCH("Jan 2025 Traffic",'company tracker'!$1:$1,0),FALSE()),"")</f>
        <v/>
      </c>
      <c r="E191" s="1" t="str">
        <f aca="false">IFERROR(VLOOKUP(A191,'company tracker'!$a:$s,MATCH("Jun 2026 Traffic",'company tracker'!$1:$1,0),FALSE()),"")</f>
        <v/>
      </c>
      <c r="F191" s="1" t="str">
        <f aca="false">IFERROR(VLOOKUP(A191,'company tracker'!$a:$s,MATCH("Traffic % Change",'company tracker'!$1:$1,0),FALSE()),"")</f>
        <v/>
      </c>
      <c r="G191" s="1" t="str">
        <f aca="false">IFERROR(VLOOKUP(A191,'company tracker'!$a:$s,MATCH("Jan 2025 Referring Domains",'company tracker'!$1:$1,0),FALSE()),"")</f>
        <v/>
      </c>
      <c r="H191" s="1" t="str">
        <f aca="false">IFERROR(VLOOKUP(A191,'company tracker'!$a:$s,MATCH("Jun 2026 Referring Domains",'company tracker'!$1:$1,0),FALSE()),"")</f>
        <v/>
      </c>
    </row>
    <row r="192" customFormat="false" ht="15" hidden="false" customHeight="true" outlineLevel="0" collapsed="false">
      <c r="B192" s="1" t="str">
        <f aca="false">IFERROR(VLOOKUP(A192,'company tracker'!$a:$s,MATCH("Category",'company tracker'!$1:$1,0),FALSE()),"")</f>
        <v/>
      </c>
      <c r="C192" s="1" t="str">
        <f aca="false">IFERROR(VLOOKUP(A192,'Pass 1 Archive'!$A:$AD,MATCH("LinkedIn Employee Count",'Pass 1 Archive'!$1:$1,0),FALSE()),"")</f>
        <v/>
      </c>
      <c r="D192" s="1" t="str">
        <f aca="false">IFERROR(VLOOKUP(A192,'company tracker'!$a:$s,MATCH("Jan 2025 Traffic",'company tracker'!$1:$1,0),FALSE()),"")</f>
        <v/>
      </c>
      <c r="E192" s="1" t="str">
        <f aca="false">IFERROR(VLOOKUP(A192,'company tracker'!$a:$s,MATCH("Jun 2026 Traffic",'company tracker'!$1:$1,0),FALSE()),"")</f>
        <v/>
      </c>
      <c r="F192" s="1" t="str">
        <f aca="false">IFERROR(VLOOKUP(A192,'company tracker'!$a:$s,MATCH("Traffic % Change",'company tracker'!$1:$1,0),FALSE()),"")</f>
        <v/>
      </c>
      <c r="G192" s="1" t="str">
        <f aca="false">IFERROR(VLOOKUP(A192,'company tracker'!$a:$s,MATCH("Jan 2025 Referring Domains",'company tracker'!$1:$1,0),FALSE()),"")</f>
        <v/>
      </c>
      <c r="H192" s="1" t="str">
        <f aca="false">IFERROR(VLOOKUP(A192,'company tracker'!$a:$s,MATCH("Jun 2026 Referring Domains",'company tracker'!$1:$1,0),FALSE()),"")</f>
        <v/>
      </c>
    </row>
    <row r="193" customFormat="false" ht="15" hidden="false" customHeight="true" outlineLevel="0" collapsed="false">
      <c r="B193" s="1" t="str">
        <f aca="false">IFERROR(VLOOKUP(A193,'company tracker'!$a:$s,MATCH("Category",'company tracker'!$1:$1,0),FALSE()),"")</f>
        <v/>
      </c>
      <c r="C193" s="1" t="str">
        <f aca="false">IFERROR(VLOOKUP(A193,'Pass 1 Archive'!$A:$AD,MATCH("LinkedIn Employee Count",'Pass 1 Archive'!$1:$1,0),FALSE()),"")</f>
        <v/>
      </c>
      <c r="D193" s="1" t="str">
        <f aca="false">IFERROR(VLOOKUP(A193,'company tracker'!$a:$s,MATCH("Jan 2025 Traffic",'company tracker'!$1:$1,0),FALSE()),"")</f>
        <v/>
      </c>
      <c r="E193" s="1" t="str">
        <f aca="false">IFERROR(VLOOKUP(A193,'company tracker'!$a:$s,MATCH("Jun 2026 Traffic",'company tracker'!$1:$1,0),FALSE()),"")</f>
        <v/>
      </c>
      <c r="F193" s="1" t="str">
        <f aca="false">IFERROR(VLOOKUP(A193,'company tracker'!$a:$s,MATCH("Traffic % Change",'company tracker'!$1:$1,0),FALSE()),"")</f>
        <v/>
      </c>
      <c r="G193" s="1" t="str">
        <f aca="false">IFERROR(VLOOKUP(A193,'company tracker'!$a:$s,MATCH("Jan 2025 Referring Domains",'company tracker'!$1:$1,0),FALSE()),"")</f>
        <v/>
      </c>
      <c r="H193" s="1" t="str">
        <f aca="false">IFERROR(VLOOKUP(A193,'company tracker'!$a:$s,MATCH("Jun 2026 Referring Domains",'company tracker'!$1:$1,0),FALSE()),"")</f>
        <v/>
      </c>
    </row>
    <row r="194" customFormat="false" ht="15" hidden="false" customHeight="true" outlineLevel="0" collapsed="false">
      <c r="B194" s="1" t="str">
        <f aca="false">IFERROR(VLOOKUP(A194,'company tracker'!$a:$s,MATCH("Category",'company tracker'!$1:$1,0),FALSE()),"")</f>
        <v/>
      </c>
      <c r="C194" s="1" t="str">
        <f aca="false">IFERROR(VLOOKUP(A194,'Pass 1 Archive'!$A:$AD,MATCH("LinkedIn Employee Count",'Pass 1 Archive'!$1:$1,0),FALSE()),"")</f>
        <v/>
      </c>
      <c r="D194" s="1" t="str">
        <f aca="false">IFERROR(VLOOKUP(A194,'company tracker'!$a:$s,MATCH("Jan 2025 Traffic",'company tracker'!$1:$1,0),FALSE()),"")</f>
        <v/>
      </c>
      <c r="E194" s="1" t="str">
        <f aca="false">IFERROR(VLOOKUP(A194,'company tracker'!$a:$s,MATCH("Jun 2026 Traffic",'company tracker'!$1:$1,0),FALSE()),"")</f>
        <v/>
      </c>
      <c r="F194" s="1" t="str">
        <f aca="false">IFERROR(VLOOKUP(A194,'company tracker'!$a:$s,MATCH("Traffic % Change",'company tracker'!$1:$1,0),FALSE()),"")</f>
        <v/>
      </c>
      <c r="G194" s="1" t="str">
        <f aca="false">IFERROR(VLOOKUP(A194,'company tracker'!$a:$s,MATCH("Jan 2025 Referring Domains",'company tracker'!$1:$1,0),FALSE()),"")</f>
        <v/>
      </c>
      <c r="H194" s="1" t="str">
        <f aca="false">IFERROR(VLOOKUP(A194,'company tracker'!$a:$s,MATCH("Jun 2026 Referring Domains",'company tracker'!$1:$1,0),FALSE()),"")</f>
        <v/>
      </c>
    </row>
    <row r="195" customFormat="false" ht="15" hidden="false" customHeight="true" outlineLevel="0" collapsed="false">
      <c r="B195" s="1" t="str">
        <f aca="false">IFERROR(VLOOKUP(A195,'company tracker'!$a:$s,MATCH("Category",'company tracker'!$1:$1,0),FALSE()),"")</f>
        <v/>
      </c>
      <c r="C195" s="1" t="str">
        <f aca="false">IFERROR(VLOOKUP(A195,'Pass 1 Archive'!$A:$AD,MATCH("LinkedIn Employee Count",'Pass 1 Archive'!$1:$1,0),FALSE()),"")</f>
        <v/>
      </c>
      <c r="D195" s="1" t="str">
        <f aca="false">IFERROR(VLOOKUP(A195,'company tracker'!$a:$s,MATCH("Jan 2025 Traffic",'company tracker'!$1:$1,0),FALSE()),"")</f>
        <v/>
      </c>
      <c r="E195" s="1" t="str">
        <f aca="false">IFERROR(VLOOKUP(A195,'company tracker'!$a:$s,MATCH("Jun 2026 Traffic",'company tracker'!$1:$1,0),FALSE()),"")</f>
        <v/>
      </c>
      <c r="F195" s="1" t="str">
        <f aca="false">IFERROR(VLOOKUP(A195,'company tracker'!$a:$s,MATCH("Traffic % Change",'company tracker'!$1:$1,0),FALSE()),"")</f>
        <v/>
      </c>
      <c r="G195" s="1" t="str">
        <f aca="false">IFERROR(VLOOKUP(A195,'company tracker'!$a:$s,MATCH("Jan 2025 Referring Domains",'company tracker'!$1:$1,0),FALSE()),"")</f>
        <v/>
      </c>
      <c r="H195" s="1" t="str">
        <f aca="false">IFERROR(VLOOKUP(A195,'company tracker'!$a:$s,MATCH("Jun 2026 Referring Domains",'company tracker'!$1:$1,0),FALSE()),"")</f>
        <v/>
      </c>
    </row>
    <row r="196" customFormat="false" ht="15" hidden="false" customHeight="true" outlineLevel="0" collapsed="false">
      <c r="B196" s="1" t="str">
        <f aca="false">IFERROR(VLOOKUP(A196,'company tracker'!$a:$s,MATCH("Category",'company tracker'!$1:$1,0),FALSE()),"")</f>
        <v/>
      </c>
      <c r="C196" s="1" t="str">
        <f aca="false">IFERROR(VLOOKUP(A196,'Pass 1 Archive'!$A:$AD,MATCH("LinkedIn Employee Count",'Pass 1 Archive'!$1:$1,0),FALSE()),"")</f>
        <v/>
      </c>
      <c r="D196" s="1" t="str">
        <f aca="false">IFERROR(VLOOKUP(A196,'company tracker'!$a:$s,MATCH("Jan 2025 Traffic",'company tracker'!$1:$1,0),FALSE()),"")</f>
        <v/>
      </c>
      <c r="E196" s="1" t="str">
        <f aca="false">IFERROR(VLOOKUP(A196,'company tracker'!$a:$s,MATCH("Jun 2026 Traffic",'company tracker'!$1:$1,0),FALSE()),"")</f>
        <v/>
      </c>
      <c r="F196" s="1" t="str">
        <f aca="false">IFERROR(VLOOKUP(A196,'company tracker'!$a:$s,MATCH("Traffic % Change",'company tracker'!$1:$1,0),FALSE()),"")</f>
        <v/>
      </c>
      <c r="G196" s="1" t="str">
        <f aca="false">IFERROR(VLOOKUP(A196,'company tracker'!$a:$s,MATCH("Jan 2025 Referring Domains",'company tracker'!$1:$1,0),FALSE()),"")</f>
        <v/>
      </c>
      <c r="H196" s="1" t="str">
        <f aca="false">IFERROR(VLOOKUP(A196,'company tracker'!$a:$s,MATCH("Jun 2026 Referring Domains",'company tracker'!$1:$1,0),FALSE()),"")</f>
        <v/>
      </c>
    </row>
    <row r="197" customFormat="false" ht="15" hidden="false" customHeight="true" outlineLevel="0" collapsed="false">
      <c r="B197" s="1" t="str">
        <f aca="false">IFERROR(VLOOKUP(A197,'company tracker'!$a:$s,MATCH("Category",'company tracker'!$1:$1,0),FALSE()),"")</f>
        <v/>
      </c>
      <c r="C197" s="1" t="str">
        <f aca="false">IFERROR(VLOOKUP(A197,'Pass 1 Archive'!$A:$AD,MATCH("LinkedIn Employee Count",'Pass 1 Archive'!$1:$1,0),FALSE()),"")</f>
        <v/>
      </c>
      <c r="D197" s="1" t="str">
        <f aca="false">IFERROR(VLOOKUP(A197,'company tracker'!$a:$s,MATCH("Jan 2025 Traffic",'company tracker'!$1:$1,0),FALSE()),"")</f>
        <v/>
      </c>
      <c r="E197" s="1" t="str">
        <f aca="false">IFERROR(VLOOKUP(A197,'company tracker'!$a:$s,MATCH("Jun 2026 Traffic",'company tracker'!$1:$1,0),FALSE()),"")</f>
        <v/>
      </c>
      <c r="F197" s="1" t="str">
        <f aca="false">IFERROR(VLOOKUP(A197,'company tracker'!$a:$s,MATCH("Traffic % Change",'company tracker'!$1:$1,0),FALSE()),"")</f>
        <v/>
      </c>
      <c r="G197" s="1" t="str">
        <f aca="false">IFERROR(VLOOKUP(A197,'company tracker'!$a:$s,MATCH("Jan 2025 Referring Domains",'company tracker'!$1:$1,0),FALSE()),"")</f>
        <v/>
      </c>
      <c r="H197" s="1" t="str">
        <f aca="false">IFERROR(VLOOKUP(A197,'company tracker'!$a:$s,MATCH("Jun 2026 Referring Domains",'company tracker'!$1:$1,0),FALSE()),"")</f>
        <v/>
      </c>
    </row>
    <row r="198" customFormat="false" ht="15" hidden="false" customHeight="true" outlineLevel="0" collapsed="false">
      <c r="B198" s="1" t="str">
        <f aca="false">IFERROR(VLOOKUP(A198,'company tracker'!$a:$s,MATCH("Category",'company tracker'!$1:$1,0),FALSE()),"")</f>
        <v/>
      </c>
      <c r="C198" s="1" t="str">
        <f aca="false">IFERROR(VLOOKUP(A198,'Pass 1 Archive'!$A:$AD,MATCH("LinkedIn Employee Count",'Pass 1 Archive'!$1:$1,0),FALSE()),"")</f>
        <v/>
      </c>
      <c r="D198" s="1" t="str">
        <f aca="false">IFERROR(VLOOKUP(A198,'company tracker'!$a:$s,MATCH("Jan 2025 Traffic",'company tracker'!$1:$1,0),FALSE()),"")</f>
        <v/>
      </c>
      <c r="E198" s="1" t="str">
        <f aca="false">IFERROR(VLOOKUP(A198,'company tracker'!$a:$s,MATCH("Jun 2026 Traffic",'company tracker'!$1:$1,0),FALSE()),"")</f>
        <v/>
      </c>
      <c r="F198" s="1" t="str">
        <f aca="false">IFERROR(VLOOKUP(A198,'company tracker'!$a:$s,MATCH("Traffic % Change",'company tracker'!$1:$1,0),FALSE()),"")</f>
        <v/>
      </c>
      <c r="G198" s="1" t="str">
        <f aca="false">IFERROR(VLOOKUP(A198,'company tracker'!$a:$s,MATCH("Jan 2025 Referring Domains",'company tracker'!$1:$1,0),FALSE()),"")</f>
        <v/>
      </c>
      <c r="H198" s="1" t="str">
        <f aca="false">IFERROR(VLOOKUP(A198,'company tracker'!$a:$s,MATCH("Jun 2026 Referring Domains",'company tracker'!$1:$1,0),FALSE()),"")</f>
        <v/>
      </c>
    </row>
    <row r="199" customFormat="false" ht="15" hidden="false" customHeight="true" outlineLevel="0" collapsed="false">
      <c r="B199" s="1" t="str">
        <f aca="false">IFERROR(VLOOKUP(A199,'company tracker'!$a:$s,MATCH("Category",'company tracker'!$1:$1,0),FALSE()),"")</f>
        <v/>
      </c>
      <c r="C199" s="1" t="str">
        <f aca="false">IFERROR(VLOOKUP(A199,'Pass 1 Archive'!$A:$AD,MATCH("LinkedIn Employee Count",'Pass 1 Archive'!$1:$1,0),FALSE()),"")</f>
        <v/>
      </c>
      <c r="D199" s="1" t="str">
        <f aca="false">IFERROR(VLOOKUP(A199,'company tracker'!$a:$s,MATCH("Jan 2025 Traffic",'company tracker'!$1:$1,0),FALSE()),"")</f>
        <v/>
      </c>
      <c r="E199" s="1" t="str">
        <f aca="false">IFERROR(VLOOKUP(A199,'company tracker'!$a:$s,MATCH("Jun 2026 Traffic",'company tracker'!$1:$1,0),FALSE()),"")</f>
        <v/>
      </c>
      <c r="F199" s="1" t="str">
        <f aca="false">IFERROR(VLOOKUP(A199,'company tracker'!$a:$s,MATCH("Traffic % Change",'company tracker'!$1:$1,0),FALSE()),"")</f>
        <v/>
      </c>
      <c r="G199" s="1" t="str">
        <f aca="false">IFERROR(VLOOKUP(A199,'company tracker'!$a:$s,MATCH("Jan 2025 Referring Domains",'company tracker'!$1:$1,0),FALSE()),"")</f>
        <v/>
      </c>
      <c r="H199" s="1" t="str">
        <f aca="false">IFERROR(VLOOKUP(A199,'company tracker'!$a:$s,MATCH("Jun 2026 Referring Domains",'company tracker'!$1:$1,0),FALSE()),"")</f>
        <v/>
      </c>
    </row>
    <row r="200" customFormat="false" ht="15" hidden="false" customHeight="true" outlineLevel="0" collapsed="false">
      <c r="B200" s="1" t="str">
        <f aca="false">IFERROR(VLOOKUP(A200,'company tracker'!$a:$s,MATCH("Category",'company tracker'!$1:$1,0),FALSE()),"")</f>
        <v/>
      </c>
      <c r="C200" s="1" t="str">
        <f aca="false">IFERROR(VLOOKUP(A200,'Pass 1 Archive'!$A:$AD,MATCH("LinkedIn Employee Count",'Pass 1 Archive'!$1:$1,0),FALSE()),"")</f>
        <v/>
      </c>
      <c r="D200" s="1" t="str">
        <f aca="false">IFERROR(VLOOKUP(A200,'company tracker'!$a:$s,MATCH("Jan 2025 Traffic",'company tracker'!$1:$1,0),FALSE()),"")</f>
        <v/>
      </c>
      <c r="E200" s="1" t="str">
        <f aca="false">IFERROR(VLOOKUP(A200,'company tracker'!$a:$s,MATCH("Jun 2026 Traffic",'company tracker'!$1:$1,0),FALSE()),"")</f>
        <v/>
      </c>
      <c r="F200" s="1" t="str">
        <f aca="false">IFERROR(VLOOKUP(A200,'company tracker'!$a:$s,MATCH("Traffic % Change",'company tracker'!$1:$1,0),FALSE()),"")</f>
        <v/>
      </c>
      <c r="G200" s="1" t="str">
        <f aca="false">IFERROR(VLOOKUP(A200,'company tracker'!$a:$s,MATCH("Jan 2025 Referring Domains",'company tracker'!$1:$1,0),FALSE()),"")</f>
        <v/>
      </c>
      <c r="H200" s="1" t="str">
        <f aca="false">IFERROR(VLOOKUP(A200,'company tracker'!$a:$s,MATCH("Jun 2026 Referring Domains",'company tracker'!$1:$1,0),FALSE()),"")</f>
        <v/>
      </c>
    </row>
    <row r="201" customFormat="false" ht="15" hidden="false" customHeight="true" outlineLevel="0" collapsed="false">
      <c r="B201" s="1" t="str">
        <f aca="false">IFERROR(VLOOKUP(A201,'company tracker'!$a:$s,MATCH("Category",'company tracker'!$1:$1,0),FALSE()),"")</f>
        <v/>
      </c>
      <c r="C201" s="1" t="str">
        <f aca="false">IFERROR(VLOOKUP(A201,'Pass 1 Archive'!$A:$AD,MATCH("LinkedIn Employee Count",'Pass 1 Archive'!$1:$1,0),FALSE()),"")</f>
        <v/>
      </c>
      <c r="D201" s="1" t="str">
        <f aca="false">IFERROR(VLOOKUP(A201,'company tracker'!$a:$s,MATCH("Jan 2025 Traffic",'company tracker'!$1:$1,0),FALSE()),"")</f>
        <v/>
      </c>
      <c r="E201" s="1" t="str">
        <f aca="false">IFERROR(VLOOKUP(A201,'company tracker'!$a:$s,MATCH("Jun 2026 Traffic",'company tracker'!$1:$1,0),FALSE()),"")</f>
        <v/>
      </c>
      <c r="F201" s="1" t="str">
        <f aca="false">IFERROR(VLOOKUP(A201,'company tracker'!$a:$s,MATCH("Traffic % Change",'company tracker'!$1:$1,0),FALSE()),"")</f>
        <v/>
      </c>
      <c r="G201" s="1" t="str">
        <f aca="false">IFERROR(VLOOKUP(A201,'company tracker'!$a:$s,MATCH("Jan 2025 Referring Domains",'company tracker'!$1:$1,0),FALSE()),"")</f>
        <v/>
      </c>
      <c r="H201" s="1" t="str">
        <f aca="false">IFERROR(VLOOKUP(A201,'company tracker'!$a:$s,MATCH("Jun 2026 Referring Domains",'company tracker'!$1:$1,0),FALSE()),"")</f>
        <v/>
      </c>
    </row>
    <row r="202" customFormat="false" ht="15" hidden="false" customHeight="true" outlineLevel="0" collapsed="false">
      <c r="B202" s="1" t="str">
        <f aca="false">IFERROR(VLOOKUP(A202,'company tracker'!$a:$s,MATCH("Category",'company tracker'!$1:$1,0),FALSE()),"")</f>
        <v/>
      </c>
      <c r="C202" s="1" t="str">
        <f aca="false">IFERROR(VLOOKUP(A202,'Pass 1 Archive'!$A:$AD,MATCH("LinkedIn Employee Count",'Pass 1 Archive'!$1:$1,0),FALSE()),"")</f>
        <v/>
      </c>
      <c r="D202" s="1" t="str">
        <f aca="false">IFERROR(VLOOKUP(A202,'company tracker'!$a:$s,MATCH("Jan 2025 Traffic",'company tracker'!$1:$1,0),FALSE()),"")</f>
        <v/>
      </c>
      <c r="E202" s="1" t="str">
        <f aca="false">IFERROR(VLOOKUP(A202,'company tracker'!$a:$s,MATCH("Jun 2026 Traffic",'company tracker'!$1:$1,0),FALSE()),"")</f>
        <v/>
      </c>
      <c r="F202" s="1" t="str">
        <f aca="false">IFERROR(VLOOKUP(A202,'company tracker'!$a:$s,MATCH("Traffic % Change",'company tracker'!$1:$1,0),FALSE()),"")</f>
        <v/>
      </c>
      <c r="G202" s="1" t="str">
        <f aca="false">IFERROR(VLOOKUP(A202,'company tracker'!$a:$s,MATCH("Jan 2025 Referring Domains",'company tracker'!$1:$1,0),FALSE()),"")</f>
        <v/>
      </c>
      <c r="H202" s="1" t="str">
        <f aca="false">IFERROR(VLOOKUP(A202,'company tracker'!$a:$s,MATCH("Jun 2026 Referring Domains",'company tracker'!$1:$1,0),FALSE()),"")</f>
        <v/>
      </c>
    </row>
    <row r="203" customFormat="false" ht="15" hidden="false" customHeight="true" outlineLevel="0" collapsed="false">
      <c r="B203" s="1" t="str">
        <f aca="false">IFERROR(VLOOKUP(A203,'company tracker'!$a:$s,MATCH("Category",'company tracker'!$1:$1,0),FALSE()),"")</f>
        <v/>
      </c>
      <c r="C203" s="1" t="str">
        <f aca="false">IFERROR(VLOOKUP(A203,'Pass 1 Archive'!$A:$AD,MATCH("LinkedIn Employee Count",'Pass 1 Archive'!$1:$1,0),FALSE()),"")</f>
        <v/>
      </c>
      <c r="D203" s="1" t="str">
        <f aca="false">IFERROR(VLOOKUP(A203,'company tracker'!$a:$s,MATCH("Jan 2025 Traffic",'company tracker'!$1:$1,0),FALSE()),"")</f>
        <v/>
      </c>
      <c r="E203" s="1" t="str">
        <f aca="false">IFERROR(VLOOKUP(A203,'company tracker'!$a:$s,MATCH("Jun 2026 Traffic",'company tracker'!$1:$1,0),FALSE()),"")</f>
        <v/>
      </c>
      <c r="F203" s="1" t="str">
        <f aca="false">IFERROR(VLOOKUP(A203,'company tracker'!$a:$s,MATCH("Traffic % Change",'company tracker'!$1:$1,0),FALSE()),"")</f>
        <v/>
      </c>
      <c r="G203" s="1" t="str">
        <f aca="false">IFERROR(VLOOKUP(A203,'company tracker'!$a:$s,MATCH("Jan 2025 Referring Domains",'company tracker'!$1:$1,0),FALSE()),"")</f>
        <v/>
      </c>
      <c r="H203" s="1" t="str">
        <f aca="false">IFERROR(VLOOKUP(A203,'company tracker'!$a:$s,MATCH("Jun 2026 Referring Domains",'company tracker'!$1:$1,0),FALSE()),"")</f>
        <v/>
      </c>
    </row>
    <row r="204" customFormat="false" ht="15" hidden="false" customHeight="true" outlineLevel="0" collapsed="false">
      <c r="B204" s="1" t="str">
        <f aca="false">IFERROR(VLOOKUP(A204,'company tracker'!$a:$s,MATCH("Category",'company tracker'!$1:$1,0),FALSE()),"")</f>
        <v/>
      </c>
      <c r="C204" s="1" t="str">
        <f aca="false">IFERROR(VLOOKUP(A204,'Pass 1 Archive'!$A:$AD,MATCH("LinkedIn Employee Count",'Pass 1 Archive'!$1:$1,0),FALSE()),"")</f>
        <v/>
      </c>
      <c r="D204" s="1" t="str">
        <f aca="false">IFERROR(VLOOKUP(A204,'company tracker'!$a:$s,MATCH("Jan 2025 Traffic",'company tracker'!$1:$1,0),FALSE()),"")</f>
        <v/>
      </c>
      <c r="E204" s="1" t="str">
        <f aca="false">IFERROR(VLOOKUP(A204,'company tracker'!$a:$s,MATCH("Jun 2026 Traffic",'company tracker'!$1:$1,0),FALSE()),"")</f>
        <v/>
      </c>
      <c r="F204" s="1" t="str">
        <f aca="false">IFERROR(VLOOKUP(A204,'company tracker'!$a:$s,MATCH("Traffic % Change",'company tracker'!$1:$1,0),FALSE()),"")</f>
        <v/>
      </c>
      <c r="G204" s="1" t="str">
        <f aca="false">IFERROR(VLOOKUP(A204,'company tracker'!$a:$s,MATCH("Jan 2025 Referring Domains",'company tracker'!$1:$1,0),FALSE()),"")</f>
        <v/>
      </c>
      <c r="H204" s="1" t="str">
        <f aca="false">IFERROR(VLOOKUP(A204,'company tracker'!$a:$s,MATCH("Jun 2026 Referring Domains",'company tracker'!$1:$1,0),FALSE()),"")</f>
        <v/>
      </c>
    </row>
    <row r="205" customFormat="false" ht="15" hidden="false" customHeight="true" outlineLevel="0" collapsed="false">
      <c r="B205" s="1" t="str">
        <f aca="false">IFERROR(VLOOKUP(A205,'company tracker'!$a:$s,MATCH("Category",'company tracker'!$1:$1,0),FALSE()),"")</f>
        <v/>
      </c>
      <c r="C205" s="1" t="str">
        <f aca="false">IFERROR(VLOOKUP(A205,'Pass 1 Archive'!$A:$AD,MATCH("LinkedIn Employee Count",'Pass 1 Archive'!$1:$1,0),FALSE()),"")</f>
        <v/>
      </c>
      <c r="D205" s="1" t="str">
        <f aca="false">IFERROR(VLOOKUP(A205,'company tracker'!$a:$s,MATCH("Jan 2025 Traffic",'company tracker'!$1:$1,0),FALSE()),"")</f>
        <v/>
      </c>
      <c r="E205" s="1" t="str">
        <f aca="false">IFERROR(VLOOKUP(A205,'company tracker'!$a:$s,MATCH("Jun 2026 Traffic",'company tracker'!$1:$1,0),FALSE()),"")</f>
        <v/>
      </c>
      <c r="F205" s="1" t="str">
        <f aca="false">IFERROR(VLOOKUP(A205,'company tracker'!$a:$s,MATCH("Traffic % Change",'company tracker'!$1:$1,0),FALSE()),"")</f>
        <v/>
      </c>
      <c r="G205" s="1" t="str">
        <f aca="false">IFERROR(VLOOKUP(A205,'company tracker'!$a:$s,MATCH("Jan 2025 Referring Domains",'company tracker'!$1:$1,0),FALSE()),"")</f>
        <v/>
      </c>
      <c r="H205" s="1" t="str">
        <f aca="false">IFERROR(VLOOKUP(A205,'company tracker'!$a:$s,MATCH("Jun 2026 Referring Domains",'company tracker'!$1:$1,0),FALSE()),"")</f>
        <v/>
      </c>
    </row>
    <row r="206" customFormat="false" ht="15" hidden="false" customHeight="true" outlineLevel="0" collapsed="false">
      <c r="B206" s="1" t="str">
        <f aca="false">IFERROR(VLOOKUP(A206,'company tracker'!$a:$s,MATCH("Category",'company tracker'!$1:$1,0),FALSE()),"")</f>
        <v/>
      </c>
      <c r="C206" s="1" t="str">
        <f aca="false">IFERROR(VLOOKUP(A206,'Pass 1 Archive'!$A:$AD,MATCH("LinkedIn Employee Count",'Pass 1 Archive'!$1:$1,0),FALSE()),"")</f>
        <v/>
      </c>
      <c r="D206" s="1" t="str">
        <f aca="false">IFERROR(VLOOKUP(A206,'company tracker'!$a:$s,MATCH("Jan 2025 Traffic",'company tracker'!$1:$1,0),FALSE()),"")</f>
        <v/>
      </c>
      <c r="E206" s="1" t="str">
        <f aca="false">IFERROR(VLOOKUP(A206,'company tracker'!$a:$s,MATCH("Jun 2026 Traffic",'company tracker'!$1:$1,0),FALSE()),"")</f>
        <v/>
      </c>
      <c r="F206" s="1" t="str">
        <f aca="false">IFERROR(VLOOKUP(A206,'company tracker'!$a:$s,MATCH("Traffic % Change",'company tracker'!$1:$1,0),FALSE()),"")</f>
        <v/>
      </c>
      <c r="G206" s="1" t="str">
        <f aca="false">IFERROR(VLOOKUP(A206,'company tracker'!$a:$s,MATCH("Jan 2025 Referring Domains",'company tracker'!$1:$1,0),FALSE()),"")</f>
        <v/>
      </c>
      <c r="H206" s="1" t="str">
        <f aca="false">IFERROR(VLOOKUP(A206,'company tracker'!$a:$s,MATCH("Jun 2026 Referring Domains",'company tracker'!$1:$1,0),FALSE()),"")</f>
        <v/>
      </c>
    </row>
    <row r="207" customFormat="false" ht="15" hidden="false" customHeight="true" outlineLevel="0" collapsed="false">
      <c r="B207" s="1" t="str">
        <f aca="false">IFERROR(VLOOKUP(A207,'company tracker'!$a:$s,MATCH("Category",'company tracker'!$1:$1,0),FALSE()),"")</f>
        <v/>
      </c>
      <c r="C207" s="1" t="str">
        <f aca="false">IFERROR(VLOOKUP(A207,'Pass 1 Archive'!$A:$AD,MATCH("LinkedIn Employee Count",'Pass 1 Archive'!$1:$1,0),FALSE()),"")</f>
        <v/>
      </c>
      <c r="D207" s="1" t="str">
        <f aca="false">IFERROR(VLOOKUP(A207,'company tracker'!$a:$s,MATCH("Jan 2025 Traffic",'company tracker'!$1:$1,0),FALSE()),"")</f>
        <v/>
      </c>
      <c r="E207" s="1" t="str">
        <f aca="false">IFERROR(VLOOKUP(A207,'company tracker'!$a:$s,MATCH("Jun 2026 Traffic",'company tracker'!$1:$1,0),FALSE()),"")</f>
        <v/>
      </c>
      <c r="F207" s="1" t="str">
        <f aca="false">IFERROR(VLOOKUP(A207,'company tracker'!$a:$s,MATCH("Traffic % Change",'company tracker'!$1:$1,0),FALSE()),"")</f>
        <v/>
      </c>
      <c r="G207" s="1" t="str">
        <f aca="false">IFERROR(VLOOKUP(A207,'company tracker'!$a:$s,MATCH("Jan 2025 Referring Domains",'company tracker'!$1:$1,0),FALSE()),"")</f>
        <v/>
      </c>
      <c r="H207" s="1" t="str">
        <f aca="false">IFERROR(VLOOKUP(A207,'company tracker'!$a:$s,MATCH("Jun 2026 Referring Domains",'company tracker'!$1:$1,0),FALSE()),"")</f>
        <v/>
      </c>
    </row>
    <row r="208" customFormat="false" ht="15" hidden="false" customHeight="true" outlineLevel="0" collapsed="false">
      <c r="B208" s="1" t="str">
        <f aca="false">IFERROR(VLOOKUP(A208,'company tracker'!$a:$s,MATCH("Category",'company tracker'!$1:$1,0),FALSE()),"")</f>
        <v/>
      </c>
      <c r="C208" s="1" t="str">
        <f aca="false">IFERROR(VLOOKUP(A208,'Pass 1 Archive'!$A:$AD,MATCH("LinkedIn Employee Count",'Pass 1 Archive'!$1:$1,0),FALSE()),"")</f>
        <v/>
      </c>
      <c r="D208" s="1" t="str">
        <f aca="false">IFERROR(VLOOKUP(A208,'company tracker'!$a:$s,MATCH("Jan 2025 Traffic",'company tracker'!$1:$1,0),FALSE()),"")</f>
        <v/>
      </c>
      <c r="E208" s="1" t="str">
        <f aca="false">IFERROR(VLOOKUP(A208,'company tracker'!$a:$s,MATCH("Jun 2026 Traffic",'company tracker'!$1:$1,0),FALSE()),"")</f>
        <v/>
      </c>
      <c r="F208" s="1" t="str">
        <f aca="false">IFERROR(VLOOKUP(A208,'company tracker'!$a:$s,MATCH("Traffic % Change",'company tracker'!$1:$1,0),FALSE()),"")</f>
        <v/>
      </c>
      <c r="G208" s="1" t="str">
        <f aca="false">IFERROR(VLOOKUP(A208,'company tracker'!$a:$s,MATCH("Jan 2025 Referring Domains",'company tracker'!$1:$1,0),FALSE()),"")</f>
        <v/>
      </c>
      <c r="H208" s="1" t="str">
        <f aca="false">IFERROR(VLOOKUP(A208,'company tracker'!$a:$s,MATCH("Jun 2026 Referring Domains",'company tracker'!$1:$1,0),FALSE()),"")</f>
        <v/>
      </c>
    </row>
    <row r="209" customFormat="false" ht="15" hidden="false" customHeight="true" outlineLevel="0" collapsed="false">
      <c r="B209" s="1" t="str">
        <f aca="false">IFERROR(VLOOKUP(A209,'company tracker'!$a:$s,MATCH("Category",'company tracker'!$1:$1,0),FALSE()),"")</f>
        <v/>
      </c>
      <c r="C209" s="1" t="str">
        <f aca="false">IFERROR(VLOOKUP(A209,'Pass 1 Archive'!$A:$AD,MATCH("LinkedIn Employee Count",'Pass 1 Archive'!$1:$1,0),FALSE()),"")</f>
        <v/>
      </c>
      <c r="D209" s="1" t="str">
        <f aca="false">IFERROR(VLOOKUP(A209,'company tracker'!$a:$s,MATCH("Jan 2025 Traffic",'company tracker'!$1:$1,0),FALSE()),"")</f>
        <v/>
      </c>
      <c r="E209" s="1" t="str">
        <f aca="false">IFERROR(VLOOKUP(A209,'company tracker'!$a:$s,MATCH("Jun 2026 Traffic",'company tracker'!$1:$1,0),FALSE()),"")</f>
        <v/>
      </c>
      <c r="F209" s="1" t="str">
        <f aca="false">IFERROR(VLOOKUP(A209,'company tracker'!$a:$s,MATCH("Traffic % Change",'company tracker'!$1:$1,0),FALSE()),"")</f>
        <v/>
      </c>
      <c r="G209" s="1" t="str">
        <f aca="false">IFERROR(VLOOKUP(A209,'company tracker'!$a:$s,MATCH("Jan 2025 Referring Domains",'company tracker'!$1:$1,0),FALSE()),"")</f>
        <v/>
      </c>
      <c r="H209" s="1" t="str">
        <f aca="false">IFERROR(VLOOKUP(A209,'company tracker'!$a:$s,MATCH("Jun 2026 Referring Domains",'company tracker'!$1:$1,0),FALSE()),"")</f>
        <v/>
      </c>
    </row>
    <row r="210" customFormat="false" ht="15" hidden="false" customHeight="true" outlineLevel="0" collapsed="false">
      <c r="B210" s="1" t="str">
        <f aca="false">IFERROR(VLOOKUP(A210,'company tracker'!$a:$s,MATCH("Category",'company tracker'!$1:$1,0),FALSE()),"")</f>
        <v/>
      </c>
      <c r="C210" s="1" t="str">
        <f aca="false">IFERROR(VLOOKUP(A210,'Pass 1 Archive'!$A:$AD,MATCH("LinkedIn Employee Count",'Pass 1 Archive'!$1:$1,0),FALSE()),"")</f>
        <v/>
      </c>
      <c r="D210" s="1" t="str">
        <f aca="false">IFERROR(VLOOKUP(A210,'company tracker'!$a:$s,MATCH("Jan 2025 Traffic",'company tracker'!$1:$1,0),FALSE()),"")</f>
        <v/>
      </c>
      <c r="E210" s="1" t="str">
        <f aca="false">IFERROR(VLOOKUP(A210,'company tracker'!$a:$s,MATCH("Jun 2026 Traffic",'company tracker'!$1:$1,0),FALSE()),"")</f>
        <v/>
      </c>
      <c r="F210" s="1" t="str">
        <f aca="false">IFERROR(VLOOKUP(A210,'company tracker'!$a:$s,MATCH("Traffic % Change",'company tracker'!$1:$1,0),FALSE()),"")</f>
        <v/>
      </c>
      <c r="G210" s="1" t="str">
        <f aca="false">IFERROR(VLOOKUP(A210,'company tracker'!$a:$s,MATCH("Jan 2025 Referring Domains",'company tracker'!$1:$1,0),FALSE()),"")</f>
        <v/>
      </c>
      <c r="H210" s="1" t="str">
        <f aca="false">IFERROR(VLOOKUP(A210,'company tracker'!$a:$s,MATCH("Jun 2026 Referring Domains",'company tracker'!$1:$1,0),FALSE()),"")</f>
        <v/>
      </c>
    </row>
    <row r="211" customFormat="false" ht="15" hidden="false" customHeight="true" outlineLevel="0" collapsed="false">
      <c r="B211" s="1" t="str">
        <f aca="false">IFERROR(VLOOKUP(A211,'company tracker'!$a:$s,MATCH("Category",'company tracker'!$1:$1,0),FALSE()),"")</f>
        <v/>
      </c>
      <c r="C211" s="1" t="str">
        <f aca="false">IFERROR(VLOOKUP(A211,'Pass 1 Archive'!$A:$AD,MATCH("LinkedIn Employee Count",'Pass 1 Archive'!$1:$1,0),FALSE()),"")</f>
        <v/>
      </c>
      <c r="D211" s="1" t="str">
        <f aca="false">IFERROR(VLOOKUP(A211,'company tracker'!$a:$s,MATCH("Jan 2025 Traffic",'company tracker'!$1:$1,0),FALSE()),"")</f>
        <v/>
      </c>
      <c r="E211" s="1" t="str">
        <f aca="false">IFERROR(VLOOKUP(A211,'company tracker'!$a:$s,MATCH("Jun 2026 Traffic",'company tracker'!$1:$1,0),FALSE()),"")</f>
        <v/>
      </c>
      <c r="F211" s="1" t="str">
        <f aca="false">IFERROR(VLOOKUP(A211,'company tracker'!$a:$s,MATCH("Traffic % Change",'company tracker'!$1:$1,0),FALSE()),"")</f>
        <v/>
      </c>
      <c r="G211" s="1" t="str">
        <f aca="false">IFERROR(VLOOKUP(A211,'company tracker'!$a:$s,MATCH("Jan 2025 Referring Domains",'company tracker'!$1:$1,0),FALSE()),"")</f>
        <v/>
      </c>
      <c r="H211" s="1" t="str">
        <f aca="false">IFERROR(VLOOKUP(A211,'company tracker'!$a:$s,MATCH("Jun 2026 Referring Domains",'company tracker'!$1:$1,0),FALSE()),"")</f>
        <v/>
      </c>
    </row>
    <row r="212" customFormat="false" ht="15" hidden="false" customHeight="true" outlineLevel="0" collapsed="false">
      <c r="B212" s="1" t="str">
        <f aca="false">IFERROR(VLOOKUP(A212,'company tracker'!$a:$s,MATCH("Category",'company tracker'!$1:$1,0),FALSE()),"")</f>
        <v/>
      </c>
      <c r="C212" s="1" t="str">
        <f aca="false">IFERROR(VLOOKUP(A212,'Pass 1 Archive'!$A:$AD,MATCH("LinkedIn Employee Count",'Pass 1 Archive'!$1:$1,0),FALSE()),"")</f>
        <v/>
      </c>
      <c r="D212" s="1" t="str">
        <f aca="false">IFERROR(VLOOKUP(A212,'company tracker'!$a:$s,MATCH("Jan 2025 Traffic",'company tracker'!$1:$1,0),FALSE()),"")</f>
        <v/>
      </c>
      <c r="E212" s="1" t="str">
        <f aca="false">IFERROR(VLOOKUP(A212,'company tracker'!$a:$s,MATCH("Jun 2026 Traffic",'company tracker'!$1:$1,0),FALSE()),"")</f>
        <v/>
      </c>
      <c r="F212" s="1" t="str">
        <f aca="false">IFERROR(VLOOKUP(A212,'company tracker'!$a:$s,MATCH("Traffic % Change",'company tracker'!$1:$1,0),FALSE()),"")</f>
        <v/>
      </c>
      <c r="G212" s="1" t="str">
        <f aca="false">IFERROR(VLOOKUP(A212,'company tracker'!$a:$s,MATCH("Jan 2025 Referring Domains",'company tracker'!$1:$1,0),FALSE()),"")</f>
        <v/>
      </c>
      <c r="H212" s="1" t="str">
        <f aca="false">IFERROR(VLOOKUP(A212,'company tracker'!$a:$s,MATCH("Jun 2026 Referring Domains",'company tracker'!$1:$1,0),FALSE()),"")</f>
        <v/>
      </c>
    </row>
    <row r="213" customFormat="false" ht="15" hidden="false" customHeight="true" outlineLevel="0" collapsed="false">
      <c r="B213" s="1" t="str">
        <f aca="false">IFERROR(VLOOKUP(A213,'company tracker'!$a:$s,MATCH("Category",'company tracker'!$1:$1,0),FALSE()),"")</f>
        <v/>
      </c>
      <c r="C213" s="1" t="str">
        <f aca="false">IFERROR(VLOOKUP(A213,'Pass 1 Archive'!$A:$AD,MATCH("LinkedIn Employee Count",'Pass 1 Archive'!$1:$1,0),FALSE()),"")</f>
        <v/>
      </c>
      <c r="D213" s="1" t="str">
        <f aca="false">IFERROR(VLOOKUP(A213,'company tracker'!$a:$s,MATCH("Jan 2025 Traffic",'company tracker'!$1:$1,0),FALSE()),"")</f>
        <v/>
      </c>
      <c r="E213" s="1" t="str">
        <f aca="false">IFERROR(VLOOKUP(A213,'company tracker'!$a:$s,MATCH("Jun 2026 Traffic",'company tracker'!$1:$1,0),FALSE()),"")</f>
        <v/>
      </c>
      <c r="F213" s="1" t="str">
        <f aca="false">IFERROR(VLOOKUP(A213,'company tracker'!$a:$s,MATCH("Traffic % Change",'company tracker'!$1:$1,0),FALSE()),"")</f>
        <v/>
      </c>
      <c r="G213" s="1" t="str">
        <f aca="false">IFERROR(VLOOKUP(A213,'company tracker'!$a:$s,MATCH("Jan 2025 Referring Domains",'company tracker'!$1:$1,0),FALSE()),"")</f>
        <v/>
      </c>
      <c r="H213" s="1" t="str">
        <f aca="false">IFERROR(VLOOKUP(A213,'company tracker'!$a:$s,MATCH("Jun 2026 Referring Domains",'company tracker'!$1:$1,0),FALSE()),"")</f>
        <v/>
      </c>
    </row>
    <row r="214" customFormat="false" ht="15" hidden="false" customHeight="true" outlineLevel="0" collapsed="false">
      <c r="B214" s="1" t="str">
        <f aca="false">IFERROR(VLOOKUP(A214,'company tracker'!$a:$s,MATCH("Category",'company tracker'!$1:$1,0),FALSE()),"")</f>
        <v/>
      </c>
      <c r="C214" s="1" t="str">
        <f aca="false">IFERROR(VLOOKUP(A214,'Pass 1 Archive'!$A:$AD,MATCH("LinkedIn Employee Count",'Pass 1 Archive'!$1:$1,0),FALSE()),"")</f>
        <v/>
      </c>
      <c r="D214" s="1" t="str">
        <f aca="false">IFERROR(VLOOKUP(A214,'company tracker'!$a:$s,MATCH("Jan 2025 Traffic",'company tracker'!$1:$1,0),FALSE()),"")</f>
        <v/>
      </c>
      <c r="E214" s="1" t="str">
        <f aca="false">IFERROR(VLOOKUP(A214,'company tracker'!$a:$s,MATCH("Jun 2026 Traffic",'company tracker'!$1:$1,0),FALSE()),"")</f>
        <v/>
      </c>
      <c r="F214" s="1" t="str">
        <f aca="false">IFERROR(VLOOKUP(A214,'company tracker'!$a:$s,MATCH("Traffic % Change",'company tracker'!$1:$1,0),FALSE()),"")</f>
        <v/>
      </c>
      <c r="G214" s="1" t="str">
        <f aca="false">IFERROR(VLOOKUP(A214,'company tracker'!$a:$s,MATCH("Jan 2025 Referring Domains",'company tracker'!$1:$1,0),FALSE()),"")</f>
        <v/>
      </c>
      <c r="H214" s="1" t="str">
        <f aca="false">IFERROR(VLOOKUP(A214,'company tracker'!$a:$s,MATCH("Jun 2026 Referring Domains",'company tracker'!$1:$1,0),FALSE()),"")</f>
        <v/>
      </c>
    </row>
    <row r="215" customFormat="false" ht="15" hidden="false" customHeight="true" outlineLevel="0" collapsed="false">
      <c r="B215" s="1" t="str">
        <f aca="false">IFERROR(VLOOKUP(A215,'company tracker'!$a:$s,MATCH("Category",'company tracker'!$1:$1,0),FALSE()),"")</f>
        <v/>
      </c>
      <c r="C215" s="1" t="str">
        <f aca="false">IFERROR(VLOOKUP(A215,'Pass 1 Archive'!$A:$AD,MATCH("LinkedIn Employee Count",'Pass 1 Archive'!$1:$1,0),FALSE()),"")</f>
        <v/>
      </c>
      <c r="D215" s="1" t="str">
        <f aca="false">IFERROR(VLOOKUP(A215,'company tracker'!$a:$s,MATCH("Jan 2025 Traffic",'company tracker'!$1:$1,0),FALSE()),"")</f>
        <v/>
      </c>
      <c r="E215" s="1" t="str">
        <f aca="false">IFERROR(VLOOKUP(A215,'company tracker'!$a:$s,MATCH("Jun 2026 Traffic",'company tracker'!$1:$1,0),FALSE()),"")</f>
        <v/>
      </c>
      <c r="F215" s="1" t="str">
        <f aca="false">IFERROR(VLOOKUP(A215,'company tracker'!$a:$s,MATCH("Traffic % Change",'company tracker'!$1:$1,0),FALSE()),"")</f>
        <v/>
      </c>
      <c r="G215" s="1" t="str">
        <f aca="false">IFERROR(VLOOKUP(A215,'company tracker'!$a:$s,MATCH("Jan 2025 Referring Domains",'company tracker'!$1:$1,0),FALSE()),"")</f>
        <v/>
      </c>
      <c r="H215" s="1" t="str">
        <f aca="false">IFERROR(VLOOKUP(A215,'company tracker'!$a:$s,MATCH("Jun 2026 Referring Domains",'company tracker'!$1:$1,0),FALSE()),"")</f>
        <v/>
      </c>
    </row>
    <row r="216" customFormat="false" ht="15" hidden="false" customHeight="true" outlineLevel="0" collapsed="false">
      <c r="B216" s="1" t="str">
        <f aca="false">IFERROR(VLOOKUP(A216,'company tracker'!$a:$s,MATCH("Category",'company tracker'!$1:$1,0),FALSE()),"")</f>
        <v/>
      </c>
      <c r="C216" s="1" t="str">
        <f aca="false">IFERROR(VLOOKUP(A216,'Pass 1 Archive'!$A:$AD,MATCH("LinkedIn Employee Count",'Pass 1 Archive'!$1:$1,0),FALSE()),"")</f>
        <v/>
      </c>
      <c r="D216" s="1" t="str">
        <f aca="false">IFERROR(VLOOKUP(A216,'company tracker'!$a:$s,MATCH("Jan 2025 Traffic",'company tracker'!$1:$1,0),FALSE()),"")</f>
        <v/>
      </c>
      <c r="E216" s="1" t="str">
        <f aca="false">IFERROR(VLOOKUP(A216,'company tracker'!$a:$s,MATCH("Jun 2026 Traffic",'company tracker'!$1:$1,0),FALSE()),"")</f>
        <v/>
      </c>
      <c r="F216" s="1" t="str">
        <f aca="false">IFERROR(VLOOKUP(A216,'company tracker'!$a:$s,MATCH("Traffic % Change",'company tracker'!$1:$1,0),FALSE()),"")</f>
        <v/>
      </c>
      <c r="G216" s="1" t="str">
        <f aca="false">IFERROR(VLOOKUP(A216,'company tracker'!$a:$s,MATCH("Jan 2025 Referring Domains",'company tracker'!$1:$1,0),FALSE()),"")</f>
        <v/>
      </c>
      <c r="H216" s="1" t="str">
        <f aca="false">IFERROR(VLOOKUP(A216,'company tracker'!$a:$s,MATCH("Jun 2026 Referring Domains",'company tracker'!$1:$1,0),FALSE()),"")</f>
        <v/>
      </c>
    </row>
    <row r="217" customFormat="false" ht="15" hidden="false" customHeight="true" outlineLevel="0" collapsed="false">
      <c r="B217" s="1" t="str">
        <f aca="false">IFERROR(VLOOKUP(A217,'company tracker'!$a:$s,MATCH("Category",'company tracker'!$1:$1,0),FALSE()),"")</f>
        <v/>
      </c>
      <c r="C217" s="1" t="str">
        <f aca="false">IFERROR(VLOOKUP(A217,'Pass 1 Archive'!$A:$AD,MATCH("LinkedIn Employee Count",'Pass 1 Archive'!$1:$1,0),FALSE()),"")</f>
        <v/>
      </c>
      <c r="D217" s="1" t="str">
        <f aca="false">IFERROR(VLOOKUP(A217,'company tracker'!$a:$s,MATCH("Jan 2025 Traffic",'company tracker'!$1:$1,0),FALSE()),"")</f>
        <v/>
      </c>
      <c r="E217" s="1" t="str">
        <f aca="false">IFERROR(VLOOKUP(A217,'company tracker'!$a:$s,MATCH("Jun 2026 Traffic",'company tracker'!$1:$1,0),FALSE()),"")</f>
        <v/>
      </c>
      <c r="F217" s="1" t="str">
        <f aca="false">IFERROR(VLOOKUP(A217,'company tracker'!$a:$s,MATCH("Traffic % Change",'company tracker'!$1:$1,0),FALSE()),"")</f>
        <v/>
      </c>
      <c r="G217" s="1" t="str">
        <f aca="false">IFERROR(VLOOKUP(A217,'company tracker'!$a:$s,MATCH("Jan 2025 Referring Domains",'company tracker'!$1:$1,0),FALSE()),"")</f>
        <v/>
      </c>
      <c r="H217" s="1" t="str">
        <f aca="false">IFERROR(VLOOKUP(A217,'company tracker'!$a:$s,MATCH("Jun 2026 Referring Domains",'company tracker'!$1:$1,0),FALSE()),"")</f>
        <v/>
      </c>
    </row>
    <row r="218" customFormat="false" ht="15" hidden="false" customHeight="true" outlineLevel="0" collapsed="false">
      <c r="B218" s="1" t="str">
        <f aca="false">IFERROR(VLOOKUP(A218,'company tracker'!$a:$s,MATCH("Category",'company tracker'!$1:$1,0),FALSE()),"")</f>
        <v/>
      </c>
      <c r="C218" s="1" t="str">
        <f aca="false">IFERROR(VLOOKUP(A218,'Pass 1 Archive'!$A:$AD,MATCH("LinkedIn Employee Count",'Pass 1 Archive'!$1:$1,0),FALSE()),"")</f>
        <v/>
      </c>
      <c r="D218" s="1" t="str">
        <f aca="false">IFERROR(VLOOKUP(A218,'company tracker'!$a:$s,MATCH("Jan 2025 Traffic",'company tracker'!$1:$1,0),FALSE()),"")</f>
        <v/>
      </c>
      <c r="E218" s="1" t="str">
        <f aca="false">IFERROR(VLOOKUP(A218,'company tracker'!$a:$s,MATCH("Jun 2026 Traffic",'company tracker'!$1:$1,0),FALSE()),"")</f>
        <v/>
      </c>
      <c r="F218" s="1" t="str">
        <f aca="false">IFERROR(VLOOKUP(A218,'company tracker'!$a:$s,MATCH("Traffic % Change",'company tracker'!$1:$1,0),FALSE()),"")</f>
        <v/>
      </c>
      <c r="G218" s="1" t="str">
        <f aca="false">IFERROR(VLOOKUP(A218,'company tracker'!$a:$s,MATCH("Jan 2025 Referring Domains",'company tracker'!$1:$1,0),FALSE()),"")</f>
        <v/>
      </c>
      <c r="H218" s="1" t="str">
        <f aca="false">IFERROR(VLOOKUP(A218,'company tracker'!$a:$s,MATCH("Jun 2026 Referring Domains",'company tracker'!$1:$1,0),FALSE()),"")</f>
        <v/>
      </c>
    </row>
    <row r="219" customFormat="false" ht="15" hidden="false" customHeight="true" outlineLevel="0" collapsed="false">
      <c r="B219" s="1" t="str">
        <f aca="false">IFERROR(VLOOKUP(A219,'company tracker'!$a:$s,MATCH("Category",'company tracker'!$1:$1,0),FALSE()),"")</f>
        <v/>
      </c>
      <c r="C219" s="1" t="str">
        <f aca="false">IFERROR(VLOOKUP(A219,'Pass 1 Archive'!$A:$AD,MATCH("LinkedIn Employee Count",'Pass 1 Archive'!$1:$1,0),FALSE()),"")</f>
        <v/>
      </c>
      <c r="D219" s="1" t="str">
        <f aca="false">IFERROR(VLOOKUP(A219,'company tracker'!$a:$s,MATCH("Jan 2025 Traffic",'company tracker'!$1:$1,0),FALSE()),"")</f>
        <v/>
      </c>
      <c r="E219" s="1" t="str">
        <f aca="false">IFERROR(VLOOKUP(A219,'company tracker'!$a:$s,MATCH("Jun 2026 Traffic",'company tracker'!$1:$1,0),FALSE()),"")</f>
        <v/>
      </c>
      <c r="F219" s="1" t="str">
        <f aca="false">IFERROR(VLOOKUP(A219,'company tracker'!$a:$s,MATCH("Traffic % Change",'company tracker'!$1:$1,0),FALSE()),"")</f>
        <v/>
      </c>
      <c r="G219" s="1" t="str">
        <f aca="false">IFERROR(VLOOKUP(A219,'company tracker'!$a:$s,MATCH("Jan 2025 Referring Domains",'company tracker'!$1:$1,0),FALSE()),"")</f>
        <v/>
      </c>
      <c r="H219" s="1" t="str">
        <f aca="false">IFERROR(VLOOKUP(A219,'company tracker'!$a:$s,MATCH("Jun 2026 Referring Domains",'company tracker'!$1:$1,0),FALSE()),"")</f>
        <v/>
      </c>
    </row>
    <row r="220" customFormat="false" ht="15" hidden="false" customHeight="true" outlineLevel="0" collapsed="false">
      <c r="B220" s="1" t="str">
        <f aca="false">IFERROR(VLOOKUP(A220,'company tracker'!$a:$s,MATCH("Category",'company tracker'!$1:$1,0),FALSE()),"")</f>
        <v/>
      </c>
      <c r="C220" s="1" t="str">
        <f aca="false">IFERROR(VLOOKUP(A220,'Pass 1 Archive'!$A:$AD,MATCH("LinkedIn Employee Count",'Pass 1 Archive'!$1:$1,0),FALSE()),"")</f>
        <v/>
      </c>
      <c r="D220" s="1" t="str">
        <f aca="false">IFERROR(VLOOKUP(A220,'company tracker'!$a:$s,MATCH("Jan 2025 Traffic",'company tracker'!$1:$1,0),FALSE()),"")</f>
        <v/>
      </c>
      <c r="E220" s="1" t="str">
        <f aca="false">IFERROR(VLOOKUP(A220,'company tracker'!$a:$s,MATCH("Jun 2026 Traffic",'company tracker'!$1:$1,0),FALSE()),"")</f>
        <v/>
      </c>
      <c r="F220" s="1" t="str">
        <f aca="false">IFERROR(VLOOKUP(A220,'company tracker'!$a:$s,MATCH("Traffic % Change",'company tracker'!$1:$1,0),FALSE()),"")</f>
        <v/>
      </c>
      <c r="G220" s="1" t="str">
        <f aca="false">IFERROR(VLOOKUP(A220,'company tracker'!$a:$s,MATCH("Jan 2025 Referring Domains",'company tracker'!$1:$1,0),FALSE()),"")</f>
        <v/>
      </c>
      <c r="H220" s="1" t="str">
        <f aca="false">IFERROR(VLOOKUP(A220,'company tracker'!$a:$s,MATCH("Jun 2026 Referring Domains",'company tracker'!$1:$1,0),FALSE()),"")</f>
        <v/>
      </c>
    </row>
    <row r="221" customFormat="false" ht="15" hidden="false" customHeight="true" outlineLevel="0" collapsed="false">
      <c r="B221" s="1" t="str">
        <f aca="false">IFERROR(VLOOKUP(A221,'company tracker'!$a:$s,MATCH("Category",'company tracker'!$1:$1,0),FALSE()),"")</f>
        <v/>
      </c>
      <c r="C221" s="1" t="str">
        <f aca="false">IFERROR(VLOOKUP(A221,'Pass 1 Archive'!$A:$AD,MATCH("LinkedIn Employee Count",'Pass 1 Archive'!$1:$1,0),FALSE()),"")</f>
        <v/>
      </c>
      <c r="D221" s="1" t="str">
        <f aca="false">IFERROR(VLOOKUP(A221,'company tracker'!$a:$s,MATCH("Jan 2025 Traffic",'company tracker'!$1:$1,0),FALSE()),"")</f>
        <v/>
      </c>
      <c r="E221" s="1" t="str">
        <f aca="false">IFERROR(VLOOKUP(A221,'company tracker'!$a:$s,MATCH("Jun 2026 Traffic",'company tracker'!$1:$1,0),FALSE()),"")</f>
        <v/>
      </c>
      <c r="F221" s="1" t="str">
        <f aca="false">IFERROR(VLOOKUP(A221,'company tracker'!$a:$s,MATCH("Traffic % Change",'company tracker'!$1:$1,0),FALSE()),"")</f>
        <v/>
      </c>
      <c r="G221" s="1" t="str">
        <f aca="false">IFERROR(VLOOKUP(A221,'company tracker'!$a:$s,MATCH("Jan 2025 Referring Domains",'company tracker'!$1:$1,0),FALSE()),"")</f>
        <v/>
      </c>
      <c r="H221" s="1" t="str">
        <f aca="false">IFERROR(VLOOKUP(A221,'company tracker'!$a:$s,MATCH("Jun 2026 Referring Domains",'company tracker'!$1:$1,0),FALSE()),"")</f>
        <v/>
      </c>
    </row>
    <row r="222" customFormat="false" ht="15" hidden="false" customHeight="true" outlineLevel="0" collapsed="false">
      <c r="B222" s="1" t="str">
        <f aca="false">IFERROR(VLOOKUP(A222,'company tracker'!$a:$s,MATCH("Category",'company tracker'!$1:$1,0),FALSE()),"")</f>
        <v/>
      </c>
      <c r="C222" s="1" t="str">
        <f aca="false">IFERROR(VLOOKUP(A222,'Pass 1 Archive'!$A:$AD,MATCH("LinkedIn Employee Count",'Pass 1 Archive'!$1:$1,0),FALSE()),"")</f>
        <v/>
      </c>
      <c r="D222" s="1" t="str">
        <f aca="false">IFERROR(VLOOKUP(A222,'company tracker'!$a:$s,MATCH("Jan 2025 Traffic",'company tracker'!$1:$1,0),FALSE()),"")</f>
        <v/>
      </c>
      <c r="E222" s="1" t="str">
        <f aca="false">IFERROR(VLOOKUP(A222,'company tracker'!$a:$s,MATCH("Jun 2026 Traffic",'company tracker'!$1:$1,0),FALSE()),"")</f>
        <v/>
      </c>
      <c r="F222" s="1" t="str">
        <f aca="false">IFERROR(VLOOKUP(A222,'company tracker'!$a:$s,MATCH("Traffic % Change",'company tracker'!$1:$1,0),FALSE()),"")</f>
        <v/>
      </c>
      <c r="G222" s="1" t="str">
        <f aca="false">IFERROR(VLOOKUP(A222,'company tracker'!$a:$s,MATCH("Jan 2025 Referring Domains",'company tracker'!$1:$1,0),FALSE()),"")</f>
        <v/>
      </c>
      <c r="H222" s="1" t="str">
        <f aca="false">IFERROR(VLOOKUP(A222,'company tracker'!$a:$s,MATCH("Jun 2026 Referring Domains",'company tracker'!$1:$1,0),FALSE()),"")</f>
        <v/>
      </c>
    </row>
    <row r="223" customFormat="false" ht="15" hidden="false" customHeight="true" outlineLevel="0" collapsed="false">
      <c r="B223" s="1" t="str">
        <f aca="false">IFERROR(VLOOKUP(A223,'company tracker'!$a:$s,MATCH("Category",'company tracker'!$1:$1,0),FALSE()),"")</f>
        <v/>
      </c>
      <c r="C223" s="1" t="str">
        <f aca="false">IFERROR(VLOOKUP(A223,'Pass 1 Archive'!$A:$AD,MATCH("LinkedIn Employee Count",'Pass 1 Archive'!$1:$1,0),FALSE()),"")</f>
        <v/>
      </c>
      <c r="D223" s="1" t="str">
        <f aca="false">IFERROR(VLOOKUP(A223,'company tracker'!$a:$s,MATCH("Jan 2025 Traffic",'company tracker'!$1:$1,0),FALSE()),"")</f>
        <v/>
      </c>
      <c r="E223" s="1" t="str">
        <f aca="false">IFERROR(VLOOKUP(A223,'company tracker'!$a:$s,MATCH("Jun 2026 Traffic",'company tracker'!$1:$1,0),FALSE()),"")</f>
        <v/>
      </c>
      <c r="F223" s="1" t="str">
        <f aca="false">IFERROR(VLOOKUP(A223,'company tracker'!$a:$s,MATCH("Traffic % Change",'company tracker'!$1:$1,0),FALSE()),"")</f>
        <v/>
      </c>
      <c r="G223" s="1" t="str">
        <f aca="false">IFERROR(VLOOKUP(A223,'company tracker'!$a:$s,MATCH("Jan 2025 Referring Domains",'company tracker'!$1:$1,0),FALSE()),"")</f>
        <v/>
      </c>
      <c r="H223" s="1" t="str">
        <f aca="false">IFERROR(VLOOKUP(A223,'company tracker'!$a:$s,MATCH("Jun 2026 Referring Domains",'company tracker'!$1:$1,0),FALSE()),"")</f>
        <v/>
      </c>
    </row>
    <row r="224" customFormat="false" ht="15" hidden="false" customHeight="true" outlineLevel="0" collapsed="false">
      <c r="B224" s="1" t="str">
        <f aca="false">IFERROR(VLOOKUP(A224,'company tracker'!$a:$s,MATCH("Category",'company tracker'!$1:$1,0),FALSE()),"")</f>
        <v/>
      </c>
      <c r="C224" s="1" t="str">
        <f aca="false">IFERROR(VLOOKUP(A224,'Pass 1 Archive'!$A:$AD,MATCH("LinkedIn Employee Count",'Pass 1 Archive'!$1:$1,0),FALSE()),"")</f>
        <v/>
      </c>
      <c r="D224" s="1" t="str">
        <f aca="false">IFERROR(VLOOKUP(A224,'company tracker'!$a:$s,MATCH("Jan 2025 Traffic",'company tracker'!$1:$1,0),FALSE()),"")</f>
        <v/>
      </c>
      <c r="E224" s="1" t="str">
        <f aca="false">IFERROR(VLOOKUP(A224,'company tracker'!$a:$s,MATCH("Jun 2026 Traffic",'company tracker'!$1:$1,0),FALSE()),"")</f>
        <v/>
      </c>
      <c r="F224" s="1" t="str">
        <f aca="false">IFERROR(VLOOKUP(A224,'company tracker'!$a:$s,MATCH("Traffic % Change",'company tracker'!$1:$1,0),FALSE()),"")</f>
        <v/>
      </c>
      <c r="G224" s="1" t="str">
        <f aca="false">IFERROR(VLOOKUP(A224,'company tracker'!$a:$s,MATCH("Jan 2025 Referring Domains",'company tracker'!$1:$1,0),FALSE()),"")</f>
        <v/>
      </c>
      <c r="H224" s="1" t="str">
        <f aca="false">IFERROR(VLOOKUP(A224,'company tracker'!$a:$s,MATCH("Jun 2026 Referring Domains",'company tracker'!$1:$1,0),FALSE()),"")</f>
        <v/>
      </c>
    </row>
    <row r="225" customFormat="false" ht="15" hidden="false" customHeight="true" outlineLevel="0" collapsed="false">
      <c r="B225" s="1" t="str">
        <f aca="false">IFERROR(VLOOKUP(A225,'company tracker'!$a:$s,MATCH("Category",'company tracker'!$1:$1,0),FALSE()),"")</f>
        <v/>
      </c>
      <c r="C225" s="1" t="str">
        <f aca="false">IFERROR(VLOOKUP(A225,'Pass 1 Archive'!$A:$AD,MATCH("LinkedIn Employee Count",'Pass 1 Archive'!$1:$1,0),FALSE()),"")</f>
        <v/>
      </c>
      <c r="D225" s="1" t="str">
        <f aca="false">IFERROR(VLOOKUP(A225,'company tracker'!$a:$s,MATCH("Jan 2025 Traffic",'company tracker'!$1:$1,0),FALSE()),"")</f>
        <v/>
      </c>
      <c r="E225" s="1" t="str">
        <f aca="false">IFERROR(VLOOKUP(A225,'company tracker'!$a:$s,MATCH("Jun 2026 Traffic",'company tracker'!$1:$1,0),FALSE()),"")</f>
        <v/>
      </c>
      <c r="F225" s="1" t="str">
        <f aca="false">IFERROR(VLOOKUP(A225,'company tracker'!$a:$s,MATCH("Traffic % Change",'company tracker'!$1:$1,0),FALSE()),"")</f>
        <v/>
      </c>
      <c r="G225" s="1" t="str">
        <f aca="false">IFERROR(VLOOKUP(A225,'company tracker'!$a:$s,MATCH("Jan 2025 Referring Domains",'company tracker'!$1:$1,0),FALSE()),"")</f>
        <v/>
      </c>
      <c r="H225" s="1" t="str">
        <f aca="false">IFERROR(VLOOKUP(A225,'company tracker'!$a:$s,MATCH("Jun 2026 Referring Domains",'company tracker'!$1:$1,0),FALSE()),"")</f>
        <v/>
      </c>
    </row>
    <row r="226" customFormat="false" ht="15" hidden="false" customHeight="true" outlineLevel="0" collapsed="false">
      <c r="B226" s="1" t="str">
        <f aca="false">IFERROR(VLOOKUP(A226,'company tracker'!$a:$s,MATCH("Category",'company tracker'!$1:$1,0),FALSE()),"")</f>
        <v/>
      </c>
      <c r="C226" s="1" t="str">
        <f aca="false">IFERROR(VLOOKUP(A226,'Pass 1 Archive'!$A:$AD,MATCH("LinkedIn Employee Count",'Pass 1 Archive'!$1:$1,0),FALSE()),"")</f>
        <v/>
      </c>
      <c r="D226" s="1" t="str">
        <f aca="false">IFERROR(VLOOKUP(A226,'company tracker'!$a:$s,MATCH("Jan 2025 Traffic",'company tracker'!$1:$1,0),FALSE()),"")</f>
        <v/>
      </c>
      <c r="E226" s="1" t="str">
        <f aca="false">IFERROR(VLOOKUP(A226,'company tracker'!$a:$s,MATCH("Jun 2026 Traffic",'company tracker'!$1:$1,0),FALSE()),"")</f>
        <v/>
      </c>
      <c r="F226" s="1" t="str">
        <f aca="false">IFERROR(VLOOKUP(A226,'company tracker'!$a:$s,MATCH("Traffic % Change",'company tracker'!$1:$1,0),FALSE()),"")</f>
        <v/>
      </c>
      <c r="G226" s="1" t="str">
        <f aca="false">IFERROR(VLOOKUP(A226,'company tracker'!$a:$s,MATCH("Jan 2025 Referring Domains",'company tracker'!$1:$1,0),FALSE()),"")</f>
        <v/>
      </c>
      <c r="H226" s="1" t="str">
        <f aca="false">IFERROR(VLOOKUP(A226,'company tracker'!$a:$s,MATCH("Jun 2026 Referring Domains",'company tracker'!$1:$1,0),FALSE()),"")</f>
        <v/>
      </c>
    </row>
    <row r="227" customFormat="false" ht="15" hidden="false" customHeight="true" outlineLevel="0" collapsed="false">
      <c r="B227" s="1" t="str">
        <f aca="false">IFERROR(VLOOKUP(A227,'company tracker'!$a:$s,MATCH("Category",'company tracker'!$1:$1,0),FALSE()),"")</f>
        <v/>
      </c>
      <c r="C227" s="1" t="str">
        <f aca="false">IFERROR(VLOOKUP(A227,'Pass 1 Archive'!$A:$AD,MATCH("LinkedIn Employee Count",'Pass 1 Archive'!$1:$1,0),FALSE()),"")</f>
        <v/>
      </c>
      <c r="D227" s="1" t="str">
        <f aca="false">IFERROR(VLOOKUP(A227,'company tracker'!$a:$s,MATCH("Jan 2025 Traffic",'company tracker'!$1:$1,0),FALSE()),"")</f>
        <v/>
      </c>
      <c r="E227" s="1" t="str">
        <f aca="false">IFERROR(VLOOKUP(A227,'company tracker'!$a:$s,MATCH("Jun 2026 Traffic",'company tracker'!$1:$1,0),FALSE()),"")</f>
        <v/>
      </c>
      <c r="F227" s="1" t="str">
        <f aca="false">IFERROR(VLOOKUP(A227,'company tracker'!$a:$s,MATCH("Traffic % Change",'company tracker'!$1:$1,0),FALSE()),"")</f>
        <v/>
      </c>
      <c r="G227" s="1" t="str">
        <f aca="false">IFERROR(VLOOKUP(A227,'company tracker'!$a:$s,MATCH("Jan 2025 Referring Domains",'company tracker'!$1:$1,0),FALSE()),"")</f>
        <v/>
      </c>
      <c r="H227" s="1" t="str">
        <f aca="false">IFERROR(VLOOKUP(A227,'company tracker'!$a:$s,MATCH("Jun 2026 Referring Domains",'company tracker'!$1:$1,0),FALSE()),"")</f>
        <v/>
      </c>
    </row>
    <row r="228" customFormat="false" ht="15" hidden="false" customHeight="true" outlineLevel="0" collapsed="false">
      <c r="B228" s="1" t="str">
        <f aca="false">IFERROR(VLOOKUP(A228,'company tracker'!$a:$s,MATCH("Category",'company tracker'!$1:$1,0),FALSE()),"")</f>
        <v/>
      </c>
      <c r="C228" s="1" t="str">
        <f aca="false">IFERROR(VLOOKUP(A228,'Pass 1 Archive'!$A:$AD,MATCH("LinkedIn Employee Count",'Pass 1 Archive'!$1:$1,0),FALSE()),"")</f>
        <v/>
      </c>
      <c r="D228" s="1" t="str">
        <f aca="false">IFERROR(VLOOKUP(A228,'company tracker'!$a:$s,MATCH("Jan 2025 Traffic",'company tracker'!$1:$1,0),FALSE()),"")</f>
        <v/>
      </c>
      <c r="E228" s="1" t="str">
        <f aca="false">IFERROR(VLOOKUP(A228,'company tracker'!$a:$s,MATCH("Jun 2026 Traffic",'company tracker'!$1:$1,0),FALSE()),"")</f>
        <v/>
      </c>
      <c r="F228" s="1" t="str">
        <f aca="false">IFERROR(VLOOKUP(A228,'company tracker'!$a:$s,MATCH("Traffic % Change",'company tracker'!$1:$1,0),FALSE()),"")</f>
        <v/>
      </c>
      <c r="G228" s="1" t="str">
        <f aca="false">IFERROR(VLOOKUP(A228,'company tracker'!$a:$s,MATCH("Jan 2025 Referring Domains",'company tracker'!$1:$1,0),FALSE()),"")</f>
        <v/>
      </c>
      <c r="H228" s="1" t="str">
        <f aca="false">IFERROR(VLOOKUP(A228,'company tracker'!$a:$s,MATCH("Jun 2026 Referring Domains",'company tracker'!$1:$1,0),FALSE()),"")</f>
        <v/>
      </c>
    </row>
    <row r="229" customFormat="false" ht="15" hidden="false" customHeight="true" outlineLevel="0" collapsed="false">
      <c r="B229" s="1" t="str">
        <f aca="false">IFERROR(VLOOKUP(A229,'company tracker'!$a:$s,MATCH("Category",'company tracker'!$1:$1,0),FALSE()),"")</f>
        <v/>
      </c>
      <c r="C229" s="1" t="str">
        <f aca="false">IFERROR(VLOOKUP(A229,'Pass 1 Archive'!$A:$AD,MATCH("LinkedIn Employee Count",'Pass 1 Archive'!$1:$1,0),FALSE()),"")</f>
        <v/>
      </c>
      <c r="D229" s="1" t="str">
        <f aca="false">IFERROR(VLOOKUP(A229,'company tracker'!$a:$s,MATCH("Jan 2025 Traffic",'company tracker'!$1:$1,0),FALSE()),"")</f>
        <v/>
      </c>
      <c r="E229" s="1" t="str">
        <f aca="false">IFERROR(VLOOKUP(A229,'company tracker'!$a:$s,MATCH("Jun 2026 Traffic",'company tracker'!$1:$1,0),FALSE()),"")</f>
        <v/>
      </c>
      <c r="F229" s="1" t="str">
        <f aca="false">IFERROR(VLOOKUP(A229,'company tracker'!$a:$s,MATCH("Traffic % Change",'company tracker'!$1:$1,0),FALSE()),"")</f>
        <v/>
      </c>
      <c r="G229" s="1" t="str">
        <f aca="false">IFERROR(VLOOKUP(A229,'company tracker'!$a:$s,MATCH("Jan 2025 Referring Domains",'company tracker'!$1:$1,0),FALSE()),"")</f>
        <v/>
      </c>
      <c r="H229" s="1" t="str">
        <f aca="false">IFERROR(VLOOKUP(A229,'company tracker'!$a:$s,MATCH("Jun 2026 Referring Domains",'company tracker'!$1:$1,0),FALSE()),"")</f>
        <v/>
      </c>
    </row>
    <row r="230" customFormat="false" ht="15" hidden="false" customHeight="true" outlineLevel="0" collapsed="false">
      <c r="B230" s="1" t="str">
        <f aca="false">IFERROR(VLOOKUP(A230,'company tracker'!$a:$s,MATCH("Category",'company tracker'!$1:$1,0),FALSE()),"")</f>
        <v/>
      </c>
      <c r="C230" s="1" t="str">
        <f aca="false">IFERROR(VLOOKUP(A230,'Pass 1 Archive'!$A:$AD,MATCH("LinkedIn Employee Count",'Pass 1 Archive'!$1:$1,0),FALSE()),"")</f>
        <v/>
      </c>
      <c r="D230" s="1" t="str">
        <f aca="false">IFERROR(VLOOKUP(A230,'company tracker'!$a:$s,MATCH("Jan 2025 Traffic",'company tracker'!$1:$1,0),FALSE()),"")</f>
        <v/>
      </c>
      <c r="E230" s="1" t="str">
        <f aca="false">IFERROR(VLOOKUP(A230,'company tracker'!$a:$s,MATCH("Jun 2026 Traffic",'company tracker'!$1:$1,0),FALSE()),"")</f>
        <v/>
      </c>
      <c r="F230" s="1" t="str">
        <f aca="false">IFERROR(VLOOKUP(A230,'company tracker'!$a:$s,MATCH("Traffic % Change",'company tracker'!$1:$1,0),FALSE()),"")</f>
        <v/>
      </c>
      <c r="G230" s="1" t="str">
        <f aca="false">IFERROR(VLOOKUP(A230,'company tracker'!$a:$s,MATCH("Jan 2025 Referring Domains",'company tracker'!$1:$1,0),FALSE()),"")</f>
        <v/>
      </c>
      <c r="H230" s="1" t="str">
        <f aca="false">IFERROR(VLOOKUP(A230,'company tracker'!$a:$s,MATCH("Jun 2026 Referring Domains",'company tracker'!$1:$1,0),FALSE()),"")</f>
        <v/>
      </c>
    </row>
    <row r="231" customFormat="false" ht="15" hidden="false" customHeight="true" outlineLevel="0" collapsed="false">
      <c r="B231" s="1" t="str">
        <f aca="false">IFERROR(VLOOKUP(A231,'company tracker'!$a:$s,MATCH("Category",'company tracker'!$1:$1,0),FALSE()),"")</f>
        <v/>
      </c>
      <c r="C231" s="1" t="str">
        <f aca="false">IFERROR(VLOOKUP(A231,'Pass 1 Archive'!$A:$AD,MATCH("LinkedIn Employee Count",'Pass 1 Archive'!$1:$1,0),FALSE()),"")</f>
        <v/>
      </c>
      <c r="D231" s="1" t="str">
        <f aca="false">IFERROR(VLOOKUP(A231,'company tracker'!$a:$s,MATCH("Jan 2025 Traffic",'company tracker'!$1:$1,0),FALSE()),"")</f>
        <v/>
      </c>
      <c r="E231" s="1" t="str">
        <f aca="false">IFERROR(VLOOKUP(A231,'company tracker'!$a:$s,MATCH("Jun 2026 Traffic",'company tracker'!$1:$1,0),FALSE()),"")</f>
        <v/>
      </c>
      <c r="F231" s="1" t="str">
        <f aca="false">IFERROR(VLOOKUP(A231,'company tracker'!$a:$s,MATCH("Traffic % Change",'company tracker'!$1:$1,0),FALSE()),"")</f>
        <v/>
      </c>
      <c r="G231" s="1" t="str">
        <f aca="false">IFERROR(VLOOKUP(A231,'company tracker'!$a:$s,MATCH("Jan 2025 Referring Domains",'company tracker'!$1:$1,0),FALSE()),"")</f>
        <v/>
      </c>
      <c r="H231" s="1" t="str">
        <f aca="false">IFERROR(VLOOKUP(A231,'company tracker'!$a:$s,MATCH("Jun 2026 Referring Domains",'company tracker'!$1:$1,0),FALSE()),"")</f>
        <v/>
      </c>
    </row>
    <row r="232" customFormat="false" ht="15" hidden="false" customHeight="true" outlineLevel="0" collapsed="false">
      <c r="B232" s="1" t="str">
        <f aca="false">IFERROR(VLOOKUP(A232,'company tracker'!$a:$s,MATCH("Category",'company tracker'!$1:$1,0),FALSE()),"")</f>
        <v/>
      </c>
      <c r="C232" s="1" t="str">
        <f aca="false">IFERROR(VLOOKUP(A232,'Pass 1 Archive'!$A:$AD,MATCH("LinkedIn Employee Count",'Pass 1 Archive'!$1:$1,0),FALSE()),"")</f>
        <v/>
      </c>
      <c r="D232" s="1" t="str">
        <f aca="false">IFERROR(VLOOKUP(A232,'company tracker'!$a:$s,MATCH("Jan 2025 Traffic",'company tracker'!$1:$1,0),FALSE()),"")</f>
        <v/>
      </c>
      <c r="E232" s="1" t="str">
        <f aca="false">IFERROR(VLOOKUP(A232,'company tracker'!$a:$s,MATCH("Jun 2026 Traffic",'company tracker'!$1:$1,0),FALSE()),"")</f>
        <v/>
      </c>
      <c r="F232" s="1" t="str">
        <f aca="false">IFERROR(VLOOKUP(A232,'company tracker'!$a:$s,MATCH("Traffic % Change",'company tracker'!$1:$1,0),FALSE()),"")</f>
        <v/>
      </c>
      <c r="G232" s="1" t="str">
        <f aca="false">IFERROR(VLOOKUP(A232,'company tracker'!$a:$s,MATCH("Jan 2025 Referring Domains",'company tracker'!$1:$1,0),FALSE()),"")</f>
        <v/>
      </c>
      <c r="H232" s="1" t="str">
        <f aca="false">IFERROR(VLOOKUP(A232,'company tracker'!$a:$s,MATCH("Jun 2026 Referring Domains",'company tracker'!$1:$1,0),FALSE()),"")</f>
        <v/>
      </c>
    </row>
    <row r="233" customFormat="false" ht="15" hidden="false" customHeight="true" outlineLevel="0" collapsed="false">
      <c r="B233" s="1" t="str">
        <f aca="false">IFERROR(VLOOKUP(A233,'company tracker'!$a:$s,MATCH("Category",'company tracker'!$1:$1,0),FALSE()),"")</f>
        <v/>
      </c>
      <c r="C233" s="1" t="str">
        <f aca="false">IFERROR(VLOOKUP(A233,'Pass 1 Archive'!$A:$AD,MATCH("LinkedIn Employee Count",'Pass 1 Archive'!$1:$1,0),FALSE()),"")</f>
        <v/>
      </c>
      <c r="D233" s="1" t="str">
        <f aca="false">IFERROR(VLOOKUP(A233,'company tracker'!$a:$s,MATCH("Jan 2025 Traffic",'company tracker'!$1:$1,0),FALSE()),"")</f>
        <v/>
      </c>
      <c r="E233" s="1" t="str">
        <f aca="false">IFERROR(VLOOKUP(A233,'company tracker'!$a:$s,MATCH("Jun 2026 Traffic",'company tracker'!$1:$1,0),FALSE()),"")</f>
        <v/>
      </c>
      <c r="F233" s="1" t="str">
        <f aca="false">IFERROR(VLOOKUP(A233,'company tracker'!$a:$s,MATCH("Traffic % Change",'company tracker'!$1:$1,0),FALSE()),"")</f>
        <v/>
      </c>
      <c r="G233" s="1" t="str">
        <f aca="false">IFERROR(VLOOKUP(A233,'company tracker'!$a:$s,MATCH("Jan 2025 Referring Domains",'company tracker'!$1:$1,0),FALSE()),"")</f>
        <v/>
      </c>
      <c r="H233" s="1" t="str">
        <f aca="false">IFERROR(VLOOKUP(A233,'company tracker'!$a:$s,MATCH("Jun 2026 Referring Domains",'company tracker'!$1:$1,0),FALSE()),"")</f>
        <v/>
      </c>
    </row>
    <row r="234" customFormat="false" ht="15" hidden="false" customHeight="true" outlineLevel="0" collapsed="false">
      <c r="B234" s="1" t="str">
        <f aca="false">IFERROR(VLOOKUP(A234,'company tracker'!$a:$s,MATCH("Category",'company tracker'!$1:$1,0),FALSE()),"")</f>
        <v/>
      </c>
      <c r="C234" s="1" t="str">
        <f aca="false">IFERROR(VLOOKUP(A234,'Pass 1 Archive'!$A:$AD,MATCH("LinkedIn Employee Count",'Pass 1 Archive'!$1:$1,0),FALSE()),"")</f>
        <v/>
      </c>
      <c r="D234" s="1" t="str">
        <f aca="false">IFERROR(VLOOKUP(A234,'company tracker'!$a:$s,MATCH("Jan 2025 Traffic",'company tracker'!$1:$1,0),FALSE()),"")</f>
        <v/>
      </c>
      <c r="E234" s="1" t="str">
        <f aca="false">IFERROR(VLOOKUP(A234,'company tracker'!$a:$s,MATCH("Jun 2026 Traffic",'company tracker'!$1:$1,0),FALSE()),"")</f>
        <v/>
      </c>
      <c r="F234" s="1" t="str">
        <f aca="false">IFERROR(VLOOKUP(A234,'company tracker'!$a:$s,MATCH("Traffic % Change",'company tracker'!$1:$1,0),FALSE()),"")</f>
        <v/>
      </c>
      <c r="G234" s="1" t="str">
        <f aca="false">IFERROR(VLOOKUP(A234,'company tracker'!$a:$s,MATCH("Jan 2025 Referring Domains",'company tracker'!$1:$1,0),FALSE()),"")</f>
        <v/>
      </c>
      <c r="H234" s="1" t="str">
        <f aca="false">IFERROR(VLOOKUP(A234,'company tracker'!$a:$s,MATCH("Jun 2026 Referring Domains",'company tracker'!$1:$1,0),FALSE()),"")</f>
        <v/>
      </c>
    </row>
    <row r="235" customFormat="false" ht="15" hidden="false" customHeight="true" outlineLevel="0" collapsed="false">
      <c r="B235" s="1" t="str">
        <f aca="false">IFERROR(VLOOKUP(A235,'company tracker'!$a:$s,MATCH("Category",'company tracker'!$1:$1,0),FALSE()),"")</f>
        <v/>
      </c>
      <c r="C235" s="1" t="str">
        <f aca="false">IFERROR(VLOOKUP(A235,'Pass 1 Archive'!$A:$AD,MATCH("LinkedIn Employee Count",'Pass 1 Archive'!$1:$1,0),FALSE()),"")</f>
        <v/>
      </c>
      <c r="D235" s="1" t="str">
        <f aca="false">IFERROR(VLOOKUP(A235,'company tracker'!$a:$s,MATCH("Jan 2025 Traffic",'company tracker'!$1:$1,0),FALSE()),"")</f>
        <v/>
      </c>
      <c r="E235" s="1" t="str">
        <f aca="false">IFERROR(VLOOKUP(A235,'company tracker'!$a:$s,MATCH("Jun 2026 Traffic",'company tracker'!$1:$1,0),FALSE()),"")</f>
        <v/>
      </c>
      <c r="F235" s="1" t="str">
        <f aca="false">IFERROR(VLOOKUP(A235,'company tracker'!$a:$s,MATCH("Traffic % Change",'company tracker'!$1:$1,0),FALSE()),"")</f>
        <v/>
      </c>
      <c r="G235" s="1" t="str">
        <f aca="false">IFERROR(VLOOKUP(A235,'company tracker'!$a:$s,MATCH("Jan 2025 Referring Domains",'company tracker'!$1:$1,0),FALSE()),"")</f>
        <v/>
      </c>
      <c r="H235" s="1" t="str">
        <f aca="false">IFERROR(VLOOKUP(A235,'company tracker'!$a:$s,MATCH("Jun 2026 Referring Domains",'company tracker'!$1:$1,0),FALSE()),"")</f>
        <v/>
      </c>
    </row>
    <row r="236" customFormat="false" ht="15" hidden="false" customHeight="true" outlineLevel="0" collapsed="false">
      <c r="B236" s="1" t="str">
        <f aca="false">IFERROR(VLOOKUP(A236,'company tracker'!$a:$s,MATCH("Category",'company tracker'!$1:$1,0),FALSE()),"")</f>
        <v/>
      </c>
      <c r="C236" s="1" t="str">
        <f aca="false">IFERROR(VLOOKUP(A236,'Pass 1 Archive'!$A:$AD,MATCH("LinkedIn Employee Count",'Pass 1 Archive'!$1:$1,0),FALSE()),"")</f>
        <v/>
      </c>
      <c r="D236" s="1" t="str">
        <f aca="false">IFERROR(VLOOKUP(A236,'company tracker'!$a:$s,MATCH("Jan 2025 Traffic",'company tracker'!$1:$1,0),FALSE()),"")</f>
        <v/>
      </c>
      <c r="E236" s="1" t="str">
        <f aca="false">IFERROR(VLOOKUP(A236,'company tracker'!$a:$s,MATCH("Jun 2026 Traffic",'company tracker'!$1:$1,0),FALSE()),"")</f>
        <v/>
      </c>
      <c r="F236" s="1" t="str">
        <f aca="false">IFERROR(VLOOKUP(A236,'company tracker'!$a:$s,MATCH("Traffic % Change",'company tracker'!$1:$1,0),FALSE()),"")</f>
        <v/>
      </c>
      <c r="G236" s="1" t="str">
        <f aca="false">IFERROR(VLOOKUP(A236,'company tracker'!$a:$s,MATCH("Jan 2025 Referring Domains",'company tracker'!$1:$1,0),FALSE()),"")</f>
        <v/>
      </c>
      <c r="H236" s="1" t="str">
        <f aca="false">IFERROR(VLOOKUP(A236,'company tracker'!$a:$s,MATCH("Jun 2026 Referring Domains",'company tracker'!$1:$1,0),FALSE()),"")</f>
        <v/>
      </c>
    </row>
    <row r="237" customFormat="false" ht="15" hidden="false" customHeight="true" outlineLevel="0" collapsed="false">
      <c r="B237" s="1" t="str">
        <f aca="false">IFERROR(VLOOKUP(A237,'company tracker'!$a:$s,MATCH("Category",'company tracker'!$1:$1,0),FALSE()),"")</f>
        <v/>
      </c>
      <c r="C237" s="1" t="str">
        <f aca="false">IFERROR(VLOOKUP(A237,'Pass 1 Archive'!$A:$AD,MATCH("LinkedIn Employee Count",'Pass 1 Archive'!$1:$1,0),FALSE()),"")</f>
        <v/>
      </c>
      <c r="D237" s="1" t="str">
        <f aca="false">IFERROR(VLOOKUP(A237,'company tracker'!$a:$s,MATCH("Jan 2025 Traffic",'company tracker'!$1:$1,0),FALSE()),"")</f>
        <v/>
      </c>
      <c r="E237" s="1" t="str">
        <f aca="false">IFERROR(VLOOKUP(A237,'company tracker'!$a:$s,MATCH("Jun 2026 Traffic",'company tracker'!$1:$1,0),FALSE()),"")</f>
        <v/>
      </c>
      <c r="F237" s="1" t="str">
        <f aca="false">IFERROR(VLOOKUP(A237,'company tracker'!$a:$s,MATCH("Traffic % Change",'company tracker'!$1:$1,0),FALSE()),"")</f>
        <v/>
      </c>
      <c r="G237" s="1" t="str">
        <f aca="false">IFERROR(VLOOKUP(A237,'company tracker'!$a:$s,MATCH("Jan 2025 Referring Domains",'company tracker'!$1:$1,0),FALSE()),"")</f>
        <v/>
      </c>
      <c r="H237" s="1" t="str">
        <f aca="false">IFERROR(VLOOKUP(A237,'company tracker'!$a:$s,MATCH("Jun 2026 Referring Domains",'company tracker'!$1:$1,0),FALSE()),"")</f>
        <v/>
      </c>
    </row>
    <row r="238" customFormat="false" ht="15" hidden="false" customHeight="true" outlineLevel="0" collapsed="false">
      <c r="B238" s="1" t="str">
        <f aca="false">IFERROR(VLOOKUP(A238,'company tracker'!$a:$s,MATCH("Category",'company tracker'!$1:$1,0),FALSE()),"")</f>
        <v/>
      </c>
      <c r="C238" s="1" t="str">
        <f aca="false">IFERROR(VLOOKUP(A238,'Pass 1 Archive'!$A:$AD,MATCH("LinkedIn Employee Count",'Pass 1 Archive'!$1:$1,0),FALSE()),"")</f>
        <v/>
      </c>
      <c r="D238" s="1" t="str">
        <f aca="false">IFERROR(VLOOKUP(A238,'company tracker'!$a:$s,MATCH("Jan 2025 Traffic",'company tracker'!$1:$1,0),FALSE()),"")</f>
        <v/>
      </c>
      <c r="E238" s="1" t="str">
        <f aca="false">IFERROR(VLOOKUP(A238,'company tracker'!$a:$s,MATCH("Jun 2026 Traffic",'company tracker'!$1:$1,0),FALSE()),"")</f>
        <v/>
      </c>
      <c r="F238" s="1" t="str">
        <f aca="false">IFERROR(VLOOKUP(A238,'company tracker'!$a:$s,MATCH("Traffic % Change",'company tracker'!$1:$1,0),FALSE()),"")</f>
        <v/>
      </c>
      <c r="G238" s="1" t="str">
        <f aca="false">IFERROR(VLOOKUP(A238,'company tracker'!$a:$s,MATCH("Jan 2025 Referring Domains",'company tracker'!$1:$1,0),FALSE()),"")</f>
        <v/>
      </c>
      <c r="H238" s="1" t="str">
        <f aca="false">IFERROR(VLOOKUP(A238,'company tracker'!$a:$s,MATCH("Jun 2026 Referring Domains",'company tracker'!$1:$1,0),FALSE()),"")</f>
        <v/>
      </c>
    </row>
    <row r="239" customFormat="false" ht="15" hidden="false" customHeight="true" outlineLevel="0" collapsed="false">
      <c r="B239" s="1" t="str">
        <f aca="false">IFERROR(VLOOKUP(A239,'company tracker'!$a:$s,MATCH("Category",'company tracker'!$1:$1,0),FALSE()),"")</f>
        <v/>
      </c>
      <c r="C239" s="1" t="str">
        <f aca="false">IFERROR(VLOOKUP(A239,'Pass 1 Archive'!$A:$AD,MATCH("LinkedIn Employee Count",'Pass 1 Archive'!$1:$1,0),FALSE()),"")</f>
        <v/>
      </c>
      <c r="D239" s="1" t="str">
        <f aca="false">IFERROR(VLOOKUP(A239,'company tracker'!$a:$s,MATCH("Jan 2025 Traffic",'company tracker'!$1:$1,0),FALSE()),"")</f>
        <v/>
      </c>
      <c r="E239" s="1" t="str">
        <f aca="false">IFERROR(VLOOKUP(A239,'company tracker'!$a:$s,MATCH("Jun 2026 Traffic",'company tracker'!$1:$1,0),FALSE()),"")</f>
        <v/>
      </c>
      <c r="F239" s="1" t="str">
        <f aca="false">IFERROR(VLOOKUP(A239,'company tracker'!$a:$s,MATCH("Traffic % Change",'company tracker'!$1:$1,0),FALSE()),"")</f>
        <v/>
      </c>
      <c r="G239" s="1" t="str">
        <f aca="false">IFERROR(VLOOKUP(A239,'company tracker'!$a:$s,MATCH("Jan 2025 Referring Domains",'company tracker'!$1:$1,0),FALSE()),"")</f>
        <v/>
      </c>
      <c r="H239" s="1" t="str">
        <f aca="false">IFERROR(VLOOKUP(A239,'company tracker'!$a:$s,MATCH("Jun 2026 Referring Domains",'company tracker'!$1:$1,0),FALSE()),"")</f>
        <v/>
      </c>
    </row>
    <row r="240" customFormat="false" ht="15" hidden="false" customHeight="true" outlineLevel="0" collapsed="false">
      <c r="B240" s="1" t="str">
        <f aca="false">IFERROR(VLOOKUP(A240,'company tracker'!$a:$s,MATCH("Category",'company tracker'!$1:$1,0),FALSE()),"")</f>
        <v/>
      </c>
      <c r="C240" s="1" t="str">
        <f aca="false">IFERROR(VLOOKUP(A240,'Pass 1 Archive'!$A:$AD,MATCH("LinkedIn Employee Count",'Pass 1 Archive'!$1:$1,0),FALSE()),"")</f>
        <v/>
      </c>
      <c r="D240" s="1" t="str">
        <f aca="false">IFERROR(VLOOKUP(A240,'company tracker'!$a:$s,MATCH("Jan 2025 Traffic",'company tracker'!$1:$1,0),FALSE()),"")</f>
        <v/>
      </c>
      <c r="E240" s="1" t="str">
        <f aca="false">IFERROR(VLOOKUP(A240,'company tracker'!$a:$s,MATCH("Jun 2026 Traffic",'company tracker'!$1:$1,0),FALSE()),"")</f>
        <v/>
      </c>
      <c r="F240" s="1" t="str">
        <f aca="false">IFERROR(VLOOKUP(A240,'company tracker'!$a:$s,MATCH("Traffic % Change",'company tracker'!$1:$1,0),FALSE()),"")</f>
        <v/>
      </c>
      <c r="G240" s="1" t="str">
        <f aca="false">IFERROR(VLOOKUP(A240,'company tracker'!$a:$s,MATCH("Jan 2025 Referring Domains",'company tracker'!$1:$1,0),FALSE()),"")</f>
        <v/>
      </c>
      <c r="H240" s="1" t="str">
        <f aca="false">IFERROR(VLOOKUP(A240,'company tracker'!$a:$s,MATCH("Jun 2026 Referring Domains",'company tracker'!$1:$1,0),FALSE()),"")</f>
        <v/>
      </c>
    </row>
    <row r="241" customFormat="false" ht="15" hidden="false" customHeight="true" outlineLevel="0" collapsed="false">
      <c r="B241" s="1" t="str">
        <f aca="false">IFERROR(VLOOKUP(A241,'company tracker'!$a:$s,MATCH("Category",'company tracker'!$1:$1,0),FALSE()),"")</f>
        <v/>
      </c>
      <c r="C241" s="1" t="str">
        <f aca="false">IFERROR(VLOOKUP(A241,'Pass 1 Archive'!$A:$AD,MATCH("LinkedIn Employee Count",'Pass 1 Archive'!$1:$1,0),FALSE()),"")</f>
        <v/>
      </c>
      <c r="D241" s="1" t="str">
        <f aca="false">IFERROR(VLOOKUP(A241,'company tracker'!$a:$s,MATCH("Jan 2025 Traffic",'company tracker'!$1:$1,0),FALSE()),"")</f>
        <v/>
      </c>
      <c r="E241" s="1" t="str">
        <f aca="false">IFERROR(VLOOKUP(A241,'company tracker'!$a:$s,MATCH("Jun 2026 Traffic",'company tracker'!$1:$1,0),FALSE()),"")</f>
        <v/>
      </c>
      <c r="F241" s="1" t="str">
        <f aca="false">IFERROR(VLOOKUP(A241,'company tracker'!$a:$s,MATCH("Traffic % Change",'company tracker'!$1:$1,0),FALSE()),"")</f>
        <v/>
      </c>
      <c r="G241" s="1" t="str">
        <f aca="false">IFERROR(VLOOKUP(A241,'company tracker'!$a:$s,MATCH("Jan 2025 Referring Domains",'company tracker'!$1:$1,0),FALSE()),"")</f>
        <v/>
      </c>
      <c r="H241" s="1" t="str">
        <f aca="false">IFERROR(VLOOKUP(A241,'company tracker'!$a:$s,MATCH("Jun 2026 Referring Domains",'company tracker'!$1:$1,0),FALSE()),"")</f>
        <v/>
      </c>
    </row>
    <row r="242" customFormat="false" ht="15" hidden="false" customHeight="true" outlineLevel="0" collapsed="false">
      <c r="B242" s="1" t="str">
        <f aca="false">IFERROR(VLOOKUP(A242,'company tracker'!$a:$s,MATCH("Category",'company tracker'!$1:$1,0),FALSE()),"")</f>
        <v/>
      </c>
      <c r="C242" s="1" t="str">
        <f aca="false">IFERROR(VLOOKUP(A242,'Pass 1 Archive'!$A:$AD,MATCH("LinkedIn Employee Count",'Pass 1 Archive'!$1:$1,0),FALSE()),"")</f>
        <v/>
      </c>
      <c r="D242" s="1" t="str">
        <f aca="false">IFERROR(VLOOKUP(A242,'company tracker'!$a:$s,MATCH("Jan 2025 Traffic",'company tracker'!$1:$1,0),FALSE()),"")</f>
        <v/>
      </c>
      <c r="E242" s="1" t="str">
        <f aca="false">IFERROR(VLOOKUP(A242,'company tracker'!$a:$s,MATCH("Jun 2026 Traffic",'company tracker'!$1:$1,0),FALSE()),"")</f>
        <v/>
      </c>
      <c r="F242" s="1" t="str">
        <f aca="false">IFERROR(VLOOKUP(A242,'company tracker'!$a:$s,MATCH("Traffic % Change",'company tracker'!$1:$1,0),FALSE()),"")</f>
        <v/>
      </c>
      <c r="G242" s="1" t="str">
        <f aca="false">IFERROR(VLOOKUP(A242,'company tracker'!$a:$s,MATCH("Jan 2025 Referring Domains",'company tracker'!$1:$1,0),FALSE()),"")</f>
        <v/>
      </c>
      <c r="H242" s="1" t="str">
        <f aca="false">IFERROR(VLOOKUP(A242,'company tracker'!$a:$s,MATCH("Jun 2026 Referring Domains",'company tracker'!$1:$1,0),FALSE()),"")</f>
        <v/>
      </c>
    </row>
    <row r="243" customFormat="false" ht="15" hidden="false" customHeight="true" outlineLevel="0" collapsed="false">
      <c r="B243" s="1" t="str">
        <f aca="false">IFERROR(VLOOKUP(A243,'company tracker'!$a:$s,MATCH("Category",'company tracker'!$1:$1,0),FALSE()),"")</f>
        <v/>
      </c>
      <c r="C243" s="1" t="str">
        <f aca="false">IFERROR(VLOOKUP(A243,'Pass 1 Archive'!$A:$AD,MATCH("LinkedIn Employee Count",'Pass 1 Archive'!$1:$1,0),FALSE()),"")</f>
        <v/>
      </c>
      <c r="D243" s="1" t="str">
        <f aca="false">IFERROR(VLOOKUP(A243,'company tracker'!$a:$s,MATCH("Jan 2025 Traffic",'company tracker'!$1:$1,0),FALSE()),"")</f>
        <v/>
      </c>
      <c r="E243" s="1" t="str">
        <f aca="false">IFERROR(VLOOKUP(A243,'company tracker'!$a:$s,MATCH("Jun 2026 Traffic",'company tracker'!$1:$1,0),FALSE()),"")</f>
        <v/>
      </c>
      <c r="F243" s="1" t="str">
        <f aca="false">IFERROR(VLOOKUP(A243,'company tracker'!$a:$s,MATCH("Traffic % Change",'company tracker'!$1:$1,0),FALSE()),"")</f>
        <v/>
      </c>
      <c r="G243" s="1" t="str">
        <f aca="false">IFERROR(VLOOKUP(A243,'company tracker'!$a:$s,MATCH("Jan 2025 Referring Domains",'company tracker'!$1:$1,0),FALSE()),"")</f>
        <v/>
      </c>
      <c r="H243" s="1" t="str">
        <f aca="false">IFERROR(VLOOKUP(A243,'company tracker'!$a:$s,MATCH("Jun 2026 Referring Domains",'company tracker'!$1:$1,0),FALSE()),"")</f>
        <v/>
      </c>
    </row>
    <row r="244" customFormat="false" ht="15" hidden="false" customHeight="true" outlineLevel="0" collapsed="false">
      <c r="B244" s="1" t="str">
        <f aca="false">IFERROR(VLOOKUP(A244,'company tracker'!$a:$s,MATCH("Category",'company tracker'!$1:$1,0),FALSE()),"")</f>
        <v/>
      </c>
      <c r="C244" s="1" t="str">
        <f aca="false">IFERROR(VLOOKUP(A244,'Pass 1 Archive'!$A:$AD,MATCH("LinkedIn Employee Count",'Pass 1 Archive'!$1:$1,0),FALSE()),"")</f>
        <v/>
      </c>
      <c r="D244" s="1" t="str">
        <f aca="false">IFERROR(VLOOKUP(A244,'company tracker'!$a:$s,MATCH("Jan 2025 Traffic",'company tracker'!$1:$1,0),FALSE()),"")</f>
        <v/>
      </c>
      <c r="E244" s="1" t="str">
        <f aca="false">IFERROR(VLOOKUP(A244,'company tracker'!$a:$s,MATCH("Jun 2026 Traffic",'company tracker'!$1:$1,0),FALSE()),"")</f>
        <v/>
      </c>
      <c r="F244" s="1" t="str">
        <f aca="false">IFERROR(VLOOKUP(A244,'company tracker'!$a:$s,MATCH("Traffic % Change",'company tracker'!$1:$1,0),FALSE()),"")</f>
        <v/>
      </c>
      <c r="G244" s="1" t="str">
        <f aca="false">IFERROR(VLOOKUP(A244,'company tracker'!$a:$s,MATCH("Jan 2025 Referring Domains",'company tracker'!$1:$1,0),FALSE()),"")</f>
        <v/>
      </c>
      <c r="H244" s="1" t="str">
        <f aca="false">IFERROR(VLOOKUP(A244,'company tracker'!$a:$s,MATCH("Jun 2026 Referring Domains",'company tracker'!$1:$1,0),FALSE()),"")</f>
        <v/>
      </c>
    </row>
    <row r="245" customFormat="false" ht="15" hidden="false" customHeight="true" outlineLevel="0" collapsed="false">
      <c r="B245" s="1" t="str">
        <f aca="false">IFERROR(VLOOKUP(A245,'company tracker'!$a:$s,MATCH("Category",'company tracker'!$1:$1,0),FALSE()),"")</f>
        <v/>
      </c>
      <c r="C245" s="1" t="str">
        <f aca="false">IFERROR(VLOOKUP(A245,'Pass 1 Archive'!$A:$AD,MATCH("LinkedIn Employee Count",'Pass 1 Archive'!$1:$1,0),FALSE()),"")</f>
        <v/>
      </c>
      <c r="D245" s="1" t="str">
        <f aca="false">IFERROR(VLOOKUP(A245,'company tracker'!$a:$s,MATCH("Jan 2025 Traffic",'company tracker'!$1:$1,0),FALSE()),"")</f>
        <v/>
      </c>
      <c r="E245" s="1" t="str">
        <f aca="false">IFERROR(VLOOKUP(A245,'company tracker'!$a:$s,MATCH("Jun 2026 Traffic",'company tracker'!$1:$1,0),FALSE()),"")</f>
        <v/>
      </c>
      <c r="F245" s="1" t="str">
        <f aca="false">IFERROR(VLOOKUP(A245,'company tracker'!$a:$s,MATCH("Traffic % Change",'company tracker'!$1:$1,0),FALSE()),"")</f>
        <v/>
      </c>
      <c r="G245" s="1" t="str">
        <f aca="false">IFERROR(VLOOKUP(A245,'company tracker'!$a:$s,MATCH("Jan 2025 Referring Domains",'company tracker'!$1:$1,0),FALSE()),"")</f>
        <v/>
      </c>
      <c r="H245" s="1" t="str">
        <f aca="false">IFERROR(VLOOKUP(A245,'company tracker'!$a:$s,MATCH("Jun 2026 Referring Domains",'company tracker'!$1:$1,0),FALSE()),"")</f>
        <v/>
      </c>
    </row>
    <row r="246" customFormat="false" ht="15" hidden="false" customHeight="true" outlineLevel="0" collapsed="false">
      <c r="B246" s="1" t="str">
        <f aca="false">IFERROR(VLOOKUP(A246,'company tracker'!$a:$s,MATCH("Category",'company tracker'!$1:$1,0),FALSE()),"")</f>
        <v/>
      </c>
      <c r="C246" s="1" t="str">
        <f aca="false">IFERROR(VLOOKUP(A246,'Pass 1 Archive'!$A:$AD,MATCH("LinkedIn Employee Count",'Pass 1 Archive'!$1:$1,0),FALSE()),"")</f>
        <v/>
      </c>
      <c r="D246" s="1" t="str">
        <f aca="false">IFERROR(VLOOKUP(A246,'company tracker'!$a:$s,MATCH("Jan 2025 Traffic",'company tracker'!$1:$1,0),FALSE()),"")</f>
        <v/>
      </c>
      <c r="E246" s="1" t="str">
        <f aca="false">IFERROR(VLOOKUP(A246,'company tracker'!$a:$s,MATCH("Jun 2026 Traffic",'company tracker'!$1:$1,0),FALSE()),"")</f>
        <v/>
      </c>
      <c r="F246" s="1" t="str">
        <f aca="false">IFERROR(VLOOKUP(A246,'company tracker'!$a:$s,MATCH("Traffic % Change",'company tracker'!$1:$1,0),FALSE()),"")</f>
        <v/>
      </c>
      <c r="G246" s="1" t="str">
        <f aca="false">IFERROR(VLOOKUP(A246,'company tracker'!$a:$s,MATCH("Jan 2025 Referring Domains",'company tracker'!$1:$1,0),FALSE()),"")</f>
        <v/>
      </c>
      <c r="H246" s="1" t="str">
        <f aca="false">IFERROR(VLOOKUP(A246,'company tracker'!$a:$s,MATCH("Jun 2026 Referring Domains",'company tracker'!$1:$1,0),FALSE()),"")</f>
        <v/>
      </c>
    </row>
    <row r="247" customFormat="false" ht="15" hidden="false" customHeight="true" outlineLevel="0" collapsed="false">
      <c r="B247" s="1" t="str">
        <f aca="false">IFERROR(VLOOKUP(A247,'company tracker'!$a:$s,MATCH("Category",'company tracker'!$1:$1,0),FALSE()),"")</f>
        <v/>
      </c>
      <c r="C247" s="1" t="str">
        <f aca="false">IFERROR(VLOOKUP(A247,'Pass 1 Archive'!$A:$AD,MATCH("LinkedIn Employee Count",'Pass 1 Archive'!$1:$1,0),FALSE()),"")</f>
        <v/>
      </c>
      <c r="D247" s="1" t="str">
        <f aca="false">IFERROR(VLOOKUP(A247,'company tracker'!$a:$s,MATCH("Jan 2025 Traffic",'company tracker'!$1:$1,0),FALSE()),"")</f>
        <v/>
      </c>
      <c r="E247" s="1" t="str">
        <f aca="false">IFERROR(VLOOKUP(A247,'company tracker'!$a:$s,MATCH("Jun 2026 Traffic",'company tracker'!$1:$1,0),FALSE()),"")</f>
        <v/>
      </c>
      <c r="F247" s="1" t="str">
        <f aca="false">IFERROR(VLOOKUP(A247,'company tracker'!$a:$s,MATCH("Traffic % Change",'company tracker'!$1:$1,0),FALSE()),"")</f>
        <v/>
      </c>
      <c r="G247" s="1" t="str">
        <f aca="false">IFERROR(VLOOKUP(A247,'company tracker'!$a:$s,MATCH("Jan 2025 Referring Domains",'company tracker'!$1:$1,0),FALSE()),"")</f>
        <v/>
      </c>
      <c r="H247" s="1" t="str">
        <f aca="false">IFERROR(VLOOKUP(A247,'company tracker'!$a:$s,MATCH("Jun 2026 Referring Domains",'company tracker'!$1:$1,0),FALSE()),"")</f>
        <v/>
      </c>
    </row>
    <row r="248" customFormat="false" ht="15" hidden="false" customHeight="true" outlineLevel="0" collapsed="false">
      <c r="B248" s="1" t="str">
        <f aca="false">IFERROR(VLOOKUP(A248,'company tracker'!$a:$s,MATCH("Category",'company tracker'!$1:$1,0),FALSE()),"")</f>
        <v/>
      </c>
      <c r="C248" s="1" t="str">
        <f aca="false">IFERROR(VLOOKUP(A248,'Pass 1 Archive'!$A:$AD,MATCH("LinkedIn Employee Count",'Pass 1 Archive'!$1:$1,0),FALSE()),"")</f>
        <v/>
      </c>
      <c r="D248" s="1" t="str">
        <f aca="false">IFERROR(VLOOKUP(A248,'company tracker'!$a:$s,MATCH("Jan 2025 Traffic",'company tracker'!$1:$1,0),FALSE()),"")</f>
        <v/>
      </c>
      <c r="E248" s="1" t="str">
        <f aca="false">IFERROR(VLOOKUP(A248,'company tracker'!$a:$s,MATCH("Jun 2026 Traffic",'company tracker'!$1:$1,0),FALSE()),"")</f>
        <v/>
      </c>
      <c r="F248" s="1" t="str">
        <f aca="false">IFERROR(VLOOKUP(A248,'company tracker'!$a:$s,MATCH("Traffic % Change",'company tracker'!$1:$1,0),FALSE()),"")</f>
        <v/>
      </c>
      <c r="G248" s="1" t="str">
        <f aca="false">IFERROR(VLOOKUP(A248,'company tracker'!$a:$s,MATCH("Jan 2025 Referring Domains",'company tracker'!$1:$1,0),FALSE()),"")</f>
        <v/>
      </c>
      <c r="H248" s="1" t="str">
        <f aca="false">IFERROR(VLOOKUP(A248,'company tracker'!$a:$s,MATCH("Jun 2026 Referring Domains",'company tracker'!$1:$1,0),FALSE()),"")</f>
        <v/>
      </c>
    </row>
    <row r="249" customFormat="false" ht="15" hidden="false" customHeight="true" outlineLevel="0" collapsed="false">
      <c r="B249" s="1" t="str">
        <f aca="false">IFERROR(VLOOKUP(A249,'company tracker'!$a:$s,MATCH("Category",'company tracker'!$1:$1,0),FALSE()),"")</f>
        <v/>
      </c>
      <c r="C249" s="1" t="str">
        <f aca="false">IFERROR(VLOOKUP(A249,'Pass 1 Archive'!$A:$AD,MATCH("LinkedIn Employee Count",'Pass 1 Archive'!$1:$1,0),FALSE()),"")</f>
        <v/>
      </c>
      <c r="D249" s="1" t="str">
        <f aca="false">IFERROR(VLOOKUP(A249,'company tracker'!$a:$s,MATCH("Jan 2025 Traffic",'company tracker'!$1:$1,0),FALSE()),"")</f>
        <v/>
      </c>
      <c r="E249" s="1" t="str">
        <f aca="false">IFERROR(VLOOKUP(A249,'company tracker'!$a:$s,MATCH("Jun 2026 Traffic",'company tracker'!$1:$1,0),FALSE()),"")</f>
        <v/>
      </c>
      <c r="F249" s="1" t="str">
        <f aca="false">IFERROR(VLOOKUP(A249,'company tracker'!$a:$s,MATCH("Traffic % Change",'company tracker'!$1:$1,0),FALSE()),"")</f>
        <v/>
      </c>
      <c r="G249" s="1" t="str">
        <f aca="false">IFERROR(VLOOKUP(A249,'company tracker'!$a:$s,MATCH("Jan 2025 Referring Domains",'company tracker'!$1:$1,0),FALSE()),"")</f>
        <v/>
      </c>
      <c r="H249" s="1" t="str">
        <f aca="false">IFERROR(VLOOKUP(A249,'company tracker'!$a:$s,MATCH("Jun 2026 Referring Domains",'company tracker'!$1:$1,0),FALSE()),"")</f>
        <v/>
      </c>
    </row>
    <row r="250" customFormat="false" ht="15" hidden="false" customHeight="true" outlineLevel="0" collapsed="false">
      <c r="B250" s="1" t="str">
        <f aca="false">IFERROR(VLOOKUP(A250,'company tracker'!$a:$s,MATCH("Category",'company tracker'!$1:$1,0),FALSE()),"")</f>
        <v/>
      </c>
      <c r="C250" s="1" t="str">
        <f aca="false">IFERROR(VLOOKUP(A250,'Pass 1 Archive'!$A:$AD,MATCH("LinkedIn Employee Count",'Pass 1 Archive'!$1:$1,0),FALSE()),"")</f>
        <v/>
      </c>
      <c r="D250" s="1" t="str">
        <f aca="false">IFERROR(VLOOKUP(A250,'company tracker'!$a:$s,MATCH("Jan 2025 Traffic",'company tracker'!$1:$1,0),FALSE()),"")</f>
        <v/>
      </c>
      <c r="E250" s="1" t="str">
        <f aca="false">IFERROR(VLOOKUP(A250,'company tracker'!$a:$s,MATCH("Jun 2026 Traffic",'company tracker'!$1:$1,0),FALSE()),"")</f>
        <v/>
      </c>
      <c r="F250" s="1" t="str">
        <f aca="false">IFERROR(VLOOKUP(A250,'company tracker'!$a:$s,MATCH("Traffic % Change",'company tracker'!$1:$1,0),FALSE()),"")</f>
        <v/>
      </c>
      <c r="G250" s="1" t="str">
        <f aca="false">IFERROR(VLOOKUP(A250,'company tracker'!$a:$s,MATCH("Jan 2025 Referring Domains",'company tracker'!$1:$1,0),FALSE()),"")</f>
        <v/>
      </c>
      <c r="H250" s="1" t="str">
        <f aca="false">IFERROR(VLOOKUP(A250,'company tracker'!$a:$s,MATCH("Jun 2026 Referring Domains",'company tracker'!$1:$1,0),FALSE()),"")</f>
        <v/>
      </c>
    </row>
    <row r="251" customFormat="false" ht="15" hidden="false" customHeight="true" outlineLevel="0" collapsed="false">
      <c r="B251" s="1" t="str">
        <f aca="false">IFERROR(VLOOKUP(A251,'company tracker'!$a:$s,MATCH("Category",'company tracker'!$1:$1,0),FALSE()),"")</f>
        <v/>
      </c>
      <c r="C251" s="1" t="str">
        <f aca="false">IFERROR(VLOOKUP(A251,'Pass 1 Archive'!$A:$AD,MATCH("LinkedIn Employee Count",'Pass 1 Archive'!$1:$1,0),FALSE()),"")</f>
        <v/>
      </c>
      <c r="D251" s="1" t="str">
        <f aca="false">IFERROR(VLOOKUP(A251,'company tracker'!$a:$s,MATCH("Jan 2025 Traffic",'company tracker'!$1:$1,0),FALSE()),"")</f>
        <v/>
      </c>
      <c r="E251" s="1" t="str">
        <f aca="false">IFERROR(VLOOKUP(A251,'company tracker'!$a:$s,MATCH("Jun 2026 Traffic",'company tracker'!$1:$1,0),FALSE()),"")</f>
        <v/>
      </c>
      <c r="F251" s="1" t="str">
        <f aca="false">IFERROR(VLOOKUP(A251,'company tracker'!$a:$s,MATCH("Traffic % Change",'company tracker'!$1:$1,0),FALSE()),"")</f>
        <v/>
      </c>
      <c r="G251" s="1" t="str">
        <f aca="false">IFERROR(VLOOKUP(A251,'company tracker'!$a:$s,MATCH("Jan 2025 Referring Domains",'company tracker'!$1:$1,0),FALSE()),"")</f>
        <v/>
      </c>
      <c r="H251" s="1" t="str">
        <f aca="false">IFERROR(VLOOKUP(A251,'company tracker'!$a:$s,MATCH("Jun 2026 Referring Domains",'company tracker'!$1:$1,0),FALSE()),"")</f>
        <v/>
      </c>
    </row>
    <row r="252" customFormat="false" ht="15" hidden="false" customHeight="true" outlineLevel="0" collapsed="false">
      <c r="B252" s="1" t="str">
        <f aca="false">IFERROR(VLOOKUP(A252,'company tracker'!$a:$s,MATCH("Category",'company tracker'!$1:$1,0),FALSE()),"")</f>
        <v/>
      </c>
      <c r="C252" s="1" t="str">
        <f aca="false">IFERROR(VLOOKUP(A252,'Pass 1 Archive'!$A:$AD,MATCH("LinkedIn Employee Count",'Pass 1 Archive'!$1:$1,0),FALSE()),"")</f>
        <v/>
      </c>
      <c r="D252" s="1" t="str">
        <f aca="false">IFERROR(VLOOKUP(A252,'company tracker'!$a:$s,MATCH("Jan 2025 Traffic",'company tracker'!$1:$1,0),FALSE()),"")</f>
        <v/>
      </c>
      <c r="E252" s="1" t="str">
        <f aca="false">IFERROR(VLOOKUP(A252,'company tracker'!$a:$s,MATCH("Jun 2026 Traffic",'company tracker'!$1:$1,0),FALSE()),"")</f>
        <v/>
      </c>
      <c r="F252" s="1" t="str">
        <f aca="false">IFERROR(VLOOKUP(A252,'company tracker'!$a:$s,MATCH("Traffic % Change",'company tracker'!$1:$1,0),FALSE()),"")</f>
        <v/>
      </c>
      <c r="G252" s="1" t="str">
        <f aca="false">IFERROR(VLOOKUP(A252,'company tracker'!$a:$s,MATCH("Jan 2025 Referring Domains",'company tracker'!$1:$1,0),FALSE()),"")</f>
        <v/>
      </c>
      <c r="H252" s="1" t="str">
        <f aca="false">IFERROR(VLOOKUP(A252,'company tracker'!$a:$s,MATCH("Jun 2026 Referring Domains",'company tracker'!$1:$1,0),FALSE()),"")</f>
        <v/>
      </c>
    </row>
    <row r="253" customFormat="false" ht="15" hidden="false" customHeight="true" outlineLevel="0" collapsed="false">
      <c r="B253" s="1" t="str">
        <f aca="false">IFERROR(VLOOKUP(A253,'company tracker'!$a:$s,MATCH("Category",'company tracker'!$1:$1,0),FALSE()),"")</f>
        <v/>
      </c>
      <c r="C253" s="1" t="str">
        <f aca="false">IFERROR(VLOOKUP(A253,'Pass 1 Archive'!$A:$AD,MATCH("LinkedIn Employee Count",'Pass 1 Archive'!$1:$1,0),FALSE()),"")</f>
        <v/>
      </c>
      <c r="D253" s="1" t="str">
        <f aca="false">IFERROR(VLOOKUP(A253,'company tracker'!$a:$s,MATCH("Jan 2025 Traffic",'company tracker'!$1:$1,0),FALSE()),"")</f>
        <v/>
      </c>
      <c r="E253" s="1" t="str">
        <f aca="false">IFERROR(VLOOKUP(A253,'company tracker'!$a:$s,MATCH("Jun 2026 Traffic",'company tracker'!$1:$1,0),FALSE()),"")</f>
        <v/>
      </c>
      <c r="F253" s="1" t="str">
        <f aca="false">IFERROR(VLOOKUP(A253,'company tracker'!$a:$s,MATCH("Traffic % Change",'company tracker'!$1:$1,0),FALSE()),"")</f>
        <v/>
      </c>
      <c r="G253" s="1" t="str">
        <f aca="false">IFERROR(VLOOKUP(A253,'company tracker'!$a:$s,MATCH("Jan 2025 Referring Domains",'company tracker'!$1:$1,0),FALSE()),"")</f>
        <v/>
      </c>
      <c r="H253" s="1" t="str">
        <f aca="false">IFERROR(VLOOKUP(A253,'company tracker'!$a:$s,MATCH("Jun 2026 Referring Domains",'company tracker'!$1:$1,0),FALSE()),"")</f>
        <v/>
      </c>
    </row>
    <row r="254" customFormat="false" ht="15" hidden="false" customHeight="true" outlineLevel="0" collapsed="false">
      <c r="B254" s="1" t="str">
        <f aca="false">IFERROR(VLOOKUP(A254,'company tracker'!$a:$s,MATCH("Category",'company tracker'!$1:$1,0),FALSE()),"")</f>
        <v/>
      </c>
      <c r="C254" s="1" t="str">
        <f aca="false">IFERROR(VLOOKUP(A254,'Pass 1 Archive'!$A:$AD,MATCH("LinkedIn Employee Count",'Pass 1 Archive'!$1:$1,0),FALSE()),"")</f>
        <v/>
      </c>
      <c r="D254" s="1" t="str">
        <f aca="false">IFERROR(VLOOKUP(A254,'company tracker'!$a:$s,MATCH("Jan 2025 Traffic",'company tracker'!$1:$1,0),FALSE()),"")</f>
        <v/>
      </c>
      <c r="E254" s="1" t="str">
        <f aca="false">IFERROR(VLOOKUP(A254,'company tracker'!$a:$s,MATCH("Jun 2026 Traffic",'company tracker'!$1:$1,0),FALSE()),"")</f>
        <v/>
      </c>
      <c r="F254" s="1" t="str">
        <f aca="false">IFERROR(VLOOKUP(A254,'company tracker'!$a:$s,MATCH("Traffic % Change",'company tracker'!$1:$1,0),FALSE()),"")</f>
        <v/>
      </c>
      <c r="G254" s="1" t="str">
        <f aca="false">IFERROR(VLOOKUP(A254,'company tracker'!$a:$s,MATCH("Jan 2025 Referring Domains",'company tracker'!$1:$1,0),FALSE()),"")</f>
        <v/>
      </c>
      <c r="H254" s="1" t="str">
        <f aca="false">IFERROR(VLOOKUP(A254,'company tracker'!$a:$s,MATCH("Jun 2026 Referring Domains",'company tracker'!$1:$1,0),FALSE()),"")</f>
        <v/>
      </c>
    </row>
    <row r="255" customFormat="false" ht="15" hidden="false" customHeight="true" outlineLevel="0" collapsed="false">
      <c r="B255" s="1" t="str">
        <f aca="false">IFERROR(VLOOKUP(A255,'company tracker'!$a:$s,MATCH("Category",'company tracker'!$1:$1,0),FALSE()),"")</f>
        <v/>
      </c>
      <c r="C255" s="1" t="str">
        <f aca="false">IFERROR(VLOOKUP(A255,'Pass 1 Archive'!$A:$AD,MATCH("LinkedIn Employee Count",'Pass 1 Archive'!$1:$1,0),FALSE()),"")</f>
        <v/>
      </c>
      <c r="D255" s="1" t="str">
        <f aca="false">IFERROR(VLOOKUP(A255,'company tracker'!$a:$s,MATCH("Jan 2025 Traffic",'company tracker'!$1:$1,0),FALSE()),"")</f>
        <v/>
      </c>
      <c r="E255" s="1" t="str">
        <f aca="false">IFERROR(VLOOKUP(A255,'company tracker'!$a:$s,MATCH("Jun 2026 Traffic",'company tracker'!$1:$1,0),FALSE()),"")</f>
        <v/>
      </c>
      <c r="F255" s="1" t="str">
        <f aca="false">IFERROR(VLOOKUP(A255,'company tracker'!$a:$s,MATCH("Traffic % Change",'company tracker'!$1:$1,0),FALSE()),"")</f>
        <v/>
      </c>
      <c r="G255" s="1" t="str">
        <f aca="false">IFERROR(VLOOKUP(A255,'company tracker'!$a:$s,MATCH("Jan 2025 Referring Domains",'company tracker'!$1:$1,0),FALSE()),"")</f>
        <v/>
      </c>
      <c r="H255" s="1" t="str">
        <f aca="false">IFERROR(VLOOKUP(A255,'company tracker'!$a:$s,MATCH("Jun 2026 Referring Domains",'company tracker'!$1:$1,0),FALSE()),"")</f>
        <v/>
      </c>
    </row>
    <row r="256" customFormat="false" ht="15" hidden="false" customHeight="true" outlineLevel="0" collapsed="false">
      <c r="B256" s="1" t="str">
        <f aca="false">IFERROR(VLOOKUP(A256,'company tracker'!$a:$s,MATCH("Category",'company tracker'!$1:$1,0),FALSE()),"")</f>
        <v/>
      </c>
      <c r="C256" s="1" t="str">
        <f aca="false">IFERROR(VLOOKUP(A256,'Pass 1 Archive'!$A:$AD,MATCH("LinkedIn Employee Count",'Pass 1 Archive'!$1:$1,0),FALSE()),"")</f>
        <v/>
      </c>
      <c r="D256" s="1" t="str">
        <f aca="false">IFERROR(VLOOKUP(A256,'company tracker'!$a:$s,MATCH("Jan 2025 Traffic",'company tracker'!$1:$1,0),FALSE()),"")</f>
        <v/>
      </c>
      <c r="E256" s="1" t="str">
        <f aca="false">IFERROR(VLOOKUP(A256,'company tracker'!$a:$s,MATCH("Jun 2026 Traffic",'company tracker'!$1:$1,0),FALSE()),"")</f>
        <v/>
      </c>
      <c r="F256" s="1" t="str">
        <f aca="false">IFERROR(VLOOKUP(A256,'company tracker'!$a:$s,MATCH("Traffic % Change",'company tracker'!$1:$1,0),FALSE()),"")</f>
        <v/>
      </c>
      <c r="G256" s="1" t="str">
        <f aca="false">IFERROR(VLOOKUP(A256,'company tracker'!$a:$s,MATCH("Jan 2025 Referring Domains",'company tracker'!$1:$1,0),FALSE()),"")</f>
        <v/>
      </c>
      <c r="H256" s="1" t="str">
        <f aca="false">IFERROR(VLOOKUP(A256,'company tracker'!$a:$s,MATCH("Jun 2026 Referring Domains",'company tracker'!$1:$1,0),FALSE()),"")</f>
        <v/>
      </c>
    </row>
    <row r="257" customFormat="false" ht="15" hidden="false" customHeight="true" outlineLevel="0" collapsed="false">
      <c r="B257" s="1" t="str">
        <f aca="false">IFERROR(VLOOKUP(A257,'company tracker'!$a:$s,MATCH("Category",'company tracker'!$1:$1,0),FALSE()),"")</f>
        <v/>
      </c>
      <c r="C257" s="1" t="str">
        <f aca="false">IFERROR(VLOOKUP(A257,'Pass 1 Archive'!$A:$AD,MATCH("LinkedIn Employee Count",'Pass 1 Archive'!$1:$1,0),FALSE()),"")</f>
        <v/>
      </c>
      <c r="D257" s="1" t="str">
        <f aca="false">IFERROR(VLOOKUP(A257,'company tracker'!$a:$s,MATCH("Jan 2025 Traffic",'company tracker'!$1:$1,0),FALSE()),"")</f>
        <v/>
      </c>
      <c r="E257" s="1" t="str">
        <f aca="false">IFERROR(VLOOKUP(A257,'company tracker'!$a:$s,MATCH("Jun 2026 Traffic",'company tracker'!$1:$1,0),FALSE()),"")</f>
        <v/>
      </c>
      <c r="F257" s="1" t="str">
        <f aca="false">IFERROR(VLOOKUP(A257,'company tracker'!$a:$s,MATCH("Traffic % Change",'company tracker'!$1:$1,0),FALSE()),"")</f>
        <v/>
      </c>
      <c r="G257" s="1" t="str">
        <f aca="false">IFERROR(VLOOKUP(A257,'company tracker'!$a:$s,MATCH("Jan 2025 Referring Domains",'company tracker'!$1:$1,0),FALSE()),"")</f>
        <v/>
      </c>
      <c r="H257" s="1" t="str">
        <f aca="false">IFERROR(VLOOKUP(A257,'company tracker'!$a:$s,MATCH("Jun 2026 Referring Domains",'company tracker'!$1:$1,0),FALSE()),"")</f>
        <v/>
      </c>
    </row>
    <row r="258" customFormat="false" ht="15" hidden="false" customHeight="true" outlineLevel="0" collapsed="false">
      <c r="B258" s="1" t="str">
        <f aca="false">IFERROR(VLOOKUP(A258,'company tracker'!$a:$s,MATCH("Category",'company tracker'!$1:$1,0),FALSE()),"")</f>
        <v/>
      </c>
      <c r="C258" s="1" t="str">
        <f aca="false">IFERROR(VLOOKUP(A258,'Pass 1 Archive'!$A:$AD,MATCH("LinkedIn Employee Count",'Pass 1 Archive'!$1:$1,0),FALSE()),"")</f>
        <v/>
      </c>
      <c r="D258" s="1" t="str">
        <f aca="false">IFERROR(VLOOKUP(A258,'company tracker'!$a:$s,MATCH("Jan 2025 Traffic",'company tracker'!$1:$1,0),FALSE()),"")</f>
        <v/>
      </c>
      <c r="E258" s="1" t="str">
        <f aca="false">IFERROR(VLOOKUP(A258,'company tracker'!$a:$s,MATCH("Jun 2026 Traffic",'company tracker'!$1:$1,0),FALSE()),"")</f>
        <v/>
      </c>
      <c r="F258" s="1" t="str">
        <f aca="false">IFERROR(VLOOKUP(A258,'company tracker'!$a:$s,MATCH("Traffic % Change",'company tracker'!$1:$1,0),FALSE()),"")</f>
        <v/>
      </c>
      <c r="G258" s="1" t="str">
        <f aca="false">IFERROR(VLOOKUP(A258,'company tracker'!$a:$s,MATCH("Jan 2025 Referring Domains",'company tracker'!$1:$1,0),FALSE()),"")</f>
        <v/>
      </c>
      <c r="H258" s="1" t="str">
        <f aca="false">IFERROR(VLOOKUP(A258,'company tracker'!$a:$s,MATCH("Jun 2026 Referring Domains",'company tracker'!$1:$1,0),FALSE()),"")</f>
        <v/>
      </c>
    </row>
    <row r="259" customFormat="false" ht="15" hidden="false" customHeight="true" outlineLevel="0" collapsed="false">
      <c r="B259" s="1" t="str">
        <f aca="false">IFERROR(VLOOKUP(A259,'company tracker'!$a:$s,MATCH("Category",'company tracker'!$1:$1,0),FALSE()),"")</f>
        <v/>
      </c>
      <c r="C259" s="1" t="str">
        <f aca="false">IFERROR(VLOOKUP(A259,'Pass 1 Archive'!$A:$AD,MATCH("LinkedIn Employee Count",'Pass 1 Archive'!$1:$1,0),FALSE()),"")</f>
        <v/>
      </c>
      <c r="D259" s="1" t="str">
        <f aca="false">IFERROR(VLOOKUP(A259,'company tracker'!$a:$s,MATCH("Jan 2025 Traffic",'company tracker'!$1:$1,0),FALSE()),"")</f>
        <v/>
      </c>
      <c r="E259" s="1" t="str">
        <f aca="false">IFERROR(VLOOKUP(A259,'company tracker'!$a:$s,MATCH("Jun 2026 Traffic",'company tracker'!$1:$1,0),FALSE()),"")</f>
        <v/>
      </c>
      <c r="F259" s="1" t="str">
        <f aca="false">IFERROR(VLOOKUP(A259,'company tracker'!$a:$s,MATCH("Traffic % Change",'company tracker'!$1:$1,0),FALSE()),"")</f>
        <v/>
      </c>
      <c r="G259" s="1" t="str">
        <f aca="false">IFERROR(VLOOKUP(A259,'company tracker'!$a:$s,MATCH("Jan 2025 Referring Domains",'company tracker'!$1:$1,0),FALSE()),"")</f>
        <v/>
      </c>
      <c r="H259" s="1" t="str">
        <f aca="false">IFERROR(VLOOKUP(A259,'company tracker'!$a:$s,MATCH("Jun 2026 Referring Domains",'company tracker'!$1:$1,0),FALSE()),"")</f>
        <v/>
      </c>
    </row>
    <row r="260" customFormat="false" ht="15" hidden="false" customHeight="true" outlineLevel="0" collapsed="false">
      <c r="B260" s="1" t="str">
        <f aca="false">IFERROR(VLOOKUP(A260,'company tracker'!$a:$s,MATCH("Category",'company tracker'!$1:$1,0),FALSE()),"")</f>
        <v/>
      </c>
      <c r="C260" s="1" t="str">
        <f aca="false">IFERROR(VLOOKUP(A260,'Pass 1 Archive'!$A:$AD,MATCH("LinkedIn Employee Count",'Pass 1 Archive'!$1:$1,0),FALSE()),"")</f>
        <v/>
      </c>
      <c r="D260" s="1" t="str">
        <f aca="false">IFERROR(VLOOKUP(A260,'company tracker'!$a:$s,MATCH("Jan 2025 Traffic",'company tracker'!$1:$1,0),FALSE()),"")</f>
        <v/>
      </c>
      <c r="E260" s="1" t="str">
        <f aca="false">IFERROR(VLOOKUP(A260,'company tracker'!$a:$s,MATCH("Jun 2026 Traffic",'company tracker'!$1:$1,0),FALSE()),"")</f>
        <v/>
      </c>
      <c r="F260" s="1" t="str">
        <f aca="false">IFERROR(VLOOKUP(A260,'company tracker'!$a:$s,MATCH("Traffic % Change",'company tracker'!$1:$1,0),FALSE()),"")</f>
        <v/>
      </c>
      <c r="G260" s="1" t="str">
        <f aca="false">IFERROR(VLOOKUP(A260,'company tracker'!$a:$s,MATCH("Jan 2025 Referring Domains",'company tracker'!$1:$1,0),FALSE()),"")</f>
        <v/>
      </c>
      <c r="H260" s="1" t="str">
        <f aca="false">IFERROR(VLOOKUP(A260,'company tracker'!$a:$s,MATCH("Jun 2026 Referring Domains",'company tracker'!$1:$1,0),FALSE()),"")</f>
        <v/>
      </c>
    </row>
    <row r="261" customFormat="false" ht="15" hidden="false" customHeight="true" outlineLevel="0" collapsed="false">
      <c r="B261" s="1" t="str">
        <f aca="false">IFERROR(VLOOKUP(A261,'company tracker'!$a:$s,MATCH("Category",'company tracker'!$1:$1,0),FALSE()),"")</f>
        <v/>
      </c>
      <c r="C261" s="1" t="str">
        <f aca="false">IFERROR(VLOOKUP(A261,'Pass 1 Archive'!$A:$AD,MATCH("LinkedIn Employee Count",'Pass 1 Archive'!$1:$1,0),FALSE()),"")</f>
        <v/>
      </c>
      <c r="D261" s="1" t="str">
        <f aca="false">IFERROR(VLOOKUP(A261,'company tracker'!$a:$s,MATCH("Jan 2025 Traffic",'company tracker'!$1:$1,0),FALSE()),"")</f>
        <v/>
      </c>
      <c r="E261" s="1" t="str">
        <f aca="false">IFERROR(VLOOKUP(A261,'company tracker'!$a:$s,MATCH("Jun 2026 Traffic",'company tracker'!$1:$1,0),FALSE()),"")</f>
        <v/>
      </c>
      <c r="F261" s="1" t="str">
        <f aca="false">IFERROR(VLOOKUP(A261,'company tracker'!$a:$s,MATCH("Traffic % Change",'company tracker'!$1:$1,0),FALSE()),"")</f>
        <v/>
      </c>
      <c r="G261" s="1" t="str">
        <f aca="false">IFERROR(VLOOKUP(A261,'company tracker'!$a:$s,MATCH("Jan 2025 Referring Domains",'company tracker'!$1:$1,0),FALSE()),"")</f>
        <v/>
      </c>
      <c r="H261" s="1" t="str">
        <f aca="false">IFERROR(VLOOKUP(A261,'company tracker'!$a:$s,MATCH("Jun 2026 Referring Domains",'company tracker'!$1:$1,0),FALSE()),"")</f>
        <v/>
      </c>
    </row>
    <row r="262" customFormat="false" ht="15" hidden="false" customHeight="true" outlineLevel="0" collapsed="false">
      <c r="B262" s="1" t="str">
        <f aca="false">IFERROR(VLOOKUP(A262,'company tracker'!$a:$s,MATCH("Category",'company tracker'!$1:$1,0),FALSE()),"")</f>
        <v/>
      </c>
      <c r="C262" s="1" t="str">
        <f aca="false">IFERROR(VLOOKUP(A262,'Pass 1 Archive'!$A:$AD,MATCH("LinkedIn Employee Count",'Pass 1 Archive'!$1:$1,0),FALSE()),"")</f>
        <v/>
      </c>
      <c r="D262" s="1" t="str">
        <f aca="false">IFERROR(VLOOKUP(A262,'company tracker'!$a:$s,MATCH("Jan 2025 Traffic",'company tracker'!$1:$1,0),FALSE()),"")</f>
        <v/>
      </c>
      <c r="E262" s="1" t="str">
        <f aca="false">IFERROR(VLOOKUP(A262,'company tracker'!$a:$s,MATCH("Jun 2026 Traffic",'company tracker'!$1:$1,0),FALSE()),"")</f>
        <v/>
      </c>
      <c r="F262" s="1" t="str">
        <f aca="false">IFERROR(VLOOKUP(A262,'company tracker'!$a:$s,MATCH("Traffic % Change",'company tracker'!$1:$1,0),FALSE()),"")</f>
        <v/>
      </c>
      <c r="G262" s="1" t="str">
        <f aca="false">IFERROR(VLOOKUP(A262,'company tracker'!$a:$s,MATCH("Jan 2025 Referring Domains",'company tracker'!$1:$1,0),FALSE()),"")</f>
        <v/>
      </c>
      <c r="H262" s="1" t="str">
        <f aca="false">IFERROR(VLOOKUP(A262,'company tracker'!$a:$s,MATCH("Jun 2026 Referring Domains",'company tracker'!$1:$1,0),FALSE()),"")</f>
        <v/>
      </c>
    </row>
    <row r="263" customFormat="false" ht="15" hidden="false" customHeight="true" outlineLevel="0" collapsed="false">
      <c r="B263" s="1" t="str">
        <f aca="false">IFERROR(VLOOKUP(A263,'company tracker'!$a:$s,MATCH("Category",'company tracker'!$1:$1,0),FALSE()),"")</f>
        <v/>
      </c>
      <c r="C263" s="1" t="str">
        <f aca="false">IFERROR(VLOOKUP(A263,'Pass 1 Archive'!$A:$AD,MATCH("LinkedIn Employee Count",'Pass 1 Archive'!$1:$1,0),FALSE()),"")</f>
        <v/>
      </c>
      <c r="D263" s="1" t="str">
        <f aca="false">IFERROR(VLOOKUP(A263,'company tracker'!$a:$s,MATCH("Jan 2025 Traffic",'company tracker'!$1:$1,0),FALSE()),"")</f>
        <v/>
      </c>
      <c r="E263" s="1" t="str">
        <f aca="false">IFERROR(VLOOKUP(A263,'company tracker'!$a:$s,MATCH("Jun 2026 Traffic",'company tracker'!$1:$1,0),FALSE()),"")</f>
        <v/>
      </c>
      <c r="F263" s="1" t="str">
        <f aca="false">IFERROR(VLOOKUP(A263,'company tracker'!$a:$s,MATCH("Traffic % Change",'company tracker'!$1:$1,0),FALSE()),"")</f>
        <v/>
      </c>
      <c r="G263" s="1" t="str">
        <f aca="false">IFERROR(VLOOKUP(A263,'company tracker'!$a:$s,MATCH("Jan 2025 Referring Domains",'company tracker'!$1:$1,0),FALSE()),"")</f>
        <v/>
      </c>
      <c r="H263" s="1" t="str">
        <f aca="false">IFERROR(VLOOKUP(A263,'company tracker'!$a:$s,MATCH("Jun 2026 Referring Domains",'company tracker'!$1:$1,0),FALSE()),"")</f>
        <v/>
      </c>
    </row>
    <row r="264" customFormat="false" ht="15" hidden="false" customHeight="true" outlineLevel="0" collapsed="false">
      <c r="B264" s="1" t="str">
        <f aca="false">IFERROR(VLOOKUP(A264,'company tracker'!$a:$s,MATCH("Category",'company tracker'!$1:$1,0),FALSE()),"")</f>
        <v/>
      </c>
      <c r="C264" s="1" t="str">
        <f aca="false">IFERROR(VLOOKUP(A264,'Pass 1 Archive'!$A:$AD,MATCH("LinkedIn Employee Count",'Pass 1 Archive'!$1:$1,0),FALSE()),"")</f>
        <v/>
      </c>
      <c r="D264" s="1" t="str">
        <f aca="false">IFERROR(VLOOKUP(A264,'company tracker'!$a:$s,MATCH("Jan 2025 Traffic",'company tracker'!$1:$1,0),FALSE()),"")</f>
        <v/>
      </c>
      <c r="E264" s="1" t="str">
        <f aca="false">IFERROR(VLOOKUP(A264,'company tracker'!$a:$s,MATCH("Jun 2026 Traffic",'company tracker'!$1:$1,0),FALSE()),"")</f>
        <v/>
      </c>
      <c r="F264" s="1" t="str">
        <f aca="false">IFERROR(VLOOKUP(A264,'company tracker'!$a:$s,MATCH("Traffic % Change",'company tracker'!$1:$1,0),FALSE()),"")</f>
        <v/>
      </c>
      <c r="G264" s="1" t="str">
        <f aca="false">IFERROR(VLOOKUP(A264,'company tracker'!$a:$s,MATCH("Jan 2025 Referring Domains",'company tracker'!$1:$1,0),FALSE()),"")</f>
        <v/>
      </c>
      <c r="H264" s="1" t="str">
        <f aca="false">IFERROR(VLOOKUP(A264,'company tracker'!$a:$s,MATCH("Jun 2026 Referring Domains",'company tracker'!$1:$1,0),FALSE()),"")</f>
        <v/>
      </c>
    </row>
    <row r="265" customFormat="false" ht="15" hidden="false" customHeight="true" outlineLevel="0" collapsed="false">
      <c r="B265" s="1" t="str">
        <f aca="false">IFERROR(VLOOKUP(A265,'company tracker'!$a:$s,MATCH("Category",'company tracker'!$1:$1,0),FALSE()),"")</f>
        <v/>
      </c>
      <c r="C265" s="1" t="str">
        <f aca="false">IFERROR(VLOOKUP(A265,'Pass 1 Archive'!$A:$AD,MATCH("LinkedIn Employee Count",'Pass 1 Archive'!$1:$1,0),FALSE()),"")</f>
        <v/>
      </c>
      <c r="D265" s="1" t="str">
        <f aca="false">IFERROR(VLOOKUP(A265,'company tracker'!$a:$s,MATCH("Jan 2025 Traffic",'company tracker'!$1:$1,0),FALSE()),"")</f>
        <v/>
      </c>
      <c r="E265" s="1" t="str">
        <f aca="false">IFERROR(VLOOKUP(A265,'company tracker'!$a:$s,MATCH("Jun 2026 Traffic",'company tracker'!$1:$1,0),FALSE()),"")</f>
        <v/>
      </c>
      <c r="F265" s="1" t="str">
        <f aca="false">IFERROR(VLOOKUP(A265,'company tracker'!$a:$s,MATCH("Traffic % Change",'company tracker'!$1:$1,0),FALSE()),"")</f>
        <v/>
      </c>
      <c r="G265" s="1" t="str">
        <f aca="false">IFERROR(VLOOKUP(A265,'company tracker'!$a:$s,MATCH("Jan 2025 Referring Domains",'company tracker'!$1:$1,0),FALSE()),"")</f>
        <v/>
      </c>
      <c r="H265" s="1" t="str">
        <f aca="false">IFERROR(VLOOKUP(A265,'company tracker'!$a:$s,MATCH("Jun 2026 Referring Domains",'company tracker'!$1:$1,0),FALSE()),"")</f>
        <v/>
      </c>
    </row>
    <row r="266" customFormat="false" ht="15" hidden="false" customHeight="true" outlineLevel="0" collapsed="false">
      <c r="B266" s="1" t="str">
        <f aca="false">IFERROR(VLOOKUP(A266,'company tracker'!$a:$s,MATCH("Category",'company tracker'!$1:$1,0),FALSE()),"")</f>
        <v/>
      </c>
      <c r="C266" s="1" t="str">
        <f aca="false">IFERROR(VLOOKUP(A266,'Pass 1 Archive'!$A:$AD,MATCH("LinkedIn Employee Count",'Pass 1 Archive'!$1:$1,0),FALSE()),"")</f>
        <v/>
      </c>
      <c r="D266" s="1" t="str">
        <f aca="false">IFERROR(VLOOKUP(A266,'company tracker'!$a:$s,MATCH("Jan 2025 Traffic",'company tracker'!$1:$1,0),FALSE()),"")</f>
        <v/>
      </c>
      <c r="E266" s="1" t="str">
        <f aca="false">IFERROR(VLOOKUP(A266,'company tracker'!$a:$s,MATCH("Jun 2026 Traffic",'company tracker'!$1:$1,0),FALSE()),"")</f>
        <v/>
      </c>
      <c r="F266" s="1" t="str">
        <f aca="false">IFERROR(VLOOKUP(A266,'company tracker'!$a:$s,MATCH("Traffic % Change",'company tracker'!$1:$1,0),FALSE()),"")</f>
        <v/>
      </c>
      <c r="G266" s="1" t="str">
        <f aca="false">IFERROR(VLOOKUP(A266,'company tracker'!$a:$s,MATCH("Jan 2025 Referring Domains",'company tracker'!$1:$1,0),FALSE()),"")</f>
        <v/>
      </c>
      <c r="H266" s="1" t="str">
        <f aca="false">IFERROR(VLOOKUP(A266,'company tracker'!$a:$s,MATCH("Jun 2026 Referring Domains",'company tracker'!$1:$1,0),FALSE()),"")</f>
        <v/>
      </c>
    </row>
    <row r="267" customFormat="false" ht="15" hidden="false" customHeight="true" outlineLevel="0" collapsed="false">
      <c r="B267" s="1" t="str">
        <f aca="false">IFERROR(VLOOKUP(A267,'company tracker'!$a:$s,MATCH("Category",'company tracker'!$1:$1,0),FALSE()),"")</f>
        <v/>
      </c>
      <c r="C267" s="1" t="str">
        <f aca="false">IFERROR(VLOOKUP(A267,'Pass 1 Archive'!$A:$AD,MATCH("LinkedIn Employee Count",'Pass 1 Archive'!$1:$1,0),FALSE()),"")</f>
        <v/>
      </c>
      <c r="D267" s="1" t="str">
        <f aca="false">IFERROR(VLOOKUP(A267,'company tracker'!$a:$s,MATCH("Jan 2025 Traffic",'company tracker'!$1:$1,0),FALSE()),"")</f>
        <v/>
      </c>
      <c r="E267" s="1" t="str">
        <f aca="false">IFERROR(VLOOKUP(A267,'company tracker'!$a:$s,MATCH("Jun 2026 Traffic",'company tracker'!$1:$1,0),FALSE()),"")</f>
        <v/>
      </c>
      <c r="F267" s="1" t="str">
        <f aca="false">IFERROR(VLOOKUP(A267,'company tracker'!$a:$s,MATCH("Traffic % Change",'company tracker'!$1:$1,0),FALSE()),"")</f>
        <v/>
      </c>
      <c r="G267" s="1" t="str">
        <f aca="false">IFERROR(VLOOKUP(A267,'company tracker'!$a:$s,MATCH("Jan 2025 Referring Domains",'company tracker'!$1:$1,0),FALSE()),"")</f>
        <v/>
      </c>
      <c r="H267" s="1" t="str">
        <f aca="false">IFERROR(VLOOKUP(A267,'company tracker'!$a:$s,MATCH("Jun 2026 Referring Domains",'company tracker'!$1:$1,0),FALSE()),"")</f>
        <v/>
      </c>
    </row>
    <row r="268" customFormat="false" ht="15" hidden="false" customHeight="true" outlineLevel="0" collapsed="false">
      <c r="B268" s="1" t="str">
        <f aca="false">IFERROR(VLOOKUP(A268,'company tracker'!$a:$s,MATCH("Category",'company tracker'!$1:$1,0),FALSE()),"")</f>
        <v/>
      </c>
      <c r="C268" s="1" t="str">
        <f aca="false">IFERROR(VLOOKUP(A268,'Pass 1 Archive'!$A:$AD,MATCH("LinkedIn Employee Count",'Pass 1 Archive'!$1:$1,0),FALSE()),"")</f>
        <v/>
      </c>
      <c r="D268" s="1" t="str">
        <f aca="false">IFERROR(VLOOKUP(A268,'company tracker'!$a:$s,MATCH("Jan 2025 Traffic",'company tracker'!$1:$1,0),FALSE()),"")</f>
        <v/>
      </c>
      <c r="E268" s="1" t="str">
        <f aca="false">IFERROR(VLOOKUP(A268,'company tracker'!$a:$s,MATCH("Jun 2026 Traffic",'company tracker'!$1:$1,0),FALSE()),"")</f>
        <v/>
      </c>
      <c r="F268" s="1" t="str">
        <f aca="false">IFERROR(VLOOKUP(A268,'company tracker'!$a:$s,MATCH("Traffic % Change",'company tracker'!$1:$1,0),FALSE()),"")</f>
        <v/>
      </c>
      <c r="G268" s="1" t="str">
        <f aca="false">IFERROR(VLOOKUP(A268,'company tracker'!$a:$s,MATCH("Jan 2025 Referring Domains",'company tracker'!$1:$1,0),FALSE()),"")</f>
        <v/>
      </c>
      <c r="H268" s="1" t="str">
        <f aca="false">IFERROR(VLOOKUP(A268,'company tracker'!$a:$s,MATCH("Jun 2026 Referring Domains",'company tracker'!$1:$1,0),FALSE()),"")</f>
        <v/>
      </c>
    </row>
    <row r="269" customFormat="false" ht="15" hidden="false" customHeight="true" outlineLevel="0" collapsed="false">
      <c r="B269" s="1" t="str">
        <f aca="false">IFERROR(VLOOKUP(A269,'company tracker'!$a:$s,MATCH("Category",'company tracker'!$1:$1,0),FALSE()),"")</f>
        <v/>
      </c>
      <c r="C269" s="1" t="str">
        <f aca="false">IFERROR(VLOOKUP(A269,'Pass 1 Archive'!$A:$AD,MATCH("LinkedIn Employee Count",'Pass 1 Archive'!$1:$1,0),FALSE()),"")</f>
        <v/>
      </c>
      <c r="D269" s="1" t="str">
        <f aca="false">IFERROR(VLOOKUP(A269,'company tracker'!$a:$s,MATCH("Jan 2025 Traffic",'company tracker'!$1:$1,0),FALSE()),"")</f>
        <v/>
      </c>
      <c r="E269" s="1" t="str">
        <f aca="false">IFERROR(VLOOKUP(A269,'company tracker'!$a:$s,MATCH("Jun 2026 Traffic",'company tracker'!$1:$1,0),FALSE()),"")</f>
        <v/>
      </c>
      <c r="F269" s="1" t="str">
        <f aca="false">IFERROR(VLOOKUP(A269,'company tracker'!$a:$s,MATCH("Traffic % Change",'company tracker'!$1:$1,0),FALSE()),"")</f>
        <v/>
      </c>
      <c r="G269" s="1" t="str">
        <f aca="false">IFERROR(VLOOKUP(A269,'company tracker'!$a:$s,MATCH("Jan 2025 Referring Domains",'company tracker'!$1:$1,0),FALSE()),"")</f>
        <v/>
      </c>
      <c r="H269" s="1" t="str">
        <f aca="false">IFERROR(VLOOKUP(A269,'company tracker'!$a:$s,MATCH("Jun 2026 Referring Domains",'company tracker'!$1:$1,0),FALSE()),"")</f>
        <v/>
      </c>
    </row>
    <row r="270" customFormat="false" ht="15" hidden="false" customHeight="true" outlineLevel="0" collapsed="false">
      <c r="B270" s="1" t="str">
        <f aca="false">IFERROR(VLOOKUP(A270,'company tracker'!$a:$s,MATCH("Category",'company tracker'!$1:$1,0),FALSE()),"")</f>
        <v/>
      </c>
      <c r="C270" s="1" t="str">
        <f aca="false">IFERROR(VLOOKUP(A270,'Pass 1 Archive'!$A:$AD,MATCH("LinkedIn Employee Count",'Pass 1 Archive'!$1:$1,0),FALSE()),"")</f>
        <v/>
      </c>
      <c r="D270" s="1" t="str">
        <f aca="false">IFERROR(VLOOKUP(A270,'company tracker'!$a:$s,MATCH("Jan 2025 Traffic",'company tracker'!$1:$1,0),FALSE()),"")</f>
        <v/>
      </c>
      <c r="E270" s="1" t="str">
        <f aca="false">IFERROR(VLOOKUP(A270,'company tracker'!$a:$s,MATCH("Jun 2026 Traffic",'company tracker'!$1:$1,0),FALSE()),"")</f>
        <v/>
      </c>
      <c r="F270" s="1" t="str">
        <f aca="false">IFERROR(VLOOKUP(A270,'company tracker'!$a:$s,MATCH("Traffic % Change",'company tracker'!$1:$1,0),FALSE()),"")</f>
        <v/>
      </c>
      <c r="G270" s="1" t="str">
        <f aca="false">IFERROR(VLOOKUP(A270,'company tracker'!$a:$s,MATCH("Jan 2025 Referring Domains",'company tracker'!$1:$1,0),FALSE()),"")</f>
        <v/>
      </c>
      <c r="H270" s="1" t="str">
        <f aca="false">IFERROR(VLOOKUP(A270,'company tracker'!$a:$s,MATCH("Jun 2026 Referring Domains",'company tracker'!$1:$1,0),FALSE()),"")</f>
        <v/>
      </c>
    </row>
    <row r="271" customFormat="false" ht="15" hidden="false" customHeight="true" outlineLevel="0" collapsed="false">
      <c r="B271" s="1" t="str">
        <f aca="false">IFERROR(VLOOKUP(A271,'company tracker'!$a:$s,MATCH("Category",'company tracker'!$1:$1,0),FALSE()),"")</f>
        <v/>
      </c>
      <c r="C271" s="1" t="str">
        <f aca="false">IFERROR(VLOOKUP(A271,'Pass 1 Archive'!$A:$AD,MATCH("LinkedIn Employee Count",'Pass 1 Archive'!$1:$1,0),FALSE()),"")</f>
        <v/>
      </c>
      <c r="D271" s="1" t="str">
        <f aca="false">IFERROR(VLOOKUP(A271,'company tracker'!$a:$s,MATCH("Jan 2025 Traffic",'company tracker'!$1:$1,0),FALSE()),"")</f>
        <v/>
      </c>
      <c r="E271" s="1" t="str">
        <f aca="false">IFERROR(VLOOKUP(A271,'company tracker'!$a:$s,MATCH("Jun 2026 Traffic",'company tracker'!$1:$1,0),FALSE()),"")</f>
        <v/>
      </c>
      <c r="F271" s="1" t="str">
        <f aca="false">IFERROR(VLOOKUP(A271,'company tracker'!$a:$s,MATCH("Traffic % Change",'company tracker'!$1:$1,0),FALSE()),"")</f>
        <v/>
      </c>
      <c r="G271" s="1" t="str">
        <f aca="false">IFERROR(VLOOKUP(A271,'company tracker'!$a:$s,MATCH("Jan 2025 Referring Domains",'company tracker'!$1:$1,0),FALSE()),"")</f>
        <v/>
      </c>
      <c r="H271" s="1" t="str">
        <f aca="false">IFERROR(VLOOKUP(A271,'company tracker'!$a:$s,MATCH("Jun 2026 Referring Domains",'company tracker'!$1:$1,0),FALSE()),"")</f>
        <v/>
      </c>
    </row>
    <row r="272" customFormat="false" ht="15" hidden="false" customHeight="true" outlineLevel="0" collapsed="false">
      <c r="B272" s="1" t="str">
        <f aca="false">IFERROR(VLOOKUP(A272,'company tracker'!$a:$s,MATCH("Category",'company tracker'!$1:$1,0),FALSE()),"")</f>
        <v/>
      </c>
      <c r="C272" s="1" t="str">
        <f aca="false">IFERROR(VLOOKUP(A272,'Pass 1 Archive'!$A:$AD,MATCH("LinkedIn Employee Count",'Pass 1 Archive'!$1:$1,0),FALSE()),"")</f>
        <v/>
      </c>
      <c r="D272" s="1" t="str">
        <f aca="false">IFERROR(VLOOKUP(A272,'company tracker'!$a:$s,MATCH("Jan 2025 Traffic",'company tracker'!$1:$1,0),FALSE()),"")</f>
        <v/>
      </c>
      <c r="E272" s="1" t="str">
        <f aca="false">IFERROR(VLOOKUP(A272,'company tracker'!$a:$s,MATCH("Jun 2026 Traffic",'company tracker'!$1:$1,0),FALSE()),"")</f>
        <v/>
      </c>
      <c r="F272" s="1" t="str">
        <f aca="false">IFERROR(VLOOKUP(A272,'company tracker'!$a:$s,MATCH("Traffic % Change",'company tracker'!$1:$1,0),FALSE()),"")</f>
        <v/>
      </c>
      <c r="G272" s="1" t="str">
        <f aca="false">IFERROR(VLOOKUP(A272,'company tracker'!$a:$s,MATCH("Jan 2025 Referring Domains",'company tracker'!$1:$1,0),FALSE()),"")</f>
        <v/>
      </c>
      <c r="H272" s="1" t="str">
        <f aca="false">IFERROR(VLOOKUP(A272,'company tracker'!$a:$s,MATCH("Jun 2026 Referring Domains",'company tracker'!$1:$1,0),FALSE()),"")</f>
        <v/>
      </c>
    </row>
    <row r="273" customFormat="false" ht="15" hidden="false" customHeight="true" outlineLevel="0" collapsed="false">
      <c r="B273" s="1" t="str">
        <f aca="false">IFERROR(VLOOKUP(A273,'company tracker'!$a:$s,MATCH("Category",'company tracker'!$1:$1,0),FALSE()),"")</f>
        <v/>
      </c>
      <c r="C273" s="1" t="str">
        <f aca="false">IFERROR(VLOOKUP(A273,'Pass 1 Archive'!$A:$AD,MATCH("LinkedIn Employee Count",'Pass 1 Archive'!$1:$1,0),FALSE()),"")</f>
        <v/>
      </c>
      <c r="D273" s="1" t="str">
        <f aca="false">IFERROR(VLOOKUP(A273,'company tracker'!$a:$s,MATCH("Jan 2025 Traffic",'company tracker'!$1:$1,0),FALSE()),"")</f>
        <v/>
      </c>
      <c r="E273" s="1" t="str">
        <f aca="false">IFERROR(VLOOKUP(A273,'company tracker'!$a:$s,MATCH("Jun 2026 Traffic",'company tracker'!$1:$1,0),FALSE()),"")</f>
        <v/>
      </c>
      <c r="F273" s="1" t="str">
        <f aca="false">IFERROR(VLOOKUP(A273,'company tracker'!$a:$s,MATCH("Traffic % Change",'company tracker'!$1:$1,0),FALSE()),"")</f>
        <v/>
      </c>
      <c r="G273" s="1" t="str">
        <f aca="false">IFERROR(VLOOKUP(A273,'company tracker'!$a:$s,MATCH("Jan 2025 Referring Domains",'company tracker'!$1:$1,0),FALSE()),"")</f>
        <v/>
      </c>
      <c r="H273" s="1" t="str">
        <f aca="false">IFERROR(VLOOKUP(A273,'company tracker'!$a:$s,MATCH("Jun 2026 Referring Domains",'company tracker'!$1:$1,0),FALSE()),"")</f>
        <v/>
      </c>
    </row>
    <row r="274" customFormat="false" ht="15" hidden="false" customHeight="true" outlineLevel="0" collapsed="false">
      <c r="B274" s="1" t="str">
        <f aca="false">IFERROR(VLOOKUP(A274,'company tracker'!$a:$s,MATCH("Category",'company tracker'!$1:$1,0),FALSE()),"")</f>
        <v/>
      </c>
      <c r="C274" s="1" t="str">
        <f aca="false">IFERROR(VLOOKUP(A274,'Pass 1 Archive'!$A:$AD,MATCH("LinkedIn Employee Count",'Pass 1 Archive'!$1:$1,0),FALSE()),"")</f>
        <v/>
      </c>
      <c r="D274" s="1" t="str">
        <f aca="false">IFERROR(VLOOKUP(A274,'company tracker'!$a:$s,MATCH("Jan 2025 Traffic",'company tracker'!$1:$1,0),FALSE()),"")</f>
        <v/>
      </c>
      <c r="E274" s="1" t="str">
        <f aca="false">IFERROR(VLOOKUP(A274,'company tracker'!$a:$s,MATCH("Jun 2026 Traffic",'company tracker'!$1:$1,0),FALSE()),"")</f>
        <v/>
      </c>
      <c r="F274" s="1" t="str">
        <f aca="false">IFERROR(VLOOKUP(A274,'company tracker'!$a:$s,MATCH("Traffic % Change",'company tracker'!$1:$1,0),FALSE()),"")</f>
        <v/>
      </c>
      <c r="G274" s="1" t="str">
        <f aca="false">IFERROR(VLOOKUP(A274,'company tracker'!$a:$s,MATCH("Jan 2025 Referring Domains",'company tracker'!$1:$1,0),FALSE()),"")</f>
        <v/>
      </c>
      <c r="H274" s="1" t="str">
        <f aca="false">IFERROR(VLOOKUP(A274,'company tracker'!$a:$s,MATCH("Jun 2026 Referring Domains",'company tracker'!$1:$1,0),FALSE()),"")</f>
        <v/>
      </c>
    </row>
    <row r="275" customFormat="false" ht="15" hidden="false" customHeight="true" outlineLevel="0" collapsed="false">
      <c r="B275" s="1" t="str">
        <f aca="false">IFERROR(VLOOKUP(A275,'company tracker'!$a:$s,MATCH("Category",'company tracker'!$1:$1,0),FALSE()),"")</f>
        <v/>
      </c>
      <c r="C275" s="1" t="str">
        <f aca="false">IFERROR(VLOOKUP(A275,'Pass 1 Archive'!$A:$AD,MATCH("LinkedIn Employee Count",'Pass 1 Archive'!$1:$1,0),FALSE()),"")</f>
        <v/>
      </c>
      <c r="D275" s="1" t="str">
        <f aca="false">IFERROR(VLOOKUP(A275,'company tracker'!$a:$s,MATCH("Jan 2025 Traffic",'company tracker'!$1:$1,0),FALSE()),"")</f>
        <v/>
      </c>
      <c r="E275" s="1" t="str">
        <f aca="false">IFERROR(VLOOKUP(A275,'company tracker'!$a:$s,MATCH("Jun 2026 Traffic",'company tracker'!$1:$1,0),FALSE()),"")</f>
        <v/>
      </c>
      <c r="F275" s="1" t="str">
        <f aca="false">IFERROR(VLOOKUP(A275,'company tracker'!$a:$s,MATCH("Traffic % Change",'company tracker'!$1:$1,0),FALSE()),"")</f>
        <v/>
      </c>
      <c r="G275" s="1" t="str">
        <f aca="false">IFERROR(VLOOKUP(A275,'company tracker'!$a:$s,MATCH("Jan 2025 Referring Domains",'company tracker'!$1:$1,0),FALSE()),"")</f>
        <v/>
      </c>
      <c r="H275" s="1" t="str">
        <f aca="false">IFERROR(VLOOKUP(A275,'company tracker'!$a:$s,MATCH("Jun 2026 Referring Domains",'company tracker'!$1:$1,0),FALSE()),"")</f>
        <v/>
      </c>
    </row>
    <row r="276" customFormat="false" ht="15" hidden="false" customHeight="true" outlineLevel="0" collapsed="false">
      <c r="B276" s="1" t="str">
        <f aca="false">IFERROR(VLOOKUP(A276,'company tracker'!$a:$s,MATCH("Category",'company tracker'!$1:$1,0),FALSE()),"")</f>
        <v/>
      </c>
      <c r="C276" s="1" t="str">
        <f aca="false">IFERROR(VLOOKUP(A276,'Pass 1 Archive'!$A:$AD,MATCH("LinkedIn Employee Count",'Pass 1 Archive'!$1:$1,0),FALSE()),"")</f>
        <v/>
      </c>
      <c r="D276" s="1" t="str">
        <f aca="false">IFERROR(VLOOKUP(A276,'company tracker'!$a:$s,MATCH("Jan 2025 Traffic",'company tracker'!$1:$1,0),FALSE()),"")</f>
        <v/>
      </c>
      <c r="E276" s="1" t="str">
        <f aca="false">IFERROR(VLOOKUP(A276,'company tracker'!$a:$s,MATCH("Jun 2026 Traffic",'company tracker'!$1:$1,0),FALSE()),"")</f>
        <v/>
      </c>
      <c r="F276" s="1" t="str">
        <f aca="false">IFERROR(VLOOKUP(A276,'company tracker'!$a:$s,MATCH("Traffic % Change",'company tracker'!$1:$1,0),FALSE()),"")</f>
        <v/>
      </c>
      <c r="G276" s="1" t="str">
        <f aca="false">IFERROR(VLOOKUP(A276,'company tracker'!$a:$s,MATCH("Jan 2025 Referring Domains",'company tracker'!$1:$1,0),FALSE()),"")</f>
        <v/>
      </c>
      <c r="H276" s="1" t="str">
        <f aca="false">IFERROR(VLOOKUP(A276,'company tracker'!$a:$s,MATCH("Jun 2026 Referring Domains",'company tracker'!$1:$1,0),FALSE()),"")</f>
        <v/>
      </c>
    </row>
    <row r="277" customFormat="false" ht="15" hidden="false" customHeight="true" outlineLevel="0" collapsed="false">
      <c r="B277" s="1" t="str">
        <f aca="false">IFERROR(VLOOKUP(A277,'company tracker'!$a:$s,MATCH("Category",'company tracker'!$1:$1,0),FALSE()),"")</f>
        <v/>
      </c>
      <c r="C277" s="1" t="str">
        <f aca="false">IFERROR(VLOOKUP(A277,'Pass 1 Archive'!$A:$AD,MATCH("LinkedIn Employee Count",'Pass 1 Archive'!$1:$1,0),FALSE()),"")</f>
        <v/>
      </c>
      <c r="D277" s="1" t="str">
        <f aca="false">IFERROR(VLOOKUP(A277,'company tracker'!$a:$s,MATCH("Jan 2025 Traffic",'company tracker'!$1:$1,0),FALSE()),"")</f>
        <v/>
      </c>
      <c r="E277" s="1" t="str">
        <f aca="false">IFERROR(VLOOKUP(A277,'company tracker'!$a:$s,MATCH("Jun 2026 Traffic",'company tracker'!$1:$1,0),FALSE()),"")</f>
        <v/>
      </c>
      <c r="F277" s="1" t="str">
        <f aca="false">IFERROR(VLOOKUP(A277,'company tracker'!$a:$s,MATCH("Traffic % Change",'company tracker'!$1:$1,0),FALSE()),"")</f>
        <v/>
      </c>
      <c r="G277" s="1" t="str">
        <f aca="false">IFERROR(VLOOKUP(A277,'company tracker'!$a:$s,MATCH("Jan 2025 Referring Domains",'company tracker'!$1:$1,0),FALSE()),"")</f>
        <v/>
      </c>
      <c r="H277" s="1" t="str">
        <f aca="false">IFERROR(VLOOKUP(A277,'company tracker'!$a:$s,MATCH("Jun 2026 Referring Domains",'company tracker'!$1:$1,0),FALSE()),"")</f>
        <v/>
      </c>
    </row>
    <row r="278" customFormat="false" ht="15" hidden="false" customHeight="true" outlineLevel="0" collapsed="false">
      <c r="B278" s="1" t="str">
        <f aca="false">IFERROR(VLOOKUP(A278,'company tracker'!$a:$s,MATCH("Category",'company tracker'!$1:$1,0),FALSE()),"")</f>
        <v/>
      </c>
      <c r="C278" s="1" t="str">
        <f aca="false">IFERROR(VLOOKUP(A278,'Pass 1 Archive'!$A:$AD,MATCH("LinkedIn Employee Count",'Pass 1 Archive'!$1:$1,0),FALSE()),"")</f>
        <v/>
      </c>
      <c r="D278" s="1" t="str">
        <f aca="false">IFERROR(VLOOKUP(A278,'company tracker'!$a:$s,MATCH("Jan 2025 Traffic",'company tracker'!$1:$1,0),FALSE()),"")</f>
        <v/>
      </c>
      <c r="E278" s="1" t="str">
        <f aca="false">IFERROR(VLOOKUP(A278,'company tracker'!$a:$s,MATCH("Jun 2026 Traffic",'company tracker'!$1:$1,0),FALSE()),"")</f>
        <v/>
      </c>
      <c r="F278" s="1" t="str">
        <f aca="false">IFERROR(VLOOKUP(A278,'company tracker'!$a:$s,MATCH("Traffic % Change",'company tracker'!$1:$1,0),FALSE()),"")</f>
        <v/>
      </c>
      <c r="G278" s="1" t="str">
        <f aca="false">IFERROR(VLOOKUP(A278,'company tracker'!$a:$s,MATCH("Jan 2025 Referring Domains",'company tracker'!$1:$1,0),FALSE()),"")</f>
        <v/>
      </c>
      <c r="H278" s="1" t="str">
        <f aca="false">IFERROR(VLOOKUP(A278,'company tracker'!$a:$s,MATCH("Jun 2026 Referring Domains",'company tracker'!$1:$1,0),FALSE()),"")</f>
        <v/>
      </c>
    </row>
    <row r="279" customFormat="false" ht="15" hidden="false" customHeight="true" outlineLevel="0" collapsed="false">
      <c r="B279" s="1" t="str">
        <f aca="false">IFERROR(VLOOKUP(A279,'company tracker'!$a:$s,MATCH("Category",'company tracker'!$1:$1,0),FALSE()),"")</f>
        <v/>
      </c>
      <c r="C279" s="1" t="str">
        <f aca="false">IFERROR(VLOOKUP(A279,'Pass 1 Archive'!$A:$AD,MATCH("LinkedIn Employee Count",'Pass 1 Archive'!$1:$1,0),FALSE()),"")</f>
        <v/>
      </c>
      <c r="D279" s="1" t="str">
        <f aca="false">IFERROR(VLOOKUP(A279,'company tracker'!$a:$s,MATCH("Jan 2025 Traffic",'company tracker'!$1:$1,0),FALSE()),"")</f>
        <v/>
      </c>
      <c r="E279" s="1" t="str">
        <f aca="false">IFERROR(VLOOKUP(A279,'company tracker'!$a:$s,MATCH("Jun 2026 Traffic",'company tracker'!$1:$1,0),FALSE()),"")</f>
        <v/>
      </c>
      <c r="F279" s="1" t="str">
        <f aca="false">IFERROR(VLOOKUP(A279,'company tracker'!$a:$s,MATCH("Traffic % Change",'company tracker'!$1:$1,0),FALSE()),"")</f>
        <v/>
      </c>
      <c r="G279" s="1" t="str">
        <f aca="false">IFERROR(VLOOKUP(A279,'company tracker'!$a:$s,MATCH("Jan 2025 Referring Domains",'company tracker'!$1:$1,0),FALSE()),"")</f>
        <v/>
      </c>
      <c r="H279" s="1" t="str">
        <f aca="false">IFERROR(VLOOKUP(A279,'company tracker'!$a:$s,MATCH("Jun 2026 Referring Domains",'company tracker'!$1:$1,0),FALSE()),"")</f>
        <v/>
      </c>
    </row>
    <row r="280" customFormat="false" ht="15" hidden="false" customHeight="true" outlineLevel="0" collapsed="false">
      <c r="B280" s="1" t="str">
        <f aca="false">IFERROR(VLOOKUP(A280,'company tracker'!$a:$s,MATCH("Category",'company tracker'!$1:$1,0),FALSE()),"")</f>
        <v/>
      </c>
      <c r="C280" s="1" t="str">
        <f aca="false">IFERROR(VLOOKUP(A280,'Pass 1 Archive'!$A:$AD,MATCH("LinkedIn Employee Count",'Pass 1 Archive'!$1:$1,0),FALSE()),"")</f>
        <v/>
      </c>
      <c r="D280" s="1" t="str">
        <f aca="false">IFERROR(VLOOKUP(A280,'company tracker'!$a:$s,MATCH("Jan 2025 Traffic",'company tracker'!$1:$1,0),FALSE()),"")</f>
        <v/>
      </c>
      <c r="E280" s="1" t="str">
        <f aca="false">IFERROR(VLOOKUP(A280,'company tracker'!$a:$s,MATCH("Jun 2026 Traffic",'company tracker'!$1:$1,0),FALSE()),"")</f>
        <v/>
      </c>
      <c r="F280" s="1" t="str">
        <f aca="false">IFERROR(VLOOKUP(A280,'company tracker'!$a:$s,MATCH("Traffic % Change",'company tracker'!$1:$1,0),FALSE()),"")</f>
        <v/>
      </c>
      <c r="G280" s="1" t="str">
        <f aca="false">IFERROR(VLOOKUP(A280,'company tracker'!$a:$s,MATCH("Jan 2025 Referring Domains",'company tracker'!$1:$1,0),FALSE()),"")</f>
        <v/>
      </c>
      <c r="H280" s="1" t="str">
        <f aca="false">IFERROR(VLOOKUP(A280,'company tracker'!$a:$s,MATCH("Jun 2026 Referring Domains",'company tracker'!$1:$1,0),FALSE()),"")</f>
        <v/>
      </c>
    </row>
    <row r="281" customFormat="false" ht="15" hidden="false" customHeight="true" outlineLevel="0" collapsed="false">
      <c r="B281" s="1" t="str">
        <f aca="false">IFERROR(VLOOKUP(A281,'company tracker'!$a:$s,MATCH("Category",'company tracker'!$1:$1,0),FALSE()),"")</f>
        <v/>
      </c>
      <c r="C281" s="1" t="str">
        <f aca="false">IFERROR(VLOOKUP(A281,'Pass 1 Archive'!$A:$AD,MATCH("LinkedIn Employee Count",'Pass 1 Archive'!$1:$1,0),FALSE()),"")</f>
        <v/>
      </c>
      <c r="D281" s="1" t="str">
        <f aca="false">IFERROR(VLOOKUP(A281,'company tracker'!$a:$s,MATCH("Jan 2025 Traffic",'company tracker'!$1:$1,0),FALSE()),"")</f>
        <v/>
      </c>
      <c r="E281" s="1" t="str">
        <f aca="false">IFERROR(VLOOKUP(A281,'company tracker'!$a:$s,MATCH("Jun 2026 Traffic",'company tracker'!$1:$1,0),FALSE()),"")</f>
        <v/>
      </c>
      <c r="F281" s="1" t="str">
        <f aca="false">IFERROR(VLOOKUP(A281,'company tracker'!$a:$s,MATCH("Traffic % Change",'company tracker'!$1:$1,0),FALSE()),"")</f>
        <v/>
      </c>
      <c r="G281" s="1" t="str">
        <f aca="false">IFERROR(VLOOKUP(A281,'company tracker'!$a:$s,MATCH("Jan 2025 Referring Domains",'company tracker'!$1:$1,0),FALSE()),"")</f>
        <v/>
      </c>
      <c r="H281" s="1" t="str">
        <f aca="false">IFERROR(VLOOKUP(A281,'company tracker'!$a:$s,MATCH("Jun 2026 Referring Domains",'company tracker'!$1:$1,0),FALSE()),"")</f>
        <v/>
      </c>
    </row>
    <row r="282" customFormat="false" ht="15" hidden="false" customHeight="true" outlineLevel="0" collapsed="false">
      <c r="B282" s="1" t="str">
        <f aca="false">IFERROR(VLOOKUP(A282,'company tracker'!$a:$s,MATCH("Category",'company tracker'!$1:$1,0),FALSE()),"")</f>
        <v/>
      </c>
      <c r="C282" s="1" t="str">
        <f aca="false">IFERROR(VLOOKUP(A282,'Pass 1 Archive'!$A:$AD,MATCH("LinkedIn Employee Count",'Pass 1 Archive'!$1:$1,0),FALSE()),"")</f>
        <v/>
      </c>
      <c r="D282" s="1" t="str">
        <f aca="false">IFERROR(VLOOKUP(A282,'company tracker'!$a:$s,MATCH("Jan 2025 Traffic",'company tracker'!$1:$1,0),FALSE()),"")</f>
        <v/>
      </c>
      <c r="E282" s="1" t="str">
        <f aca="false">IFERROR(VLOOKUP(A282,'company tracker'!$a:$s,MATCH("Jun 2026 Traffic",'company tracker'!$1:$1,0),FALSE()),"")</f>
        <v/>
      </c>
      <c r="F282" s="1" t="str">
        <f aca="false">IFERROR(VLOOKUP(A282,'company tracker'!$a:$s,MATCH("Traffic % Change",'company tracker'!$1:$1,0),FALSE()),"")</f>
        <v/>
      </c>
      <c r="G282" s="1" t="str">
        <f aca="false">IFERROR(VLOOKUP(A282,'company tracker'!$a:$s,MATCH("Jan 2025 Referring Domains",'company tracker'!$1:$1,0),FALSE()),"")</f>
        <v/>
      </c>
      <c r="H282" s="1" t="str">
        <f aca="false">IFERROR(VLOOKUP(A282,'company tracker'!$a:$s,MATCH("Jun 2026 Referring Domains",'company tracker'!$1:$1,0),FALSE()),"")</f>
        <v/>
      </c>
    </row>
    <row r="283" customFormat="false" ht="15" hidden="false" customHeight="true" outlineLevel="0" collapsed="false">
      <c r="B283" s="1" t="str">
        <f aca="false">IFERROR(VLOOKUP(A283,'company tracker'!$a:$s,MATCH("Category",'company tracker'!$1:$1,0),FALSE()),"")</f>
        <v/>
      </c>
      <c r="C283" s="1" t="str">
        <f aca="false">IFERROR(VLOOKUP(A283,'Pass 1 Archive'!$A:$AD,MATCH("LinkedIn Employee Count",'Pass 1 Archive'!$1:$1,0),FALSE()),"")</f>
        <v/>
      </c>
      <c r="D283" s="1" t="str">
        <f aca="false">IFERROR(VLOOKUP(A283,'company tracker'!$a:$s,MATCH("Jan 2025 Traffic",'company tracker'!$1:$1,0),FALSE()),"")</f>
        <v/>
      </c>
      <c r="E283" s="1" t="str">
        <f aca="false">IFERROR(VLOOKUP(A283,'company tracker'!$a:$s,MATCH("Jun 2026 Traffic",'company tracker'!$1:$1,0),FALSE()),"")</f>
        <v/>
      </c>
      <c r="F283" s="1" t="str">
        <f aca="false">IFERROR(VLOOKUP(A283,'company tracker'!$a:$s,MATCH("Traffic % Change",'company tracker'!$1:$1,0),FALSE()),"")</f>
        <v/>
      </c>
      <c r="G283" s="1" t="str">
        <f aca="false">IFERROR(VLOOKUP(A283,'company tracker'!$a:$s,MATCH("Jan 2025 Referring Domains",'company tracker'!$1:$1,0),FALSE()),"")</f>
        <v/>
      </c>
      <c r="H283" s="1" t="str">
        <f aca="false">IFERROR(VLOOKUP(A283,'company tracker'!$a:$s,MATCH("Jun 2026 Referring Domains",'company tracker'!$1:$1,0),FALSE()),"")</f>
        <v/>
      </c>
    </row>
    <row r="284" customFormat="false" ht="15" hidden="false" customHeight="true" outlineLevel="0" collapsed="false">
      <c r="B284" s="1" t="str">
        <f aca="false">IFERROR(VLOOKUP(A284,'company tracker'!$a:$s,MATCH("Category",'company tracker'!$1:$1,0),FALSE()),"")</f>
        <v/>
      </c>
      <c r="C284" s="1" t="str">
        <f aca="false">IFERROR(VLOOKUP(A284,'Pass 1 Archive'!$A:$AD,MATCH("LinkedIn Employee Count",'Pass 1 Archive'!$1:$1,0),FALSE()),"")</f>
        <v/>
      </c>
      <c r="D284" s="1" t="str">
        <f aca="false">IFERROR(VLOOKUP(A284,'company tracker'!$a:$s,MATCH("Jan 2025 Traffic",'company tracker'!$1:$1,0),FALSE()),"")</f>
        <v/>
      </c>
      <c r="E284" s="1" t="str">
        <f aca="false">IFERROR(VLOOKUP(A284,'company tracker'!$a:$s,MATCH("Jun 2026 Traffic",'company tracker'!$1:$1,0),FALSE()),"")</f>
        <v/>
      </c>
      <c r="F284" s="1" t="str">
        <f aca="false">IFERROR(VLOOKUP(A284,'company tracker'!$a:$s,MATCH("Traffic % Change",'company tracker'!$1:$1,0),FALSE()),"")</f>
        <v/>
      </c>
      <c r="G284" s="1" t="str">
        <f aca="false">IFERROR(VLOOKUP(A284,'company tracker'!$a:$s,MATCH("Jan 2025 Referring Domains",'company tracker'!$1:$1,0),FALSE()),"")</f>
        <v/>
      </c>
      <c r="H284" s="1" t="str">
        <f aca="false">IFERROR(VLOOKUP(A284,'company tracker'!$a:$s,MATCH("Jun 2026 Referring Domains",'company tracker'!$1:$1,0),FALSE()),"")</f>
        <v/>
      </c>
    </row>
    <row r="285" customFormat="false" ht="15" hidden="false" customHeight="true" outlineLevel="0" collapsed="false">
      <c r="B285" s="1" t="str">
        <f aca="false">IFERROR(VLOOKUP(A285,'company tracker'!$a:$s,MATCH("Category",'company tracker'!$1:$1,0),FALSE()),"")</f>
        <v/>
      </c>
      <c r="C285" s="1" t="str">
        <f aca="false">IFERROR(VLOOKUP(A285,'Pass 1 Archive'!$A:$AD,MATCH("LinkedIn Employee Count",'Pass 1 Archive'!$1:$1,0),FALSE()),"")</f>
        <v/>
      </c>
      <c r="D285" s="1" t="str">
        <f aca="false">IFERROR(VLOOKUP(A285,'company tracker'!$a:$s,MATCH("Jan 2025 Traffic",'company tracker'!$1:$1,0),FALSE()),"")</f>
        <v/>
      </c>
      <c r="E285" s="1" t="str">
        <f aca="false">IFERROR(VLOOKUP(A285,'company tracker'!$a:$s,MATCH("Jun 2026 Traffic",'company tracker'!$1:$1,0),FALSE()),"")</f>
        <v/>
      </c>
      <c r="F285" s="1" t="str">
        <f aca="false">IFERROR(VLOOKUP(A285,'company tracker'!$a:$s,MATCH("Traffic % Change",'company tracker'!$1:$1,0),FALSE()),"")</f>
        <v/>
      </c>
      <c r="G285" s="1" t="str">
        <f aca="false">IFERROR(VLOOKUP(A285,'company tracker'!$a:$s,MATCH("Jan 2025 Referring Domains",'company tracker'!$1:$1,0),FALSE()),"")</f>
        <v/>
      </c>
      <c r="H285" s="1" t="str">
        <f aca="false">IFERROR(VLOOKUP(A285,'company tracker'!$a:$s,MATCH("Jun 2026 Referring Domains",'company tracker'!$1:$1,0),FALSE()),"")</f>
        <v/>
      </c>
    </row>
    <row r="286" customFormat="false" ht="15" hidden="false" customHeight="true" outlineLevel="0" collapsed="false">
      <c r="B286" s="1" t="str">
        <f aca="false">IFERROR(VLOOKUP(A286,'company tracker'!$a:$s,MATCH("Category",'company tracker'!$1:$1,0),FALSE()),"")</f>
        <v/>
      </c>
      <c r="C286" s="1" t="str">
        <f aca="false">IFERROR(VLOOKUP(A286,'Pass 1 Archive'!$A:$AD,MATCH("LinkedIn Employee Count",'Pass 1 Archive'!$1:$1,0),FALSE()),"")</f>
        <v/>
      </c>
      <c r="D286" s="1" t="str">
        <f aca="false">IFERROR(VLOOKUP(A286,'company tracker'!$a:$s,MATCH("Jan 2025 Traffic",'company tracker'!$1:$1,0),FALSE()),"")</f>
        <v/>
      </c>
      <c r="E286" s="1" t="str">
        <f aca="false">IFERROR(VLOOKUP(A286,'company tracker'!$a:$s,MATCH("Jun 2026 Traffic",'company tracker'!$1:$1,0),FALSE()),"")</f>
        <v/>
      </c>
      <c r="F286" s="1" t="str">
        <f aca="false">IFERROR(VLOOKUP(A286,'company tracker'!$a:$s,MATCH("Traffic % Change",'company tracker'!$1:$1,0),FALSE()),"")</f>
        <v/>
      </c>
      <c r="G286" s="1" t="str">
        <f aca="false">IFERROR(VLOOKUP(A286,'company tracker'!$a:$s,MATCH("Jan 2025 Referring Domains",'company tracker'!$1:$1,0),FALSE()),"")</f>
        <v/>
      </c>
      <c r="H286" s="1" t="str">
        <f aca="false">IFERROR(VLOOKUP(A286,'company tracker'!$a:$s,MATCH("Jun 2026 Referring Domains",'company tracker'!$1:$1,0),FALSE()),"")</f>
        <v/>
      </c>
    </row>
    <row r="287" customFormat="false" ht="15" hidden="false" customHeight="true" outlineLevel="0" collapsed="false">
      <c r="B287" s="1" t="str">
        <f aca="false">IFERROR(VLOOKUP(A287,'company tracker'!$a:$s,MATCH("Category",'company tracker'!$1:$1,0),FALSE()),"")</f>
        <v/>
      </c>
      <c r="C287" s="1" t="str">
        <f aca="false">IFERROR(VLOOKUP(A287,'Pass 1 Archive'!$A:$AD,MATCH("LinkedIn Employee Count",'Pass 1 Archive'!$1:$1,0),FALSE()),"")</f>
        <v/>
      </c>
      <c r="D287" s="1" t="str">
        <f aca="false">IFERROR(VLOOKUP(A287,'company tracker'!$a:$s,MATCH("Jan 2025 Traffic",'company tracker'!$1:$1,0),FALSE()),"")</f>
        <v/>
      </c>
      <c r="E287" s="1" t="str">
        <f aca="false">IFERROR(VLOOKUP(A287,'company tracker'!$a:$s,MATCH("Jun 2026 Traffic",'company tracker'!$1:$1,0),FALSE()),"")</f>
        <v/>
      </c>
      <c r="F287" s="1" t="str">
        <f aca="false">IFERROR(VLOOKUP(A287,'company tracker'!$a:$s,MATCH("Traffic % Change",'company tracker'!$1:$1,0),FALSE()),"")</f>
        <v/>
      </c>
      <c r="G287" s="1" t="str">
        <f aca="false">IFERROR(VLOOKUP(A287,'company tracker'!$a:$s,MATCH("Jan 2025 Referring Domains",'company tracker'!$1:$1,0),FALSE()),"")</f>
        <v/>
      </c>
      <c r="H287" s="1" t="str">
        <f aca="false">IFERROR(VLOOKUP(A287,'company tracker'!$a:$s,MATCH("Jun 2026 Referring Domains",'company tracker'!$1:$1,0),FALSE()),"")</f>
        <v/>
      </c>
    </row>
    <row r="288" customFormat="false" ht="15" hidden="false" customHeight="true" outlineLevel="0" collapsed="false">
      <c r="B288" s="1" t="str">
        <f aca="false">IFERROR(VLOOKUP(A288,'company tracker'!$a:$s,MATCH("Category",'company tracker'!$1:$1,0),FALSE()),"")</f>
        <v/>
      </c>
      <c r="C288" s="1" t="str">
        <f aca="false">IFERROR(VLOOKUP(A288,'Pass 1 Archive'!$A:$AD,MATCH("LinkedIn Employee Count",'Pass 1 Archive'!$1:$1,0),FALSE()),"")</f>
        <v/>
      </c>
      <c r="D288" s="1" t="str">
        <f aca="false">IFERROR(VLOOKUP(A288,'company tracker'!$a:$s,MATCH("Jan 2025 Traffic",'company tracker'!$1:$1,0),FALSE()),"")</f>
        <v/>
      </c>
      <c r="E288" s="1" t="str">
        <f aca="false">IFERROR(VLOOKUP(A288,'company tracker'!$a:$s,MATCH("Jun 2026 Traffic",'company tracker'!$1:$1,0),FALSE()),"")</f>
        <v/>
      </c>
      <c r="F288" s="1" t="str">
        <f aca="false">IFERROR(VLOOKUP(A288,'company tracker'!$a:$s,MATCH("Traffic % Change",'company tracker'!$1:$1,0),FALSE()),"")</f>
        <v/>
      </c>
      <c r="G288" s="1" t="str">
        <f aca="false">IFERROR(VLOOKUP(A288,'company tracker'!$a:$s,MATCH("Jan 2025 Referring Domains",'company tracker'!$1:$1,0),FALSE()),"")</f>
        <v/>
      </c>
      <c r="H288" s="1" t="str">
        <f aca="false">IFERROR(VLOOKUP(A288,'company tracker'!$a:$s,MATCH("Jun 2026 Referring Domains",'company tracker'!$1:$1,0),FALSE()),"")</f>
        <v/>
      </c>
    </row>
    <row r="289" customFormat="false" ht="15" hidden="false" customHeight="true" outlineLevel="0" collapsed="false">
      <c r="B289" s="1" t="str">
        <f aca="false">IFERROR(VLOOKUP(A289,'company tracker'!$a:$s,MATCH("Category",'company tracker'!$1:$1,0),FALSE()),"")</f>
        <v/>
      </c>
      <c r="C289" s="1" t="str">
        <f aca="false">IFERROR(VLOOKUP(A289,'Pass 1 Archive'!$A:$AD,MATCH("LinkedIn Employee Count",'Pass 1 Archive'!$1:$1,0),FALSE()),"")</f>
        <v/>
      </c>
      <c r="D289" s="1" t="str">
        <f aca="false">IFERROR(VLOOKUP(A289,'company tracker'!$a:$s,MATCH("Jan 2025 Traffic",'company tracker'!$1:$1,0),FALSE()),"")</f>
        <v/>
      </c>
      <c r="E289" s="1" t="str">
        <f aca="false">IFERROR(VLOOKUP(A289,'company tracker'!$a:$s,MATCH("Jun 2026 Traffic",'company tracker'!$1:$1,0),FALSE()),"")</f>
        <v/>
      </c>
      <c r="F289" s="1" t="str">
        <f aca="false">IFERROR(VLOOKUP(A289,'company tracker'!$a:$s,MATCH("Traffic % Change",'company tracker'!$1:$1,0),FALSE()),"")</f>
        <v/>
      </c>
      <c r="G289" s="1" t="str">
        <f aca="false">IFERROR(VLOOKUP(A289,'company tracker'!$a:$s,MATCH("Jan 2025 Referring Domains",'company tracker'!$1:$1,0),FALSE()),"")</f>
        <v/>
      </c>
      <c r="H289" s="1" t="str">
        <f aca="false">IFERROR(VLOOKUP(A289,'company tracker'!$a:$s,MATCH("Jun 2026 Referring Domains",'company tracker'!$1:$1,0),FALSE()),"")</f>
        <v/>
      </c>
    </row>
    <row r="290" customFormat="false" ht="15" hidden="false" customHeight="true" outlineLevel="0" collapsed="false">
      <c r="B290" s="1" t="str">
        <f aca="false">IFERROR(VLOOKUP(A290,'company tracker'!$a:$s,MATCH("Category",'company tracker'!$1:$1,0),FALSE()),"")</f>
        <v/>
      </c>
      <c r="C290" s="1" t="str">
        <f aca="false">IFERROR(VLOOKUP(A290,'Pass 1 Archive'!$A:$AD,MATCH("LinkedIn Employee Count",'Pass 1 Archive'!$1:$1,0),FALSE()),"")</f>
        <v/>
      </c>
      <c r="D290" s="1" t="str">
        <f aca="false">IFERROR(VLOOKUP(A290,'company tracker'!$a:$s,MATCH("Jan 2025 Traffic",'company tracker'!$1:$1,0),FALSE()),"")</f>
        <v/>
      </c>
      <c r="E290" s="1" t="str">
        <f aca="false">IFERROR(VLOOKUP(A290,'company tracker'!$a:$s,MATCH("Jun 2026 Traffic",'company tracker'!$1:$1,0),FALSE()),"")</f>
        <v/>
      </c>
      <c r="F290" s="1" t="str">
        <f aca="false">IFERROR(VLOOKUP(A290,'company tracker'!$a:$s,MATCH("Traffic % Change",'company tracker'!$1:$1,0),FALSE()),"")</f>
        <v/>
      </c>
      <c r="G290" s="1" t="str">
        <f aca="false">IFERROR(VLOOKUP(A290,'company tracker'!$a:$s,MATCH("Jan 2025 Referring Domains",'company tracker'!$1:$1,0),FALSE()),"")</f>
        <v/>
      </c>
      <c r="H290" s="1" t="str">
        <f aca="false">IFERROR(VLOOKUP(A290,'company tracker'!$a:$s,MATCH("Jun 2026 Referring Domains",'company tracker'!$1:$1,0),FALSE()),"")</f>
        <v/>
      </c>
    </row>
    <row r="291" customFormat="false" ht="15" hidden="false" customHeight="true" outlineLevel="0" collapsed="false">
      <c r="B291" s="1" t="str">
        <f aca="false">IFERROR(VLOOKUP(A291,'company tracker'!$a:$s,MATCH("Category",'company tracker'!$1:$1,0),FALSE()),"")</f>
        <v/>
      </c>
      <c r="C291" s="1" t="str">
        <f aca="false">IFERROR(VLOOKUP(A291,'Pass 1 Archive'!$A:$AD,MATCH("LinkedIn Employee Count",'Pass 1 Archive'!$1:$1,0),FALSE()),"")</f>
        <v/>
      </c>
      <c r="D291" s="1" t="str">
        <f aca="false">IFERROR(VLOOKUP(A291,'company tracker'!$a:$s,MATCH("Jan 2025 Traffic",'company tracker'!$1:$1,0),FALSE()),"")</f>
        <v/>
      </c>
      <c r="E291" s="1" t="str">
        <f aca="false">IFERROR(VLOOKUP(A291,'company tracker'!$a:$s,MATCH("Jun 2026 Traffic",'company tracker'!$1:$1,0),FALSE()),"")</f>
        <v/>
      </c>
      <c r="F291" s="1" t="str">
        <f aca="false">IFERROR(VLOOKUP(A291,'company tracker'!$a:$s,MATCH("Traffic % Change",'company tracker'!$1:$1,0),FALSE()),"")</f>
        <v/>
      </c>
      <c r="G291" s="1" t="str">
        <f aca="false">IFERROR(VLOOKUP(A291,'company tracker'!$a:$s,MATCH("Jan 2025 Referring Domains",'company tracker'!$1:$1,0),FALSE()),"")</f>
        <v/>
      </c>
      <c r="H291" s="1" t="str">
        <f aca="false">IFERROR(VLOOKUP(A291,'company tracker'!$a:$s,MATCH("Jun 2026 Referring Domains",'company tracker'!$1:$1,0),FALSE()),"")</f>
        <v/>
      </c>
    </row>
    <row r="292" customFormat="false" ht="15" hidden="false" customHeight="true" outlineLevel="0" collapsed="false">
      <c r="B292" s="1" t="str">
        <f aca="false">IFERROR(VLOOKUP(A292,'company tracker'!$a:$s,MATCH("Category",'company tracker'!$1:$1,0),FALSE()),"")</f>
        <v/>
      </c>
      <c r="C292" s="1" t="str">
        <f aca="false">IFERROR(VLOOKUP(A292,'Pass 1 Archive'!$A:$AD,MATCH("LinkedIn Employee Count",'Pass 1 Archive'!$1:$1,0),FALSE()),"")</f>
        <v/>
      </c>
      <c r="D292" s="1" t="str">
        <f aca="false">IFERROR(VLOOKUP(A292,'company tracker'!$a:$s,MATCH("Jan 2025 Traffic",'company tracker'!$1:$1,0),FALSE()),"")</f>
        <v/>
      </c>
      <c r="E292" s="1" t="str">
        <f aca="false">IFERROR(VLOOKUP(A292,'company tracker'!$a:$s,MATCH("Jun 2026 Traffic",'company tracker'!$1:$1,0),FALSE()),"")</f>
        <v/>
      </c>
      <c r="F292" s="1" t="str">
        <f aca="false">IFERROR(VLOOKUP(A292,'company tracker'!$a:$s,MATCH("Traffic % Change",'company tracker'!$1:$1,0),FALSE()),"")</f>
        <v/>
      </c>
      <c r="G292" s="1" t="str">
        <f aca="false">IFERROR(VLOOKUP(A292,'company tracker'!$a:$s,MATCH("Jan 2025 Referring Domains",'company tracker'!$1:$1,0),FALSE()),"")</f>
        <v/>
      </c>
      <c r="H292" s="1" t="str">
        <f aca="false">IFERROR(VLOOKUP(A292,'company tracker'!$a:$s,MATCH("Jun 2026 Referring Domains",'company tracker'!$1:$1,0),FALSE()),"")</f>
        <v/>
      </c>
    </row>
    <row r="293" customFormat="false" ht="15" hidden="false" customHeight="true" outlineLevel="0" collapsed="false">
      <c r="B293" s="1" t="str">
        <f aca="false">IFERROR(VLOOKUP(A293,'company tracker'!$a:$s,MATCH("Category",'company tracker'!$1:$1,0),FALSE()),"")</f>
        <v/>
      </c>
      <c r="C293" s="1" t="str">
        <f aca="false">IFERROR(VLOOKUP(A293,'Pass 1 Archive'!$A:$AD,MATCH("LinkedIn Employee Count",'Pass 1 Archive'!$1:$1,0),FALSE()),"")</f>
        <v/>
      </c>
      <c r="D293" s="1" t="str">
        <f aca="false">IFERROR(VLOOKUP(A293,'company tracker'!$a:$s,MATCH("Jan 2025 Traffic",'company tracker'!$1:$1,0),FALSE()),"")</f>
        <v/>
      </c>
      <c r="E293" s="1" t="str">
        <f aca="false">IFERROR(VLOOKUP(A293,'company tracker'!$a:$s,MATCH("Jun 2026 Traffic",'company tracker'!$1:$1,0),FALSE()),"")</f>
        <v/>
      </c>
      <c r="F293" s="1" t="str">
        <f aca="false">IFERROR(VLOOKUP(A293,'company tracker'!$a:$s,MATCH("Traffic % Change",'company tracker'!$1:$1,0),FALSE()),"")</f>
        <v/>
      </c>
      <c r="G293" s="1" t="str">
        <f aca="false">IFERROR(VLOOKUP(A293,'company tracker'!$a:$s,MATCH("Jan 2025 Referring Domains",'company tracker'!$1:$1,0),FALSE()),"")</f>
        <v/>
      </c>
      <c r="H293" s="1" t="str">
        <f aca="false">IFERROR(VLOOKUP(A293,'company tracker'!$a:$s,MATCH("Jun 2026 Referring Domains",'company tracker'!$1:$1,0),FALSE()),"")</f>
        <v/>
      </c>
    </row>
    <row r="294" customFormat="false" ht="15" hidden="false" customHeight="true" outlineLevel="0" collapsed="false">
      <c r="B294" s="1" t="str">
        <f aca="false">IFERROR(VLOOKUP(A294,'company tracker'!$a:$s,MATCH("Category",'company tracker'!$1:$1,0),FALSE()),"")</f>
        <v/>
      </c>
      <c r="C294" s="1" t="str">
        <f aca="false">IFERROR(VLOOKUP(A294,'Pass 1 Archive'!$A:$AD,MATCH("LinkedIn Employee Count",'Pass 1 Archive'!$1:$1,0),FALSE()),"")</f>
        <v/>
      </c>
      <c r="D294" s="1" t="str">
        <f aca="false">IFERROR(VLOOKUP(A294,'company tracker'!$a:$s,MATCH("Jan 2025 Traffic",'company tracker'!$1:$1,0),FALSE()),"")</f>
        <v/>
      </c>
      <c r="E294" s="1" t="str">
        <f aca="false">IFERROR(VLOOKUP(A294,'company tracker'!$a:$s,MATCH("Jun 2026 Traffic",'company tracker'!$1:$1,0),FALSE()),"")</f>
        <v/>
      </c>
      <c r="F294" s="1" t="str">
        <f aca="false">IFERROR(VLOOKUP(A294,'company tracker'!$a:$s,MATCH("Traffic % Change",'company tracker'!$1:$1,0),FALSE()),"")</f>
        <v/>
      </c>
      <c r="G294" s="1" t="str">
        <f aca="false">IFERROR(VLOOKUP(A294,'company tracker'!$a:$s,MATCH("Jan 2025 Referring Domains",'company tracker'!$1:$1,0),FALSE()),"")</f>
        <v/>
      </c>
      <c r="H294" s="1" t="str">
        <f aca="false">IFERROR(VLOOKUP(A294,'company tracker'!$a:$s,MATCH("Jun 2026 Referring Domains",'company tracker'!$1:$1,0),FALSE()),"")</f>
        <v/>
      </c>
    </row>
    <row r="295" customFormat="false" ht="15" hidden="false" customHeight="true" outlineLevel="0" collapsed="false">
      <c r="B295" s="1" t="str">
        <f aca="false">IFERROR(VLOOKUP(A295,'company tracker'!$a:$s,MATCH("Category",'company tracker'!$1:$1,0),FALSE()),"")</f>
        <v/>
      </c>
      <c r="C295" s="1" t="str">
        <f aca="false">IFERROR(VLOOKUP(A295,'Pass 1 Archive'!$A:$AD,MATCH("LinkedIn Employee Count",'Pass 1 Archive'!$1:$1,0),FALSE()),"")</f>
        <v/>
      </c>
      <c r="D295" s="1" t="str">
        <f aca="false">IFERROR(VLOOKUP(A295,'company tracker'!$a:$s,MATCH("Jan 2025 Traffic",'company tracker'!$1:$1,0),FALSE()),"")</f>
        <v/>
      </c>
      <c r="E295" s="1" t="str">
        <f aca="false">IFERROR(VLOOKUP(A295,'company tracker'!$a:$s,MATCH("Jun 2026 Traffic",'company tracker'!$1:$1,0),FALSE()),"")</f>
        <v/>
      </c>
      <c r="F295" s="1" t="str">
        <f aca="false">IFERROR(VLOOKUP(A295,'company tracker'!$a:$s,MATCH("Traffic % Change",'company tracker'!$1:$1,0),FALSE()),"")</f>
        <v/>
      </c>
      <c r="G295" s="1" t="str">
        <f aca="false">IFERROR(VLOOKUP(A295,'company tracker'!$a:$s,MATCH("Jan 2025 Referring Domains",'company tracker'!$1:$1,0),FALSE()),"")</f>
        <v/>
      </c>
      <c r="H295" s="1" t="str">
        <f aca="false">IFERROR(VLOOKUP(A295,'company tracker'!$a:$s,MATCH("Jun 2026 Referring Domains",'company tracker'!$1:$1,0),FALSE()),"")</f>
        <v/>
      </c>
    </row>
    <row r="296" customFormat="false" ht="15" hidden="false" customHeight="true" outlineLevel="0" collapsed="false">
      <c r="B296" s="1" t="str">
        <f aca="false">IFERROR(VLOOKUP(A296,'company tracker'!$a:$s,MATCH("Category",'company tracker'!$1:$1,0),FALSE()),"")</f>
        <v/>
      </c>
      <c r="C296" s="1" t="str">
        <f aca="false">IFERROR(VLOOKUP(A296,'Pass 1 Archive'!$A:$AD,MATCH("LinkedIn Employee Count",'Pass 1 Archive'!$1:$1,0),FALSE()),"")</f>
        <v/>
      </c>
      <c r="D296" s="1" t="str">
        <f aca="false">IFERROR(VLOOKUP(A296,'company tracker'!$a:$s,MATCH("Jan 2025 Traffic",'company tracker'!$1:$1,0),FALSE()),"")</f>
        <v/>
      </c>
      <c r="E296" s="1" t="str">
        <f aca="false">IFERROR(VLOOKUP(A296,'company tracker'!$a:$s,MATCH("Jun 2026 Traffic",'company tracker'!$1:$1,0),FALSE()),"")</f>
        <v/>
      </c>
      <c r="F296" s="1" t="str">
        <f aca="false">IFERROR(VLOOKUP(A296,'company tracker'!$a:$s,MATCH("Traffic % Change",'company tracker'!$1:$1,0),FALSE()),"")</f>
        <v/>
      </c>
      <c r="G296" s="1" t="str">
        <f aca="false">IFERROR(VLOOKUP(A296,'company tracker'!$a:$s,MATCH("Jan 2025 Referring Domains",'company tracker'!$1:$1,0),FALSE()),"")</f>
        <v/>
      </c>
      <c r="H296" s="1" t="str">
        <f aca="false">IFERROR(VLOOKUP(A296,'company tracker'!$a:$s,MATCH("Jun 2026 Referring Domains",'company tracker'!$1:$1,0),FALSE()),"")</f>
        <v/>
      </c>
    </row>
    <row r="297" customFormat="false" ht="15" hidden="false" customHeight="true" outlineLevel="0" collapsed="false">
      <c r="B297" s="1" t="str">
        <f aca="false">IFERROR(VLOOKUP(A297,'company tracker'!$a:$s,MATCH("Category",'company tracker'!$1:$1,0),FALSE()),"")</f>
        <v/>
      </c>
      <c r="C297" s="1" t="str">
        <f aca="false">IFERROR(VLOOKUP(A297,'Pass 1 Archive'!$A:$AD,MATCH("LinkedIn Employee Count",'Pass 1 Archive'!$1:$1,0),FALSE()),"")</f>
        <v/>
      </c>
      <c r="D297" s="1" t="str">
        <f aca="false">IFERROR(VLOOKUP(A297,'company tracker'!$a:$s,MATCH("Jan 2025 Traffic",'company tracker'!$1:$1,0),FALSE()),"")</f>
        <v/>
      </c>
      <c r="E297" s="1" t="str">
        <f aca="false">IFERROR(VLOOKUP(A297,'company tracker'!$a:$s,MATCH("Jun 2026 Traffic",'company tracker'!$1:$1,0),FALSE()),"")</f>
        <v/>
      </c>
      <c r="F297" s="1" t="str">
        <f aca="false">IFERROR(VLOOKUP(A297,'company tracker'!$a:$s,MATCH("Traffic % Change",'company tracker'!$1:$1,0),FALSE()),"")</f>
        <v/>
      </c>
      <c r="G297" s="1" t="str">
        <f aca="false">IFERROR(VLOOKUP(A297,'company tracker'!$a:$s,MATCH("Jan 2025 Referring Domains",'company tracker'!$1:$1,0),FALSE()),"")</f>
        <v/>
      </c>
      <c r="H297" s="1" t="str">
        <f aca="false">IFERROR(VLOOKUP(A297,'company tracker'!$a:$s,MATCH("Jun 2026 Referring Domains",'company tracker'!$1:$1,0),FALSE()),"")</f>
        <v/>
      </c>
    </row>
    <row r="298" customFormat="false" ht="15" hidden="false" customHeight="true" outlineLevel="0" collapsed="false">
      <c r="B298" s="1" t="str">
        <f aca="false">IFERROR(VLOOKUP(A298,'company tracker'!$a:$s,MATCH("Category",'company tracker'!$1:$1,0),FALSE()),"")</f>
        <v/>
      </c>
      <c r="C298" s="1" t="str">
        <f aca="false">IFERROR(VLOOKUP(A298,'Pass 1 Archive'!$A:$AD,MATCH("LinkedIn Employee Count",'Pass 1 Archive'!$1:$1,0),FALSE()),"")</f>
        <v/>
      </c>
      <c r="D298" s="1" t="str">
        <f aca="false">IFERROR(VLOOKUP(A298,'company tracker'!$a:$s,MATCH("Jan 2025 Traffic",'company tracker'!$1:$1,0),FALSE()),"")</f>
        <v/>
      </c>
      <c r="E298" s="1" t="str">
        <f aca="false">IFERROR(VLOOKUP(A298,'company tracker'!$a:$s,MATCH("Jun 2026 Traffic",'company tracker'!$1:$1,0),FALSE()),"")</f>
        <v/>
      </c>
      <c r="F298" s="1" t="str">
        <f aca="false">IFERROR(VLOOKUP(A298,'company tracker'!$a:$s,MATCH("Traffic % Change",'company tracker'!$1:$1,0),FALSE()),"")</f>
        <v/>
      </c>
      <c r="G298" s="1" t="str">
        <f aca="false">IFERROR(VLOOKUP(A298,'company tracker'!$a:$s,MATCH("Jan 2025 Referring Domains",'company tracker'!$1:$1,0),FALSE()),"")</f>
        <v/>
      </c>
      <c r="H298" s="1" t="str">
        <f aca="false">IFERROR(VLOOKUP(A298,'company tracker'!$a:$s,MATCH("Jun 2026 Referring Domains",'company tracker'!$1:$1,0),FALSE()),"")</f>
        <v/>
      </c>
    </row>
    <row r="299" customFormat="false" ht="15" hidden="false" customHeight="true" outlineLevel="0" collapsed="false">
      <c r="B299" s="1" t="str">
        <f aca="false">IFERROR(VLOOKUP(A299,'company tracker'!$a:$s,MATCH("Category",'company tracker'!$1:$1,0),FALSE()),"")</f>
        <v/>
      </c>
      <c r="C299" s="1" t="str">
        <f aca="false">IFERROR(VLOOKUP(A299,'Pass 1 Archive'!$A:$AD,MATCH("LinkedIn Employee Count",'Pass 1 Archive'!$1:$1,0),FALSE()),"")</f>
        <v/>
      </c>
      <c r="D299" s="1" t="str">
        <f aca="false">IFERROR(VLOOKUP(A299,'company tracker'!$a:$s,MATCH("Jan 2025 Traffic",'company tracker'!$1:$1,0),FALSE()),"")</f>
        <v/>
      </c>
      <c r="E299" s="1" t="str">
        <f aca="false">IFERROR(VLOOKUP(A299,'company tracker'!$a:$s,MATCH("Jun 2026 Traffic",'company tracker'!$1:$1,0),FALSE()),"")</f>
        <v/>
      </c>
      <c r="F299" s="1" t="str">
        <f aca="false">IFERROR(VLOOKUP(A299,'company tracker'!$a:$s,MATCH("Traffic % Change",'company tracker'!$1:$1,0),FALSE()),"")</f>
        <v/>
      </c>
      <c r="G299" s="1" t="str">
        <f aca="false">IFERROR(VLOOKUP(A299,'company tracker'!$a:$s,MATCH("Jan 2025 Referring Domains",'company tracker'!$1:$1,0),FALSE()),"")</f>
        <v/>
      </c>
      <c r="H299" s="1" t="str">
        <f aca="false">IFERROR(VLOOKUP(A299,'company tracker'!$a:$s,MATCH("Jun 2026 Referring Domains",'company tracker'!$1:$1,0),FALSE()),"")</f>
        <v/>
      </c>
    </row>
    <row r="300" customFormat="false" ht="15" hidden="false" customHeight="true" outlineLevel="0" collapsed="false">
      <c r="B300" s="1" t="str">
        <f aca="false">IFERROR(VLOOKUP(A300,'company tracker'!$a:$s,MATCH("Category",'company tracker'!$1:$1,0),FALSE()),"")</f>
        <v/>
      </c>
      <c r="C300" s="1" t="str">
        <f aca="false">IFERROR(VLOOKUP(A300,'Pass 1 Archive'!$A:$AD,MATCH("LinkedIn Employee Count",'Pass 1 Archive'!$1:$1,0),FALSE()),"")</f>
        <v/>
      </c>
      <c r="D300" s="1" t="str">
        <f aca="false">IFERROR(VLOOKUP(A300,'company tracker'!$a:$s,MATCH("Jan 2025 Traffic",'company tracker'!$1:$1,0),FALSE()),"")</f>
        <v/>
      </c>
      <c r="E300" s="1" t="str">
        <f aca="false">IFERROR(VLOOKUP(A300,'company tracker'!$a:$s,MATCH("Jun 2026 Traffic",'company tracker'!$1:$1,0),FALSE()),"")</f>
        <v/>
      </c>
      <c r="F300" s="1" t="str">
        <f aca="false">IFERROR(VLOOKUP(A300,'company tracker'!$a:$s,MATCH("Traffic % Change",'company tracker'!$1:$1,0),FALSE()),"")</f>
        <v/>
      </c>
      <c r="G300" s="1" t="str">
        <f aca="false">IFERROR(VLOOKUP(A300,'company tracker'!$a:$s,MATCH("Jan 2025 Referring Domains",'company tracker'!$1:$1,0),FALSE()),"")</f>
        <v/>
      </c>
      <c r="H300" s="1" t="str">
        <f aca="false">IFERROR(VLOOKUP(A300,'company tracker'!$a:$s,MATCH("Jun 2026 Referring Domains",'company tracker'!$1:$1,0),FALSE()),"")</f>
        <v/>
      </c>
    </row>
    <row r="301" customFormat="false" ht="15" hidden="false" customHeight="true" outlineLevel="0" collapsed="false">
      <c r="B301" s="1" t="str">
        <f aca="false">IFERROR(VLOOKUP(A301,'company tracker'!$a:$s,MATCH("Category",'company tracker'!$1:$1,0),FALSE()),"")</f>
        <v/>
      </c>
      <c r="C301" s="1" t="str">
        <f aca="false">IFERROR(VLOOKUP(A301,'Pass 1 Archive'!$A:$AD,MATCH("LinkedIn Employee Count",'Pass 1 Archive'!$1:$1,0),FALSE()),"")</f>
        <v/>
      </c>
      <c r="D301" s="1" t="str">
        <f aca="false">IFERROR(VLOOKUP(A301,'company tracker'!$a:$s,MATCH("Jan 2025 Traffic",'company tracker'!$1:$1,0),FALSE()),"")</f>
        <v/>
      </c>
      <c r="E301" s="1" t="str">
        <f aca="false">IFERROR(VLOOKUP(A301,'company tracker'!$a:$s,MATCH("Jun 2026 Traffic",'company tracker'!$1:$1,0),FALSE()),"")</f>
        <v/>
      </c>
      <c r="F301" s="1" t="str">
        <f aca="false">IFERROR(VLOOKUP(A301,'company tracker'!$a:$s,MATCH("Traffic % Change",'company tracker'!$1:$1,0),FALSE()),"")</f>
        <v/>
      </c>
      <c r="G301" s="1" t="str">
        <f aca="false">IFERROR(VLOOKUP(A301,'company tracker'!$a:$s,MATCH("Jan 2025 Referring Domains",'company tracker'!$1:$1,0),FALSE()),"")</f>
        <v/>
      </c>
      <c r="H301" s="1" t="str">
        <f aca="false">IFERROR(VLOOKUP(A301,'company tracker'!$a:$s,MATCH("Jun 2026 Referring Domains",'company tracker'!$1:$1,0),FALSE()),"")</f>
        <v/>
      </c>
    </row>
    <row r="302" customFormat="false" ht="15" hidden="false" customHeight="true" outlineLevel="0" collapsed="false">
      <c r="B302" s="1" t="str">
        <f aca="false">IFERROR(VLOOKUP(A302,'company tracker'!$a:$s,MATCH("Category",'company tracker'!$1:$1,0),FALSE()),"")</f>
        <v/>
      </c>
      <c r="C302" s="1" t="str">
        <f aca="false">IFERROR(VLOOKUP(A302,'Pass 1 Archive'!$A:$AD,MATCH("LinkedIn Employee Count",'Pass 1 Archive'!$1:$1,0),FALSE()),"")</f>
        <v/>
      </c>
      <c r="D302" s="1" t="str">
        <f aca="false">IFERROR(VLOOKUP(A302,'company tracker'!$a:$s,MATCH("Jan 2025 Traffic",'company tracker'!$1:$1,0),FALSE()),"")</f>
        <v/>
      </c>
      <c r="E302" s="1" t="str">
        <f aca="false">IFERROR(VLOOKUP(A302,'company tracker'!$a:$s,MATCH("Jun 2026 Traffic",'company tracker'!$1:$1,0),FALSE()),"")</f>
        <v/>
      </c>
      <c r="F302" s="1" t="str">
        <f aca="false">IFERROR(VLOOKUP(A302,'company tracker'!$a:$s,MATCH("Traffic % Change",'company tracker'!$1:$1,0),FALSE()),"")</f>
        <v/>
      </c>
      <c r="G302" s="1" t="str">
        <f aca="false">IFERROR(VLOOKUP(A302,'company tracker'!$a:$s,MATCH("Jan 2025 Referring Domains",'company tracker'!$1:$1,0),FALSE()),"")</f>
        <v/>
      </c>
      <c r="H302" s="1" t="str">
        <f aca="false">IFERROR(VLOOKUP(A302,'company tracker'!$a:$s,MATCH("Jun 2026 Referring Domains",'company tracker'!$1:$1,0),FALSE()),"")</f>
        <v/>
      </c>
    </row>
    <row r="303" customFormat="false" ht="15" hidden="false" customHeight="true" outlineLevel="0" collapsed="false">
      <c r="B303" s="1" t="str">
        <f aca="false">IFERROR(VLOOKUP(A303,'company tracker'!$a:$s,MATCH("Category",'company tracker'!$1:$1,0),FALSE()),"")</f>
        <v/>
      </c>
      <c r="C303" s="1" t="str">
        <f aca="false">IFERROR(VLOOKUP(A303,'Pass 1 Archive'!$A:$AD,MATCH("LinkedIn Employee Count",'Pass 1 Archive'!$1:$1,0),FALSE()),"")</f>
        <v/>
      </c>
      <c r="D303" s="1" t="str">
        <f aca="false">IFERROR(VLOOKUP(A303,'company tracker'!$a:$s,MATCH("Jan 2025 Traffic",'company tracker'!$1:$1,0),FALSE()),"")</f>
        <v/>
      </c>
      <c r="E303" s="1" t="str">
        <f aca="false">IFERROR(VLOOKUP(A303,'company tracker'!$a:$s,MATCH("Jun 2026 Traffic",'company tracker'!$1:$1,0),FALSE()),"")</f>
        <v/>
      </c>
      <c r="F303" s="1" t="str">
        <f aca="false">IFERROR(VLOOKUP(A303,'company tracker'!$a:$s,MATCH("Traffic % Change",'company tracker'!$1:$1,0),FALSE()),"")</f>
        <v/>
      </c>
      <c r="G303" s="1" t="str">
        <f aca="false">IFERROR(VLOOKUP(A303,'company tracker'!$a:$s,MATCH("Jan 2025 Referring Domains",'company tracker'!$1:$1,0),FALSE()),"")</f>
        <v/>
      </c>
      <c r="H303" s="1" t="str">
        <f aca="false">IFERROR(VLOOKUP(A303,'company tracker'!$a:$s,MATCH("Jun 2026 Referring Domains",'company tracker'!$1:$1,0),FALSE()),"")</f>
        <v/>
      </c>
    </row>
    <row r="304" customFormat="false" ht="15" hidden="false" customHeight="true" outlineLevel="0" collapsed="false">
      <c r="B304" s="1" t="str">
        <f aca="false">IFERROR(VLOOKUP(A304,'company tracker'!$a:$s,MATCH("Category",'company tracker'!$1:$1,0),FALSE()),"")</f>
        <v/>
      </c>
      <c r="C304" s="1" t="str">
        <f aca="false">IFERROR(VLOOKUP(A304,'Pass 1 Archive'!$A:$AD,MATCH("LinkedIn Employee Count",'Pass 1 Archive'!$1:$1,0),FALSE()),"")</f>
        <v/>
      </c>
      <c r="D304" s="1" t="str">
        <f aca="false">IFERROR(VLOOKUP(A304,'company tracker'!$a:$s,MATCH("Jan 2025 Traffic",'company tracker'!$1:$1,0),FALSE()),"")</f>
        <v/>
      </c>
      <c r="E304" s="1" t="str">
        <f aca="false">IFERROR(VLOOKUP(A304,'company tracker'!$a:$s,MATCH("Jun 2026 Traffic",'company tracker'!$1:$1,0),FALSE()),"")</f>
        <v/>
      </c>
      <c r="F304" s="1" t="str">
        <f aca="false">IFERROR(VLOOKUP(A304,'company tracker'!$a:$s,MATCH("Traffic % Change",'company tracker'!$1:$1,0),FALSE()),"")</f>
        <v/>
      </c>
      <c r="G304" s="1" t="str">
        <f aca="false">IFERROR(VLOOKUP(A304,'company tracker'!$a:$s,MATCH("Jan 2025 Referring Domains",'company tracker'!$1:$1,0),FALSE()),"")</f>
        <v/>
      </c>
      <c r="H304" s="1" t="str">
        <f aca="false">IFERROR(VLOOKUP(A304,'company tracker'!$a:$s,MATCH("Jun 2026 Referring Domains",'company tracker'!$1:$1,0),FALSE()),"")</f>
        <v/>
      </c>
    </row>
    <row r="305" customFormat="false" ht="15" hidden="false" customHeight="true" outlineLevel="0" collapsed="false">
      <c r="B305" s="1" t="str">
        <f aca="false">IFERROR(VLOOKUP(A305,'company tracker'!$a:$s,MATCH("Category",'company tracker'!$1:$1,0),FALSE()),"")</f>
        <v/>
      </c>
      <c r="C305" s="1" t="str">
        <f aca="false">IFERROR(VLOOKUP(A305,'Pass 1 Archive'!$A:$AD,MATCH("LinkedIn Employee Count",'Pass 1 Archive'!$1:$1,0),FALSE()),"")</f>
        <v/>
      </c>
      <c r="D305" s="1" t="str">
        <f aca="false">IFERROR(VLOOKUP(A305,'company tracker'!$a:$s,MATCH("Jan 2025 Traffic",'company tracker'!$1:$1,0),FALSE()),"")</f>
        <v/>
      </c>
      <c r="E305" s="1" t="str">
        <f aca="false">IFERROR(VLOOKUP(A305,'company tracker'!$a:$s,MATCH("Jun 2026 Traffic",'company tracker'!$1:$1,0),FALSE()),"")</f>
        <v/>
      </c>
      <c r="F305" s="1" t="str">
        <f aca="false">IFERROR(VLOOKUP(A305,'company tracker'!$a:$s,MATCH("Traffic % Change",'company tracker'!$1:$1,0),FALSE()),"")</f>
        <v/>
      </c>
      <c r="G305" s="1" t="str">
        <f aca="false">IFERROR(VLOOKUP(A305,'company tracker'!$a:$s,MATCH("Jan 2025 Referring Domains",'company tracker'!$1:$1,0),FALSE()),"")</f>
        <v/>
      </c>
      <c r="H305" s="1" t="str">
        <f aca="false">IFERROR(VLOOKUP(A305,'company tracker'!$a:$s,MATCH("Jun 2026 Referring Domains",'company tracker'!$1:$1,0),FALSE()),"")</f>
        <v/>
      </c>
    </row>
    <row r="306" customFormat="false" ht="15" hidden="false" customHeight="true" outlineLevel="0" collapsed="false">
      <c r="B306" s="1" t="str">
        <f aca="false">IFERROR(VLOOKUP(A306,'company tracker'!$a:$s,MATCH("Category",'company tracker'!$1:$1,0),FALSE()),"")</f>
        <v/>
      </c>
      <c r="C306" s="1" t="str">
        <f aca="false">IFERROR(VLOOKUP(A306,'Pass 1 Archive'!$A:$AD,MATCH("LinkedIn Employee Count",'Pass 1 Archive'!$1:$1,0),FALSE()),"")</f>
        <v/>
      </c>
      <c r="D306" s="1" t="str">
        <f aca="false">IFERROR(VLOOKUP(A306,'company tracker'!$a:$s,MATCH("Jan 2025 Traffic",'company tracker'!$1:$1,0),FALSE()),"")</f>
        <v/>
      </c>
      <c r="E306" s="1" t="str">
        <f aca="false">IFERROR(VLOOKUP(A306,'company tracker'!$a:$s,MATCH("Jun 2026 Traffic",'company tracker'!$1:$1,0),FALSE()),"")</f>
        <v/>
      </c>
      <c r="F306" s="1" t="str">
        <f aca="false">IFERROR(VLOOKUP(A306,'company tracker'!$a:$s,MATCH("Traffic % Change",'company tracker'!$1:$1,0),FALSE()),"")</f>
        <v/>
      </c>
      <c r="G306" s="1" t="str">
        <f aca="false">IFERROR(VLOOKUP(A306,'company tracker'!$a:$s,MATCH("Jan 2025 Referring Domains",'company tracker'!$1:$1,0),FALSE()),"")</f>
        <v/>
      </c>
      <c r="H306" s="1" t="str">
        <f aca="false">IFERROR(VLOOKUP(A306,'company tracker'!$a:$s,MATCH("Jun 2026 Referring Domains",'company tracker'!$1:$1,0),FALSE()),"")</f>
        <v/>
      </c>
    </row>
    <row r="307" customFormat="false" ht="15" hidden="false" customHeight="true" outlineLevel="0" collapsed="false">
      <c r="B307" s="1" t="str">
        <f aca="false">IFERROR(VLOOKUP(A307,'company tracker'!$a:$s,MATCH("Category",'company tracker'!$1:$1,0),FALSE()),"")</f>
        <v/>
      </c>
      <c r="C307" s="1" t="str">
        <f aca="false">IFERROR(VLOOKUP(A307,'Pass 1 Archive'!$A:$AD,MATCH("LinkedIn Employee Count",'Pass 1 Archive'!$1:$1,0),FALSE()),"")</f>
        <v/>
      </c>
      <c r="D307" s="1" t="str">
        <f aca="false">IFERROR(VLOOKUP(A307,'company tracker'!$a:$s,MATCH("Jan 2025 Traffic",'company tracker'!$1:$1,0),FALSE()),"")</f>
        <v/>
      </c>
      <c r="E307" s="1" t="str">
        <f aca="false">IFERROR(VLOOKUP(A307,'company tracker'!$a:$s,MATCH("Jun 2026 Traffic",'company tracker'!$1:$1,0),FALSE()),"")</f>
        <v/>
      </c>
      <c r="F307" s="1" t="str">
        <f aca="false">IFERROR(VLOOKUP(A307,'company tracker'!$a:$s,MATCH("Traffic % Change",'company tracker'!$1:$1,0),FALSE()),"")</f>
        <v/>
      </c>
      <c r="G307" s="1" t="str">
        <f aca="false">IFERROR(VLOOKUP(A307,'company tracker'!$a:$s,MATCH("Jan 2025 Referring Domains",'company tracker'!$1:$1,0),FALSE()),"")</f>
        <v/>
      </c>
      <c r="H307" s="1" t="str">
        <f aca="false">IFERROR(VLOOKUP(A307,'company tracker'!$a:$s,MATCH("Jun 2026 Referring Domains",'company tracker'!$1:$1,0),FALSE()),"")</f>
        <v/>
      </c>
    </row>
    <row r="308" customFormat="false" ht="15" hidden="false" customHeight="true" outlineLevel="0" collapsed="false">
      <c r="B308" s="1" t="str">
        <f aca="false">IFERROR(VLOOKUP(A308,'company tracker'!$a:$s,MATCH("Category",'company tracker'!$1:$1,0),FALSE()),"")</f>
        <v/>
      </c>
      <c r="C308" s="1" t="str">
        <f aca="false">IFERROR(VLOOKUP(A308,'Pass 1 Archive'!$A:$AD,MATCH("LinkedIn Employee Count",'Pass 1 Archive'!$1:$1,0),FALSE()),"")</f>
        <v/>
      </c>
      <c r="D308" s="1" t="str">
        <f aca="false">IFERROR(VLOOKUP(A308,'company tracker'!$a:$s,MATCH("Jan 2025 Traffic",'company tracker'!$1:$1,0),FALSE()),"")</f>
        <v/>
      </c>
      <c r="E308" s="1" t="str">
        <f aca="false">IFERROR(VLOOKUP(A308,'company tracker'!$a:$s,MATCH("Jun 2026 Traffic",'company tracker'!$1:$1,0),FALSE()),"")</f>
        <v/>
      </c>
      <c r="F308" s="1" t="str">
        <f aca="false">IFERROR(VLOOKUP(A308,'company tracker'!$a:$s,MATCH("Traffic % Change",'company tracker'!$1:$1,0),FALSE()),"")</f>
        <v/>
      </c>
      <c r="G308" s="1" t="str">
        <f aca="false">IFERROR(VLOOKUP(A308,'company tracker'!$a:$s,MATCH("Jan 2025 Referring Domains",'company tracker'!$1:$1,0),FALSE()),"")</f>
        <v/>
      </c>
      <c r="H308" s="1" t="str">
        <f aca="false">IFERROR(VLOOKUP(A308,'company tracker'!$a:$s,MATCH("Jun 2026 Referring Domains",'company tracker'!$1:$1,0),FALSE()),"")</f>
        <v/>
      </c>
    </row>
    <row r="309" customFormat="false" ht="15" hidden="false" customHeight="true" outlineLevel="0" collapsed="false">
      <c r="B309" s="1" t="str">
        <f aca="false">IFERROR(VLOOKUP(A309,'company tracker'!$a:$s,MATCH("Category",'company tracker'!$1:$1,0),FALSE()),"")</f>
        <v/>
      </c>
      <c r="C309" s="1" t="str">
        <f aca="false">IFERROR(VLOOKUP(A309,'Pass 1 Archive'!$A:$AD,MATCH("LinkedIn Employee Count",'Pass 1 Archive'!$1:$1,0),FALSE()),"")</f>
        <v/>
      </c>
      <c r="D309" s="1" t="str">
        <f aca="false">IFERROR(VLOOKUP(A309,'company tracker'!$a:$s,MATCH("Jan 2025 Traffic",'company tracker'!$1:$1,0),FALSE()),"")</f>
        <v/>
      </c>
      <c r="E309" s="1" t="str">
        <f aca="false">IFERROR(VLOOKUP(A309,'company tracker'!$a:$s,MATCH("Jun 2026 Traffic",'company tracker'!$1:$1,0),FALSE()),"")</f>
        <v/>
      </c>
      <c r="F309" s="1" t="str">
        <f aca="false">IFERROR(VLOOKUP(A309,'company tracker'!$a:$s,MATCH("Traffic % Change",'company tracker'!$1:$1,0),FALSE()),"")</f>
        <v/>
      </c>
      <c r="G309" s="1" t="str">
        <f aca="false">IFERROR(VLOOKUP(A309,'company tracker'!$a:$s,MATCH("Jan 2025 Referring Domains",'company tracker'!$1:$1,0),FALSE()),"")</f>
        <v/>
      </c>
      <c r="H309" s="1" t="str">
        <f aca="false">IFERROR(VLOOKUP(A309,'company tracker'!$a:$s,MATCH("Jun 2026 Referring Domains",'company tracker'!$1:$1,0),FALSE()),"")</f>
        <v/>
      </c>
    </row>
    <row r="310" customFormat="false" ht="15" hidden="false" customHeight="true" outlineLevel="0" collapsed="false">
      <c r="B310" s="1" t="str">
        <f aca="false">IFERROR(VLOOKUP(A310,'company tracker'!$a:$s,MATCH("Category",'company tracker'!$1:$1,0),FALSE()),"")</f>
        <v/>
      </c>
      <c r="C310" s="1" t="str">
        <f aca="false">IFERROR(VLOOKUP(A310,'Pass 1 Archive'!$A:$AD,MATCH("LinkedIn Employee Count",'Pass 1 Archive'!$1:$1,0),FALSE()),"")</f>
        <v/>
      </c>
      <c r="D310" s="1" t="str">
        <f aca="false">IFERROR(VLOOKUP(A310,'company tracker'!$a:$s,MATCH("Jan 2025 Traffic",'company tracker'!$1:$1,0),FALSE()),"")</f>
        <v/>
      </c>
      <c r="E310" s="1" t="str">
        <f aca="false">IFERROR(VLOOKUP(A310,'company tracker'!$a:$s,MATCH("Jun 2026 Traffic",'company tracker'!$1:$1,0),FALSE()),"")</f>
        <v/>
      </c>
      <c r="F310" s="1" t="str">
        <f aca="false">IFERROR(VLOOKUP(A310,'company tracker'!$a:$s,MATCH("Traffic % Change",'company tracker'!$1:$1,0),FALSE()),"")</f>
        <v/>
      </c>
      <c r="G310" s="1" t="str">
        <f aca="false">IFERROR(VLOOKUP(A310,'company tracker'!$a:$s,MATCH("Jan 2025 Referring Domains",'company tracker'!$1:$1,0),FALSE()),"")</f>
        <v/>
      </c>
      <c r="H310" s="1" t="str">
        <f aca="false">IFERROR(VLOOKUP(A310,'company tracker'!$a:$s,MATCH("Jun 2026 Referring Domains",'company tracker'!$1:$1,0),FALSE()),"")</f>
        <v/>
      </c>
    </row>
    <row r="311" customFormat="false" ht="15" hidden="false" customHeight="true" outlineLevel="0" collapsed="false">
      <c r="B311" s="1" t="str">
        <f aca="false">IFERROR(VLOOKUP(A311,'company tracker'!$a:$s,MATCH("Category",'company tracker'!$1:$1,0),FALSE()),"")</f>
        <v/>
      </c>
      <c r="C311" s="1" t="str">
        <f aca="false">IFERROR(VLOOKUP(A311,'Pass 1 Archive'!$A:$AD,MATCH("LinkedIn Employee Count",'Pass 1 Archive'!$1:$1,0),FALSE()),"")</f>
        <v/>
      </c>
      <c r="D311" s="1" t="str">
        <f aca="false">IFERROR(VLOOKUP(A311,'company tracker'!$a:$s,MATCH("Jan 2025 Traffic",'company tracker'!$1:$1,0),FALSE()),"")</f>
        <v/>
      </c>
      <c r="E311" s="1" t="str">
        <f aca="false">IFERROR(VLOOKUP(A311,'company tracker'!$a:$s,MATCH("Jun 2026 Traffic",'company tracker'!$1:$1,0),FALSE()),"")</f>
        <v/>
      </c>
      <c r="F311" s="1" t="str">
        <f aca="false">IFERROR(VLOOKUP(A311,'company tracker'!$a:$s,MATCH("Traffic % Change",'company tracker'!$1:$1,0),FALSE()),"")</f>
        <v/>
      </c>
      <c r="G311" s="1" t="str">
        <f aca="false">IFERROR(VLOOKUP(A311,'company tracker'!$a:$s,MATCH("Jan 2025 Referring Domains",'company tracker'!$1:$1,0),FALSE()),"")</f>
        <v/>
      </c>
      <c r="H311" s="1" t="str">
        <f aca="false">IFERROR(VLOOKUP(A311,'company tracker'!$a:$s,MATCH("Jun 2026 Referring Domains",'company tracker'!$1:$1,0),FALSE()),"")</f>
        <v/>
      </c>
    </row>
    <row r="312" customFormat="false" ht="15" hidden="false" customHeight="true" outlineLevel="0" collapsed="false">
      <c r="B312" s="1" t="str">
        <f aca="false">IFERROR(VLOOKUP(A312,'company tracker'!$a:$s,MATCH("Category",'company tracker'!$1:$1,0),FALSE()),"")</f>
        <v/>
      </c>
      <c r="C312" s="1" t="str">
        <f aca="false">IFERROR(VLOOKUP(A312,'Pass 1 Archive'!$A:$AD,MATCH("LinkedIn Employee Count",'Pass 1 Archive'!$1:$1,0),FALSE()),"")</f>
        <v/>
      </c>
      <c r="D312" s="1" t="str">
        <f aca="false">IFERROR(VLOOKUP(A312,'company tracker'!$a:$s,MATCH("Jan 2025 Traffic",'company tracker'!$1:$1,0),FALSE()),"")</f>
        <v/>
      </c>
      <c r="E312" s="1" t="str">
        <f aca="false">IFERROR(VLOOKUP(A312,'company tracker'!$a:$s,MATCH("Jun 2026 Traffic",'company tracker'!$1:$1,0),FALSE()),"")</f>
        <v/>
      </c>
      <c r="F312" s="1" t="str">
        <f aca="false">IFERROR(VLOOKUP(A312,'company tracker'!$a:$s,MATCH("Traffic % Change",'company tracker'!$1:$1,0),FALSE()),"")</f>
        <v/>
      </c>
      <c r="G312" s="1" t="str">
        <f aca="false">IFERROR(VLOOKUP(A312,'company tracker'!$a:$s,MATCH("Jan 2025 Referring Domains",'company tracker'!$1:$1,0),FALSE()),"")</f>
        <v/>
      </c>
      <c r="H312" s="1" t="str">
        <f aca="false">IFERROR(VLOOKUP(A312,'company tracker'!$a:$s,MATCH("Jun 2026 Referring Domains",'company tracker'!$1:$1,0),FALSE()),"")</f>
        <v/>
      </c>
    </row>
    <row r="313" customFormat="false" ht="15" hidden="false" customHeight="true" outlineLevel="0" collapsed="false">
      <c r="B313" s="1" t="str">
        <f aca="false">IFERROR(VLOOKUP(A313,'company tracker'!$a:$s,MATCH("Category",'company tracker'!$1:$1,0),FALSE()),"")</f>
        <v/>
      </c>
      <c r="C313" s="1" t="str">
        <f aca="false">IFERROR(VLOOKUP(A313,'Pass 1 Archive'!$A:$AD,MATCH("LinkedIn Employee Count",'Pass 1 Archive'!$1:$1,0),FALSE()),"")</f>
        <v/>
      </c>
      <c r="D313" s="1" t="str">
        <f aca="false">IFERROR(VLOOKUP(A313,'company tracker'!$a:$s,MATCH("Jan 2025 Traffic",'company tracker'!$1:$1,0),FALSE()),"")</f>
        <v/>
      </c>
      <c r="E313" s="1" t="str">
        <f aca="false">IFERROR(VLOOKUP(A313,'company tracker'!$a:$s,MATCH("Jun 2026 Traffic",'company tracker'!$1:$1,0),FALSE()),"")</f>
        <v/>
      </c>
      <c r="F313" s="1" t="str">
        <f aca="false">IFERROR(VLOOKUP(A313,'company tracker'!$a:$s,MATCH("Traffic % Change",'company tracker'!$1:$1,0),FALSE()),"")</f>
        <v/>
      </c>
      <c r="G313" s="1" t="str">
        <f aca="false">IFERROR(VLOOKUP(A313,'company tracker'!$a:$s,MATCH("Jan 2025 Referring Domains",'company tracker'!$1:$1,0),FALSE()),"")</f>
        <v/>
      </c>
      <c r="H313" s="1" t="str">
        <f aca="false">IFERROR(VLOOKUP(A313,'company tracker'!$a:$s,MATCH("Jun 2026 Referring Domains",'company tracker'!$1:$1,0),FALSE()),"")</f>
        <v/>
      </c>
    </row>
    <row r="314" customFormat="false" ht="15" hidden="false" customHeight="true" outlineLevel="0" collapsed="false">
      <c r="B314" s="1" t="str">
        <f aca="false">IFERROR(VLOOKUP(A314,'company tracker'!$a:$s,MATCH("Category",'company tracker'!$1:$1,0),FALSE()),"")</f>
        <v/>
      </c>
      <c r="C314" s="1" t="str">
        <f aca="false">IFERROR(VLOOKUP(A314,'Pass 1 Archive'!$A:$AD,MATCH("LinkedIn Employee Count",'Pass 1 Archive'!$1:$1,0),FALSE()),"")</f>
        <v/>
      </c>
      <c r="D314" s="1" t="str">
        <f aca="false">IFERROR(VLOOKUP(A314,'company tracker'!$a:$s,MATCH("Jan 2025 Traffic",'company tracker'!$1:$1,0),FALSE()),"")</f>
        <v/>
      </c>
      <c r="E314" s="1" t="str">
        <f aca="false">IFERROR(VLOOKUP(A314,'company tracker'!$a:$s,MATCH("Jun 2026 Traffic",'company tracker'!$1:$1,0),FALSE()),"")</f>
        <v/>
      </c>
      <c r="F314" s="1" t="str">
        <f aca="false">IFERROR(VLOOKUP(A314,'company tracker'!$a:$s,MATCH("Traffic % Change",'company tracker'!$1:$1,0),FALSE()),"")</f>
        <v/>
      </c>
      <c r="G314" s="1" t="str">
        <f aca="false">IFERROR(VLOOKUP(A314,'company tracker'!$a:$s,MATCH("Jan 2025 Referring Domains",'company tracker'!$1:$1,0),FALSE()),"")</f>
        <v/>
      </c>
      <c r="H314" s="1" t="str">
        <f aca="false">IFERROR(VLOOKUP(A314,'company tracker'!$a:$s,MATCH("Jun 2026 Referring Domains",'company tracker'!$1:$1,0),FALSE()),"")</f>
        <v/>
      </c>
    </row>
    <row r="315" customFormat="false" ht="15" hidden="false" customHeight="true" outlineLevel="0" collapsed="false">
      <c r="B315" s="1" t="str">
        <f aca="false">IFERROR(VLOOKUP(A315,'company tracker'!$a:$s,MATCH("Category",'company tracker'!$1:$1,0),FALSE()),"")</f>
        <v/>
      </c>
      <c r="C315" s="1" t="str">
        <f aca="false">IFERROR(VLOOKUP(A315,'Pass 1 Archive'!$A:$AD,MATCH("LinkedIn Employee Count",'Pass 1 Archive'!$1:$1,0),FALSE()),"")</f>
        <v/>
      </c>
      <c r="D315" s="1" t="str">
        <f aca="false">IFERROR(VLOOKUP(A315,'company tracker'!$a:$s,MATCH("Jan 2025 Traffic",'company tracker'!$1:$1,0),FALSE()),"")</f>
        <v/>
      </c>
      <c r="E315" s="1" t="str">
        <f aca="false">IFERROR(VLOOKUP(A315,'company tracker'!$a:$s,MATCH("Jun 2026 Traffic",'company tracker'!$1:$1,0),FALSE()),"")</f>
        <v/>
      </c>
      <c r="F315" s="1" t="str">
        <f aca="false">IFERROR(VLOOKUP(A315,'company tracker'!$a:$s,MATCH("Traffic % Change",'company tracker'!$1:$1,0),FALSE()),"")</f>
        <v/>
      </c>
      <c r="G315" s="1" t="str">
        <f aca="false">IFERROR(VLOOKUP(A315,'company tracker'!$a:$s,MATCH("Jan 2025 Referring Domains",'company tracker'!$1:$1,0),FALSE()),"")</f>
        <v/>
      </c>
      <c r="H315" s="1" t="str">
        <f aca="false">IFERROR(VLOOKUP(A315,'company tracker'!$a:$s,MATCH("Jun 2026 Referring Domains",'company tracker'!$1:$1,0),FALSE()),"")</f>
        <v/>
      </c>
    </row>
    <row r="316" customFormat="false" ht="15" hidden="false" customHeight="true" outlineLevel="0" collapsed="false">
      <c r="B316" s="1" t="str">
        <f aca="false">IFERROR(VLOOKUP(A316,'company tracker'!$a:$s,MATCH("Category",'company tracker'!$1:$1,0),FALSE()),"")</f>
        <v/>
      </c>
      <c r="C316" s="1" t="str">
        <f aca="false">IFERROR(VLOOKUP(A316,'Pass 1 Archive'!$A:$AD,MATCH("LinkedIn Employee Count",'Pass 1 Archive'!$1:$1,0),FALSE()),"")</f>
        <v/>
      </c>
      <c r="D316" s="1" t="str">
        <f aca="false">IFERROR(VLOOKUP(A316,'company tracker'!$a:$s,MATCH("Jan 2025 Traffic",'company tracker'!$1:$1,0),FALSE()),"")</f>
        <v/>
      </c>
      <c r="E316" s="1" t="str">
        <f aca="false">IFERROR(VLOOKUP(A316,'company tracker'!$a:$s,MATCH("Jun 2026 Traffic",'company tracker'!$1:$1,0),FALSE()),"")</f>
        <v/>
      </c>
      <c r="F316" s="1" t="str">
        <f aca="false">IFERROR(VLOOKUP(A316,'company tracker'!$a:$s,MATCH("Traffic % Change",'company tracker'!$1:$1,0),FALSE()),"")</f>
        <v/>
      </c>
      <c r="G316" s="1" t="str">
        <f aca="false">IFERROR(VLOOKUP(A316,'company tracker'!$a:$s,MATCH("Jan 2025 Referring Domains",'company tracker'!$1:$1,0),FALSE()),"")</f>
        <v/>
      </c>
      <c r="H316" s="1" t="str">
        <f aca="false">IFERROR(VLOOKUP(A316,'company tracker'!$a:$s,MATCH("Jun 2026 Referring Domains",'company tracker'!$1:$1,0),FALSE()),"")</f>
        <v/>
      </c>
    </row>
    <row r="317" customFormat="false" ht="15" hidden="false" customHeight="true" outlineLevel="0" collapsed="false">
      <c r="B317" s="1" t="str">
        <f aca="false">IFERROR(VLOOKUP(A317,'company tracker'!$a:$s,MATCH("Category",'company tracker'!$1:$1,0),FALSE()),"")</f>
        <v/>
      </c>
      <c r="C317" s="1" t="str">
        <f aca="false">IFERROR(VLOOKUP(A317,'Pass 1 Archive'!$A:$AD,MATCH("LinkedIn Employee Count",'Pass 1 Archive'!$1:$1,0),FALSE()),"")</f>
        <v/>
      </c>
      <c r="D317" s="1" t="str">
        <f aca="false">IFERROR(VLOOKUP(A317,'company tracker'!$a:$s,MATCH("Jan 2025 Traffic",'company tracker'!$1:$1,0),FALSE()),"")</f>
        <v/>
      </c>
      <c r="E317" s="1" t="str">
        <f aca="false">IFERROR(VLOOKUP(A317,'company tracker'!$a:$s,MATCH("Jun 2026 Traffic",'company tracker'!$1:$1,0),FALSE()),"")</f>
        <v/>
      </c>
      <c r="F317" s="1" t="str">
        <f aca="false">IFERROR(VLOOKUP(A317,'company tracker'!$a:$s,MATCH("Traffic % Change",'company tracker'!$1:$1,0),FALSE()),"")</f>
        <v/>
      </c>
      <c r="G317" s="1" t="str">
        <f aca="false">IFERROR(VLOOKUP(A317,'company tracker'!$a:$s,MATCH("Jan 2025 Referring Domains",'company tracker'!$1:$1,0),FALSE()),"")</f>
        <v/>
      </c>
      <c r="H317" s="1" t="str">
        <f aca="false">IFERROR(VLOOKUP(A317,'company tracker'!$a:$s,MATCH("Jun 2026 Referring Domains",'company tracker'!$1:$1,0),FALSE()),"")</f>
        <v/>
      </c>
    </row>
    <row r="318" customFormat="false" ht="15" hidden="false" customHeight="true" outlineLevel="0" collapsed="false">
      <c r="B318" s="1" t="str">
        <f aca="false">IFERROR(VLOOKUP(A318,'company tracker'!$a:$s,MATCH("Category",'company tracker'!$1:$1,0),FALSE()),"")</f>
        <v/>
      </c>
      <c r="C318" s="1" t="str">
        <f aca="false">IFERROR(VLOOKUP(A318,'Pass 1 Archive'!$A:$AD,MATCH("LinkedIn Employee Count",'Pass 1 Archive'!$1:$1,0),FALSE()),"")</f>
        <v/>
      </c>
      <c r="D318" s="1" t="str">
        <f aca="false">IFERROR(VLOOKUP(A318,'company tracker'!$a:$s,MATCH("Jan 2025 Traffic",'company tracker'!$1:$1,0),FALSE()),"")</f>
        <v/>
      </c>
      <c r="E318" s="1" t="str">
        <f aca="false">IFERROR(VLOOKUP(A318,'company tracker'!$a:$s,MATCH("Jun 2026 Traffic",'company tracker'!$1:$1,0),FALSE()),"")</f>
        <v/>
      </c>
      <c r="F318" s="1" t="str">
        <f aca="false">IFERROR(VLOOKUP(A318,'company tracker'!$a:$s,MATCH("Traffic % Change",'company tracker'!$1:$1,0),FALSE()),"")</f>
        <v/>
      </c>
      <c r="G318" s="1" t="str">
        <f aca="false">IFERROR(VLOOKUP(A318,'company tracker'!$a:$s,MATCH("Jan 2025 Referring Domains",'company tracker'!$1:$1,0),FALSE()),"")</f>
        <v/>
      </c>
      <c r="H318" s="1" t="str">
        <f aca="false">IFERROR(VLOOKUP(A318,'company tracker'!$a:$s,MATCH("Jun 2026 Referring Domains",'company tracker'!$1:$1,0),FALSE()),"")</f>
        <v/>
      </c>
    </row>
    <row r="319" customFormat="false" ht="15" hidden="false" customHeight="true" outlineLevel="0" collapsed="false">
      <c r="B319" s="1" t="str">
        <f aca="false">IFERROR(VLOOKUP(A319,'company tracker'!$a:$s,MATCH("Category",'company tracker'!$1:$1,0),FALSE()),"")</f>
        <v/>
      </c>
      <c r="C319" s="1" t="str">
        <f aca="false">IFERROR(VLOOKUP(A319,'Pass 1 Archive'!$A:$AD,MATCH("LinkedIn Employee Count",'Pass 1 Archive'!$1:$1,0),FALSE()),"")</f>
        <v/>
      </c>
      <c r="D319" s="1" t="str">
        <f aca="false">IFERROR(VLOOKUP(A319,'company tracker'!$a:$s,MATCH("Jan 2025 Traffic",'company tracker'!$1:$1,0),FALSE()),"")</f>
        <v/>
      </c>
      <c r="E319" s="1" t="str">
        <f aca="false">IFERROR(VLOOKUP(A319,'company tracker'!$a:$s,MATCH("Jun 2026 Traffic",'company tracker'!$1:$1,0),FALSE()),"")</f>
        <v/>
      </c>
      <c r="F319" s="1" t="str">
        <f aca="false">IFERROR(VLOOKUP(A319,'company tracker'!$a:$s,MATCH("Traffic % Change",'company tracker'!$1:$1,0),FALSE()),"")</f>
        <v/>
      </c>
      <c r="G319" s="1" t="str">
        <f aca="false">IFERROR(VLOOKUP(A319,'company tracker'!$a:$s,MATCH("Jan 2025 Referring Domains",'company tracker'!$1:$1,0),FALSE()),"")</f>
        <v/>
      </c>
      <c r="H319" s="1" t="str">
        <f aca="false">IFERROR(VLOOKUP(A319,'company tracker'!$a:$s,MATCH("Jun 2026 Referring Domains",'company tracker'!$1:$1,0),FALSE()),"")</f>
        <v/>
      </c>
    </row>
    <row r="320" customFormat="false" ht="15" hidden="false" customHeight="true" outlineLevel="0" collapsed="false">
      <c r="B320" s="1" t="str">
        <f aca="false">IFERROR(VLOOKUP(A320,'company tracker'!$a:$s,MATCH("Category",'company tracker'!$1:$1,0),FALSE()),"")</f>
        <v/>
      </c>
      <c r="C320" s="1" t="str">
        <f aca="false">IFERROR(VLOOKUP(A320,'Pass 1 Archive'!$A:$AD,MATCH("LinkedIn Employee Count",'Pass 1 Archive'!$1:$1,0),FALSE()),"")</f>
        <v/>
      </c>
      <c r="D320" s="1" t="str">
        <f aca="false">IFERROR(VLOOKUP(A320,'company tracker'!$a:$s,MATCH("Jan 2025 Traffic",'company tracker'!$1:$1,0),FALSE()),"")</f>
        <v/>
      </c>
      <c r="E320" s="1" t="str">
        <f aca="false">IFERROR(VLOOKUP(A320,'company tracker'!$a:$s,MATCH("Jun 2026 Traffic",'company tracker'!$1:$1,0),FALSE()),"")</f>
        <v/>
      </c>
      <c r="F320" s="1" t="str">
        <f aca="false">IFERROR(VLOOKUP(A320,'company tracker'!$a:$s,MATCH("Traffic % Change",'company tracker'!$1:$1,0),FALSE()),"")</f>
        <v/>
      </c>
      <c r="G320" s="1" t="str">
        <f aca="false">IFERROR(VLOOKUP(A320,'company tracker'!$a:$s,MATCH("Jan 2025 Referring Domains",'company tracker'!$1:$1,0),FALSE()),"")</f>
        <v/>
      </c>
      <c r="H320" s="1" t="str">
        <f aca="false">IFERROR(VLOOKUP(A320,'company tracker'!$a:$s,MATCH("Jun 2026 Referring Domains",'company tracker'!$1:$1,0),FALSE()),"")</f>
        <v/>
      </c>
    </row>
    <row r="321" customFormat="false" ht="15" hidden="false" customHeight="true" outlineLevel="0" collapsed="false">
      <c r="B321" s="1" t="str">
        <f aca="false">IFERROR(VLOOKUP(A321,'company tracker'!$a:$s,MATCH("Category",'company tracker'!$1:$1,0),FALSE()),"")</f>
        <v/>
      </c>
      <c r="C321" s="1" t="str">
        <f aca="false">IFERROR(VLOOKUP(A321,'Pass 1 Archive'!$A:$AD,MATCH("LinkedIn Employee Count",'Pass 1 Archive'!$1:$1,0),FALSE()),"")</f>
        <v/>
      </c>
      <c r="D321" s="1" t="str">
        <f aca="false">IFERROR(VLOOKUP(A321,'company tracker'!$a:$s,MATCH("Jan 2025 Traffic",'company tracker'!$1:$1,0),FALSE()),"")</f>
        <v/>
      </c>
      <c r="E321" s="1" t="str">
        <f aca="false">IFERROR(VLOOKUP(A321,'company tracker'!$a:$s,MATCH("Jun 2026 Traffic",'company tracker'!$1:$1,0),FALSE()),"")</f>
        <v/>
      </c>
      <c r="F321" s="1" t="str">
        <f aca="false">IFERROR(VLOOKUP(A321,'company tracker'!$a:$s,MATCH("Traffic % Change",'company tracker'!$1:$1,0),FALSE()),"")</f>
        <v/>
      </c>
      <c r="G321" s="1" t="str">
        <f aca="false">IFERROR(VLOOKUP(A321,'company tracker'!$a:$s,MATCH("Jan 2025 Referring Domains",'company tracker'!$1:$1,0),FALSE()),"")</f>
        <v/>
      </c>
      <c r="H321" s="1" t="str">
        <f aca="false">IFERROR(VLOOKUP(A321,'company tracker'!$a:$s,MATCH("Jun 2026 Referring Domains",'company tracker'!$1:$1,0),FALSE()),"")</f>
        <v/>
      </c>
    </row>
    <row r="322" customFormat="false" ht="15" hidden="false" customHeight="true" outlineLevel="0" collapsed="false">
      <c r="B322" s="1" t="str">
        <f aca="false">IFERROR(VLOOKUP(A322,'company tracker'!$a:$s,MATCH("Category",'company tracker'!$1:$1,0),FALSE()),"")</f>
        <v/>
      </c>
      <c r="C322" s="1" t="str">
        <f aca="false">IFERROR(VLOOKUP(A322,'Pass 1 Archive'!$A:$AD,MATCH("LinkedIn Employee Count",'Pass 1 Archive'!$1:$1,0),FALSE()),"")</f>
        <v/>
      </c>
      <c r="D322" s="1" t="str">
        <f aca="false">IFERROR(VLOOKUP(A322,'company tracker'!$a:$s,MATCH("Jan 2025 Traffic",'company tracker'!$1:$1,0),FALSE()),"")</f>
        <v/>
      </c>
      <c r="E322" s="1" t="str">
        <f aca="false">IFERROR(VLOOKUP(A322,'company tracker'!$a:$s,MATCH("Jun 2026 Traffic",'company tracker'!$1:$1,0),FALSE()),"")</f>
        <v/>
      </c>
      <c r="F322" s="1" t="str">
        <f aca="false">IFERROR(VLOOKUP(A322,'company tracker'!$a:$s,MATCH("Traffic % Change",'company tracker'!$1:$1,0),FALSE()),"")</f>
        <v/>
      </c>
      <c r="G322" s="1" t="str">
        <f aca="false">IFERROR(VLOOKUP(A322,'company tracker'!$a:$s,MATCH("Jan 2025 Referring Domains",'company tracker'!$1:$1,0),FALSE()),"")</f>
        <v/>
      </c>
      <c r="H322" s="1" t="str">
        <f aca="false">IFERROR(VLOOKUP(A322,'company tracker'!$a:$s,MATCH("Jun 2026 Referring Domains",'company tracker'!$1:$1,0),FALSE()),"")</f>
        <v/>
      </c>
    </row>
    <row r="323" customFormat="false" ht="15" hidden="false" customHeight="true" outlineLevel="0" collapsed="false">
      <c r="B323" s="1" t="str">
        <f aca="false">IFERROR(VLOOKUP(A323,'company tracker'!$a:$s,MATCH("Category",'company tracker'!$1:$1,0),FALSE()),"")</f>
        <v/>
      </c>
      <c r="C323" s="1" t="str">
        <f aca="false">IFERROR(VLOOKUP(A323,'Pass 1 Archive'!$A:$AD,MATCH("LinkedIn Employee Count",'Pass 1 Archive'!$1:$1,0),FALSE()),"")</f>
        <v/>
      </c>
      <c r="D323" s="1" t="str">
        <f aca="false">IFERROR(VLOOKUP(A323,'company tracker'!$a:$s,MATCH("Jan 2025 Traffic",'company tracker'!$1:$1,0),FALSE()),"")</f>
        <v/>
      </c>
      <c r="E323" s="1" t="str">
        <f aca="false">IFERROR(VLOOKUP(A323,'company tracker'!$a:$s,MATCH("Jun 2026 Traffic",'company tracker'!$1:$1,0),FALSE()),"")</f>
        <v/>
      </c>
      <c r="F323" s="1" t="str">
        <f aca="false">IFERROR(VLOOKUP(A323,'company tracker'!$a:$s,MATCH("Traffic % Change",'company tracker'!$1:$1,0),FALSE()),"")</f>
        <v/>
      </c>
      <c r="G323" s="1" t="str">
        <f aca="false">IFERROR(VLOOKUP(A323,'company tracker'!$a:$s,MATCH("Jan 2025 Referring Domains",'company tracker'!$1:$1,0),FALSE()),"")</f>
        <v/>
      </c>
      <c r="H323" s="1" t="str">
        <f aca="false">IFERROR(VLOOKUP(A323,'company tracker'!$a:$s,MATCH("Jun 2026 Referring Domains",'company tracker'!$1:$1,0),FALSE()),"")</f>
        <v/>
      </c>
    </row>
    <row r="324" customFormat="false" ht="15" hidden="false" customHeight="true" outlineLevel="0" collapsed="false">
      <c r="B324" s="1" t="str">
        <f aca="false">IFERROR(VLOOKUP(A324,'company tracker'!$a:$s,MATCH("Category",'company tracker'!$1:$1,0),FALSE()),"")</f>
        <v/>
      </c>
      <c r="C324" s="1" t="str">
        <f aca="false">IFERROR(VLOOKUP(A324,'Pass 1 Archive'!$A:$AD,MATCH("LinkedIn Employee Count",'Pass 1 Archive'!$1:$1,0),FALSE()),"")</f>
        <v/>
      </c>
      <c r="D324" s="1" t="str">
        <f aca="false">IFERROR(VLOOKUP(A324,'company tracker'!$a:$s,MATCH("Jan 2025 Traffic",'company tracker'!$1:$1,0),FALSE()),"")</f>
        <v/>
      </c>
      <c r="E324" s="1" t="str">
        <f aca="false">IFERROR(VLOOKUP(A324,'company tracker'!$a:$s,MATCH("Jun 2026 Traffic",'company tracker'!$1:$1,0),FALSE()),"")</f>
        <v/>
      </c>
      <c r="F324" s="1" t="str">
        <f aca="false">IFERROR(VLOOKUP(A324,'company tracker'!$a:$s,MATCH("Traffic % Change",'company tracker'!$1:$1,0),FALSE()),"")</f>
        <v/>
      </c>
      <c r="G324" s="1" t="str">
        <f aca="false">IFERROR(VLOOKUP(A324,'company tracker'!$a:$s,MATCH("Jan 2025 Referring Domains",'company tracker'!$1:$1,0),FALSE()),"")</f>
        <v/>
      </c>
      <c r="H324" s="1" t="str">
        <f aca="false">IFERROR(VLOOKUP(A324,'company tracker'!$a:$s,MATCH("Jun 2026 Referring Domains",'company tracker'!$1:$1,0),FALSE()),"")</f>
        <v/>
      </c>
    </row>
    <row r="325" customFormat="false" ht="15" hidden="false" customHeight="true" outlineLevel="0" collapsed="false">
      <c r="B325" s="1" t="str">
        <f aca="false">IFERROR(VLOOKUP(A325,'company tracker'!$a:$s,MATCH("Category",'company tracker'!$1:$1,0),FALSE()),"")</f>
        <v/>
      </c>
      <c r="C325" s="1" t="str">
        <f aca="false">IFERROR(VLOOKUP(A325,'Pass 1 Archive'!$A:$AD,MATCH("LinkedIn Employee Count",'Pass 1 Archive'!$1:$1,0),FALSE()),"")</f>
        <v/>
      </c>
      <c r="D325" s="1" t="str">
        <f aca="false">IFERROR(VLOOKUP(A325,'company tracker'!$a:$s,MATCH("Jan 2025 Traffic",'company tracker'!$1:$1,0),FALSE()),"")</f>
        <v/>
      </c>
      <c r="E325" s="1" t="str">
        <f aca="false">IFERROR(VLOOKUP(A325,'company tracker'!$a:$s,MATCH("Jun 2026 Traffic",'company tracker'!$1:$1,0),FALSE()),"")</f>
        <v/>
      </c>
      <c r="F325" s="1" t="str">
        <f aca="false">IFERROR(VLOOKUP(A325,'company tracker'!$a:$s,MATCH("Traffic % Change",'company tracker'!$1:$1,0),FALSE()),"")</f>
        <v/>
      </c>
      <c r="G325" s="1" t="str">
        <f aca="false">IFERROR(VLOOKUP(A325,'company tracker'!$a:$s,MATCH("Jan 2025 Referring Domains",'company tracker'!$1:$1,0),FALSE()),"")</f>
        <v/>
      </c>
      <c r="H325" s="1" t="str">
        <f aca="false">IFERROR(VLOOKUP(A325,'company tracker'!$a:$s,MATCH("Jun 2026 Referring Domains",'company tracker'!$1:$1,0),FALSE()),"")</f>
        <v/>
      </c>
    </row>
    <row r="326" customFormat="false" ht="15" hidden="false" customHeight="true" outlineLevel="0" collapsed="false">
      <c r="B326" s="1" t="str">
        <f aca="false">IFERROR(VLOOKUP(A326,'company tracker'!$a:$s,MATCH("Category",'company tracker'!$1:$1,0),FALSE()),"")</f>
        <v/>
      </c>
      <c r="C326" s="1" t="str">
        <f aca="false">IFERROR(VLOOKUP(A326,'Pass 1 Archive'!$A:$AD,MATCH("LinkedIn Employee Count",'Pass 1 Archive'!$1:$1,0),FALSE()),"")</f>
        <v/>
      </c>
      <c r="D326" s="1" t="str">
        <f aca="false">IFERROR(VLOOKUP(A326,'company tracker'!$a:$s,MATCH("Jan 2025 Traffic",'company tracker'!$1:$1,0),FALSE()),"")</f>
        <v/>
      </c>
      <c r="E326" s="1" t="str">
        <f aca="false">IFERROR(VLOOKUP(A326,'company tracker'!$a:$s,MATCH("Jun 2026 Traffic",'company tracker'!$1:$1,0),FALSE()),"")</f>
        <v/>
      </c>
      <c r="F326" s="1" t="str">
        <f aca="false">IFERROR(VLOOKUP(A326,'company tracker'!$a:$s,MATCH("Traffic % Change",'company tracker'!$1:$1,0),FALSE()),"")</f>
        <v/>
      </c>
      <c r="G326" s="1" t="str">
        <f aca="false">IFERROR(VLOOKUP(A326,'company tracker'!$a:$s,MATCH("Jan 2025 Referring Domains",'company tracker'!$1:$1,0),FALSE()),"")</f>
        <v/>
      </c>
      <c r="H326" s="1" t="str">
        <f aca="false">IFERROR(VLOOKUP(A326,'company tracker'!$a:$s,MATCH("Jun 2026 Referring Domains",'company tracker'!$1:$1,0),FALSE()),"")</f>
        <v/>
      </c>
    </row>
    <row r="327" customFormat="false" ht="15" hidden="false" customHeight="true" outlineLevel="0" collapsed="false">
      <c r="B327" s="1" t="str">
        <f aca="false">IFERROR(VLOOKUP(A327,'company tracker'!$a:$s,MATCH("Category",'company tracker'!$1:$1,0),FALSE()),"")</f>
        <v/>
      </c>
      <c r="C327" s="1" t="str">
        <f aca="false">IFERROR(VLOOKUP(A327,'Pass 1 Archive'!$A:$AD,MATCH("LinkedIn Employee Count",'Pass 1 Archive'!$1:$1,0),FALSE()),"")</f>
        <v/>
      </c>
      <c r="D327" s="1" t="str">
        <f aca="false">IFERROR(VLOOKUP(A327,'company tracker'!$a:$s,MATCH("Jan 2025 Traffic",'company tracker'!$1:$1,0),FALSE()),"")</f>
        <v/>
      </c>
      <c r="E327" s="1" t="str">
        <f aca="false">IFERROR(VLOOKUP(A327,'company tracker'!$a:$s,MATCH("Jun 2026 Traffic",'company tracker'!$1:$1,0),FALSE()),"")</f>
        <v/>
      </c>
      <c r="F327" s="1" t="str">
        <f aca="false">IFERROR(VLOOKUP(A327,'company tracker'!$a:$s,MATCH("Traffic % Change",'company tracker'!$1:$1,0),FALSE()),"")</f>
        <v/>
      </c>
      <c r="G327" s="1" t="str">
        <f aca="false">IFERROR(VLOOKUP(A327,'company tracker'!$a:$s,MATCH("Jan 2025 Referring Domains",'company tracker'!$1:$1,0),FALSE()),"")</f>
        <v/>
      </c>
      <c r="H327" s="1" t="str">
        <f aca="false">IFERROR(VLOOKUP(A327,'company tracker'!$a:$s,MATCH("Jun 2026 Referring Domains",'company tracker'!$1:$1,0),FALSE()),"")</f>
        <v/>
      </c>
    </row>
    <row r="328" customFormat="false" ht="15" hidden="false" customHeight="true" outlineLevel="0" collapsed="false">
      <c r="B328" s="1" t="str">
        <f aca="false">IFERROR(VLOOKUP(A328,'company tracker'!$a:$s,MATCH("Category",'company tracker'!$1:$1,0),FALSE()),"")</f>
        <v/>
      </c>
      <c r="C328" s="1" t="str">
        <f aca="false">IFERROR(VLOOKUP(A328,'Pass 1 Archive'!$A:$AD,MATCH("LinkedIn Employee Count",'Pass 1 Archive'!$1:$1,0),FALSE()),"")</f>
        <v/>
      </c>
      <c r="D328" s="1" t="str">
        <f aca="false">IFERROR(VLOOKUP(A328,'company tracker'!$a:$s,MATCH("Jan 2025 Traffic",'company tracker'!$1:$1,0),FALSE()),"")</f>
        <v/>
      </c>
      <c r="E328" s="1" t="str">
        <f aca="false">IFERROR(VLOOKUP(A328,'company tracker'!$a:$s,MATCH("Jun 2026 Traffic",'company tracker'!$1:$1,0),FALSE()),"")</f>
        <v/>
      </c>
      <c r="F328" s="1" t="str">
        <f aca="false">IFERROR(VLOOKUP(A328,'company tracker'!$a:$s,MATCH("Traffic % Change",'company tracker'!$1:$1,0),FALSE()),"")</f>
        <v/>
      </c>
      <c r="G328" s="1" t="str">
        <f aca="false">IFERROR(VLOOKUP(A328,'company tracker'!$a:$s,MATCH("Jan 2025 Referring Domains",'company tracker'!$1:$1,0),FALSE()),"")</f>
        <v/>
      </c>
      <c r="H328" s="1" t="str">
        <f aca="false">IFERROR(VLOOKUP(A328,'company tracker'!$a:$s,MATCH("Jun 2026 Referring Domains",'company tracker'!$1:$1,0),FALSE()),"")</f>
        <v/>
      </c>
    </row>
    <row r="329" customFormat="false" ht="15" hidden="false" customHeight="true" outlineLevel="0" collapsed="false">
      <c r="B329" s="1" t="str">
        <f aca="false">IFERROR(VLOOKUP(A329,'company tracker'!$a:$s,MATCH("Category",'company tracker'!$1:$1,0),FALSE()),"")</f>
        <v/>
      </c>
      <c r="C329" s="1" t="str">
        <f aca="false">IFERROR(VLOOKUP(A329,'Pass 1 Archive'!$A:$AD,MATCH("LinkedIn Employee Count",'Pass 1 Archive'!$1:$1,0),FALSE()),"")</f>
        <v/>
      </c>
      <c r="D329" s="1" t="str">
        <f aca="false">IFERROR(VLOOKUP(A329,'company tracker'!$a:$s,MATCH("Jan 2025 Traffic",'company tracker'!$1:$1,0),FALSE()),"")</f>
        <v/>
      </c>
      <c r="E329" s="1" t="str">
        <f aca="false">IFERROR(VLOOKUP(A329,'company tracker'!$a:$s,MATCH("Jun 2026 Traffic",'company tracker'!$1:$1,0),FALSE()),"")</f>
        <v/>
      </c>
      <c r="F329" s="1" t="str">
        <f aca="false">IFERROR(VLOOKUP(A329,'company tracker'!$a:$s,MATCH("Traffic % Change",'company tracker'!$1:$1,0),FALSE()),"")</f>
        <v/>
      </c>
      <c r="G329" s="1" t="str">
        <f aca="false">IFERROR(VLOOKUP(A329,'company tracker'!$a:$s,MATCH("Jan 2025 Referring Domains",'company tracker'!$1:$1,0),FALSE()),"")</f>
        <v/>
      </c>
      <c r="H329" s="1" t="str">
        <f aca="false">IFERROR(VLOOKUP(A329,'company tracker'!$a:$s,MATCH("Jun 2026 Referring Domains",'company tracker'!$1:$1,0),FALSE()),"")</f>
        <v/>
      </c>
    </row>
    <row r="330" customFormat="false" ht="15" hidden="false" customHeight="true" outlineLevel="0" collapsed="false">
      <c r="B330" s="1" t="str">
        <f aca="false">IFERROR(VLOOKUP(A330,'company tracker'!$a:$s,MATCH("Category",'company tracker'!$1:$1,0),FALSE()),"")</f>
        <v/>
      </c>
      <c r="C330" s="1" t="str">
        <f aca="false">IFERROR(VLOOKUP(A330,'Pass 1 Archive'!$A:$AD,MATCH("LinkedIn Employee Count",'Pass 1 Archive'!$1:$1,0),FALSE()),"")</f>
        <v/>
      </c>
      <c r="D330" s="1" t="str">
        <f aca="false">IFERROR(VLOOKUP(A330,'company tracker'!$a:$s,MATCH("Jan 2025 Traffic",'company tracker'!$1:$1,0),FALSE()),"")</f>
        <v/>
      </c>
      <c r="E330" s="1" t="str">
        <f aca="false">IFERROR(VLOOKUP(A330,'company tracker'!$a:$s,MATCH("Jun 2026 Traffic",'company tracker'!$1:$1,0),FALSE()),"")</f>
        <v/>
      </c>
      <c r="F330" s="1" t="str">
        <f aca="false">IFERROR(VLOOKUP(A330,'company tracker'!$a:$s,MATCH("Traffic % Change",'company tracker'!$1:$1,0),FALSE()),"")</f>
        <v/>
      </c>
      <c r="G330" s="1" t="str">
        <f aca="false">IFERROR(VLOOKUP(A330,'company tracker'!$a:$s,MATCH("Jan 2025 Referring Domains",'company tracker'!$1:$1,0),FALSE()),"")</f>
        <v/>
      </c>
      <c r="H330" s="1" t="str">
        <f aca="false">IFERROR(VLOOKUP(A330,'company tracker'!$a:$s,MATCH("Jun 2026 Referring Domains",'company tracker'!$1:$1,0),FALSE()),"")</f>
        <v/>
      </c>
    </row>
    <row r="331" customFormat="false" ht="15" hidden="false" customHeight="true" outlineLevel="0" collapsed="false">
      <c r="B331" s="1" t="str">
        <f aca="false">IFERROR(VLOOKUP(A331,'company tracker'!$a:$s,MATCH("Category",'company tracker'!$1:$1,0),FALSE()),"")</f>
        <v/>
      </c>
      <c r="C331" s="1" t="str">
        <f aca="false">IFERROR(VLOOKUP(A331,'Pass 1 Archive'!$A:$AD,MATCH("LinkedIn Employee Count",'Pass 1 Archive'!$1:$1,0),FALSE()),"")</f>
        <v/>
      </c>
      <c r="D331" s="1" t="str">
        <f aca="false">IFERROR(VLOOKUP(A331,'company tracker'!$a:$s,MATCH("Jan 2025 Traffic",'company tracker'!$1:$1,0),FALSE()),"")</f>
        <v/>
      </c>
      <c r="E331" s="1" t="str">
        <f aca="false">IFERROR(VLOOKUP(A331,'company tracker'!$a:$s,MATCH("Jun 2026 Traffic",'company tracker'!$1:$1,0),FALSE()),"")</f>
        <v/>
      </c>
      <c r="F331" s="1" t="str">
        <f aca="false">IFERROR(VLOOKUP(A331,'company tracker'!$a:$s,MATCH("Traffic % Change",'company tracker'!$1:$1,0),FALSE()),"")</f>
        <v/>
      </c>
      <c r="G331" s="1" t="str">
        <f aca="false">IFERROR(VLOOKUP(A331,'company tracker'!$a:$s,MATCH("Jan 2025 Referring Domains",'company tracker'!$1:$1,0),FALSE()),"")</f>
        <v/>
      </c>
      <c r="H331" s="1" t="str">
        <f aca="false">IFERROR(VLOOKUP(A331,'company tracker'!$a:$s,MATCH("Jun 2026 Referring Domains",'company tracker'!$1:$1,0),FALSE()),"")</f>
        <v/>
      </c>
    </row>
    <row r="332" customFormat="false" ht="15" hidden="false" customHeight="true" outlineLevel="0" collapsed="false">
      <c r="B332" s="1" t="str">
        <f aca="false">IFERROR(VLOOKUP(A332,'company tracker'!$a:$s,MATCH("Category",'company tracker'!$1:$1,0),FALSE()),"")</f>
        <v/>
      </c>
      <c r="C332" s="1" t="str">
        <f aca="false">IFERROR(VLOOKUP(A332,'Pass 1 Archive'!$A:$AD,MATCH("LinkedIn Employee Count",'Pass 1 Archive'!$1:$1,0),FALSE()),"")</f>
        <v/>
      </c>
      <c r="D332" s="1" t="str">
        <f aca="false">IFERROR(VLOOKUP(A332,'company tracker'!$a:$s,MATCH("Jan 2025 Traffic",'company tracker'!$1:$1,0),FALSE()),"")</f>
        <v/>
      </c>
      <c r="E332" s="1" t="str">
        <f aca="false">IFERROR(VLOOKUP(A332,'company tracker'!$a:$s,MATCH("Jun 2026 Traffic",'company tracker'!$1:$1,0),FALSE()),"")</f>
        <v/>
      </c>
      <c r="F332" s="1" t="str">
        <f aca="false">IFERROR(VLOOKUP(A332,'company tracker'!$a:$s,MATCH("Traffic % Change",'company tracker'!$1:$1,0),FALSE()),"")</f>
        <v/>
      </c>
      <c r="G332" s="1" t="str">
        <f aca="false">IFERROR(VLOOKUP(A332,'company tracker'!$a:$s,MATCH("Jan 2025 Referring Domains",'company tracker'!$1:$1,0),FALSE()),"")</f>
        <v/>
      </c>
      <c r="H332" s="1" t="str">
        <f aca="false">IFERROR(VLOOKUP(A332,'company tracker'!$a:$s,MATCH("Jun 2026 Referring Domains",'company tracker'!$1:$1,0),FALSE()),"")</f>
        <v/>
      </c>
    </row>
    <row r="333" customFormat="false" ht="15" hidden="false" customHeight="true" outlineLevel="0" collapsed="false">
      <c r="B333" s="1" t="str">
        <f aca="false">IFERROR(VLOOKUP(A333,'company tracker'!$a:$s,MATCH("Category",'company tracker'!$1:$1,0),FALSE()),"")</f>
        <v/>
      </c>
      <c r="C333" s="1" t="str">
        <f aca="false">IFERROR(VLOOKUP(A333,'Pass 1 Archive'!$A:$AD,MATCH("LinkedIn Employee Count",'Pass 1 Archive'!$1:$1,0),FALSE()),"")</f>
        <v/>
      </c>
      <c r="D333" s="1" t="str">
        <f aca="false">IFERROR(VLOOKUP(A333,'company tracker'!$a:$s,MATCH("Jan 2025 Traffic",'company tracker'!$1:$1,0),FALSE()),"")</f>
        <v/>
      </c>
      <c r="E333" s="1" t="str">
        <f aca="false">IFERROR(VLOOKUP(A333,'company tracker'!$a:$s,MATCH("Jun 2026 Traffic",'company tracker'!$1:$1,0),FALSE()),"")</f>
        <v/>
      </c>
      <c r="F333" s="1" t="str">
        <f aca="false">IFERROR(VLOOKUP(A333,'company tracker'!$a:$s,MATCH("Traffic % Change",'company tracker'!$1:$1,0),FALSE()),"")</f>
        <v/>
      </c>
      <c r="G333" s="1" t="str">
        <f aca="false">IFERROR(VLOOKUP(A333,'company tracker'!$a:$s,MATCH("Jan 2025 Referring Domains",'company tracker'!$1:$1,0),FALSE()),"")</f>
        <v/>
      </c>
      <c r="H333" s="1" t="str">
        <f aca="false">IFERROR(VLOOKUP(A333,'company tracker'!$a:$s,MATCH("Jun 2026 Referring Domains",'company tracker'!$1:$1,0),FALSE()),"")</f>
        <v/>
      </c>
    </row>
    <row r="334" customFormat="false" ht="15" hidden="false" customHeight="true" outlineLevel="0" collapsed="false">
      <c r="B334" s="1" t="str">
        <f aca="false">IFERROR(VLOOKUP(A334,'company tracker'!$a:$s,MATCH("Category",'company tracker'!$1:$1,0),FALSE()),"")</f>
        <v/>
      </c>
      <c r="C334" s="1" t="str">
        <f aca="false">IFERROR(VLOOKUP(A334,'Pass 1 Archive'!$A:$AD,MATCH("LinkedIn Employee Count",'Pass 1 Archive'!$1:$1,0),FALSE()),"")</f>
        <v/>
      </c>
      <c r="D334" s="1" t="str">
        <f aca="false">IFERROR(VLOOKUP(A334,'company tracker'!$a:$s,MATCH("Jan 2025 Traffic",'company tracker'!$1:$1,0),FALSE()),"")</f>
        <v/>
      </c>
      <c r="E334" s="1" t="str">
        <f aca="false">IFERROR(VLOOKUP(A334,'company tracker'!$a:$s,MATCH("Jun 2026 Traffic",'company tracker'!$1:$1,0),FALSE()),"")</f>
        <v/>
      </c>
      <c r="F334" s="1" t="str">
        <f aca="false">IFERROR(VLOOKUP(A334,'company tracker'!$a:$s,MATCH("Traffic % Change",'company tracker'!$1:$1,0),FALSE()),"")</f>
        <v/>
      </c>
      <c r="G334" s="1" t="str">
        <f aca="false">IFERROR(VLOOKUP(A334,'company tracker'!$a:$s,MATCH("Jan 2025 Referring Domains",'company tracker'!$1:$1,0),FALSE()),"")</f>
        <v/>
      </c>
      <c r="H334" s="1" t="str">
        <f aca="false">IFERROR(VLOOKUP(A334,'company tracker'!$a:$s,MATCH("Jun 2026 Referring Domains",'company tracker'!$1:$1,0),FALSE()),"")</f>
        <v/>
      </c>
    </row>
    <row r="335" customFormat="false" ht="15" hidden="false" customHeight="true" outlineLevel="0" collapsed="false">
      <c r="B335" s="1" t="str">
        <f aca="false">IFERROR(VLOOKUP(A335,'company tracker'!$a:$s,MATCH("Category",'company tracker'!$1:$1,0),FALSE()),"")</f>
        <v/>
      </c>
      <c r="C335" s="1" t="str">
        <f aca="false">IFERROR(VLOOKUP(A335,'Pass 1 Archive'!$A:$AD,MATCH("LinkedIn Employee Count",'Pass 1 Archive'!$1:$1,0),FALSE()),"")</f>
        <v/>
      </c>
      <c r="D335" s="1" t="str">
        <f aca="false">IFERROR(VLOOKUP(A335,'company tracker'!$a:$s,MATCH("Jan 2025 Traffic",'company tracker'!$1:$1,0),FALSE()),"")</f>
        <v/>
      </c>
      <c r="E335" s="1" t="str">
        <f aca="false">IFERROR(VLOOKUP(A335,'company tracker'!$a:$s,MATCH("Jun 2026 Traffic",'company tracker'!$1:$1,0),FALSE()),"")</f>
        <v/>
      </c>
      <c r="F335" s="1" t="str">
        <f aca="false">IFERROR(VLOOKUP(A335,'company tracker'!$a:$s,MATCH("Traffic % Change",'company tracker'!$1:$1,0),FALSE()),"")</f>
        <v/>
      </c>
      <c r="G335" s="1" t="str">
        <f aca="false">IFERROR(VLOOKUP(A335,'company tracker'!$a:$s,MATCH("Jan 2025 Referring Domains",'company tracker'!$1:$1,0),FALSE()),"")</f>
        <v/>
      </c>
      <c r="H335" s="1" t="str">
        <f aca="false">IFERROR(VLOOKUP(A335,'company tracker'!$a:$s,MATCH("Jun 2026 Referring Domains",'company tracker'!$1:$1,0),FALSE()),"")</f>
        <v/>
      </c>
    </row>
    <row r="336" customFormat="false" ht="15" hidden="false" customHeight="true" outlineLevel="0" collapsed="false">
      <c r="B336" s="1" t="str">
        <f aca="false">IFERROR(VLOOKUP(A336,'company tracker'!$a:$s,MATCH("Category",'company tracker'!$1:$1,0),FALSE()),"")</f>
        <v/>
      </c>
      <c r="C336" s="1" t="str">
        <f aca="false">IFERROR(VLOOKUP(A336,'Pass 1 Archive'!$A:$AD,MATCH("LinkedIn Employee Count",'Pass 1 Archive'!$1:$1,0),FALSE()),"")</f>
        <v/>
      </c>
      <c r="D336" s="1" t="str">
        <f aca="false">IFERROR(VLOOKUP(A336,'company tracker'!$a:$s,MATCH("Jan 2025 Traffic",'company tracker'!$1:$1,0),FALSE()),"")</f>
        <v/>
      </c>
      <c r="E336" s="1" t="str">
        <f aca="false">IFERROR(VLOOKUP(A336,'company tracker'!$a:$s,MATCH("Jun 2026 Traffic",'company tracker'!$1:$1,0),FALSE()),"")</f>
        <v/>
      </c>
      <c r="F336" s="1" t="str">
        <f aca="false">IFERROR(VLOOKUP(A336,'company tracker'!$a:$s,MATCH("Traffic % Change",'company tracker'!$1:$1,0),FALSE()),"")</f>
        <v/>
      </c>
      <c r="G336" s="1" t="str">
        <f aca="false">IFERROR(VLOOKUP(A336,'company tracker'!$a:$s,MATCH("Jan 2025 Referring Domains",'company tracker'!$1:$1,0),FALSE()),"")</f>
        <v/>
      </c>
      <c r="H336" s="1" t="str">
        <f aca="false">IFERROR(VLOOKUP(A336,'company tracker'!$a:$s,MATCH("Jun 2026 Referring Domains",'company tracker'!$1:$1,0),FALSE()),"")</f>
        <v/>
      </c>
    </row>
    <row r="337" customFormat="false" ht="15" hidden="false" customHeight="true" outlineLevel="0" collapsed="false">
      <c r="B337" s="1" t="str">
        <f aca="false">IFERROR(VLOOKUP(A337,'company tracker'!$a:$s,MATCH("Category",'company tracker'!$1:$1,0),FALSE()),"")</f>
        <v/>
      </c>
      <c r="C337" s="1" t="str">
        <f aca="false">IFERROR(VLOOKUP(A337,'Pass 1 Archive'!$A:$AD,MATCH("LinkedIn Employee Count",'Pass 1 Archive'!$1:$1,0),FALSE()),"")</f>
        <v/>
      </c>
      <c r="D337" s="1" t="str">
        <f aca="false">IFERROR(VLOOKUP(A337,'company tracker'!$a:$s,MATCH("Jan 2025 Traffic",'company tracker'!$1:$1,0),FALSE()),"")</f>
        <v/>
      </c>
      <c r="E337" s="1" t="str">
        <f aca="false">IFERROR(VLOOKUP(A337,'company tracker'!$a:$s,MATCH("Jun 2026 Traffic",'company tracker'!$1:$1,0),FALSE()),"")</f>
        <v/>
      </c>
      <c r="F337" s="1" t="str">
        <f aca="false">IFERROR(VLOOKUP(A337,'company tracker'!$a:$s,MATCH("Traffic % Change",'company tracker'!$1:$1,0),FALSE()),"")</f>
        <v/>
      </c>
      <c r="G337" s="1" t="str">
        <f aca="false">IFERROR(VLOOKUP(A337,'company tracker'!$a:$s,MATCH("Jan 2025 Referring Domains",'company tracker'!$1:$1,0),FALSE()),"")</f>
        <v/>
      </c>
      <c r="H337" s="1" t="str">
        <f aca="false">IFERROR(VLOOKUP(A337,'company tracker'!$a:$s,MATCH("Jun 2026 Referring Domains",'company tracker'!$1:$1,0),FALSE()),"")</f>
        <v/>
      </c>
    </row>
    <row r="338" customFormat="false" ht="15" hidden="false" customHeight="true" outlineLevel="0" collapsed="false">
      <c r="B338" s="1" t="str">
        <f aca="false">IFERROR(VLOOKUP(A338,'company tracker'!$a:$s,MATCH("Category",'company tracker'!$1:$1,0),FALSE()),"")</f>
        <v/>
      </c>
      <c r="C338" s="1" t="str">
        <f aca="false">IFERROR(VLOOKUP(A338,'Pass 1 Archive'!$A:$AD,MATCH("LinkedIn Employee Count",'Pass 1 Archive'!$1:$1,0),FALSE()),"")</f>
        <v/>
      </c>
      <c r="D338" s="1" t="str">
        <f aca="false">IFERROR(VLOOKUP(A338,'company tracker'!$a:$s,MATCH("Jan 2025 Traffic",'company tracker'!$1:$1,0),FALSE()),"")</f>
        <v/>
      </c>
      <c r="E338" s="1" t="str">
        <f aca="false">IFERROR(VLOOKUP(A338,'company tracker'!$a:$s,MATCH("Jun 2026 Traffic",'company tracker'!$1:$1,0),FALSE()),"")</f>
        <v/>
      </c>
      <c r="F338" s="1" t="str">
        <f aca="false">IFERROR(VLOOKUP(A338,'company tracker'!$a:$s,MATCH("Traffic % Change",'company tracker'!$1:$1,0),FALSE()),"")</f>
        <v/>
      </c>
      <c r="G338" s="1" t="str">
        <f aca="false">IFERROR(VLOOKUP(A338,'company tracker'!$a:$s,MATCH("Jan 2025 Referring Domains",'company tracker'!$1:$1,0),FALSE()),"")</f>
        <v/>
      </c>
      <c r="H338" s="1" t="str">
        <f aca="false">IFERROR(VLOOKUP(A338,'company tracker'!$a:$s,MATCH("Jun 2026 Referring Domains",'company tracker'!$1:$1,0),FALSE()),"")</f>
        <v/>
      </c>
    </row>
    <row r="339" customFormat="false" ht="15" hidden="false" customHeight="true" outlineLevel="0" collapsed="false">
      <c r="B339" s="1" t="str">
        <f aca="false">IFERROR(VLOOKUP(A339,'company tracker'!$a:$s,MATCH("Category",'company tracker'!$1:$1,0),FALSE()),"")</f>
        <v/>
      </c>
      <c r="C339" s="1" t="str">
        <f aca="false">IFERROR(VLOOKUP(A339,'Pass 1 Archive'!$A:$AD,MATCH("LinkedIn Employee Count",'Pass 1 Archive'!$1:$1,0),FALSE()),"")</f>
        <v/>
      </c>
      <c r="D339" s="1" t="str">
        <f aca="false">IFERROR(VLOOKUP(A339,'company tracker'!$a:$s,MATCH("Jan 2025 Traffic",'company tracker'!$1:$1,0),FALSE()),"")</f>
        <v/>
      </c>
      <c r="E339" s="1" t="str">
        <f aca="false">IFERROR(VLOOKUP(A339,'company tracker'!$a:$s,MATCH("Jun 2026 Traffic",'company tracker'!$1:$1,0),FALSE()),"")</f>
        <v/>
      </c>
      <c r="F339" s="1" t="str">
        <f aca="false">IFERROR(VLOOKUP(A339,'company tracker'!$a:$s,MATCH("Traffic % Change",'company tracker'!$1:$1,0),FALSE()),"")</f>
        <v/>
      </c>
      <c r="G339" s="1" t="str">
        <f aca="false">IFERROR(VLOOKUP(A339,'company tracker'!$a:$s,MATCH("Jan 2025 Referring Domains",'company tracker'!$1:$1,0),FALSE()),"")</f>
        <v/>
      </c>
      <c r="H339" s="1" t="str">
        <f aca="false">IFERROR(VLOOKUP(A339,'company tracker'!$a:$s,MATCH("Jun 2026 Referring Domains",'company tracker'!$1:$1,0),FALSE()),"")</f>
        <v/>
      </c>
    </row>
    <row r="340" customFormat="false" ht="15" hidden="false" customHeight="true" outlineLevel="0" collapsed="false">
      <c r="B340" s="1" t="str">
        <f aca="false">IFERROR(VLOOKUP(A340,'company tracker'!$a:$s,MATCH("Category",'company tracker'!$1:$1,0),FALSE()),"")</f>
        <v/>
      </c>
      <c r="C340" s="1" t="str">
        <f aca="false">IFERROR(VLOOKUP(A340,'Pass 1 Archive'!$A:$AD,MATCH("LinkedIn Employee Count",'Pass 1 Archive'!$1:$1,0),FALSE()),"")</f>
        <v/>
      </c>
      <c r="D340" s="1" t="str">
        <f aca="false">IFERROR(VLOOKUP(A340,'company tracker'!$a:$s,MATCH("Jan 2025 Traffic",'company tracker'!$1:$1,0),FALSE()),"")</f>
        <v/>
      </c>
      <c r="E340" s="1" t="str">
        <f aca="false">IFERROR(VLOOKUP(A340,'company tracker'!$a:$s,MATCH("Jun 2026 Traffic",'company tracker'!$1:$1,0),FALSE()),"")</f>
        <v/>
      </c>
      <c r="F340" s="1" t="str">
        <f aca="false">IFERROR(VLOOKUP(A340,'company tracker'!$a:$s,MATCH("Traffic % Change",'company tracker'!$1:$1,0),FALSE()),"")</f>
        <v/>
      </c>
      <c r="G340" s="1" t="str">
        <f aca="false">IFERROR(VLOOKUP(A340,'company tracker'!$a:$s,MATCH("Jan 2025 Referring Domains",'company tracker'!$1:$1,0),FALSE()),"")</f>
        <v/>
      </c>
      <c r="H340" s="1" t="str">
        <f aca="false">IFERROR(VLOOKUP(A340,'company tracker'!$a:$s,MATCH("Jun 2026 Referring Domains",'company tracker'!$1:$1,0),FALSE()),"")</f>
        <v/>
      </c>
    </row>
    <row r="341" customFormat="false" ht="15" hidden="false" customHeight="true" outlineLevel="0" collapsed="false">
      <c r="B341" s="1" t="str">
        <f aca="false">IFERROR(VLOOKUP(A341,'company tracker'!$a:$s,MATCH("Category",'company tracker'!$1:$1,0),FALSE()),"")</f>
        <v/>
      </c>
      <c r="C341" s="1" t="str">
        <f aca="false">IFERROR(VLOOKUP(A341,'Pass 1 Archive'!$A:$AD,MATCH("LinkedIn Employee Count",'Pass 1 Archive'!$1:$1,0),FALSE()),"")</f>
        <v/>
      </c>
      <c r="D341" s="1" t="str">
        <f aca="false">IFERROR(VLOOKUP(A341,'company tracker'!$a:$s,MATCH("Jan 2025 Traffic",'company tracker'!$1:$1,0),FALSE()),"")</f>
        <v/>
      </c>
      <c r="E341" s="1" t="str">
        <f aca="false">IFERROR(VLOOKUP(A341,'company tracker'!$a:$s,MATCH("Jun 2026 Traffic",'company tracker'!$1:$1,0),FALSE()),"")</f>
        <v/>
      </c>
      <c r="F341" s="1" t="str">
        <f aca="false">IFERROR(VLOOKUP(A341,'company tracker'!$a:$s,MATCH("Traffic % Change",'company tracker'!$1:$1,0),FALSE()),"")</f>
        <v/>
      </c>
      <c r="G341" s="1" t="str">
        <f aca="false">IFERROR(VLOOKUP(A341,'company tracker'!$a:$s,MATCH("Jan 2025 Referring Domains",'company tracker'!$1:$1,0),FALSE()),"")</f>
        <v/>
      </c>
      <c r="H341" s="1" t="str">
        <f aca="false">IFERROR(VLOOKUP(A341,'company tracker'!$a:$s,MATCH("Jun 2026 Referring Domains",'company tracker'!$1:$1,0),FALSE()),"")</f>
        <v/>
      </c>
    </row>
    <row r="342" customFormat="false" ht="15" hidden="false" customHeight="true" outlineLevel="0" collapsed="false">
      <c r="B342" s="1" t="str">
        <f aca="false">IFERROR(VLOOKUP(A342,'company tracker'!$a:$s,MATCH("Category",'company tracker'!$1:$1,0),FALSE()),"")</f>
        <v/>
      </c>
      <c r="C342" s="1" t="str">
        <f aca="false">IFERROR(VLOOKUP(A342,'Pass 1 Archive'!$A:$AD,MATCH("LinkedIn Employee Count",'Pass 1 Archive'!$1:$1,0),FALSE()),"")</f>
        <v/>
      </c>
      <c r="D342" s="1" t="str">
        <f aca="false">IFERROR(VLOOKUP(A342,'company tracker'!$a:$s,MATCH("Jan 2025 Traffic",'company tracker'!$1:$1,0),FALSE()),"")</f>
        <v/>
      </c>
      <c r="E342" s="1" t="str">
        <f aca="false">IFERROR(VLOOKUP(A342,'company tracker'!$a:$s,MATCH("Jun 2026 Traffic",'company tracker'!$1:$1,0),FALSE()),"")</f>
        <v/>
      </c>
      <c r="F342" s="1" t="str">
        <f aca="false">IFERROR(VLOOKUP(A342,'company tracker'!$a:$s,MATCH("Traffic % Change",'company tracker'!$1:$1,0),FALSE()),"")</f>
        <v/>
      </c>
      <c r="G342" s="1" t="str">
        <f aca="false">IFERROR(VLOOKUP(A342,'company tracker'!$a:$s,MATCH("Jan 2025 Referring Domains",'company tracker'!$1:$1,0),FALSE()),"")</f>
        <v/>
      </c>
      <c r="H342" s="1" t="str">
        <f aca="false">IFERROR(VLOOKUP(A342,'company tracker'!$a:$s,MATCH("Jun 2026 Referring Domains",'company tracker'!$1:$1,0),FALSE()),"")</f>
        <v/>
      </c>
    </row>
    <row r="343" customFormat="false" ht="15" hidden="false" customHeight="true" outlineLevel="0" collapsed="false">
      <c r="B343" s="1" t="str">
        <f aca="false">IFERROR(VLOOKUP(A343,'company tracker'!$a:$s,MATCH("Category",'company tracker'!$1:$1,0),FALSE()),"")</f>
        <v/>
      </c>
      <c r="C343" s="1" t="str">
        <f aca="false">IFERROR(VLOOKUP(A343,'Pass 1 Archive'!$A:$AD,MATCH("LinkedIn Employee Count",'Pass 1 Archive'!$1:$1,0),FALSE()),"")</f>
        <v/>
      </c>
      <c r="D343" s="1" t="str">
        <f aca="false">IFERROR(VLOOKUP(A343,'company tracker'!$a:$s,MATCH("Jan 2025 Traffic",'company tracker'!$1:$1,0),FALSE()),"")</f>
        <v/>
      </c>
      <c r="E343" s="1" t="str">
        <f aca="false">IFERROR(VLOOKUP(A343,'company tracker'!$a:$s,MATCH("Jun 2026 Traffic",'company tracker'!$1:$1,0),FALSE()),"")</f>
        <v/>
      </c>
      <c r="F343" s="1" t="str">
        <f aca="false">IFERROR(VLOOKUP(A343,'company tracker'!$a:$s,MATCH("Traffic % Change",'company tracker'!$1:$1,0),FALSE()),"")</f>
        <v/>
      </c>
      <c r="G343" s="1" t="str">
        <f aca="false">IFERROR(VLOOKUP(A343,'company tracker'!$a:$s,MATCH("Jan 2025 Referring Domains",'company tracker'!$1:$1,0),FALSE()),"")</f>
        <v/>
      </c>
      <c r="H343" s="1" t="str">
        <f aca="false">IFERROR(VLOOKUP(A343,'company tracker'!$a:$s,MATCH("Jun 2026 Referring Domains",'company tracker'!$1:$1,0),FALSE()),"")</f>
        <v/>
      </c>
    </row>
    <row r="344" customFormat="false" ht="15" hidden="false" customHeight="true" outlineLevel="0" collapsed="false">
      <c r="B344" s="1" t="str">
        <f aca="false">IFERROR(VLOOKUP(A344,'company tracker'!$a:$s,MATCH("Category",'company tracker'!$1:$1,0),FALSE()),"")</f>
        <v/>
      </c>
      <c r="C344" s="1" t="str">
        <f aca="false">IFERROR(VLOOKUP(A344,'Pass 1 Archive'!$A:$AD,MATCH("LinkedIn Employee Count",'Pass 1 Archive'!$1:$1,0),FALSE()),"")</f>
        <v/>
      </c>
      <c r="D344" s="1" t="str">
        <f aca="false">IFERROR(VLOOKUP(A344,'company tracker'!$a:$s,MATCH("Jan 2025 Traffic",'company tracker'!$1:$1,0),FALSE()),"")</f>
        <v/>
      </c>
      <c r="E344" s="1" t="str">
        <f aca="false">IFERROR(VLOOKUP(A344,'company tracker'!$a:$s,MATCH("Jun 2026 Traffic",'company tracker'!$1:$1,0),FALSE()),"")</f>
        <v/>
      </c>
      <c r="F344" s="1" t="str">
        <f aca="false">IFERROR(VLOOKUP(A344,'company tracker'!$a:$s,MATCH("Traffic % Change",'company tracker'!$1:$1,0),FALSE()),"")</f>
        <v/>
      </c>
      <c r="G344" s="1" t="str">
        <f aca="false">IFERROR(VLOOKUP(A344,'company tracker'!$a:$s,MATCH("Jan 2025 Referring Domains",'company tracker'!$1:$1,0),FALSE()),"")</f>
        <v/>
      </c>
      <c r="H344" s="1" t="str">
        <f aca="false">IFERROR(VLOOKUP(A344,'company tracker'!$a:$s,MATCH("Jun 2026 Referring Domains",'company tracker'!$1:$1,0),FALSE()),"")</f>
        <v/>
      </c>
    </row>
    <row r="345" customFormat="false" ht="15" hidden="false" customHeight="true" outlineLevel="0" collapsed="false">
      <c r="B345" s="1" t="str">
        <f aca="false">IFERROR(VLOOKUP(A345,'company tracker'!$a:$s,MATCH("Category",'company tracker'!$1:$1,0),FALSE()),"")</f>
        <v/>
      </c>
      <c r="C345" s="1" t="str">
        <f aca="false">IFERROR(VLOOKUP(A345,'Pass 1 Archive'!$A:$AD,MATCH("LinkedIn Employee Count",'Pass 1 Archive'!$1:$1,0),FALSE()),"")</f>
        <v/>
      </c>
      <c r="D345" s="1" t="str">
        <f aca="false">IFERROR(VLOOKUP(A345,'company tracker'!$a:$s,MATCH("Jan 2025 Traffic",'company tracker'!$1:$1,0),FALSE()),"")</f>
        <v/>
      </c>
      <c r="E345" s="1" t="str">
        <f aca="false">IFERROR(VLOOKUP(A345,'company tracker'!$a:$s,MATCH("Jun 2026 Traffic",'company tracker'!$1:$1,0),FALSE()),"")</f>
        <v/>
      </c>
      <c r="F345" s="1" t="str">
        <f aca="false">IFERROR(VLOOKUP(A345,'company tracker'!$a:$s,MATCH("Traffic % Change",'company tracker'!$1:$1,0),FALSE()),"")</f>
        <v/>
      </c>
      <c r="G345" s="1" t="str">
        <f aca="false">IFERROR(VLOOKUP(A345,'company tracker'!$a:$s,MATCH("Jan 2025 Referring Domains",'company tracker'!$1:$1,0),FALSE()),"")</f>
        <v/>
      </c>
      <c r="H345" s="1" t="str">
        <f aca="false">IFERROR(VLOOKUP(A345,'company tracker'!$a:$s,MATCH("Jun 2026 Referring Domains",'company tracker'!$1:$1,0),FALSE()),"")</f>
        <v/>
      </c>
    </row>
    <row r="346" customFormat="false" ht="15" hidden="false" customHeight="true" outlineLevel="0" collapsed="false">
      <c r="B346" s="1" t="str">
        <f aca="false">IFERROR(VLOOKUP(A346,'company tracker'!$a:$s,MATCH("Category",'company tracker'!$1:$1,0),FALSE()),"")</f>
        <v/>
      </c>
      <c r="C346" s="1" t="str">
        <f aca="false">IFERROR(VLOOKUP(A346,'Pass 1 Archive'!$A:$AD,MATCH("LinkedIn Employee Count",'Pass 1 Archive'!$1:$1,0),FALSE()),"")</f>
        <v/>
      </c>
      <c r="D346" s="1" t="str">
        <f aca="false">IFERROR(VLOOKUP(A346,'company tracker'!$a:$s,MATCH("Jan 2025 Traffic",'company tracker'!$1:$1,0),FALSE()),"")</f>
        <v/>
      </c>
      <c r="E346" s="1" t="str">
        <f aca="false">IFERROR(VLOOKUP(A346,'company tracker'!$a:$s,MATCH("Jun 2026 Traffic",'company tracker'!$1:$1,0),FALSE()),"")</f>
        <v/>
      </c>
      <c r="F346" s="1" t="str">
        <f aca="false">IFERROR(VLOOKUP(A346,'company tracker'!$a:$s,MATCH("Traffic % Change",'company tracker'!$1:$1,0),FALSE()),"")</f>
        <v/>
      </c>
      <c r="G346" s="1" t="str">
        <f aca="false">IFERROR(VLOOKUP(A346,'company tracker'!$a:$s,MATCH("Jan 2025 Referring Domains",'company tracker'!$1:$1,0),FALSE()),"")</f>
        <v/>
      </c>
      <c r="H346" s="1" t="str">
        <f aca="false">IFERROR(VLOOKUP(A346,'company tracker'!$a:$s,MATCH("Jun 2026 Referring Domains",'company tracker'!$1:$1,0),FALSE()),"")</f>
        <v/>
      </c>
    </row>
    <row r="347" customFormat="false" ht="15" hidden="false" customHeight="true" outlineLevel="0" collapsed="false">
      <c r="B347" s="1" t="str">
        <f aca="false">IFERROR(VLOOKUP(A347,'company tracker'!$a:$s,MATCH("Category",'company tracker'!$1:$1,0),FALSE()),"")</f>
        <v/>
      </c>
      <c r="C347" s="1" t="str">
        <f aca="false">IFERROR(VLOOKUP(A347,'Pass 1 Archive'!$A:$AD,MATCH("LinkedIn Employee Count",'Pass 1 Archive'!$1:$1,0),FALSE()),"")</f>
        <v/>
      </c>
      <c r="D347" s="1" t="str">
        <f aca="false">IFERROR(VLOOKUP(A347,'company tracker'!$a:$s,MATCH("Jan 2025 Traffic",'company tracker'!$1:$1,0),FALSE()),"")</f>
        <v/>
      </c>
      <c r="E347" s="1" t="str">
        <f aca="false">IFERROR(VLOOKUP(A347,'company tracker'!$a:$s,MATCH("Jun 2026 Traffic",'company tracker'!$1:$1,0),FALSE()),"")</f>
        <v/>
      </c>
      <c r="F347" s="1" t="str">
        <f aca="false">IFERROR(VLOOKUP(A347,'company tracker'!$a:$s,MATCH("Traffic % Change",'company tracker'!$1:$1,0),FALSE()),"")</f>
        <v/>
      </c>
      <c r="G347" s="1" t="str">
        <f aca="false">IFERROR(VLOOKUP(A347,'company tracker'!$a:$s,MATCH("Jan 2025 Referring Domains",'company tracker'!$1:$1,0),FALSE()),"")</f>
        <v/>
      </c>
      <c r="H347" s="1" t="str">
        <f aca="false">IFERROR(VLOOKUP(A347,'company tracker'!$a:$s,MATCH("Jun 2026 Referring Domains",'company tracker'!$1:$1,0),FALSE()),"")</f>
        <v/>
      </c>
    </row>
    <row r="348" customFormat="false" ht="15" hidden="false" customHeight="true" outlineLevel="0" collapsed="false">
      <c r="B348" s="1" t="str">
        <f aca="false">IFERROR(VLOOKUP(A348,'company tracker'!$a:$s,MATCH("Category",'company tracker'!$1:$1,0),FALSE()),"")</f>
        <v/>
      </c>
      <c r="C348" s="1" t="str">
        <f aca="false">IFERROR(VLOOKUP(A348,'Pass 1 Archive'!$A:$AD,MATCH("LinkedIn Employee Count",'Pass 1 Archive'!$1:$1,0),FALSE()),"")</f>
        <v/>
      </c>
      <c r="D348" s="1" t="str">
        <f aca="false">IFERROR(VLOOKUP(A348,'company tracker'!$a:$s,MATCH("Jan 2025 Traffic",'company tracker'!$1:$1,0),FALSE()),"")</f>
        <v/>
      </c>
      <c r="E348" s="1" t="str">
        <f aca="false">IFERROR(VLOOKUP(A348,'company tracker'!$a:$s,MATCH("Jun 2026 Traffic",'company tracker'!$1:$1,0),FALSE()),"")</f>
        <v/>
      </c>
      <c r="F348" s="1" t="str">
        <f aca="false">IFERROR(VLOOKUP(A348,'company tracker'!$a:$s,MATCH("Traffic % Change",'company tracker'!$1:$1,0),FALSE()),"")</f>
        <v/>
      </c>
      <c r="G348" s="1" t="str">
        <f aca="false">IFERROR(VLOOKUP(A348,'company tracker'!$a:$s,MATCH("Jan 2025 Referring Domains",'company tracker'!$1:$1,0),FALSE()),"")</f>
        <v/>
      </c>
      <c r="H348" s="1" t="str">
        <f aca="false">IFERROR(VLOOKUP(A348,'company tracker'!$a:$s,MATCH("Jun 2026 Referring Domains",'company tracker'!$1:$1,0),FALSE()),"")</f>
        <v/>
      </c>
    </row>
    <row r="349" customFormat="false" ht="15" hidden="false" customHeight="true" outlineLevel="0" collapsed="false">
      <c r="B349" s="1" t="str">
        <f aca="false">IFERROR(VLOOKUP(A349,'company tracker'!$a:$s,MATCH("Category",'company tracker'!$1:$1,0),FALSE()),"")</f>
        <v/>
      </c>
      <c r="C349" s="1" t="str">
        <f aca="false">IFERROR(VLOOKUP(A349,'Pass 1 Archive'!$A:$AD,MATCH("LinkedIn Employee Count",'Pass 1 Archive'!$1:$1,0),FALSE()),"")</f>
        <v/>
      </c>
      <c r="D349" s="1" t="str">
        <f aca="false">IFERROR(VLOOKUP(A349,'company tracker'!$a:$s,MATCH("Jan 2025 Traffic",'company tracker'!$1:$1,0),FALSE()),"")</f>
        <v/>
      </c>
      <c r="E349" s="1" t="str">
        <f aca="false">IFERROR(VLOOKUP(A349,'company tracker'!$a:$s,MATCH("Jun 2026 Traffic",'company tracker'!$1:$1,0),FALSE()),"")</f>
        <v/>
      </c>
      <c r="F349" s="1" t="str">
        <f aca="false">IFERROR(VLOOKUP(A349,'company tracker'!$a:$s,MATCH("Traffic % Change",'company tracker'!$1:$1,0),FALSE()),"")</f>
        <v/>
      </c>
      <c r="G349" s="1" t="str">
        <f aca="false">IFERROR(VLOOKUP(A349,'company tracker'!$a:$s,MATCH("Jan 2025 Referring Domains",'company tracker'!$1:$1,0),FALSE()),"")</f>
        <v/>
      </c>
      <c r="H349" s="1" t="str">
        <f aca="false">IFERROR(VLOOKUP(A349,'company tracker'!$a:$s,MATCH("Jun 2026 Referring Domains",'company tracker'!$1:$1,0),FALSE()),"")</f>
        <v/>
      </c>
    </row>
    <row r="350" customFormat="false" ht="15" hidden="false" customHeight="true" outlineLevel="0" collapsed="false">
      <c r="B350" s="1" t="str">
        <f aca="false">IFERROR(VLOOKUP(A350,'company tracker'!$a:$s,MATCH("Category",'company tracker'!$1:$1,0),FALSE()),"")</f>
        <v/>
      </c>
      <c r="C350" s="1" t="str">
        <f aca="false">IFERROR(VLOOKUP(A350,'Pass 1 Archive'!$A:$AD,MATCH("LinkedIn Employee Count",'Pass 1 Archive'!$1:$1,0),FALSE()),"")</f>
        <v/>
      </c>
      <c r="D350" s="1" t="str">
        <f aca="false">IFERROR(VLOOKUP(A350,'company tracker'!$a:$s,MATCH("Jan 2025 Traffic",'company tracker'!$1:$1,0),FALSE()),"")</f>
        <v/>
      </c>
      <c r="E350" s="1" t="str">
        <f aca="false">IFERROR(VLOOKUP(A350,'company tracker'!$a:$s,MATCH("Jun 2026 Traffic",'company tracker'!$1:$1,0),FALSE()),"")</f>
        <v/>
      </c>
      <c r="F350" s="1" t="str">
        <f aca="false">IFERROR(VLOOKUP(A350,'company tracker'!$a:$s,MATCH("Traffic % Change",'company tracker'!$1:$1,0),FALSE()),"")</f>
        <v/>
      </c>
      <c r="G350" s="1" t="str">
        <f aca="false">IFERROR(VLOOKUP(A350,'company tracker'!$a:$s,MATCH("Jan 2025 Referring Domains",'company tracker'!$1:$1,0),FALSE()),"")</f>
        <v/>
      </c>
      <c r="H350" s="1" t="str">
        <f aca="false">IFERROR(VLOOKUP(A350,'company tracker'!$a:$s,MATCH("Jun 2026 Referring Domains",'company tracker'!$1:$1,0),FALSE()),"")</f>
        <v/>
      </c>
    </row>
    <row r="351" customFormat="false" ht="15" hidden="false" customHeight="true" outlineLevel="0" collapsed="false">
      <c r="B351" s="1" t="str">
        <f aca="false">IFERROR(VLOOKUP(A351,'company tracker'!$a:$s,MATCH("Category",'company tracker'!$1:$1,0),FALSE()),"")</f>
        <v/>
      </c>
      <c r="C351" s="1" t="str">
        <f aca="false">IFERROR(VLOOKUP(A351,'Pass 1 Archive'!$A:$AD,MATCH("LinkedIn Employee Count",'Pass 1 Archive'!$1:$1,0),FALSE()),"")</f>
        <v/>
      </c>
      <c r="D351" s="1" t="str">
        <f aca="false">IFERROR(VLOOKUP(A351,'company tracker'!$a:$s,MATCH("Jan 2025 Traffic",'company tracker'!$1:$1,0),FALSE()),"")</f>
        <v/>
      </c>
      <c r="E351" s="1" t="str">
        <f aca="false">IFERROR(VLOOKUP(A351,'company tracker'!$a:$s,MATCH("Jun 2026 Traffic",'company tracker'!$1:$1,0),FALSE()),"")</f>
        <v/>
      </c>
      <c r="F351" s="1" t="str">
        <f aca="false">IFERROR(VLOOKUP(A351,'company tracker'!$a:$s,MATCH("Traffic % Change",'company tracker'!$1:$1,0),FALSE()),"")</f>
        <v/>
      </c>
      <c r="G351" s="1" t="str">
        <f aca="false">IFERROR(VLOOKUP(A351,'company tracker'!$a:$s,MATCH("Jan 2025 Referring Domains",'company tracker'!$1:$1,0),FALSE()),"")</f>
        <v/>
      </c>
      <c r="H351" s="1" t="str">
        <f aca="false">IFERROR(VLOOKUP(A351,'company tracker'!$a:$s,MATCH("Jun 2026 Referring Domains",'company tracker'!$1:$1,0),FALSE()),"")</f>
        <v/>
      </c>
    </row>
    <row r="352" customFormat="false" ht="15" hidden="false" customHeight="true" outlineLevel="0" collapsed="false">
      <c r="B352" s="1" t="str">
        <f aca="false">IFERROR(VLOOKUP(A352,'company tracker'!$a:$s,MATCH("Category",'company tracker'!$1:$1,0),FALSE()),"")</f>
        <v/>
      </c>
      <c r="C352" s="1" t="str">
        <f aca="false">IFERROR(VLOOKUP(A352,'Pass 1 Archive'!$A:$AD,MATCH("LinkedIn Employee Count",'Pass 1 Archive'!$1:$1,0),FALSE()),"")</f>
        <v/>
      </c>
      <c r="D352" s="1" t="str">
        <f aca="false">IFERROR(VLOOKUP(A352,'company tracker'!$a:$s,MATCH("Jan 2025 Traffic",'company tracker'!$1:$1,0),FALSE()),"")</f>
        <v/>
      </c>
      <c r="E352" s="1" t="str">
        <f aca="false">IFERROR(VLOOKUP(A352,'company tracker'!$a:$s,MATCH("Jun 2026 Traffic",'company tracker'!$1:$1,0),FALSE()),"")</f>
        <v/>
      </c>
      <c r="F352" s="1" t="str">
        <f aca="false">IFERROR(VLOOKUP(A352,'company tracker'!$a:$s,MATCH("Traffic % Change",'company tracker'!$1:$1,0),FALSE()),"")</f>
        <v/>
      </c>
      <c r="G352" s="1" t="str">
        <f aca="false">IFERROR(VLOOKUP(A352,'company tracker'!$a:$s,MATCH("Jan 2025 Referring Domains",'company tracker'!$1:$1,0),FALSE()),"")</f>
        <v/>
      </c>
      <c r="H352" s="1" t="str">
        <f aca="false">IFERROR(VLOOKUP(A352,'company tracker'!$a:$s,MATCH("Jun 2026 Referring Domains",'company tracker'!$1:$1,0),FALSE()),"")</f>
        <v/>
      </c>
    </row>
    <row r="353" customFormat="false" ht="15" hidden="false" customHeight="true" outlineLevel="0" collapsed="false">
      <c r="B353" s="1" t="str">
        <f aca="false">IFERROR(VLOOKUP(A353,'company tracker'!$a:$s,MATCH("Category",'company tracker'!$1:$1,0),FALSE()),"")</f>
        <v/>
      </c>
      <c r="C353" s="1" t="str">
        <f aca="false">IFERROR(VLOOKUP(A353,'Pass 1 Archive'!$A:$AD,MATCH("LinkedIn Employee Count",'Pass 1 Archive'!$1:$1,0),FALSE()),"")</f>
        <v/>
      </c>
      <c r="D353" s="1" t="str">
        <f aca="false">IFERROR(VLOOKUP(A353,'company tracker'!$a:$s,MATCH("Jan 2025 Traffic",'company tracker'!$1:$1,0),FALSE()),"")</f>
        <v/>
      </c>
      <c r="E353" s="1" t="str">
        <f aca="false">IFERROR(VLOOKUP(A353,'company tracker'!$a:$s,MATCH("Jun 2026 Traffic",'company tracker'!$1:$1,0),FALSE()),"")</f>
        <v/>
      </c>
      <c r="F353" s="1" t="str">
        <f aca="false">IFERROR(VLOOKUP(A353,'company tracker'!$a:$s,MATCH("Traffic % Change",'company tracker'!$1:$1,0),FALSE()),"")</f>
        <v/>
      </c>
      <c r="G353" s="1" t="str">
        <f aca="false">IFERROR(VLOOKUP(A353,'company tracker'!$a:$s,MATCH("Jan 2025 Referring Domains",'company tracker'!$1:$1,0),FALSE()),"")</f>
        <v/>
      </c>
      <c r="H353" s="1" t="str">
        <f aca="false">IFERROR(VLOOKUP(A353,'company tracker'!$a:$s,MATCH("Jun 2026 Referring Domains",'company tracker'!$1:$1,0),FALSE()),"")</f>
        <v/>
      </c>
    </row>
    <row r="354" customFormat="false" ht="15" hidden="false" customHeight="true" outlineLevel="0" collapsed="false">
      <c r="B354" s="1" t="str">
        <f aca="false">IFERROR(VLOOKUP(A354,'company tracker'!$a:$s,MATCH("Category",'company tracker'!$1:$1,0),FALSE()),"")</f>
        <v/>
      </c>
      <c r="C354" s="1" t="str">
        <f aca="false">IFERROR(VLOOKUP(A354,'Pass 1 Archive'!$A:$AD,MATCH("LinkedIn Employee Count",'Pass 1 Archive'!$1:$1,0),FALSE()),"")</f>
        <v/>
      </c>
      <c r="D354" s="1" t="str">
        <f aca="false">IFERROR(VLOOKUP(A354,'company tracker'!$a:$s,MATCH("Jan 2025 Traffic",'company tracker'!$1:$1,0),FALSE()),"")</f>
        <v/>
      </c>
      <c r="E354" s="1" t="str">
        <f aca="false">IFERROR(VLOOKUP(A354,'company tracker'!$a:$s,MATCH("Jun 2026 Traffic",'company tracker'!$1:$1,0),FALSE()),"")</f>
        <v/>
      </c>
      <c r="F354" s="1" t="str">
        <f aca="false">IFERROR(VLOOKUP(A354,'company tracker'!$a:$s,MATCH("Traffic % Change",'company tracker'!$1:$1,0),FALSE()),"")</f>
        <v/>
      </c>
      <c r="G354" s="1" t="str">
        <f aca="false">IFERROR(VLOOKUP(A354,'company tracker'!$a:$s,MATCH("Jan 2025 Referring Domains",'company tracker'!$1:$1,0),FALSE()),"")</f>
        <v/>
      </c>
      <c r="H354" s="1" t="str">
        <f aca="false">IFERROR(VLOOKUP(A354,'company tracker'!$a:$s,MATCH("Jun 2026 Referring Domains",'company tracker'!$1:$1,0),FALSE()),"")</f>
        <v/>
      </c>
    </row>
    <row r="355" customFormat="false" ht="15" hidden="false" customHeight="true" outlineLevel="0" collapsed="false">
      <c r="B355" s="1" t="str">
        <f aca="false">IFERROR(VLOOKUP(A355,'company tracker'!$a:$s,MATCH("Category",'company tracker'!$1:$1,0),FALSE()),"")</f>
        <v/>
      </c>
      <c r="C355" s="1" t="str">
        <f aca="false">IFERROR(VLOOKUP(A355,'Pass 1 Archive'!$A:$AD,MATCH("LinkedIn Employee Count",'Pass 1 Archive'!$1:$1,0),FALSE()),"")</f>
        <v/>
      </c>
      <c r="D355" s="1" t="str">
        <f aca="false">IFERROR(VLOOKUP(A355,'company tracker'!$a:$s,MATCH("Jan 2025 Traffic",'company tracker'!$1:$1,0),FALSE()),"")</f>
        <v/>
      </c>
      <c r="E355" s="1" t="str">
        <f aca="false">IFERROR(VLOOKUP(A355,'company tracker'!$a:$s,MATCH("Jun 2026 Traffic",'company tracker'!$1:$1,0),FALSE()),"")</f>
        <v/>
      </c>
      <c r="F355" s="1" t="str">
        <f aca="false">IFERROR(VLOOKUP(A355,'company tracker'!$a:$s,MATCH("Traffic % Change",'company tracker'!$1:$1,0),FALSE()),"")</f>
        <v/>
      </c>
      <c r="G355" s="1" t="str">
        <f aca="false">IFERROR(VLOOKUP(A355,'company tracker'!$a:$s,MATCH("Jan 2025 Referring Domains",'company tracker'!$1:$1,0),FALSE()),"")</f>
        <v/>
      </c>
      <c r="H355" s="1" t="str">
        <f aca="false">IFERROR(VLOOKUP(A355,'company tracker'!$a:$s,MATCH("Jun 2026 Referring Domains",'company tracker'!$1:$1,0),FALSE()),"")</f>
        <v/>
      </c>
    </row>
    <row r="356" customFormat="false" ht="15" hidden="false" customHeight="true" outlineLevel="0" collapsed="false">
      <c r="B356" s="1" t="str">
        <f aca="false">IFERROR(VLOOKUP(A356,'company tracker'!$a:$s,MATCH("Category",'company tracker'!$1:$1,0),FALSE()),"")</f>
        <v/>
      </c>
      <c r="C356" s="1" t="str">
        <f aca="false">IFERROR(VLOOKUP(A356,'Pass 1 Archive'!$A:$AD,MATCH("LinkedIn Employee Count",'Pass 1 Archive'!$1:$1,0),FALSE()),"")</f>
        <v/>
      </c>
      <c r="D356" s="1" t="str">
        <f aca="false">IFERROR(VLOOKUP(A356,'company tracker'!$a:$s,MATCH("Jan 2025 Traffic",'company tracker'!$1:$1,0),FALSE()),"")</f>
        <v/>
      </c>
      <c r="E356" s="1" t="str">
        <f aca="false">IFERROR(VLOOKUP(A356,'company tracker'!$a:$s,MATCH("Jun 2026 Traffic",'company tracker'!$1:$1,0),FALSE()),"")</f>
        <v/>
      </c>
      <c r="F356" s="1" t="str">
        <f aca="false">IFERROR(VLOOKUP(A356,'company tracker'!$a:$s,MATCH("Traffic % Change",'company tracker'!$1:$1,0),FALSE()),"")</f>
        <v/>
      </c>
      <c r="G356" s="1" t="str">
        <f aca="false">IFERROR(VLOOKUP(A356,'company tracker'!$a:$s,MATCH("Jan 2025 Referring Domains",'company tracker'!$1:$1,0),FALSE()),"")</f>
        <v/>
      </c>
      <c r="H356" s="1" t="str">
        <f aca="false">IFERROR(VLOOKUP(A356,'company tracker'!$a:$s,MATCH("Jun 2026 Referring Domains",'company tracker'!$1:$1,0),FALSE()),"")</f>
        <v/>
      </c>
    </row>
    <row r="357" customFormat="false" ht="15" hidden="false" customHeight="true" outlineLevel="0" collapsed="false">
      <c r="B357" s="1" t="str">
        <f aca="false">IFERROR(VLOOKUP(A357,'company tracker'!$a:$s,MATCH("Category",'company tracker'!$1:$1,0),FALSE()),"")</f>
        <v/>
      </c>
      <c r="C357" s="1" t="str">
        <f aca="false">IFERROR(VLOOKUP(A357,'Pass 1 Archive'!$A:$AD,MATCH("LinkedIn Employee Count",'Pass 1 Archive'!$1:$1,0),FALSE()),"")</f>
        <v/>
      </c>
      <c r="D357" s="1" t="str">
        <f aca="false">IFERROR(VLOOKUP(A357,'company tracker'!$a:$s,MATCH("Jan 2025 Traffic",'company tracker'!$1:$1,0),FALSE()),"")</f>
        <v/>
      </c>
      <c r="E357" s="1" t="str">
        <f aca="false">IFERROR(VLOOKUP(A357,'company tracker'!$a:$s,MATCH("Jun 2026 Traffic",'company tracker'!$1:$1,0),FALSE()),"")</f>
        <v/>
      </c>
      <c r="F357" s="1" t="str">
        <f aca="false">IFERROR(VLOOKUP(A357,'company tracker'!$a:$s,MATCH("Traffic % Change",'company tracker'!$1:$1,0),FALSE()),"")</f>
        <v/>
      </c>
      <c r="G357" s="1" t="str">
        <f aca="false">IFERROR(VLOOKUP(A357,'company tracker'!$a:$s,MATCH("Jan 2025 Referring Domains",'company tracker'!$1:$1,0),FALSE()),"")</f>
        <v/>
      </c>
      <c r="H357" s="1" t="str">
        <f aca="false">IFERROR(VLOOKUP(A357,'company tracker'!$a:$s,MATCH("Jun 2026 Referring Domains",'company tracker'!$1:$1,0),FALSE()),"")</f>
        <v/>
      </c>
    </row>
    <row r="358" customFormat="false" ht="15" hidden="false" customHeight="true" outlineLevel="0" collapsed="false">
      <c r="B358" s="1" t="str">
        <f aca="false">IFERROR(VLOOKUP(A358,'company tracker'!$a:$s,MATCH("Category",'company tracker'!$1:$1,0),FALSE()),"")</f>
        <v/>
      </c>
      <c r="C358" s="1" t="str">
        <f aca="false">IFERROR(VLOOKUP(A358,'Pass 1 Archive'!$A:$AD,MATCH("LinkedIn Employee Count",'Pass 1 Archive'!$1:$1,0),FALSE()),"")</f>
        <v/>
      </c>
      <c r="D358" s="1" t="str">
        <f aca="false">IFERROR(VLOOKUP(A358,'company tracker'!$a:$s,MATCH("Jan 2025 Traffic",'company tracker'!$1:$1,0),FALSE()),"")</f>
        <v/>
      </c>
      <c r="E358" s="1" t="str">
        <f aca="false">IFERROR(VLOOKUP(A358,'company tracker'!$a:$s,MATCH("Jun 2026 Traffic",'company tracker'!$1:$1,0),FALSE()),"")</f>
        <v/>
      </c>
      <c r="F358" s="1" t="str">
        <f aca="false">IFERROR(VLOOKUP(A358,'company tracker'!$a:$s,MATCH("Traffic % Change",'company tracker'!$1:$1,0),FALSE()),"")</f>
        <v/>
      </c>
      <c r="G358" s="1" t="str">
        <f aca="false">IFERROR(VLOOKUP(A358,'company tracker'!$a:$s,MATCH("Jan 2025 Referring Domains",'company tracker'!$1:$1,0),FALSE()),"")</f>
        <v/>
      </c>
      <c r="H358" s="1" t="str">
        <f aca="false">IFERROR(VLOOKUP(A358,'company tracker'!$a:$s,MATCH("Jun 2026 Referring Domains",'company tracker'!$1:$1,0),FALSE()),"")</f>
        <v/>
      </c>
    </row>
    <row r="359" customFormat="false" ht="15" hidden="false" customHeight="true" outlineLevel="0" collapsed="false">
      <c r="B359" s="1" t="str">
        <f aca="false">IFERROR(VLOOKUP(A359,'company tracker'!$a:$s,MATCH("Category",'company tracker'!$1:$1,0),FALSE()),"")</f>
        <v/>
      </c>
      <c r="C359" s="1" t="str">
        <f aca="false">IFERROR(VLOOKUP(A359,'Pass 1 Archive'!$A:$AD,MATCH("LinkedIn Employee Count",'Pass 1 Archive'!$1:$1,0),FALSE()),"")</f>
        <v/>
      </c>
      <c r="D359" s="1" t="str">
        <f aca="false">IFERROR(VLOOKUP(A359,'company tracker'!$a:$s,MATCH("Jan 2025 Traffic",'company tracker'!$1:$1,0),FALSE()),"")</f>
        <v/>
      </c>
      <c r="E359" s="1" t="str">
        <f aca="false">IFERROR(VLOOKUP(A359,'company tracker'!$a:$s,MATCH("Jun 2026 Traffic",'company tracker'!$1:$1,0),FALSE()),"")</f>
        <v/>
      </c>
      <c r="F359" s="1" t="str">
        <f aca="false">IFERROR(VLOOKUP(A359,'company tracker'!$a:$s,MATCH("Traffic % Change",'company tracker'!$1:$1,0),FALSE()),"")</f>
        <v/>
      </c>
      <c r="G359" s="1" t="str">
        <f aca="false">IFERROR(VLOOKUP(A359,'company tracker'!$a:$s,MATCH("Jan 2025 Referring Domains",'company tracker'!$1:$1,0),FALSE()),"")</f>
        <v/>
      </c>
      <c r="H359" s="1" t="str">
        <f aca="false">IFERROR(VLOOKUP(A359,'company tracker'!$a:$s,MATCH("Jun 2026 Referring Domains",'company tracker'!$1:$1,0),FALSE()),"")</f>
        <v/>
      </c>
    </row>
    <row r="360" customFormat="false" ht="15" hidden="false" customHeight="true" outlineLevel="0" collapsed="false">
      <c r="B360" s="1" t="str">
        <f aca="false">IFERROR(VLOOKUP(A360,'company tracker'!$a:$s,MATCH("Category",'company tracker'!$1:$1,0),FALSE()),"")</f>
        <v/>
      </c>
      <c r="C360" s="1" t="str">
        <f aca="false">IFERROR(VLOOKUP(A360,'Pass 1 Archive'!$A:$AD,MATCH("LinkedIn Employee Count",'Pass 1 Archive'!$1:$1,0),FALSE()),"")</f>
        <v/>
      </c>
      <c r="D360" s="1" t="str">
        <f aca="false">IFERROR(VLOOKUP(A360,'company tracker'!$a:$s,MATCH("Jan 2025 Traffic",'company tracker'!$1:$1,0),FALSE()),"")</f>
        <v/>
      </c>
      <c r="E360" s="1" t="str">
        <f aca="false">IFERROR(VLOOKUP(A360,'company tracker'!$a:$s,MATCH("Jun 2026 Traffic",'company tracker'!$1:$1,0),FALSE()),"")</f>
        <v/>
      </c>
      <c r="F360" s="1" t="str">
        <f aca="false">IFERROR(VLOOKUP(A360,'company tracker'!$a:$s,MATCH("Traffic % Change",'company tracker'!$1:$1,0),FALSE()),"")</f>
        <v/>
      </c>
      <c r="G360" s="1" t="str">
        <f aca="false">IFERROR(VLOOKUP(A360,'company tracker'!$a:$s,MATCH("Jan 2025 Referring Domains",'company tracker'!$1:$1,0),FALSE()),"")</f>
        <v/>
      </c>
      <c r="H360" s="1" t="str">
        <f aca="false">IFERROR(VLOOKUP(A360,'company tracker'!$a:$s,MATCH("Jun 2026 Referring Domains",'company tracker'!$1:$1,0),FALSE()),"")</f>
        <v/>
      </c>
    </row>
    <row r="361" customFormat="false" ht="15" hidden="false" customHeight="true" outlineLevel="0" collapsed="false">
      <c r="B361" s="1" t="str">
        <f aca="false">IFERROR(VLOOKUP(A361,'company tracker'!$a:$s,MATCH("Category",'company tracker'!$1:$1,0),FALSE()),"")</f>
        <v/>
      </c>
      <c r="C361" s="1" t="str">
        <f aca="false">IFERROR(VLOOKUP(A361,'Pass 1 Archive'!$A:$AD,MATCH("LinkedIn Employee Count",'Pass 1 Archive'!$1:$1,0),FALSE()),"")</f>
        <v/>
      </c>
      <c r="D361" s="1" t="str">
        <f aca="false">IFERROR(VLOOKUP(A361,'company tracker'!$a:$s,MATCH("Jan 2025 Traffic",'company tracker'!$1:$1,0),FALSE()),"")</f>
        <v/>
      </c>
      <c r="E361" s="1" t="str">
        <f aca="false">IFERROR(VLOOKUP(A361,'company tracker'!$a:$s,MATCH("Jun 2026 Traffic",'company tracker'!$1:$1,0),FALSE()),"")</f>
        <v/>
      </c>
      <c r="F361" s="1" t="str">
        <f aca="false">IFERROR(VLOOKUP(A361,'company tracker'!$a:$s,MATCH("Traffic % Change",'company tracker'!$1:$1,0),FALSE()),"")</f>
        <v/>
      </c>
      <c r="G361" s="1" t="str">
        <f aca="false">IFERROR(VLOOKUP(A361,'company tracker'!$a:$s,MATCH("Jan 2025 Referring Domains",'company tracker'!$1:$1,0),FALSE()),"")</f>
        <v/>
      </c>
      <c r="H361" s="1" t="str">
        <f aca="false">IFERROR(VLOOKUP(A361,'company tracker'!$a:$s,MATCH("Jun 2026 Referring Domains",'company tracker'!$1:$1,0),FALSE()),"")</f>
        <v/>
      </c>
    </row>
    <row r="362" customFormat="false" ht="15" hidden="false" customHeight="true" outlineLevel="0" collapsed="false">
      <c r="B362" s="1" t="str">
        <f aca="false">IFERROR(VLOOKUP(A362,'company tracker'!$a:$s,MATCH("Category",'company tracker'!$1:$1,0),FALSE()),"")</f>
        <v/>
      </c>
      <c r="C362" s="1" t="str">
        <f aca="false">IFERROR(VLOOKUP(A362,'Pass 1 Archive'!$A:$AD,MATCH("LinkedIn Employee Count",'Pass 1 Archive'!$1:$1,0),FALSE()),"")</f>
        <v/>
      </c>
      <c r="D362" s="1" t="str">
        <f aca="false">IFERROR(VLOOKUP(A362,'company tracker'!$a:$s,MATCH("Jan 2025 Traffic",'company tracker'!$1:$1,0),FALSE()),"")</f>
        <v/>
      </c>
      <c r="E362" s="1" t="str">
        <f aca="false">IFERROR(VLOOKUP(A362,'company tracker'!$a:$s,MATCH("Jun 2026 Traffic",'company tracker'!$1:$1,0),FALSE()),"")</f>
        <v/>
      </c>
      <c r="F362" s="1" t="str">
        <f aca="false">IFERROR(VLOOKUP(A362,'company tracker'!$a:$s,MATCH("Traffic % Change",'company tracker'!$1:$1,0),FALSE()),"")</f>
        <v/>
      </c>
      <c r="G362" s="1" t="str">
        <f aca="false">IFERROR(VLOOKUP(A362,'company tracker'!$a:$s,MATCH("Jan 2025 Referring Domains",'company tracker'!$1:$1,0),FALSE()),"")</f>
        <v/>
      </c>
      <c r="H362" s="1" t="str">
        <f aca="false">IFERROR(VLOOKUP(A362,'company tracker'!$a:$s,MATCH("Jun 2026 Referring Domains",'company tracker'!$1:$1,0),FALSE()),"")</f>
        <v/>
      </c>
    </row>
    <row r="363" customFormat="false" ht="15" hidden="false" customHeight="true" outlineLevel="0" collapsed="false">
      <c r="B363" s="1" t="str">
        <f aca="false">IFERROR(VLOOKUP(A363,'company tracker'!$a:$s,MATCH("Category",'company tracker'!$1:$1,0),FALSE()),"")</f>
        <v/>
      </c>
      <c r="C363" s="1" t="str">
        <f aca="false">IFERROR(VLOOKUP(A363,'Pass 1 Archive'!$A:$AD,MATCH("LinkedIn Employee Count",'Pass 1 Archive'!$1:$1,0),FALSE()),"")</f>
        <v/>
      </c>
      <c r="D363" s="1" t="str">
        <f aca="false">IFERROR(VLOOKUP(A363,'company tracker'!$a:$s,MATCH("Jan 2025 Traffic",'company tracker'!$1:$1,0),FALSE()),"")</f>
        <v/>
      </c>
      <c r="E363" s="1" t="str">
        <f aca="false">IFERROR(VLOOKUP(A363,'company tracker'!$a:$s,MATCH("Jun 2026 Traffic",'company tracker'!$1:$1,0),FALSE()),"")</f>
        <v/>
      </c>
      <c r="F363" s="1" t="str">
        <f aca="false">IFERROR(VLOOKUP(A363,'company tracker'!$a:$s,MATCH("Traffic % Change",'company tracker'!$1:$1,0),FALSE()),"")</f>
        <v/>
      </c>
      <c r="G363" s="1" t="str">
        <f aca="false">IFERROR(VLOOKUP(A363,'company tracker'!$a:$s,MATCH("Jan 2025 Referring Domains",'company tracker'!$1:$1,0),FALSE()),"")</f>
        <v/>
      </c>
      <c r="H363" s="1" t="str">
        <f aca="false">IFERROR(VLOOKUP(A363,'company tracker'!$a:$s,MATCH("Jun 2026 Referring Domains",'company tracker'!$1:$1,0),FALSE()),"")</f>
        <v/>
      </c>
    </row>
    <row r="364" customFormat="false" ht="15" hidden="false" customHeight="true" outlineLevel="0" collapsed="false">
      <c r="B364" s="1" t="str">
        <f aca="false">IFERROR(VLOOKUP(A364,'company tracker'!$a:$s,MATCH("Category",'company tracker'!$1:$1,0),FALSE()),"")</f>
        <v/>
      </c>
      <c r="C364" s="1" t="str">
        <f aca="false">IFERROR(VLOOKUP(A364,'Pass 1 Archive'!$A:$AD,MATCH("LinkedIn Employee Count",'Pass 1 Archive'!$1:$1,0),FALSE()),"")</f>
        <v/>
      </c>
      <c r="D364" s="1" t="str">
        <f aca="false">IFERROR(VLOOKUP(A364,'company tracker'!$a:$s,MATCH("Jan 2025 Traffic",'company tracker'!$1:$1,0),FALSE()),"")</f>
        <v/>
      </c>
      <c r="E364" s="1" t="str">
        <f aca="false">IFERROR(VLOOKUP(A364,'company tracker'!$a:$s,MATCH("Jun 2026 Traffic",'company tracker'!$1:$1,0),FALSE()),"")</f>
        <v/>
      </c>
      <c r="F364" s="1" t="str">
        <f aca="false">IFERROR(VLOOKUP(A364,'company tracker'!$a:$s,MATCH("Traffic % Change",'company tracker'!$1:$1,0),FALSE()),"")</f>
        <v/>
      </c>
      <c r="G364" s="1" t="str">
        <f aca="false">IFERROR(VLOOKUP(A364,'company tracker'!$a:$s,MATCH("Jan 2025 Referring Domains",'company tracker'!$1:$1,0),FALSE()),"")</f>
        <v/>
      </c>
      <c r="H364" s="1" t="str">
        <f aca="false">IFERROR(VLOOKUP(A364,'company tracker'!$a:$s,MATCH("Jun 2026 Referring Domains",'company tracker'!$1:$1,0),FALSE()),"")</f>
        <v/>
      </c>
    </row>
    <row r="365" customFormat="false" ht="15" hidden="false" customHeight="true" outlineLevel="0" collapsed="false">
      <c r="B365" s="1" t="str">
        <f aca="false">IFERROR(VLOOKUP(A365,'company tracker'!$a:$s,MATCH("Category",'company tracker'!$1:$1,0),FALSE()),"")</f>
        <v/>
      </c>
      <c r="C365" s="1" t="str">
        <f aca="false">IFERROR(VLOOKUP(A365,'Pass 1 Archive'!$A:$AD,MATCH("LinkedIn Employee Count",'Pass 1 Archive'!$1:$1,0),FALSE()),"")</f>
        <v/>
      </c>
      <c r="D365" s="1" t="str">
        <f aca="false">IFERROR(VLOOKUP(A365,'company tracker'!$a:$s,MATCH("Jan 2025 Traffic",'company tracker'!$1:$1,0),FALSE()),"")</f>
        <v/>
      </c>
      <c r="E365" s="1" t="str">
        <f aca="false">IFERROR(VLOOKUP(A365,'company tracker'!$a:$s,MATCH("Jun 2026 Traffic",'company tracker'!$1:$1,0),FALSE()),"")</f>
        <v/>
      </c>
      <c r="F365" s="1" t="str">
        <f aca="false">IFERROR(VLOOKUP(A365,'company tracker'!$a:$s,MATCH("Traffic % Change",'company tracker'!$1:$1,0),FALSE()),"")</f>
        <v/>
      </c>
      <c r="G365" s="1" t="str">
        <f aca="false">IFERROR(VLOOKUP(A365,'company tracker'!$a:$s,MATCH("Jan 2025 Referring Domains",'company tracker'!$1:$1,0),FALSE()),"")</f>
        <v/>
      </c>
      <c r="H365" s="1" t="str">
        <f aca="false">IFERROR(VLOOKUP(A365,'company tracker'!$a:$s,MATCH("Jun 2026 Referring Domains",'company tracker'!$1:$1,0),FALSE()),"")</f>
        <v/>
      </c>
    </row>
    <row r="366" customFormat="false" ht="15" hidden="false" customHeight="true" outlineLevel="0" collapsed="false">
      <c r="B366" s="1" t="str">
        <f aca="false">IFERROR(VLOOKUP(A366,'company tracker'!$a:$s,MATCH("Category",'company tracker'!$1:$1,0),FALSE()),"")</f>
        <v/>
      </c>
      <c r="C366" s="1" t="str">
        <f aca="false">IFERROR(VLOOKUP(A366,'Pass 1 Archive'!$A:$AD,MATCH("LinkedIn Employee Count",'Pass 1 Archive'!$1:$1,0),FALSE()),"")</f>
        <v/>
      </c>
      <c r="D366" s="1" t="str">
        <f aca="false">IFERROR(VLOOKUP(A366,'company tracker'!$a:$s,MATCH("Jan 2025 Traffic",'company tracker'!$1:$1,0),FALSE()),"")</f>
        <v/>
      </c>
      <c r="E366" s="1" t="str">
        <f aca="false">IFERROR(VLOOKUP(A366,'company tracker'!$a:$s,MATCH("Jun 2026 Traffic",'company tracker'!$1:$1,0),FALSE()),"")</f>
        <v/>
      </c>
      <c r="F366" s="1" t="str">
        <f aca="false">IFERROR(VLOOKUP(A366,'company tracker'!$a:$s,MATCH("Traffic % Change",'company tracker'!$1:$1,0),FALSE()),"")</f>
        <v/>
      </c>
      <c r="G366" s="1" t="str">
        <f aca="false">IFERROR(VLOOKUP(A366,'company tracker'!$a:$s,MATCH("Jan 2025 Referring Domains",'company tracker'!$1:$1,0),FALSE()),"")</f>
        <v/>
      </c>
      <c r="H366" s="1" t="str">
        <f aca="false">IFERROR(VLOOKUP(A366,'company tracker'!$a:$s,MATCH("Jun 2026 Referring Domains",'company tracker'!$1:$1,0),FALSE()),"")</f>
        <v/>
      </c>
    </row>
    <row r="367" customFormat="false" ht="15" hidden="false" customHeight="true" outlineLevel="0" collapsed="false">
      <c r="B367" s="1" t="str">
        <f aca="false">IFERROR(VLOOKUP(A367,'company tracker'!$a:$s,MATCH("Category",'company tracker'!$1:$1,0),FALSE()),"")</f>
        <v/>
      </c>
      <c r="C367" s="1" t="str">
        <f aca="false">IFERROR(VLOOKUP(A367,'Pass 1 Archive'!$A:$AD,MATCH("LinkedIn Employee Count",'Pass 1 Archive'!$1:$1,0),FALSE()),"")</f>
        <v/>
      </c>
      <c r="D367" s="1" t="str">
        <f aca="false">IFERROR(VLOOKUP(A367,'company tracker'!$a:$s,MATCH("Jan 2025 Traffic",'company tracker'!$1:$1,0),FALSE()),"")</f>
        <v/>
      </c>
      <c r="E367" s="1" t="str">
        <f aca="false">IFERROR(VLOOKUP(A367,'company tracker'!$a:$s,MATCH("Jun 2026 Traffic",'company tracker'!$1:$1,0),FALSE()),"")</f>
        <v/>
      </c>
      <c r="F367" s="1" t="str">
        <f aca="false">IFERROR(VLOOKUP(A367,'company tracker'!$a:$s,MATCH("Traffic % Change",'company tracker'!$1:$1,0),FALSE()),"")</f>
        <v/>
      </c>
      <c r="G367" s="1" t="str">
        <f aca="false">IFERROR(VLOOKUP(A367,'company tracker'!$a:$s,MATCH("Jan 2025 Referring Domains",'company tracker'!$1:$1,0),FALSE()),"")</f>
        <v/>
      </c>
      <c r="H367" s="1" t="str">
        <f aca="false">IFERROR(VLOOKUP(A367,'company tracker'!$a:$s,MATCH("Jun 2026 Referring Domains",'company tracker'!$1:$1,0),FALSE()),"")</f>
        <v/>
      </c>
    </row>
    <row r="368" customFormat="false" ht="15" hidden="false" customHeight="true" outlineLevel="0" collapsed="false">
      <c r="B368" s="1" t="str">
        <f aca="false">IFERROR(VLOOKUP(A368,'company tracker'!$a:$s,MATCH("Category",'company tracker'!$1:$1,0),FALSE()),"")</f>
        <v/>
      </c>
      <c r="C368" s="1" t="str">
        <f aca="false">IFERROR(VLOOKUP(A368,'Pass 1 Archive'!$A:$AD,MATCH("LinkedIn Employee Count",'Pass 1 Archive'!$1:$1,0),FALSE()),"")</f>
        <v/>
      </c>
      <c r="D368" s="1" t="str">
        <f aca="false">IFERROR(VLOOKUP(A368,'company tracker'!$a:$s,MATCH("Jan 2025 Traffic",'company tracker'!$1:$1,0),FALSE()),"")</f>
        <v/>
      </c>
      <c r="E368" s="1" t="str">
        <f aca="false">IFERROR(VLOOKUP(A368,'company tracker'!$a:$s,MATCH("Jun 2026 Traffic",'company tracker'!$1:$1,0),FALSE()),"")</f>
        <v/>
      </c>
      <c r="F368" s="1" t="str">
        <f aca="false">IFERROR(VLOOKUP(A368,'company tracker'!$a:$s,MATCH("Traffic % Change",'company tracker'!$1:$1,0),FALSE()),"")</f>
        <v/>
      </c>
      <c r="G368" s="1" t="str">
        <f aca="false">IFERROR(VLOOKUP(A368,'company tracker'!$a:$s,MATCH("Jan 2025 Referring Domains",'company tracker'!$1:$1,0),FALSE()),"")</f>
        <v/>
      </c>
      <c r="H368" s="1" t="str">
        <f aca="false">IFERROR(VLOOKUP(A368,'company tracker'!$a:$s,MATCH("Jun 2026 Referring Domains",'company tracker'!$1:$1,0),FALSE()),"")</f>
        <v/>
      </c>
    </row>
    <row r="369" customFormat="false" ht="15" hidden="false" customHeight="true" outlineLevel="0" collapsed="false">
      <c r="B369" s="1" t="str">
        <f aca="false">IFERROR(VLOOKUP(A369,'company tracker'!$a:$s,MATCH("Category",'company tracker'!$1:$1,0),FALSE()),"")</f>
        <v/>
      </c>
      <c r="C369" s="1" t="str">
        <f aca="false">IFERROR(VLOOKUP(A369,'Pass 1 Archive'!$A:$AD,MATCH("LinkedIn Employee Count",'Pass 1 Archive'!$1:$1,0),FALSE()),"")</f>
        <v/>
      </c>
      <c r="D369" s="1" t="str">
        <f aca="false">IFERROR(VLOOKUP(A369,'company tracker'!$a:$s,MATCH("Jan 2025 Traffic",'company tracker'!$1:$1,0),FALSE()),"")</f>
        <v/>
      </c>
      <c r="E369" s="1" t="str">
        <f aca="false">IFERROR(VLOOKUP(A369,'company tracker'!$a:$s,MATCH("Jun 2026 Traffic",'company tracker'!$1:$1,0),FALSE()),"")</f>
        <v/>
      </c>
      <c r="F369" s="1" t="str">
        <f aca="false">IFERROR(VLOOKUP(A369,'company tracker'!$a:$s,MATCH("Traffic % Change",'company tracker'!$1:$1,0),FALSE()),"")</f>
        <v/>
      </c>
      <c r="G369" s="1" t="str">
        <f aca="false">IFERROR(VLOOKUP(A369,'company tracker'!$a:$s,MATCH("Jan 2025 Referring Domains",'company tracker'!$1:$1,0),FALSE()),"")</f>
        <v/>
      </c>
      <c r="H369" s="1" t="str">
        <f aca="false">IFERROR(VLOOKUP(A369,'company tracker'!$a:$s,MATCH("Jun 2026 Referring Domains",'company tracker'!$1:$1,0),FALSE()),"")</f>
        <v/>
      </c>
    </row>
    <row r="370" customFormat="false" ht="15" hidden="false" customHeight="true" outlineLevel="0" collapsed="false">
      <c r="B370" s="1" t="str">
        <f aca="false">IFERROR(VLOOKUP(A370,'company tracker'!$a:$s,MATCH("Category",'company tracker'!$1:$1,0),FALSE()),"")</f>
        <v/>
      </c>
      <c r="C370" s="1" t="str">
        <f aca="false">IFERROR(VLOOKUP(A370,'Pass 1 Archive'!$A:$AD,MATCH("LinkedIn Employee Count",'Pass 1 Archive'!$1:$1,0),FALSE()),"")</f>
        <v/>
      </c>
      <c r="D370" s="1" t="str">
        <f aca="false">IFERROR(VLOOKUP(A370,'company tracker'!$a:$s,MATCH("Jan 2025 Traffic",'company tracker'!$1:$1,0),FALSE()),"")</f>
        <v/>
      </c>
      <c r="E370" s="1" t="str">
        <f aca="false">IFERROR(VLOOKUP(A370,'company tracker'!$a:$s,MATCH("Jun 2026 Traffic",'company tracker'!$1:$1,0),FALSE()),"")</f>
        <v/>
      </c>
      <c r="F370" s="1" t="str">
        <f aca="false">IFERROR(VLOOKUP(A370,'company tracker'!$a:$s,MATCH("Traffic % Change",'company tracker'!$1:$1,0),FALSE()),"")</f>
        <v/>
      </c>
      <c r="G370" s="1" t="str">
        <f aca="false">IFERROR(VLOOKUP(A370,'company tracker'!$a:$s,MATCH("Jan 2025 Referring Domains",'company tracker'!$1:$1,0),FALSE()),"")</f>
        <v/>
      </c>
      <c r="H370" s="1" t="str">
        <f aca="false">IFERROR(VLOOKUP(A370,'company tracker'!$a:$s,MATCH("Jun 2026 Referring Domains",'company tracker'!$1:$1,0),FALSE()),"")</f>
        <v/>
      </c>
    </row>
    <row r="371" customFormat="false" ht="15" hidden="false" customHeight="true" outlineLevel="0" collapsed="false">
      <c r="B371" s="1" t="str">
        <f aca="false">IFERROR(VLOOKUP(A371,'company tracker'!$a:$s,MATCH("Category",'company tracker'!$1:$1,0),FALSE()),"")</f>
        <v/>
      </c>
      <c r="C371" s="1" t="str">
        <f aca="false">IFERROR(VLOOKUP(A371,'Pass 1 Archive'!$A:$AD,MATCH("LinkedIn Employee Count",'Pass 1 Archive'!$1:$1,0),FALSE()),"")</f>
        <v/>
      </c>
      <c r="D371" s="1" t="str">
        <f aca="false">IFERROR(VLOOKUP(A371,'company tracker'!$a:$s,MATCH("Jan 2025 Traffic",'company tracker'!$1:$1,0),FALSE()),"")</f>
        <v/>
      </c>
      <c r="E371" s="1" t="str">
        <f aca="false">IFERROR(VLOOKUP(A371,'company tracker'!$a:$s,MATCH("Jun 2026 Traffic",'company tracker'!$1:$1,0),FALSE()),"")</f>
        <v/>
      </c>
      <c r="F371" s="1" t="str">
        <f aca="false">IFERROR(VLOOKUP(A371,'company tracker'!$a:$s,MATCH("Traffic % Change",'company tracker'!$1:$1,0),FALSE()),"")</f>
        <v/>
      </c>
      <c r="G371" s="1" t="str">
        <f aca="false">IFERROR(VLOOKUP(A371,'company tracker'!$a:$s,MATCH("Jan 2025 Referring Domains",'company tracker'!$1:$1,0),FALSE()),"")</f>
        <v/>
      </c>
      <c r="H371" s="1" t="str">
        <f aca="false">IFERROR(VLOOKUP(A371,'company tracker'!$a:$s,MATCH("Jun 2026 Referring Domains",'company tracker'!$1:$1,0),FALSE()),"")</f>
        <v/>
      </c>
    </row>
    <row r="372" customFormat="false" ht="15" hidden="false" customHeight="true" outlineLevel="0" collapsed="false">
      <c r="B372" s="1" t="str">
        <f aca="false">IFERROR(VLOOKUP(A372,'company tracker'!$a:$s,MATCH("Category",'company tracker'!$1:$1,0),FALSE()),"")</f>
        <v/>
      </c>
      <c r="C372" s="1" t="str">
        <f aca="false">IFERROR(VLOOKUP(A372,'Pass 1 Archive'!$A:$AD,MATCH("LinkedIn Employee Count",'Pass 1 Archive'!$1:$1,0),FALSE()),"")</f>
        <v/>
      </c>
      <c r="D372" s="1" t="str">
        <f aca="false">IFERROR(VLOOKUP(A372,'company tracker'!$a:$s,MATCH("Jan 2025 Traffic",'company tracker'!$1:$1,0),FALSE()),"")</f>
        <v/>
      </c>
      <c r="E372" s="1" t="str">
        <f aca="false">IFERROR(VLOOKUP(A372,'company tracker'!$a:$s,MATCH("Jun 2026 Traffic",'company tracker'!$1:$1,0),FALSE()),"")</f>
        <v/>
      </c>
      <c r="F372" s="1" t="str">
        <f aca="false">IFERROR(VLOOKUP(A372,'company tracker'!$a:$s,MATCH("Traffic % Change",'company tracker'!$1:$1,0),FALSE()),"")</f>
        <v/>
      </c>
      <c r="G372" s="1" t="str">
        <f aca="false">IFERROR(VLOOKUP(A372,'company tracker'!$a:$s,MATCH("Jan 2025 Referring Domains",'company tracker'!$1:$1,0),FALSE()),"")</f>
        <v/>
      </c>
      <c r="H372" s="1" t="str">
        <f aca="false">IFERROR(VLOOKUP(A372,'company tracker'!$a:$s,MATCH("Jun 2026 Referring Domains",'company tracker'!$1:$1,0),FALSE()),"")</f>
        <v/>
      </c>
    </row>
    <row r="373" customFormat="false" ht="15" hidden="false" customHeight="true" outlineLevel="0" collapsed="false">
      <c r="B373" s="1" t="str">
        <f aca="false">IFERROR(VLOOKUP(A373,'company tracker'!$a:$s,MATCH("Category",'company tracker'!$1:$1,0),FALSE()),"")</f>
        <v/>
      </c>
      <c r="C373" s="1" t="str">
        <f aca="false">IFERROR(VLOOKUP(A373,'Pass 1 Archive'!$A:$AD,MATCH("LinkedIn Employee Count",'Pass 1 Archive'!$1:$1,0),FALSE()),"")</f>
        <v/>
      </c>
      <c r="D373" s="1" t="str">
        <f aca="false">IFERROR(VLOOKUP(A373,'company tracker'!$a:$s,MATCH("Jan 2025 Traffic",'company tracker'!$1:$1,0),FALSE()),"")</f>
        <v/>
      </c>
      <c r="E373" s="1" t="str">
        <f aca="false">IFERROR(VLOOKUP(A373,'company tracker'!$a:$s,MATCH("Jun 2026 Traffic",'company tracker'!$1:$1,0),FALSE()),"")</f>
        <v/>
      </c>
      <c r="F373" s="1" t="str">
        <f aca="false">IFERROR(VLOOKUP(A373,'company tracker'!$a:$s,MATCH("Traffic % Change",'company tracker'!$1:$1,0),FALSE()),"")</f>
        <v/>
      </c>
      <c r="G373" s="1" t="str">
        <f aca="false">IFERROR(VLOOKUP(A373,'company tracker'!$a:$s,MATCH("Jan 2025 Referring Domains",'company tracker'!$1:$1,0),FALSE()),"")</f>
        <v/>
      </c>
      <c r="H373" s="1" t="str">
        <f aca="false">IFERROR(VLOOKUP(A373,'company tracker'!$a:$s,MATCH("Jun 2026 Referring Domains",'company tracker'!$1:$1,0),FALSE()),"")</f>
        <v/>
      </c>
    </row>
    <row r="374" customFormat="false" ht="15" hidden="false" customHeight="true" outlineLevel="0" collapsed="false">
      <c r="B374" s="1" t="str">
        <f aca="false">IFERROR(VLOOKUP(A374,'company tracker'!$a:$s,MATCH("Category",'company tracker'!$1:$1,0),FALSE()),"")</f>
        <v/>
      </c>
      <c r="C374" s="1" t="str">
        <f aca="false">IFERROR(VLOOKUP(A374,'Pass 1 Archive'!$A:$AD,MATCH("LinkedIn Employee Count",'Pass 1 Archive'!$1:$1,0),FALSE()),"")</f>
        <v/>
      </c>
      <c r="D374" s="1" t="str">
        <f aca="false">IFERROR(VLOOKUP(A374,'company tracker'!$a:$s,MATCH("Jan 2025 Traffic",'company tracker'!$1:$1,0),FALSE()),"")</f>
        <v/>
      </c>
      <c r="E374" s="1" t="str">
        <f aca="false">IFERROR(VLOOKUP(A374,'company tracker'!$a:$s,MATCH("Jun 2026 Traffic",'company tracker'!$1:$1,0),FALSE()),"")</f>
        <v/>
      </c>
      <c r="F374" s="1" t="str">
        <f aca="false">IFERROR(VLOOKUP(A374,'company tracker'!$a:$s,MATCH("Traffic % Change",'company tracker'!$1:$1,0),FALSE()),"")</f>
        <v/>
      </c>
      <c r="G374" s="1" t="str">
        <f aca="false">IFERROR(VLOOKUP(A374,'company tracker'!$a:$s,MATCH("Jan 2025 Referring Domains",'company tracker'!$1:$1,0),FALSE()),"")</f>
        <v/>
      </c>
      <c r="H374" s="1" t="str">
        <f aca="false">IFERROR(VLOOKUP(A374,'company tracker'!$a:$s,MATCH("Jun 2026 Referring Domains",'company tracker'!$1:$1,0),FALSE()),"")</f>
        <v/>
      </c>
    </row>
    <row r="375" customFormat="false" ht="15" hidden="false" customHeight="true" outlineLevel="0" collapsed="false">
      <c r="B375" s="1" t="str">
        <f aca="false">IFERROR(VLOOKUP(A375,'company tracker'!$a:$s,MATCH("Category",'company tracker'!$1:$1,0),FALSE()),"")</f>
        <v/>
      </c>
      <c r="C375" s="1" t="str">
        <f aca="false">IFERROR(VLOOKUP(A375,'Pass 1 Archive'!$A:$AD,MATCH("LinkedIn Employee Count",'Pass 1 Archive'!$1:$1,0),FALSE()),"")</f>
        <v/>
      </c>
      <c r="D375" s="1" t="str">
        <f aca="false">IFERROR(VLOOKUP(A375,'company tracker'!$a:$s,MATCH("Jan 2025 Traffic",'company tracker'!$1:$1,0),FALSE()),"")</f>
        <v/>
      </c>
      <c r="E375" s="1" t="str">
        <f aca="false">IFERROR(VLOOKUP(A375,'company tracker'!$a:$s,MATCH("Jun 2026 Traffic",'company tracker'!$1:$1,0),FALSE()),"")</f>
        <v/>
      </c>
      <c r="F375" s="1" t="str">
        <f aca="false">IFERROR(VLOOKUP(A375,'company tracker'!$a:$s,MATCH("Traffic % Change",'company tracker'!$1:$1,0),FALSE()),"")</f>
        <v/>
      </c>
      <c r="G375" s="1" t="str">
        <f aca="false">IFERROR(VLOOKUP(A375,'company tracker'!$a:$s,MATCH("Jan 2025 Referring Domains",'company tracker'!$1:$1,0),FALSE()),"")</f>
        <v/>
      </c>
      <c r="H375" s="1" t="str">
        <f aca="false">IFERROR(VLOOKUP(A375,'company tracker'!$a:$s,MATCH("Jun 2026 Referring Domains",'company tracker'!$1:$1,0),FALSE()),"")</f>
        <v/>
      </c>
    </row>
    <row r="376" customFormat="false" ht="15" hidden="false" customHeight="true" outlineLevel="0" collapsed="false">
      <c r="B376" s="1" t="str">
        <f aca="false">IFERROR(VLOOKUP(A376,'company tracker'!$a:$s,MATCH("Category",'company tracker'!$1:$1,0),FALSE()),"")</f>
        <v/>
      </c>
      <c r="C376" s="1" t="str">
        <f aca="false">IFERROR(VLOOKUP(A376,'Pass 1 Archive'!$A:$AD,MATCH("LinkedIn Employee Count",'Pass 1 Archive'!$1:$1,0),FALSE()),"")</f>
        <v/>
      </c>
      <c r="D376" s="1" t="str">
        <f aca="false">IFERROR(VLOOKUP(A376,'company tracker'!$a:$s,MATCH("Jan 2025 Traffic",'company tracker'!$1:$1,0),FALSE()),"")</f>
        <v/>
      </c>
      <c r="E376" s="1" t="str">
        <f aca="false">IFERROR(VLOOKUP(A376,'company tracker'!$a:$s,MATCH("Jun 2026 Traffic",'company tracker'!$1:$1,0),FALSE()),"")</f>
        <v/>
      </c>
      <c r="F376" s="1" t="str">
        <f aca="false">IFERROR(VLOOKUP(A376,'company tracker'!$a:$s,MATCH("Traffic % Change",'company tracker'!$1:$1,0),FALSE()),"")</f>
        <v/>
      </c>
      <c r="G376" s="1" t="str">
        <f aca="false">IFERROR(VLOOKUP(A376,'company tracker'!$a:$s,MATCH("Jan 2025 Referring Domains",'company tracker'!$1:$1,0),FALSE()),"")</f>
        <v/>
      </c>
      <c r="H376" s="1" t="str">
        <f aca="false">IFERROR(VLOOKUP(A376,'company tracker'!$a:$s,MATCH("Jun 2026 Referring Domains",'company tracker'!$1:$1,0),FALSE()),"")</f>
        <v/>
      </c>
    </row>
    <row r="377" customFormat="false" ht="15" hidden="false" customHeight="true" outlineLevel="0" collapsed="false">
      <c r="B377" s="1" t="str">
        <f aca="false">IFERROR(VLOOKUP(A377,'company tracker'!$a:$s,MATCH("Category",'company tracker'!$1:$1,0),FALSE()),"")</f>
        <v/>
      </c>
      <c r="C377" s="1" t="str">
        <f aca="false">IFERROR(VLOOKUP(A377,'Pass 1 Archive'!$A:$AD,MATCH("LinkedIn Employee Count",'Pass 1 Archive'!$1:$1,0),FALSE()),"")</f>
        <v/>
      </c>
      <c r="D377" s="1" t="str">
        <f aca="false">IFERROR(VLOOKUP(A377,'company tracker'!$a:$s,MATCH("Jan 2025 Traffic",'company tracker'!$1:$1,0),FALSE()),"")</f>
        <v/>
      </c>
      <c r="E377" s="1" t="str">
        <f aca="false">IFERROR(VLOOKUP(A377,'company tracker'!$a:$s,MATCH("Jun 2026 Traffic",'company tracker'!$1:$1,0),FALSE()),"")</f>
        <v/>
      </c>
      <c r="F377" s="1" t="str">
        <f aca="false">IFERROR(VLOOKUP(A377,'company tracker'!$a:$s,MATCH("Traffic % Change",'company tracker'!$1:$1,0),FALSE()),"")</f>
        <v/>
      </c>
      <c r="G377" s="1" t="str">
        <f aca="false">IFERROR(VLOOKUP(A377,'company tracker'!$a:$s,MATCH("Jan 2025 Referring Domains",'company tracker'!$1:$1,0),FALSE()),"")</f>
        <v/>
      </c>
      <c r="H377" s="1" t="str">
        <f aca="false">IFERROR(VLOOKUP(A377,'company tracker'!$a:$s,MATCH("Jun 2026 Referring Domains",'company tracker'!$1:$1,0),FALSE()),"")</f>
        <v/>
      </c>
    </row>
    <row r="378" customFormat="false" ht="15" hidden="false" customHeight="true" outlineLevel="0" collapsed="false">
      <c r="B378" s="1" t="str">
        <f aca="false">IFERROR(VLOOKUP(A378,'company tracker'!$a:$s,MATCH("Category",'company tracker'!$1:$1,0),FALSE()),"")</f>
        <v/>
      </c>
      <c r="C378" s="1" t="str">
        <f aca="false">IFERROR(VLOOKUP(A378,'Pass 1 Archive'!$A:$AD,MATCH("LinkedIn Employee Count",'Pass 1 Archive'!$1:$1,0),FALSE()),"")</f>
        <v/>
      </c>
      <c r="D378" s="1" t="str">
        <f aca="false">IFERROR(VLOOKUP(A378,'company tracker'!$a:$s,MATCH("Jan 2025 Traffic",'company tracker'!$1:$1,0),FALSE()),"")</f>
        <v/>
      </c>
      <c r="E378" s="1" t="str">
        <f aca="false">IFERROR(VLOOKUP(A378,'company tracker'!$a:$s,MATCH("Jun 2026 Traffic",'company tracker'!$1:$1,0),FALSE()),"")</f>
        <v/>
      </c>
      <c r="F378" s="1" t="str">
        <f aca="false">IFERROR(VLOOKUP(A378,'company tracker'!$a:$s,MATCH("Traffic % Change",'company tracker'!$1:$1,0),FALSE()),"")</f>
        <v/>
      </c>
      <c r="G378" s="1" t="str">
        <f aca="false">IFERROR(VLOOKUP(A378,'company tracker'!$a:$s,MATCH("Jan 2025 Referring Domains",'company tracker'!$1:$1,0),FALSE()),"")</f>
        <v/>
      </c>
      <c r="H378" s="1" t="str">
        <f aca="false">IFERROR(VLOOKUP(A378,'company tracker'!$a:$s,MATCH("Jun 2026 Referring Domains",'company tracker'!$1:$1,0),FALSE()),"")</f>
        <v/>
      </c>
    </row>
    <row r="379" customFormat="false" ht="15" hidden="false" customHeight="true" outlineLevel="0" collapsed="false">
      <c r="B379" s="1" t="str">
        <f aca="false">IFERROR(VLOOKUP(A379,'company tracker'!$a:$s,MATCH("Category",'company tracker'!$1:$1,0),FALSE()),"")</f>
        <v/>
      </c>
      <c r="C379" s="1" t="str">
        <f aca="false">IFERROR(VLOOKUP(A379,'Pass 1 Archive'!$A:$AD,MATCH("LinkedIn Employee Count",'Pass 1 Archive'!$1:$1,0),FALSE()),"")</f>
        <v/>
      </c>
      <c r="D379" s="1" t="str">
        <f aca="false">IFERROR(VLOOKUP(A379,'company tracker'!$a:$s,MATCH("Jan 2025 Traffic",'company tracker'!$1:$1,0),FALSE()),"")</f>
        <v/>
      </c>
      <c r="E379" s="1" t="str">
        <f aca="false">IFERROR(VLOOKUP(A379,'company tracker'!$a:$s,MATCH("Jun 2026 Traffic",'company tracker'!$1:$1,0),FALSE()),"")</f>
        <v/>
      </c>
      <c r="F379" s="1" t="str">
        <f aca="false">IFERROR(VLOOKUP(A379,'company tracker'!$a:$s,MATCH("Traffic % Change",'company tracker'!$1:$1,0),FALSE()),"")</f>
        <v/>
      </c>
      <c r="G379" s="1" t="str">
        <f aca="false">IFERROR(VLOOKUP(A379,'company tracker'!$a:$s,MATCH("Jan 2025 Referring Domains",'company tracker'!$1:$1,0),FALSE()),"")</f>
        <v/>
      </c>
      <c r="H379" s="1" t="str">
        <f aca="false">IFERROR(VLOOKUP(A379,'company tracker'!$a:$s,MATCH("Jun 2026 Referring Domains",'company tracker'!$1:$1,0),FALSE()),"")</f>
        <v/>
      </c>
    </row>
    <row r="380" customFormat="false" ht="15" hidden="false" customHeight="true" outlineLevel="0" collapsed="false">
      <c r="B380" s="1" t="str">
        <f aca="false">IFERROR(VLOOKUP(A380,'company tracker'!$a:$s,MATCH("Category",'company tracker'!$1:$1,0),FALSE()),"")</f>
        <v/>
      </c>
      <c r="C380" s="1" t="str">
        <f aca="false">IFERROR(VLOOKUP(A380,'Pass 1 Archive'!$A:$AD,MATCH("LinkedIn Employee Count",'Pass 1 Archive'!$1:$1,0),FALSE()),"")</f>
        <v/>
      </c>
      <c r="D380" s="1" t="str">
        <f aca="false">IFERROR(VLOOKUP(A380,'company tracker'!$a:$s,MATCH("Jan 2025 Traffic",'company tracker'!$1:$1,0),FALSE()),"")</f>
        <v/>
      </c>
      <c r="E380" s="1" t="str">
        <f aca="false">IFERROR(VLOOKUP(A380,'company tracker'!$a:$s,MATCH("Jun 2026 Traffic",'company tracker'!$1:$1,0),FALSE()),"")</f>
        <v/>
      </c>
      <c r="F380" s="1" t="str">
        <f aca="false">IFERROR(VLOOKUP(A380,'company tracker'!$a:$s,MATCH("Traffic % Change",'company tracker'!$1:$1,0),FALSE()),"")</f>
        <v/>
      </c>
      <c r="G380" s="1" t="str">
        <f aca="false">IFERROR(VLOOKUP(A380,'company tracker'!$a:$s,MATCH("Jan 2025 Referring Domains",'company tracker'!$1:$1,0),FALSE()),"")</f>
        <v/>
      </c>
      <c r="H380" s="1" t="str">
        <f aca="false">IFERROR(VLOOKUP(A380,'company tracker'!$a:$s,MATCH("Jun 2026 Referring Domains",'company tracker'!$1:$1,0),FALSE()),"")</f>
        <v/>
      </c>
    </row>
    <row r="381" customFormat="false" ht="15" hidden="false" customHeight="true" outlineLevel="0" collapsed="false">
      <c r="B381" s="1" t="str">
        <f aca="false">IFERROR(VLOOKUP(A381,'company tracker'!$a:$s,MATCH("Category",'company tracker'!$1:$1,0),FALSE()),"")</f>
        <v/>
      </c>
      <c r="C381" s="1" t="str">
        <f aca="false">IFERROR(VLOOKUP(A381,'Pass 1 Archive'!$A:$AD,MATCH("LinkedIn Employee Count",'Pass 1 Archive'!$1:$1,0),FALSE()),"")</f>
        <v/>
      </c>
      <c r="D381" s="1" t="str">
        <f aca="false">IFERROR(VLOOKUP(A381,'company tracker'!$a:$s,MATCH("Jan 2025 Traffic",'company tracker'!$1:$1,0),FALSE()),"")</f>
        <v/>
      </c>
      <c r="E381" s="1" t="str">
        <f aca="false">IFERROR(VLOOKUP(A381,'company tracker'!$a:$s,MATCH("Jun 2026 Traffic",'company tracker'!$1:$1,0),FALSE()),"")</f>
        <v/>
      </c>
      <c r="F381" s="1" t="str">
        <f aca="false">IFERROR(VLOOKUP(A381,'company tracker'!$a:$s,MATCH("Traffic % Change",'company tracker'!$1:$1,0),FALSE()),"")</f>
        <v/>
      </c>
      <c r="G381" s="1" t="str">
        <f aca="false">IFERROR(VLOOKUP(A381,'company tracker'!$a:$s,MATCH("Jan 2025 Referring Domains",'company tracker'!$1:$1,0),FALSE()),"")</f>
        <v/>
      </c>
      <c r="H381" s="1" t="str">
        <f aca="false">IFERROR(VLOOKUP(A381,'company tracker'!$a:$s,MATCH("Jun 2026 Referring Domains",'company tracker'!$1:$1,0),FALSE()),"")</f>
        <v/>
      </c>
    </row>
    <row r="382" customFormat="false" ht="15" hidden="false" customHeight="true" outlineLevel="0" collapsed="false">
      <c r="B382" s="1" t="str">
        <f aca="false">IFERROR(VLOOKUP(A382,'company tracker'!$a:$s,MATCH("Category",'company tracker'!$1:$1,0),FALSE()),"")</f>
        <v/>
      </c>
      <c r="C382" s="1" t="str">
        <f aca="false">IFERROR(VLOOKUP(A382,'Pass 1 Archive'!$A:$AD,MATCH("LinkedIn Employee Count",'Pass 1 Archive'!$1:$1,0),FALSE()),"")</f>
        <v/>
      </c>
      <c r="D382" s="1" t="str">
        <f aca="false">IFERROR(VLOOKUP(A382,'company tracker'!$a:$s,MATCH("Jan 2025 Traffic",'company tracker'!$1:$1,0),FALSE()),"")</f>
        <v/>
      </c>
      <c r="E382" s="1" t="str">
        <f aca="false">IFERROR(VLOOKUP(A382,'company tracker'!$a:$s,MATCH("Jun 2026 Traffic",'company tracker'!$1:$1,0),FALSE()),"")</f>
        <v/>
      </c>
      <c r="F382" s="1" t="str">
        <f aca="false">IFERROR(VLOOKUP(A382,'company tracker'!$a:$s,MATCH("Traffic % Change",'company tracker'!$1:$1,0),FALSE()),"")</f>
        <v/>
      </c>
      <c r="G382" s="1" t="str">
        <f aca="false">IFERROR(VLOOKUP(A382,'company tracker'!$a:$s,MATCH("Jan 2025 Referring Domains",'company tracker'!$1:$1,0),FALSE()),"")</f>
        <v/>
      </c>
      <c r="H382" s="1" t="str">
        <f aca="false">IFERROR(VLOOKUP(A382,'company tracker'!$a:$s,MATCH("Jun 2026 Referring Domains",'company tracker'!$1:$1,0),FALSE()),"")</f>
        <v/>
      </c>
    </row>
    <row r="383" customFormat="false" ht="15" hidden="false" customHeight="true" outlineLevel="0" collapsed="false">
      <c r="B383" s="1" t="str">
        <f aca="false">IFERROR(VLOOKUP(A383,'company tracker'!$a:$s,MATCH("Category",'company tracker'!$1:$1,0),FALSE()),"")</f>
        <v/>
      </c>
      <c r="C383" s="1" t="str">
        <f aca="false">IFERROR(VLOOKUP(A383,'Pass 1 Archive'!$A:$AD,MATCH("LinkedIn Employee Count",'Pass 1 Archive'!$1:$1,0),FALSE()),"")</f>
        <v/>
      </c>
      <c r="D383" s="1" t="str">
        <f aca="false">IFERROR(VLOOKUP(A383,'company tracker'!$a:$s,MATCH("Jan 2025 Traffic",'company tracker'!$1:$1,0),FALSE()),"")</f>
        <v/>
      </c>
      <c r="E383" s="1" t="str">
        <f aca="false">IFERROR(VLOOKUP(A383,'company tracker'!$a:$s,MATCH("Jun 2026 Traffic",'company tracker'!$1:$1,0),FALSE()),"")</f>
        <v/>
      </c>
      <c r="F383" s="1" t="str">
        <f aca="false">IFERROR(VLOOKUP(A383,'company tracker'!$a:$s,MATCH("Traffic % Change",'company tracker'!$1:$1,0),FALSE()),"")</f>
        <v/>
      </c>
      <c r="G383" s="1" t="str">
        <f aca="false">IFERROR(VLOOKUP(A383,'company tracker'!$a:$s,MATCH("Jan 2025 Referring Domains",'company tracker'!$1:$1,0),FALSE()),"")</f>
        <v/>
      </c>
      <c r="H383" s="1" t="str">
        <f aca="false">IFERROR(VLOOKUP(A383,'company tracker'!$a:$s,MATCH("Jun 2026 Referring Domains",'company tracker'!$1:$1,0),FALSE()),"")</f>
        <v/>
      </c>
    </row>
    <row r="384" customFormat="false" ht="15" hidden="false" customHeight="true" outlineLevel="0" collapsed="false">
      <c r="B384" s="1" t="str">
        <f aca="false">IFERROR(VLOOKUP(A384,'company tracker'!$a:$s,MATCH("Category",'company tracker'!$1:$1,0),FALSE()),"")</f>
        <v/>
      </c>
      <c r="C384" s="1" t="str">
        <f aca="false">IFERROR(VLOOKUP(A384,'Pass 1 Archive'!$A:$AD,MATCH("LinkedIn Employee Count",'Pass 1 Archive'!$1:$1,0),FALSE()),"")</f>
        <v/>
      </c>
      <c r="D384" s="1" t="str">
        <f aca="false">IFERROR(VLOOKUP(A384,'company tracker'!$a:$s,MATCH("Jan 2025 Traffic",'company tracker'!$1:$1,0),FALSE()),"")</f>
        <v/>
      </c>
      <c r="E384" s="1" t="str">
        <f aca="false">IFERROR(VLOOKUP(A384,'company tracker'!$a:$s,MATCH("Jun 2026 Traffic",'company tracker'!$1:$1,0),FALSE()),"")</f>
        <v/>
      </c>
      <c r="F384" s="1" t="str">
        <f aca="false">IFERROR(VLOOKUP(A384,'company tracker'!$a:$s,MATCH("Traffic % Change",'company tracker'!$1:$1,0),FALSE()),"")</f>
        <v/>
      </c>
      <c r="G384" s="1" t="str">
        <f aca="false">IFERROR(VLOOKUP(A384,'company tracker'!$a:$s,MATCH("Jan 2025 Referring Domains",'company tracker'!$1:$1,0),FALSE()),"")</f>
        <v/>
      </c>
      <c r="H384" s="1" t="str">
        <f aca="false">IFERROR(VLOOKUP(A384,'company tracker'!$a:$s,MATCH("Jun 2026 Referring Domains",'company tracker'!$1:$1,0),FALSE()),"")</f>
        <v/>
      </c>
    </row>
    <row r="385" customFormat="false" ht="15" hidden="false" customHeight="true" outlineLevel="0" collapsed="false">
      <c r="B385" s="1" t="str">
        <f aca="false">IFERROR(VLOOKUP(A385,'company tracker'!$a:$s,MATCH("Category",'company tracker'!$1:$1,0),FALSE()),"")</f>
        <v/>
      </c>
      <c r="C385" s="1" t="str">
        <f aca="false">IFERROR(VLOOKUP(A385,'Pass 1 Archive'!$A:$AD,MATCH("LinkedIn Employee Count",'Pass 1 Archive'!$1:$1,0),FALSE()),"")</f>
        <v/>
      </c>
      <c r="D385" s="1" t="str">
        <f aca="false">IFERROR(VLOOKUP(A385,'company tracker'!$a:$s,MATCH("Jan 2025 Traffic",'company tracker'!$1:$1,0),FALSE()),"")</f>
        <v/>
      </c>
      <c r="E385" s="1" t="str">
        <f aca="false">IFERROR(VLOOKUP(A385,'company tracker'!$a:$s,MATCH("Jun 2026 Traffic",'company tracker'!$1:$1,0),FALSE()),"")</f>
        <v/>
      </c>
      <c r="F385" s="1" t="str">
        <f aca="false">IFERROR(VLOOKUP(A385,'company tracker'!$a:$s,MATCH("Traffic % Change",'company tracker'!$1:$1,0),FALSE()),"")</f>
        <v/>
      </c>
      <c r="G385" s="1" t="str">
        <f aca="false">IFERROR(VLOOKUP(A385,'company tracker'!$a:$s,MATCH("Jan 2025 Referring Domains",'company tracker'!$1:$1,0),FALSE()),"")</f>
        <v/>
      </c>
      <c r="H385" s="1" t="str">
        <f aca="false">IFERROR(VLOOKUP(A385,'company tracker'!$a:$s,MATCH("Jun 2026 Referring Domains",'company tracker'!$1:$1,0),FALSE()),"")</f>
        <v/>
      </c>
    </row>
    <row r="386" customFormat="false" ht="15" hidden="false" customHeight="true" outlineLevel="0" collapsed="false">
      <c r="B386" s="1" t="str">
        <f aca="false">IFERROR(VLOOKUP(A386,'company tracker'!$a:$s,MATCH("Category",'company tracker'!$1:$1,0),FALSE()),"")</f>
        <v/>
      </c>
      <c r="C386" s="1" t="str">
        <f aca="false">IFERROR(VLOOKUP(A386,'Pass 1 Archive'!$A:$AD,MATCH("LinkedIn Employee Count",'Pass 1 Archive'!$1:$1,0),FALSE()),"")</f>
        <v/>
      </c>
      <c r="D386" s="1" t="str">
        <f aca="false">IFERROR(VLOOKUP(A386,'company tracker'!$a:$s,MATCH("Jan 2025 Traffic",'company tracker'!$1:$1,0),FALSE()),"")</f>
        <v/>
      </c>
      <c r="E386" s="1" t="str">
        <f aca="false">IFERROR(VLOOKUP(A386,'company tracker'!$a:$s,MATCH("Jun 2026 Traffic",'company tracker'!$1:$1,0),FALSE()),"")</f>
        <v/>
      </c>
      <c r="F386" s="1" t="str">
        <f aca="false">IFERROR(VLOOKUP(A386,'company tracker'!$a:$s,MATCH("Traffic % Change",'company tracker'!$1:$1,0),FALSE()),"")</f>
        <v/>
      </c>
      <c r="G386" s="1" t="str">
        <f aca="false">IFERROR(VLOOKUP(A386,'company tracker'!$a:$s,MATCH("Jan 2025 Referring Domains",'company tracker'!$1:$1,0),FALSE()),"")</f>
        <v/>
      </c>
      <c r="H386" s="1" t="str">
        <f aca="false">IFERROR(VLOOKUP(A386,'company tracker'!$a:$s,MATCH("Jun 2026 Referring Domains",'company tracker'!$1:$1,0),FALSE()),"")</f>
        <v/>
      </c>
    </row>
    <row r="387" customFormat="false" ht="15" hidden="false" customHeight="true" outlineLevel="0" collapsed="false">
      <c r="B387" s="1" t="str">
        <f aca="false">IFERROR(VLOOKUP(A387,'company tracker'!$a:$s,MATCH("Category",'company tracker'!$1:$1,0),FALSE()),"")</f>
        <v/>
      </c>
      <c r="C387" s="1" t="str">
        <f aca="false">IFERROR(VLOOKUP(A387,'Pass 1 Archive'!$A:$AD,MATCH("LinkedIn Employee Count",'Pass 1 Archive'!$1:$1,0),FALSE()),"")</f>
        <v/>
      </c>
      <c r="D387" s="1" t="str">
        <f aca="false">IFERROR(VLOOKUP(A387,'company tracker'!$a:$s,MATCH("Jan 2025 Traffic",'company tracker'!$1:$1,0),FALSE()),"")</f>
        <v/>
      </c>
      <c r="E387" s="1" t="str">
        <f aca="false">IFERROR(VLOOKUP(A387,'company tracker'!$a:$s,MATCH("Jun 2026 Traffic",'company tracker'!$1:$1,0),FALSE()),"")</f>
        <v/>
      </c>
      <c r="F387" s="1" t="str">
        <f aca="false">IFERROR(VLOOKUP(A387,'company tracker'!$a:$s,MATCH("Traffic % Change",'company tracker'!$1:$1,0),FALSE()),"")</f>
        <v/>
      </c>
      <c r="G387" s="1" t="str">
        <f aca="false">IFERROR(VLOOKUP(A387,'company tracker'!$a:$s,MATCH("Jan 2025 Referring Domains",'company tracker'!$1:$1,0),FALSE()),"")</f>
        <v/>
      </c>
      <c r="H387" s="1" t="str">
        <f aca="false">IFERROR(VLOOKUP(A387,'company tracker'!$a:$s,MATCH("Jun 2026 Referring Domains",'company tracker'!$1:$1,0),FALSE()),"")</f>
        <v/>
      </c>
    </row>
    <row r="388" customFormat="false" ht="15" hidden="false" customHeight="true" outlineLevel="0" collapsed="false">
      <c r="B388" s="1" t="str">
        <f aca="false">IFERROR(VLOOKUP(A388,'company tracker'!$a:$s,MATCH("Category",'company tracker'!$1:$1,0),FALSE()),"")</f>
        <v/>
      </c>
      <c r="C388" s="1" t="str">
        <f aca="false">IFERROR(VLOOKUP(A388,'Pass 1 Archive'!$A:$AD,MATCH("LinkedIn Employee Count",'Pass 1 Archive'!$1:$1,0),FALSE()),"")</f>
        <v/>
      </c>
      <c r="D388" s="1" t="str">
        <f aca="false">IFERROR(VLOOKUP(A388,'company tracker'!$a:$s,MATCH("Jan 2025 Traffic",'company tracker'!$1:$1,0),FALSE()),"")</f>
        <v/>
      </c>
      <c r="E388" s="1" t="str">
        <f aca="false">IFERROR(VLOOKUP(A388,'company tracker'!$a:$s,MATCH("Jun 2026 Traffic",'company tracker'!$1:$1,0),FALSE()),"")</f>
        <v/>
      </c>
      <c r="F388" s="1" t="str">
        <f aca="false">IFERROR(VLOOKUP(A388,'company tracker'!$a:$s,MATCH("Traffic % Change",'company tracker'!$1:$1,0),FALSE()),"")</f>
        <v/>
      </c>
      <c r="G388" s="1" t="str">
        <f aca="false">IFERROR(VLOOKUP(A388,'company tracker'!$a:$s,MATCH("Jan 2025 Referring Domains",'company tracker'!$1:$1,0),FALSE()),"")</f>
        <v/>
      </c>
      <c r="H388" s="1" t="str">
        <f aca="false">IFERROR(VLOOKUP(A388,'company tracker'!$a:$s,MATCH("Jun 2026 Referring Domains",'company tracker'!$1:$1,0),FALSE()),"")</f>
        <v/>
      </c>
    </row>
    <row r="389" customFormat="false" ht="15" hidden="false" customHeight="true" outlineLevel="0" collapsed="false">
      <c r="B389" s="1" t="str">
        <f aca="false">IFERROR(VLOOKUP(A389,'company tracker'!$a:$s,MATCH("Category",'company tracker'!$1:$1,0),FALSE()),"")</f>
        <v/>
      </c>
      <c r="C389" s="1" t="str">
        <f aca="false">IFERROR(VLOOKUP(A389,'Pass 1 Archive'!$A:$AD,MATCH("LinkedIn Employee Count",'Pass 1 Archive'!$1:$1,0),FALSE()),"")</f>
        <v/>
      </c>
      <c r="D389" s="1" t="str">
        <f aca="false">IFERROR(VLOOKUP(A389,'company tracker'!$a:$s,MATCH("Jan 2025 Traffic",'company tracker'!$1:$1,0),FALSE()),"")</f>
        <v/>
      </c>
      <c r="E389" s="1" t="str">
        <f aca="false">IFERROR(VLOOKUP(A389,'company tracker'!$a:$s,MATCH("Jun 2026 Traffic",'company tracker'!$1:$1,0),FALSE()),"")</f>
        <v/>
      </c>
      <c r="F389" s="1" t="str">
        <f aca="false">IFERROR(VLOOKUP(A389,'company tracker'!$a:$s,MATCH("Traffic % Change",'company tracker'!$1:$1,0),FALSE()),"")</f>
        <v/>
      </c>
      <c r="G389" s="1" t="str">
        <f aca="false">IFERROR(VLOOKUP(A389,'company tracker'!$a:$s,MATCH("Jan 2025 Referring Domains",'company tracker'!$1:$1,0),FALSE()),"")</f>
        <v/>
      </c>
      <c r="H389" s="1" t="str">
        <f aca="false">IFERROR(VLOOKUP(A389,'company tracker'!$a:$s,MATCH("Jun 2026 Referring Domains",'company tracker'!$1:$1,0),FALSE()),"")</f>
        <v/>
      </c>
    </row>
    <row r="390" customFormat="false" ht="15" hidden="false" customHeight="true" outlineLevel="0" collapsed="false">
      <c r="B390" s="1" t="str">
        <f aca="false">IFERROR(VLOOKUP(A390,'company tracker'!$a:$s,MATCH("Category",'company tracker'!$1:$1,0),FALSE()),"")</f>
        <v/>
      </c>
      <c r="C390" s="1" t="str">
        <f aca="false">IFERROR(VLOOKUP(A390,'Pass 1 Archive'!$A:$AD,MATCH("LinkedIn Employee Count",'Pass 1 Archive'!$1:$1,0),FALSE()),"")</f>
        <v/>
      </c>
      <c r="D390" s="1" t="str">
        <f aca="false">IFERROR(VLOOKUP(A390,'company tracker'!$a:$s,MATCH("Jan 2025 Traffic",'company tracker'!$1:$1,0),FALSE()),"")</f>
        <v/>
      </c>
      <c r="E390" s="1" t="str">
        <f aca="false">IFERROR(VLOOKUP(A390,'company tracker'!$a:$s,MATCH("Jun 2026 Traffic",'company tracker'!$1:$1,0),FALSE()),"")</f>
        <v/>
      </c>
      <c r="F390" s="1" t="str">
        <f aca="false">IFERROR(VLOOKUP(A390,'company tracker'!$a:$s,MATCH("Traffic % Change",'company tracker'!$1:$1,0),FALSE()),"")</f>
        <v/>
      </c>
      <c r="G390" s="1" t="str">
        <f aca="false">IFERROR(VLOOKUP(A390,'company tracker'!$a:$s,MATCH("Jan 2025 Referring Domains",'company tracker'!$1:$1,0),FALSE()),"")</f>
        <v/>
      </c>
      <c r="H390" s="1" t="str">
        <f aca="false">IFERROR(VLOOKUP(A390,'company tracker'!$a:$s,MATCH("Jun 2026 Referring Domains",'company tracker'!$1:$1,0),FALSE()),"")</f>
        <v/>
      </c>
    </row>
    <row r="391" customFormat="false" ht="15" hidden="false" customHeight="true" outlineLevel="0" collapsed="false">
      <c r="B391" s="1" t="str">
        <f aca="false">IFERROR(VLOOKUP(A391,'company tracker'!$a:$s,MATCH("Category",'company tracker'!$1:$1,0),FALSE()),"")</f>
        <v/>
      </c>
      <c r="C391" s="1" t="str">
        <f aca="false">IFERROR(VLOOKUP(A391,'Pass 1 Archive'!$A:$AD,MATCH("LinkedIn Employee Count",'Pass 1 Archive'!$1:$1,0),FALSE()),"")</f>
        <v/>
      </c>
      <c r="D391" s="1" t="str">
        <f aca="false">IFERROR(VLOOKUP(A391,'company tracker'!$a:$s,MATCH("Jan 2025 Traffic",'company tracker'!$1:$1,0),FALSE()),"")</f>
        <v/>
      </c>
      <c r="E391" s="1" t="str">
        <f aca="false">IFERROR(VLOOKUP(A391,'company tracker'!$a:$s,MATCH("Jun 2026 Traffic",'company tracker'!$1:$1,0),FALSE()),"")</f>
        <v/>
      </c>
      <c r="F391" s="1" t="str">
        <f aca="false">IFERROR(VLOOKUP(A391,'company tracker'!$a:$s,MATCH("Traffic % Change",'company tracker'!$1:$1,0),FALSE()),"")</f>
        <v/>
      </c>
      <c r="G391" s="1" t="str">
        <f aca="false">IFERROR(VLOOKUP(A391,'company tracker'!$a:$s,MATCH("Jan 2025 Referring Domains",'company tracker'!$1:$1,0),FALSE()),"")</f>
        <v/>
      </c>
      <c r="H391" s="1" t="str">
        <f aca="false">IFERROR(VLOOKUP(A391,'company tracker'!$a:$s,MATCH("Jun 2026 Referring Domains",'company tracker'!$1:$1,0),FALSE()),"")</f>
        <v/>
      </c>
    </row>
    <row r="392" customFormat="false" ht="15" hidden="false" customHeight="true" outlineLevel="0" collapsed="false">
      <c r="B392" s="1" t="str">
        <f aca="false">IFERROR(VLOOKUP(A392,'company tracker'!$a:$s,MATCH("Category",'company tracker'!$1:$1,0),FALSE()),"")</f>
        <v/>
      </c>
      <c r="C392" s="1" t="str">
        <f aca="false">IFERROR(VLOOKUP(A392,'Pass 1 Archive'!$A:$AD,MATCH("LinkedIn Employee Count",'Pass 1 Archive'!$1:$1,0),FALSE()),"")</f>
        <v/>
      </c>
      <c r="D392" s="1" t="str">
        <f aca="false">IFERROR(VLOOKUP(A392,'company tracker'!$a:$s,MATCH("Jan 2025 Traffic",'company tracker'!$1:$1,0),FALSE()),"")</f>
        <v/>
      </c>
      <c r="E392" s="1" t="str">
        <f aca="false">IFERROR(VLOOKUP(A392,'company tracker'!$a:$s,MATCH("Jun 2026 Traffic",'company tracker'!$1:$1,0),FALSE()),"")</f>
        <v/>
      </c>
      <c r="F392" s="1" t="str">
        <f aca="false">IFERROR(VLOOKUP(A392,'company tracker'!$a:$s,MATCH("Traffic % Change",'company tracker'!$1:$1,0),FALSE()),"")</f>
        <v/>
      </c>
      <c r="G392" s="1" t="str">
        <f aca="false">IFERROR(VLOOKUP(A392,'company tracker'!$a:$s,MATCH("Jan 2025 Referring Domains",'company tracker'!$1:$1,0),FALSE()),"")</f>
        <v/>
      </c>
      <c r="H392" s="1" t="str">
        <f aca="false">IFERROR(VLOOKUP(A392,'company tracker'!$a:$s,MATCH("Jun 2026 Referring Domains",'company tracker'!$1:$1,0),FALSE()),"")</f>
        <v/>
      </c>
    </row>
    <row r="393" customFormat="false" ht="15" hidden="false" customHeight="true" outlineLevel="0" collapsed="false">
      <c r="B393" s="1" t="str">
        <f aca="false">IFERROR(VLOOKUP(A393,'company tracker'!$a:$s,MATCH("Category",'company tracker'!$1:$1,0),FALSE()),"")</f>
        <v/>
      </c>
      <c r="C393" s="1" t="str">
        <f aca="false">IFERROR(VLOOKUP(A393,'Pass 1 Archive'!$A:$AD,MATCH("LinkedIn Employee Count",'Pass 1 Archive'!$1:$1,0),FALSE()),"")</f>
        <v/>
      </c>
      <c r="D393" s="1" t="str">
        <f aca="false">IFERROR(VLOOKUP(A393,'company tracker'!$a:$s,MATCH("Jan 2025 Traffic",'company tracker'!$1:$1,0),FALSE()),"")</f>
        <v/>
      </c>
      <c r="E393" s="1" t="str">
        <f aca="false">IFERROR(VLOOKUP(A393,'company tracker'!$a:$s,MATCH("Jun 2026 Traffic",'company tracker'!$1:$1,0),FALSE()),"")</f>
        <v/>
      </c>
      <c r="F393" s="1" t="str">
        <f aca="false">IFERROR(VLOOKUP(A393,'company tracker'!$a:$s,MATCH("Traffic % Change",'company tracker'!$1:$1,0),FALSE()),"")</f>
        <v/>
      </c>
      <c r="G393" s="1" t="str">
        <f aca="false">IFERROR(VLOOKUP(A393,'company tracker'!$a:$s,MATCH("Jan 2025 Referring Domains",'company tracker'!$1:$1,0),FALSE()),"")</f>
        <v/>
      </c>
      <c r="H393" s="1" t="str">
        <f aca="false">IFERROR(VLOOKUP(A393,'company tracker'!$a:$s,MATCH("Jun 2026 Referring Domains",'company tracker'!$1:$1,0),FALSE()),"")</f>
        <v/>
      </c>
    </row>
    <row r="394" customFormat="false" ht="15" hidden="false" customHeight="true" outlineLevel="0" collapsed="false">
      <c r="B394" s="1" t="str">
        <f aca="false">IFERROR(VLOOKUP(A394,'company tracker'!$a:$s,MATCH("Category",'company tracker'!$1:$1,0),FALSE()),"")</f>
        <v/>
      </c>
      <c r="C394" s="1" t="str">
        <f aca="false">IFERROR(VLOOKUP(A394,'Pass 1 Archive'!$A:$AD,MATCH("LinkedIn Employee Count",'Pass 1 Archive'!$1:$1,0),FALSE()),"")</f>
        <v/>
      </c>
      <c r="D394" s="1" t="str">
        <f aca="false">IFERROR(VLOOKUP(A394,'company tracker'!$a:$s,MATCH("Jan 2025 Traffic",'company tracker'!$1:$1,0),FALSE()),"")</f>
        <v/>
      </c>
      <c r="E394" s="1" t="str">
        <f aca="false">IFERROR(VLOOKUP(A394,'company tracker'!$a:$s,MATCH("Jun 2026 Traffic",'company tracker'!$1:$1,0),FALSE()),"")</f>
        <v/>
      </c>
      <c r="F394" s="1" t="str">
        <f aca="false">IFERROR(VLOOKUP(A394,'company tracker'!$a:$s,MATCH("Traffic % Change",'company tracker'!$1:$1,0),FALSE()),"")</f>
        <v/>
      </c>
      <c r="G394" s="1" t="str">
        <f aca="false">IFERROR(VLOOKUP(A394,'company tracker'!$a:$s,MATCH("Jan 2025 Referring Domains",'company tracker'!$1:$1,0),FALSE()),"")</f>
        <v/>
      </c>
      <c r="H394" s="1" t="str">
        <f aca="false">IFERROR(VLOOKUP(A394,'company tracker'!$a:$s,MATCH("Jun 2026 Referring Domains",'company tracker'!$1:$1,0),FALSE()),"")</f>
        <v/>
      </c>
    </row>
    <row r="395" customFormat="false" ht="15" hidden="false" customHeight="true" outlineLevel="0" collapsed="false">
      <c r="B395" s="1" t="str">
        <f aca="false">IFERROR(VLOOKUP(A395,'company tracker'!$a:$s,MATCH("Category",'company tracker'!$1:$1,0),FALSE()),"")</f>
        <v/>
      </c>
      <c r="C395" s="1" t="str">
        <f aca="false">IFERROR(VLOOKUP(A395,'Pass 1 Archive'!$A:$AD,MATCH("LinkedIn Employee Count",'Pass 1 Archive'!$1:$1,0),FALSE()),"")</f>
        <v/>
      </c>
      <c r="D395" s="1" t="str">
        <f aca="false">IFERROR(VLOOKUP(A395,'company tracker'!$a:$s,MATCH("Jan 2025 Traffic",'company tracker'!$1:$1,0),FALSE()),"")</f>
        <v/>
      </c>
      <c r="E395" s="1" t="str">
        <f aca="false">IFERROR(VLOOKUP(A395,'company tracker'!$a:$s,MATCH("Jun 2026 Traffic",'company tracker'!$1:$1,0),FALSE()),"")</f>
        <v/>
      </c>
      <c r="F395" s="1" t="str">
        <f aca="false">IFERROR(VLOOKUP(A395,'company tracker'!$a:$s,MATCH("Traffic % Change",'company tracker'!$1:$1,0),FALSE()),"")</f>
        <v/>
      </c>
      <c r="G395" s="1" t="str">
        <f aca="false">IFERROR(VLOOKUP(A395,'company tracker'!$a:$s,MATCH("Jan 2025 Referring Domains",'company tracker'!$1:$1,0),FALSE()),"")</f>
        <v/>
      </c>
      <c r="H395" s="1" t="str">
        <f aca="false">IFERROR(VLOOKUP(A395,'company tracker'!$a:$s,MATCH("Jun 2026 Referring Domains",'company tracker'!$1:$1,0),FALSE()),"")</f>
        <v/>
      </c>
    </row>
    <row r="396" customFormat="false" ht="15" hidden="false" customHeight="true" outlineLevel="0" collapsed="false">
      <c r="B396" s="1" t="str">
        <f aca="false">IFERROR(VLOOKUP(A396,'company tracker'!$a:$s,MATCH("Category",'company tracker'!$1:$1,0),FALSE()),"")</f>
        <v/>
      </c>
      <c r="C396" s="1" t="str">
        <f aca="false">IFERROR(VLOOKUP(A396,'Pass 1 Archive'!$A:$AD,MATCH("LinkedIn Employee Count",'Pass 1 Archive'!$1:$1,0),FALSE()),"")</f>
        <v/>
      </c>
      <c r="D396" s="1" t="str">
        <f aca="false">IFERROR(VLOOKUP(A396,'company tracker'!$a:$s,MATCH("Jan 2025 Traffic",'company tracker'!$1:$1,0),FALSE()),"")</f>
        <v/>
      </c>
      <c r="E396" s="1" t="str">
        <f aca="false">IFERROR(VLOOKUP(A396,'company tracker'!$a:$s,MATCH("Jun 2026 Traffic",'company tracker'!$1:$1,0),FALSE()),"")</f>
        <v/>
      </c>
      <c r="F396" s="1" t="str">
        <f aca="false">IFERROR(VLOOKUP(A396,'company tracker'!$a:$s,MATCH("Traffic % Change",'company tracker'!$1:$1,0),FALSE()),"")</f>
        <v/>
      </c>
      <c r="G396" s="1" t="str">
        <f aca="false">IFERROR(VLOOKUP(A396,'company tracker'!$a:$s,MATCH("Jan 2025 Referring Domains",'company tracker'!$1:$1,0),FALSE()),"")</f>
        <v/>
      </c>
      <c r="H396" s="1" t="str">
        <f aca="false">IFERROR(VLOOKUP(A396,'company tracker'!$a:$s,MATCH("Jun 2026 Referring Domains",'company tracker'!$1:$1,0),FALSE()),"")</f>
        <v/>
      </c>
    </row>
    <row r="397" customFormat="false" ht="15" hidden="false" customHeight="true" outlineLevel="0" collapsed="false">
      <c r="B397" s="1" t="str">
        <f aca="false">IFERROR(VLOOKUP(A397,'company tracker'!$a:$s,MATCH("Category",'company tracker'!$1:$1,0),FALSE()),"")</f>
        <v/>
      </c>
      <c r="C397" s="1" t="str">
        <f aca="false">IFERROR(VLOOKUP(A397,'Pass 1 Archive'!$A:$AD,MATCH("LinkedIn Employee Count",'Pass 1 Archive'!$1:$1,0),FALSE()),"")</f>
        <v/>
      </c>
      <c r="D397" s="1" t="str">
        <f aca="false">IFERROR(VLOOKUP(A397,'company tracker'!$a:$s,MATCH("Jan 2025 Traffic",'company tracker'!$1:$1,0),FALSE()),"")</f>
        <v/>
      </c>
      <c r="E397" s="1" t="str">
        <f aca="false">IFERROR(VLOOKUP(A397,'company tracker'!$a:$s,MATCH("Jun 2026 Traffic",'company tracker'!$1:$1,0),FALSE()),"")</f>
        <v/>
      </c>
      <c r="F397" s="1" t="str">
        <f aca="false">IFERROR(VLOOKUP(A397,'company tracker'!$a:$s,MATCH("Traffic % Change",'company tracker'!$1:$1,0),FALSE()),"")</f>
        <v/>
      </c>
      <c r="G397" s="1" t="str">
        <f aca="false">IFERROR(VLOOKUP(A397,'company tracker'!$a:$s,MATCH("Jan 2025 Referring Domains",'company tracker'!$1:$1,0),FALSE()),"")</f>
        <v/>
      </c>
      <c r="H397" s="1" t="str">
        <f aca="false">IFERROR(VLOOKUP(A397,'company tracker'!$a:$s,MATCH("Jun 2026 Referring Domains",'company tracker'!$1:$1,0),FALSE()),"")</f>
        <v/>
      </c>
    </row>
    <row r="398" customFormat="false" ht="15" hidden="false" customHeight="true" outlineLevel="0" collapsed="false">
      <c r="B398" s="1" t="str">
        <f aca="false">IFERROR(VLOOKUP(A398,'company tracker'!$a:$s,MATCH("Category",'company tracker'!$1:$1,0),FALSE()),"")</f>
        <v/>
      </c>
      <c r="C398" s="1" t="str">
        <f aca="false">IFERROR(VLOOKUP(A398,'Pass 1 Archive'!$A:$AD,MATCH("LinkedIn Employee Count",'Pass 1 Archive'!$1:$1,0),FALSE()),"")</f>
        <v/>
      </c>
      <c r="D398" s="1" t="str">
        <f aca="false">IFERROR(VLOOKUP(A398,'company tracker'!$a:$s,MATCH("Jan 2025 Traffic",'company tracker'!$1:$1,0),FALSE()),"")</f>
        <v/>
      </c>
      <c r="E398" s="1" t="str">
        <f aca="false">IFERROR(VLOOKUP(A398,'company tracker'!$a:$s,MATCH("Jun 2026 Traffic",'company tracker'!$1:$1,0),FALSE()),"")</f>
        <v/>
      </c>
      <c r="F398" s="1" t="str">
        <f aca="false">IFERROR(VLOOKUP(A398,'company tracker'!$a:$s,MATCH("Traffic % Change",'company tracker'!$1:$1,0),FALSE()),"")</f>
        <v/>
      </c>
      <c r="G398" s="1" t="str">
        <f aca="false">IFERROR(VLOOKUP(A398,'company tracker'!$a:$s,MATCH("Jan 2025 Referring Domains",'company tracker'!$1:$1,0),FALSE()),"")</f>
        <v/>
      </c>
      <c r="H398" s="1" t="str">
        <f aca="false">IFERROR(VLOOKUP(A398,'company tracker'!$a:$s,MATCH("Jun 2026 Referring Domains",'company tracker'!$1:$1,0),FALSE()),"")</f>
        <v/>
      </c>
    </row>
    <row r="399" customFormat="false" ht="15" hidden="false" customHeight="true" outlineLevel="0" collapsed="false">
      <c r="B399" s="1" t="str">
        <f aca="false">IFERROR(VLOOKUP(A399,'company tracker'!$a:$s,MATCH("Category",'company tracker'!$1:$1,0),FALSE()),"")</f>
        <v/>
      </c>
      <c r="C399" s="1" t="str">
        <f aca="false">IFERROR(VLOOKUP(A399,'Pass 1 Archive'!$A:$AD,MATCH("LinkedIn Employee Count",'Pass 1 Archive'!$1:$1,0),FALSE()),"")</f>
        <v/>
      </c>
      <c r="D399" s="1" t="str">
        <f aca="false">IFERROR(VLOOKUP(A399,'company tracker'!$a:$s,MATCH("Jan 2025 Traffic",'company tracker'!$1:$1,0),FALSE()),"")</f>
        <v/>
      </c>
      <c r="E399" s="1" t="str">
        <f aca="false">IFERROR(VLOOKUP(A399,'company tracker'!$a:$s,MATCH("Jun 2026 Traffic",'company tracker'!$1:$1,0),FALSE()),"")</f>
        <v/>
      </c>
      <c r="F399" s="1" t="str">
        <f aca="false">IFERROR(VLOOKUP(A399,'company tracker'!$a:$s,MATCH("Traffic % Change",'company tracker'!$1:$1,0),FALSE()),"")</f>
        <v/>
      </c>
      <c r="G399" s="1" t="str">
        <f aca="false">IFERROR(VLOOKUP(A399,'company tracker'!$a:$s,MATCH("Jan 2025 Referring Domains",'company tracker'!$1:$1,0),FALSE()),"")</f>
        <v/>
      </c>
      <c r="H399" s="1" t="str">
        <f aca="false">IFERROR(VLOOKUP(A399,'company tracker'!$a:$s,MATCH("Jun 2026 Referring Domains",'company tracker'!$1:$1,0),FALSE()),"")</f>
        <v/>
      </c>
    </row>
    <row r="400" customFormat="false" ht="15" hidden="false" customHeight="true" outlineLevel="0" collapsed="false">
      <c r="B400" s="1" t="str">
        <f aca="false">IFERROR(VLOOKUP(A400,'company tracker'!$a:$s,MATCH("Category",'company tracker'!$1:$1,0),FALSE()),"")</f>
        <v/>
      </c>
      <c r="C400" s="1" t="str">
        <f aca="false">IFERROR(VLOOKUP(A400,'Pass 1 Archive'!$A:$AD,MATCH("LinkedIn Employee Count",'Pass 1 Archive'!$1:$1,0),FALSE()),"")</f>
        <v/>
      </c>
      <c r="D400" s="1" t="str">
        <f aca="false">IFERROR(VLOOKUP(A400,'company tracker'!$a:$s,MATCH("Jan 2025 Traffic",'company tracker'!$1:$1,0),FALSE()),"")</f>
        <v/>
      </c>
      <c r="E400" s="1" t="str">
        <f aca="false">IFERROR(VLOOKUP(A400,'company tracker'!$a:$s,MATCH("Jun 2026 Traffic",'company tracker'!$1:$1,0),FALSE()),"")</f>
        <v/>
      </c>
      <c r="F400" s="1" t="str">
        <f aca="false">IFERROR(VLOOKUP(A400,'company tracker'!$a:$s,MATCH("Traffic % Change",'company tracker'!$1:$1,0),FALSE()),"")</f>
        <v/>
      </c>
      <c r="G400" s="1" t="str">
        <f aca="false">IFERROR(VLOOKUP(A400,'company tracker'!$a:$s,MATCH("Jan 2025 Referring Domains",'company tracker'!$1:$1,0),FALSE()),"")</f>
        <v/>
      </c>
      <c r="H400" s="1" t="str">
        <f aca="false">IFERROR(VLOOKUP(A400,'company tracker'!$a:$s,MATCH("Jun 2026 Referring Domains",'company tracker'!$1:$1,0),FALSE()),"")</f>
        <v/>
      </c>
    </row>
    <row r="401" customFormat="false" ht="15" hidden="false" customHeight="true" outlineLevel="0" collapsed="false">
      <c r="B401" s="1" t="str">
        <f aca="false">IFERROR(VLOOKUP(A401,'company tracker'!$a:$s,MATCH("Category",'company tracker'!$1:$1,0),FALSE()),"")</f>
        <v/>
      </c>
      <c r="C401" s="1" t="str">
        <f aca="false">IFERROR(VLOOKUP(A401,'Pass 1 Archive'!$A:$AD,MATCH("LinkedIn Employee Count",'Pass 1 Archive'!$1:$1,0),FALSE()),"")</f>
        <v/>
      </c>
      <c r="D401" s="1" t="str">
        <f aca="false">IFERROR(VLOOKUP(A401,'company tracker'!$a:$s,MATCH("Jan 2025 Traffic",'company tracker'!$1:$1,0),FALSE()),"")</f>
        <v/>
      </c>
      <c r="E401" s="1" t="str">
        <f aca="false">IFERROR(VLOOKUP(A401,'company tracker'!$a:$s,MATCH("Jun 2026 Traffic",'company tracker'!$1:$1,0),FALSE()),"")</f>
        <v/>
      </c>
      <c r="F401" s="1" t="str">
        <f aca="false">IFERROR(VLOOKUP(A401,'company tracker'!$a:$s,MATCH("Traffic % Change",'company tracker'!$1:$1,0),FALSE()),"")</f>
        <v/>
      </c>
      <c r="G401" s="1" t="str">
        <f aca="false">IFERROR(VLOOKUP(A401,'company tracker'!$a:$s,MATCH("Jan 2025 Referring Domains",'company tracker'!$1:$1,0),FALSE()),"")</f>
        <v/>
      </c>
      <c r="H401" s="1" t="str">
        <f aca="false">IFERROR(VLOOKUP(A401,'company tracker'!$a:$s,MATCH("Jun 2026 Referring Domains",'company tracker'!$1:$1,0),FALSE()),"")</f>
        <v/>
      </c>
    </row>
    <row r="402" customFormat="false" ht="15" hidden="false" customHeight="true" outlineLevel="0" collapsed="false">
      <c r="B402" s="1" t="str">
        <f aca="false">IFERROR(VLOOKUP(A402,'company tracker'!$a:$s,MATCH("Category",'company tracker'!$1:$1,0),FALSE()),"")</f>
        <v/>
      </c>
      <c r="C402" s="1" t="str">
        <f aca="false">IFERROR(VLOOKUP(A402,'Pass 1 Archive'!$A:$AD,MATCH("LinkedIn Employee Count",'Pass 1 Archive'!$1:$1,0),FALSE()),"")</f>
        <v/>
      </c>
      <c r="D402" s="1" t="str">
        <f aca="false">IFERROR(VLOOKUP(A402,'company tracker'!$a:$s,MATCH("Jan 2025 Traffic",'company tracker'!$1:$1,0),FALSE()),"")</f>
        <v/>
      </c>
      <c r="E402" s="1" t="str">
        <f aca="false">IFERROR(VLOOKUP(A402,'company tracker'!$a:$s,MATCH("Jun 2026 Traffic",'company tracker'!$1:$1,0),FALSE()),"")</f>
        <v/>
      </c>
      <c r="F402" s="1" t="str">
        <f aca="false">IFERROR(VLOOKUP(A402,'company tracker'!$a:$s,MATCH("Traffic % Change",'company tracker'!$1:$1,0),FALSE()),"")</f>
        <v/>
      </c>
      <c r="G402" s="1" t="str">
        <f aca="false">IFERROR(VLOOKUP(A402,'company tracker'!$a:$s,MATCH("Jan 2025 Referring Domains",'company tracker'!$1:$1,0),FALSE()),"")</f>
        <v/>
      </c>
      <c r="H402" s="1" t="str">
        <f aca="false">IFERROR(VLOOKUP(A402,'company tracker'!$a:$s,MATCH("Jun 2026 Referring Domains",'company tracker'!$1:$1,0),FALSE()),"")</f>
        <v/>
      </c>
    </row>
    <row r="403" customFormat="false" ht="15" hidden="false" customHeight="true" outlineLevel="0" collapsed="false">
      <c r="B403" s="1" t="str">
        <f aca="false">IFERROR(VLOOKUP(A403,'company tracker'!$a:$s,MATCH("Category",'company tracker'!$1:$1,0),FALSE()),"")</f>
        <v/>
      </c>
      <c r="C403" s="1" t="str">
        <f aca="false">IFERROR(VLOOKUP(A403,'Pass 1 Archive'!$A:$AD,MATCH("LinkedIn Employee Count",'Pass 1 Archive'!$1:$1,0),FALSE()),"")</f>
        <v/>
      </c>
      <c r="D403" s="1" t="str">
        <f aca="false">IFERROR(VLOOKUP(A403,'company tracker'!$a:$s,MATCH("Jan 2025 Traffic",'company tracker'!$1:$1,0),FALSE()),"")</f>
        <v/>
      </c>
      <c r="E403" s="1" t="str">
        <f aca="false">IFERROR(VLOOKUP(A403,'company tracker'!$a:$s,MATCH("Jun 2026 Traffic",'company tracker'!$1:$1,0),FALSE()),"")</f>
        <v/>
      </c>
      <c r="F403" s="1" t="str">
        <f aca="false">IFERROR(VLOOKUP(A403,'company tracker'!$a:$s,MATCH("Traffic % Change",'company tracker'!$1:$1,0),FALSE()),"")</f>
        <v/>
      </c>
      <c r="G403" s="1" t="str">
        <f aca="false">IFERROR(VLOOKUP(A403,'company tracker'!$a:$s,MATCH("Jan 2025 Referring Domains",'company tracker'!$1:$1,0),FALSE()),"")</f>
        <v/>
      </c>
      <c r="H403" s="1" t="str">
        <f aca="false">IFERROR(VLOOKUP(A403,'company tracker'!$a:$s,MATCH("Jun 2026 Referring Domains",'company tracker'!$1:$1,0),FALSE()),"")</f>
        <v/>
      </c>
    </row>
    <row r="404" customFormat="false" ht="15" hidden="false" customHeight="true" outlineLevel="0" collapsed="false">
      <c r="B404" s="1" t="str">
        <f aca="false">IFERROR(VLOOKUP(A404,'company tracker'!$a:$s,MATCH("Category",'company tracker'!$1:$1,0),FALSE()),"")</f>
        <v/>
      </c>
      <c r="C404" s="1" t="str">
        <f aca="false">IFERROR(VLOOKUP(A404,'Pass 1 Archive'!$A:$AD,MATCH("LinkedIn Employee Count",'Pass 1 Archive'!$1:$1,0),FALSE()),"")</f>
        <v/>
      </c>
      <c r="D404" s="1" t="str">
        <f aca="false">IFERROR(VLOOKUP(A404,'company tracker'!$a:$s,MATCH("Jan 2025 Traffic",'company tracker'!$1:$1,0),FALSE()),"")</f>
        <v/>
      </c>
      <c r="E404" s="1" t="str">
        <f aca="false">IFERROR(VLOOKUP(A404,'company tracker'!$a:$s,MATCH("Jun 2026 Traffic",'company tracker'!$1:$1,0),FALSE()),"")</f>
        <v/>
      </c>
      <c r="F404" s="1" t="str">
        <f aca="false">IFERROR(VLOOKUP(A404,'company tracker'!$a:$s,MATCH("Traffic % Change",'company tracker'!$1:$1,0),FALSE()),"")</f>
        <v/>
      </c>
      <c r="G404" s="1" t="str">
        <f aca="false">IFERROR(VLOOKUP(A404,'company tracker'!$a:$s,MATCH("Jan 2025 Referring Domains",'company tracker'!$1:$1,0),FALSE()),"")</f>
        <v/>
      </c>
      <c r="H404" s="1" t="str">
        <f aca="false">IFERROR(VLOOKUP(A404,'company tracker'!$a:$s,MATCH("Jun 2026 Referring Domains",'company tracker'!$1:$1,0),FALSE()),"")</f>
        <v/>
      </c>
    </row>
    <row r="405" customFormat="false" ht="15" hidden="false" customHeight="true" outlineLevel="0" collapsed="false">
      <c r="B405" s="1" t="str">
        <f aca="false">IFERROR(VLOOKUP(A405,'company tracker'!$a:$s,MATCH("Category",'company tracker'!$1:$1,0),FALSE()),"")</f>
        <v/>
      </c>
      <c r="C405" s="1" t="str">
        <f aca="false">IFERROR(VLOOKUP(A405,'Pass 1 Archive'!$A:$AD,MATCH("LinkedIn Employee Count",'Pass 1 Archive'!$1:$1,0),FALSE()),"")</f>
        <v/>
      </c>
      <c r="D405" s="1" t="str">
        <f aca="false">IFERROR(VLOOKUP(A405,'company tracker'!$a:$s,MATCH("Jan 2025 Traffic",'company tracker'!$1:$1,0),FALSE()),"")</f>
        <v/>
      </c>
      <c r="E405" s="1" t="str">
        <f aca="false">IFERROR(VLOOKUP(A405,'company tracker'!$a:$s,MATCH("Jun 2026 Traffic",'company tracker'!$1:$1,0),FALSE()),"")</f>
        <v/>
      </c>
      <c r="F405" s="1" t="str">
        <f aca="false">IFERROR(VLOOKUP(A405,'company tracker'!$a:$s,MATCH("Traffic % Change",'company tracker'!$1:$1,0),FALSE()),"")</f>
        <v/>
      </c>
      <c r="G405" s="1" t="str">
        <f aca="false">IFERROR(VLOOKUP(A405,'company tracker'!$a:$s,MATCH("Jan 2025 Referring Domains",'company tracker'!$1:$1,0),FALSE()),"")</f>
        <v/>
      </c>
      <c r="H405" s="1" t="str">
        <f aca="false">IFERROR(VLOOKUP(A405,'company tracker'!$a:$s,MATCH("Jun 2026 Referring Domains",'company tracker'!$1:$1,0),FALSE()),"")</f>
        <v/>
      </c>
    </row>
    <row r="406" customFormat="false" ht="15" hidden="false" customHeight="true" outlineLevel="0" collapsed="false">
      <c r="B406" s="1" t="str">
        <f aca="false">IFERROR(VLOOKUP(A406,'company tracker'!$a:$s,MATCH("Category",'company tracker'!$1:$1,0),FALSE()),"")</f>
        <v/>
      </c>
      <c r="C406" s="1" t="str">
        <f aca="false">IFERROR(VLOOKUP(A406,'Pass 1 Archive'!$A:$AD,MATCH("LinkedIn Employee Count",'Pass 1 Archive'!$1:$1,0),FALSE()),"")</f>
        <v/>
      </c>
      <c r="D406" s="1" t="str">
        <f aca="false">IFERROR(VLOOKUP(A406,'company tracker'!$a:$s,MATCH("Jan 2025 Traffic",'company tracker'!$1:$1,0),FALSE()),"")</f>
        <v/>
      </c>
      <c r="E406" s="1" t="str">
        <f aca="false">IFERROR(VLOOKUP(A406,'company tracker'!$a:$s,MATCH("Jun 2026 Traffic",'company tracker'!$1:$1,0),FALSE()),"")</f>
        <v/>
      </c>
      <c r="F406" s="1" t="str">
        <f aca="false">IFERROR(VLOOKUP(A406,'company tracker'!$a:$s,MATCH("Traffic % Change",'company tracker'!$1:$1,0),FALSE()),"")</f>
        <v/>
      </c>
      <c r="G406" s="1" t="str">
        <f aca="false">IFERROR(VLOOKUP(A406,'company tracker'!$a:$s,MATCH("Jan 2025 Referring Domains",'company tracker'!$1:$1,0),FALSE()),"")</f>
        <v/>
      </c>
      <c r="H406" s="1" t="str">
        <f aca="false">IFERROR(VLOOKUP(A406,'company tracker'!$a:$s,MATCH("Jun 2026 Referring Domains",'company tracker'!$1:$1,0),FALSE()),"")</f>
        <v/>
      </c>
    </row>
    <row r="407" customFormat="false" ht="15" hidden="false" customHeight="true" outlineLevel="0" collapsed="false">
      <c r="B407" s="1" t="str">
        <f aca="false">IFERROR(VLOOKUP(A407,'company tracker'!$a:$s,MATCH("Category",'company tracker'!$1:$1,0),FALSE()),"")</f>
        <v/>
      </c>
      <c r="C407" s="1" t="str">
        <f aca="false">IFERROR(VLOOKUP(A407,'Pass 1 Archive'!$A:$AD,MATCH("LinkedIn Employee Count",'Pass 1 Archive'!$1:$1,0),FALSE()),"")</f>
        <v/>
      </c>
      <c r="D407" s="1" t="str">
        <f aca="false">IFERROR(VLOOKUP(A407,'company tracker'!$a:$s,MATCH("Jan 2025 Traffic",'company tracker'!$1:$1,0),FALSE()),"")</f>
        <v/>
      </c>
      <c r="E407" s="1" t="str">
        <f aca="false">IFERROR(VLOOKUP(A407,'company tracker'!$a:$s,MATCH("Jun 2026 Traffic",'company tracker'!$1:$1,0),FALSE()),"")</f>
        <v/>
      </c>
      <c r="F407" s="1" t="str">
        <f aca="false">IFERROR(VLOOKUP(A407,'company tracker'!$a:$s,MATCH("Traffic % Change",'company tracker'!$1:$1,0),FALSE()),"")</f>
        <v/>
      </c>
      <c r="G407" s="1" t="str">
        <f aca="false">IFERROR(VLOOKUP(A407,'company tracker'!$a:$s,MATCH("Jan 2025 Referring Domains",'company tracker'!$1:$1,0),FALSE()),"")</f>
        <v/>
      </c>
      <c r="H407" s="1" t="str">
        <f aca="false">IFERROR(VLOOKUP(A407,'company tracker'!$a:$s,MATCH("Jun 2026 Referring Domains",'company tracker'!$1:$1,0),FALSE()),"")</f>
        <v/>
      </c>
    </row>
    <row r="408" customFormat="false" ht="15" hidden="false" customHeight="true" outlineLevel="0" collapsed="false">
      <c r="B408" s="1" t="str">
        <f aca="false">IFERROR(VLOOKUP(A408,'company tracker'!$a:$s,MATCH("Category",'company tracker'!$1:$1,0),FALSE()),"")</f>
        <v/>
      </c>
      <c r="C408" s="1" t="str">
        <f aca="false">IFERROR(VLOOKUP(A408,'Pass 1 Archive'!$A:$AD,MATCH("LinkedIn Employee Count",'Pass 1 Archive'!$1:$1,0),FALSE()),"")</f>
        <v/>
      </c>
      <c r="D408" s="1" t="str">
        <f aca="false">IFERROR(VLOOKUP(A408,'company tracker'!$a:$s,MATCH("Jan 2025 Traffic",'company tracker'!$1:$1,0),FALSE()),"")</f>
        <v/>
      </c>
      <c r="E408" s="1" t="str">
        <f aca="false">IFERROR(VLOOKUP(A408,'company tracker'!$a:$s,MATCH("Jun 2026 Traffic",'company tracker'!$1:$1,0),FALSE()),"")</f>
        <v/>
      </c>
      <c r="F408" s="1" t="str">
        <f aca="false">IFERROR(VLOOKUP(A408,'company tracker'!$a:$s,MATCH("Traffic % Change",'company tracker'!$1:$1,0),FALSE()),"")</f>
        <v/>
      </c>
      <c r="G408" s="1" t="str">
        <f aca="false">IFERROR(VLOOKUP(A408,'company tracker'!$a:$s,MATCH("Jan 2025 Referring Domains",'company tracker'!$1:$1,0),FALSE()),"")</f>
        <v/>
      </c>
      <c r="H408" s="1" t="str">
        <f aca="false">IFERROR(VLOOKUP(A408,'company tracker'!$a:$s,MATCH("Jun 2026 Referring Domains",'company tracker'!$1:$1,0),FALSE()),"")</f>
        <v/>
      </c>
    </row>
    <row r="409" customFormat="false" ht="15" hidden="false" customHeight="true" outlineLevel="0" collapsed="false">
      <c r="B409" s="1" t="str">
        <f aca="false">IFERROR(VLOOKUP(A409,'company tracker'!$a:$s,MATCH("Category",'company tracker'!$1:$1,0),FALSE()),"")</f>
        <v/>
      </c>
      <c r="C409" s="1" t="str">
        <f aca="false">IFERROR(VLOOKUP(A409,'Pass 1 Archive'!$A:$AD,MATCH("LinkedIn Employee Count",'Pass 1 Archive'!$1:$1,0),FALSE()),"")</f>
        <v/>
      </c>
      <c r="D409" s="1" t="str">
        <f aca="false">IFERROR(VLOOKUP(A409,'company tracker'!$a:$s,MATCH("Jan 2025 Traffic",'company tracker'!$1:$1,0),FALSE()),"")</f>
        <v/>
      </c>
      <c r="E409" s="1" t="str">
        <f aca="false">IFERROR(VLOOKUP(A409,'company tracker'!$a:$s,MATCH("Jun 2026 Traffic",'company tracker'!$1:$1,0),FALSE()),"")</f>
        <v/>
      </c>
      <c r="F409" s="1" t="str">
        <f aca="false">IFERROR(VLOOKUP(A409,'company tracker'!$a:$s,MATCH("Traffic % Change",'company tracker'!$1:$1,0),FALSE()),"")</f>
        <v/>
      </c>
      <c r="G409" s="1" t="str">
        <f aca="false">IFERROR(VLOOKUP(A409,'company tracker'!$a:$s,MATCH("Jan 2025 Referring Domains",'company tracker'!$1:$1,0),FALSE()),"")</f>
        <v/>
      </c>
      <c r="H409" s="1" t="str">
        <f aca="false">IFERROR(VLOOKUP(A409,'company tracker'!$a:$s,MATCH("Jun 2026 Referring Domains",'company tracker'!$1:$1,0),FALSE()),"")</f>
        <v/>
      </c>
    </row>
    <row r="410" customFormat="false" ht="15" hidden="false" customHeight="true" outlineLevel="0" collapsed="false">
      <c r="B410" s="1" t="str">
        <f aca="false">IFERROR(VLOOKUP(A410,'company tracker'!$a:$s,MATCH("Category",'company tracker'!$1:$1,0),FALSE()),"")</f>
        <v/>
      </c>
      <c r="C410" s="1" t="str">
        <f aca="false">IFERROR(VLOOKUP(A410,'Pass 1 Archive'!$A:$AD,MATCH("LinkedIn Employee Count",'Pass 1 Archive'!$1:$1,0),FALSE()),"")</f>
        <v/>
      </c>
      <c r="D410" s="1" t="str">
        <f aca="false">IFERROR(VLOOKUP(A410,'company tracker'!$a:$s,MATCH("Jan 2025 Traffic",'company tracker'!$1:$1,0),FALSE()),"")</f>
        <v/>
      </c>
      <c r="E410" s="1" t="str">
        <f aca="false">IFERROR(VLOOKUP(A410,'company tracker'!$a:$s,MATCH("Jun 2026 Traffic",'company tracker'!$1:$1,0),FALSE()),"")</f>
        <v/>
      </c>
      <c r="F410" s="1" t="str">
        <f aca="false">IFERROR(VLOOKUP(A410,'company tracker'!$a:$s,MATCH("Traffic % Change",'company tracker'!$1:$1,0),FALSE()),"")</f>
        <v/>
      </c>
      <c r="G410" s="1" t="str">
        <f aca="false">IFERROR(VLOOKUP(A410,'company tracker'!$a:$s,MATCH("Jan 2025 Referring Domains",'company tracker'!$1:$1,0),FALSE()),"")</f>
        <v/>
      </c>
      <c r="H410" s="1" t="str">
        <f aca="false">IFERROR(VLOOKUP(A410,'company tracker'!$a:$s,MATCH("Jun 2026 Referring Domains",'company tracker'!$1:$1,0),FALSE()),"")</f>
        <v/>
      </c>
    </row>
    <row r="411" customFormat="false" ht="15" hidden="false" customHeight="true" outlineLevel="0" collapsed="false">
      <c r="B411" s="1" t="str">
        <f aca="false">IFERROR(VLOOKUP(A411,'company tracker'!$a:$s,MATCH("Category",'company tracker'!$1:$1,0),FALSE()),"")</f>
        <v/>
      </c>
      <c r="C411" s="1" t="str">
        <f aca="false">IFERROR(VLOOKUP(A411,'Pass 1 Archive'!$A:$AD,MATCH("LinkedIn Employee Count",'Pass 1 Archive'!$1:$1,0),FALSE()),"")</f>
        <v/>
      </c>
      <c r="D411" s="1" t="str">
        <f aca="false">IFERROR(VLOOKUP(A411,'company tracker'!$a:$s,MATCH("Jan 2025 Traffic",'company tracker'!$1:$1,0),FALSE()),"")</f>
        <v/>
      </c>
      <c r="E411" s="1" t="str">
        <f aca="false">IFERROR(VLOOKUP(A411,'company tracker'!$a:$s,MATCH("Jun 2026 Traffic",'company tracker'!$1:$1,0),FALSE()),"")</f>
        <v/>
      </c>
      <c r="F411" s="1" t="str">
        <f aca="false">IFERROR(VLOOKUP(A411,'company tracker'!$a:$s,MATCH("Traffic % Change",'company tracker'!$1:$1,0),FALSE()),"")</f>
        <v/>
      </c>
      <c r="G411" s="1" t="str">
        <f aca="false">IFERROR(VLOOKUP(A411,'company tracker'!$a:$s,MATCH("Jan 2025 Referring Domains",'company tracker'!$1:$1,0),FALSE()),"")</f>
        <v/>
      </c>
      <c r="H411" s="1" t="str">
        <f aca="false">IFERROR(VLOOKUP(A411,'company tracker'!$a:$s,MATCH("Jun 2026 Referring Domains",'company tracker'!$1:$1,0),FALSE()),"")</f>
        <v/>
      </c>
    </row>
    <row r="412" customFormat="false" ht="15" hidden="false" customHeight="true" outlineLevel="0" collapsed="false">
      <c r="B412" s="1" t="str">
        <f aca="false">IFERROR(VLOOKUP(A412,'company tracker'!$a:$s,MATCH("Category",'company tracker'!$1:$1,0),FALSE()),"")</f>
        <v/>
      </c>
      <c r="C412" s="1" t="str">
        <f aca="false">IFERROR(VLOOKUP(A412,'Pass 1 Archive'!$A:$AD,MATCH("LinkedIn Employee Count",'Pass 1 Archive'!$1:$1,0),FALSE()),"")</f>
        <v/>
      </c>
      <c r="D412" s="1" t="str">
        <f aca="false">IFERROR(VLOOKUP(A412,'company tracker'!$a:$s,MATCH("Jan 2025 Traffic",'company tracker'!$1:$1,0),FALSE()),"")</f>
        <v/>
      </c>
      <c r="E412" s="1" t="str">
        <f aca="false">IFERROR(VLOOKUP(A412,'company tracker'!$a:$s,MATCH("Jun 2026 Traffic",'company tracker'!$1:$1,0),FALSE()),"")</f>
        <v/>
      </c>
      <c r="F412" s="1" t="str">
        <f aca="false">IFERROR(VLOOKUP(A412,'company tracker'!$a:$s,MATCH("Traffic % Change",'company tracker'!$1:$1,0),FALSE()),"")</f>
        <v/>
      </c>
      <c r="G412" s="1" t="str">
        <f aca="false">IFERROR(VLOOKUP(A412,'company tracker'!$a:$s,MATCH("Jan 2025 Referring Domains",'company tracker'!$1:$1,0),FALSE()),"")</f>
        <v/>
      </c>
      <c r="H412" s="1" t="str">
        <f aca="false">IFERROR(VLOOKUP(A412,'company tracker'!$a:$s,MATCH("Jun 2026 Referring Domains",'company tracker'!$1:$1,0),FALSE()),"")</f>
        <v/>
      </c>
    </row>
    <row r="413" customFormat="false" ht="15" hidden="false" customHeight="true" outlineLevel="0" collapsed="false">
      <c r="B413" s="1" t="str">
        <f aca="false">IFERROR(VLOOKUP(A413,'company tracker'!$a:$s,MATCH("Category",'company tracker'!$1:$1,0),FALSE()),"")</f>
        <v/>
      </c>
      <c r="C413" s="1" t="str">
        <f aca="false">IFERROR(VLOOKUP(A413,'Pass 1 Archive'!$A:$AD,MATCH("LinkedIn Employee Count",'Pass 1 Archive'!$1:$1,0),FALSE()),"")</f>
        <v/>
      </c>
      <c r="D413" s="1" t="str">
        <f aca="false">IFERROR(VLOOKUP(A413,'company tracker'!$a:$s,MATCH("Jan 2025 Traffic",'company tracker'!$1:$1,0),FALSE()),"")</f>
        <v/>
      </c>
      <c r="E413" s="1" t="str">
        <f aca="false">IFERROR(VLOOKUP(A413,'company tracker'!$a:$s,MATCH("Jun 2026 Traffic",'company tracker'!$1:$1,0),FALSE()),"")</f>
        <v/>
      </c>
      <c r="F413" s="1" t="str">
        <f aca="false">IFERROR(VLOOKUP(A413,'company tracker'!$a:$s,MATCH("Traffic % Change",'company tracker'!$1:$1,0),FALSE()),"")</f>
        <v/>
      </c>
      <c r="G413" s="1" t="str">
        <f aca="false">IFERROR(VLOOKUP(A413,'company tracker'!$a:$s,MATCH("Jan 2025 Referring Domains",'company tracker'!$1:$1,0),FALSE()),"")</f>
        <v/>
      </c>
      <c r="H413" s="1" t="str">
        <f aca="false">IFERROR(VLOOKUP(A413,'company tracker'!$a:$s,MATCH("Jun 2026 Referring Domains",'company tracker'!$1:$1,0),FALSE()),"")</f>
        <v/>
      </c>
    </row>
    <row r="414" customFormat="false" ht="15" hidden="false" customHeight="true" outlineLevel="0" collapsed="false">
      <c r="B414" s="1" t="str">
        <f aca="false">IFERROR(VLOOKUP(A414,'company tracker'!$a:$s,MATCH("Category",'company tracker'!$1:$1,0),FALSE()),"")</f>
        <v/>
      </c>
      <c r="C414" s="1" t="str">
        <f aca="false">IFERROR(VLOOKUP(A414,'Pass 1 Archive'!$A:$AD,MATCH("LinkedIn Employee Count",'Pass 1 Archive'!$1:$1,0),FALSE()),"")</f>
        <v/>
      </c>
      <c r="D414" s="1" t="str">
        <f aca="false">IFERROR(VLOOKUP(A414,'company tracker'!$a:$s,MATCH("Jan 2025 Traffic",'company tracker'!$1:$1,0),FALSE()),"")</f>
        <v/>
      </c>
      <c r="E414" s="1" t="str">
        <f aca="false">IFERROR(VLOOKUP(A414,'company tracker'!$a:$s,MATCH("Jun 2026 Traffic",'company tracker'!$1:$1,0),FALSE()),"")</f>
        <v/>
      </c>
      <c r="F414" s="1" t="str">
        <f aca="false">IFERROR(VLOOKUP(A414,'company tracker'!$a:$s,MATCH("Traffic % Change",'company tracker'!$1:$1,0),FALSE()),"")</f>
        <v/>
      </c>
      <c r="G414" s="1" t="str">
        <f aca="false">IFERROR(VLOOKUP(A414,'company tracker'!$a:$s,MATCH("Jan 2025 Referring Domains",'company tracker'!$1:$1,0),FALSE()),"")</f>
        <v/>
      </c>
      <c r="H414" s="1" t="str">
        <f aca="false">IFERROR(VLOOKUP(A414,'company tracker'!$a:$s,MATCH("Jun 2026 Referring Domains",'company tracker'!$1:$1,0),FALSE()),"")</f>
        <v/>
      </c>
    </row>
    <row r="415" customFormat="false" ht="15" hidden="false" customHeight="true" outlineLevel="0" collapsed="false">
      <c r="B415" s="1" t="str">
        <f aca="false">IFERROR(VLOOKUP(A415,'company tracker'!$a:$s,MATCH("Category",'company tracker'!$1:$1,0),FALSE()),"")</f>
        <v/>
      </c>
      <c r="C415" s="1" t="str">
        <f aca="false">IFERROR(VLOOKUP(A415,'Pass 1 Archive'!$A:$AD,MATCH("LinkedIn Employee Count",'Pass 1 Archive'!$1:$1,0),FALSE()),"")</f>
        <v/>
      </c>
      <c r="D415" s="1" t="str">
        <f aca="false">IFERROR(VLOOKUP(A415,'company tracker'!$a:$s,MATCH("Jan 2025 Traffic",'company tracker'!$1:$1,0),FALSE()),"")</f>
        <v/>
      </c>
      <c r="E415" s="1" t="str">
        <f aca="false">IFERROR(VLOOKUP(A415,'company tracker'!$a:$s,MATCH("Jun 2026 Traffic",'company tracker'!$1:$1,0),FALSE()),"")</f>
        <v/>
      </c>
      <c r="F415" s="1" t="str">
        <f aca="false">IFERROR(VLOOKUP(A415,'company tracker'!$a:$s,MATCH("Traffic % Change",'company tracker'!$1:$1,0),FALSE()),"")</f>
        <v/>
      </c>
      <c r="G415" s="1" t="str">
        <f aca="false">IFERROR(VLOOKUP(A415,'company tracker'!$a:$s,MATCH("Jan 2025 Referring Domains",'company tracker'!$1:$1,0),FALSE()),"")</f>
        <v/>
      </c>
      <c r="H415" s="1" t="str">
        <f aca="false">IFERROR(VLOOKUP(A415,'company tracker'!$a:$s,MATCH("Jun 2026 Referring Domains",'company tracker'!$1:$1,0),FALSE()),"")</f>
        <v/>
      </c>
    </row>
    <row r="416" customFormat="false" ht="15" hidden="false" customHeight="true" outlineLevel="0" collapsed="false">
      <c r="B416" s="1" t="str">
        <f aca="false">IFERROR(VLOOKUP(A416,'company tracker'!$a:$s,MATCH("Category",'company tracker'!$1:$1,0),FALSE()),"")</f>
        <v/>
      </c>
      <c r="C416" s="1" t="str">
        <f aca="false">IFERROR(VLOOKUP(A416,'Pass 1 Archive'!$A:$AD,MATCH("LinkedIn Employee Count",'Pass 1 Archive'!$1:$1,0),FALSE()),"")</f>
        <v/>
      </c>
      <c r="D416" s="1" t="str">
        <f aca="false">IFERROR(VLOOKUP(A416,'company tracker'!$a:$s,MATCH("Jan 2025 Traffic",'company tracker'!$1:$1,0),FALSE()),"")</f>
        <v/>
      </c>
      <c r="E416" s="1" t="str">
        <f aca="false">IFERROR(VLOOKUP(A416,'company tracker'!$a:$s,MATCH("Jun 2026 Traffic",'company tracker'!$1:$1,0),FALSE()),"")</f>
        <v/>
      </c>
      <c r="F416" s="1" t="str">
        <f aca="false">IFERROR(VLOOKUP(A416,'company tracker'!$a:$s,MATCH("Traffic % Change",'company tracker'!$1:$1,0),FALSE()),"")</f>
        <v/>
      </c>
      <c r="G416" s="1" t="str">
        <f aca="false">IFERROR(VLOOKUP(A416,'company tracker'!$a:$s,MATCH("Jan 2025 Referring Domains",'company tracker'!$1:$1,0),FALSE()),"")</f>
        <v/>
      </c>
      <c r="H416" s="1" t="str">
        <f aca="false">IFERROR(VLOOKUP(A416,'company tracker'!$a:$s,MATCH("Jun 2026 Referring Domains",'company tracker'!$1:$1,0),FALSE()),"")</f>
        <v/>
      </c>
    </row>
    <row r="417" customFormat="false" ht="15" hidden="false" customHeight="true" outlineLevel="0" collapsed="false">
      <c r="B417" s="1" t="str">
        <f aca="false">IFERROR(VLOOKUP(A417,'company tracker'!$a:$s,MATCH("Category",'company tracker'!$1:$1,0),FALSE()),"")</f>
        <v/>
      </c>
      <c r="C417" s="1" t="str">
        <f aca="false">IFERROR(VLOOKUP(A417,'Pass 1 Archive'!$A:$AD,MATCH("LinkedIn Employee Count",'Pass 1 Archive'!$1:$1,0),FALSE()),"")</f>
        <v/>
      </c>
      <c r="D417" s="1" t="str">
        <f aca="false">IFERROR(VLOOKUP(A417,'company tracker'!$a:$s,MATCH("Jan 2025 Traffic",'company tracker'!$1:$1,0),FALSE()),"")</f>
        <v/>
      </c>
      <c r="E417" s="1" t="str">
        <f aca="false">IFERROR(VLOOKUP(A417,'company tracker'!$a:$s,MATCH("Jun 2026 Traffic",'company tracker'!$1:$1,0),FALSE()),"")</f>
        <v/>
      </c>
      <c r="F417" s="1" t="str">
        <f aca="false">IFERROR(VLOOKUP(A417,'company tracker'!$a:$s,MATCH("Traffic % Change",'company tracker'!$1:$1,0),FALSE()),"")</f>
        <v/>
      </c>
      <c r="G417" s="1" t="str">
        <f aca="false">IFERROR(VLOOKUP(A417,'company tracker'!$a:$s,MATCH("Jan 2025 Referring Domains",'company tracker'!$1:$1,0),FALSE()),"")</f>
        <v/>
      </c>
      <c r="H417" s="1" t="str">
        <f aca="false">IFERROR(VLOOKUP(A417,'company tracker'!$a:$s,MATCH("Jun 2026 Referring Domains",'company tracker'!$1:$1,0),FALSE()),"")</f>
        <v/>
      </c>
    </row>
    <row r="418" customFormat="false" ht="15" hidden="false" customHeight="true" outlineLevel="0" collapsed="false">
      <c r="B418" s="1" t="str">
        <f aca="false">IFERROR(VLOOKUP(A418,'company tracker'!$a:$s,MATCH("Category",'company tracker'!$1:$1,0),FALSE()),"")</f>
        <v/>
      </c>
      <c r="C418" s="1" t="str">
        <f aca="false">IFERROR(VLOOKUP(A418,'Pass 1 Archive'!$A:$AD,MATCH("LinkedIn Employee Count",'Pass 1 Archive'!$1:$1,0),FALSE()),"")</f>
        <v/>
      </c>
      <c r="D418" s="1" t="str">
        <f aca="false">IFERROR(VLOOKUP(A418,'company tracker'!$a:$s,MATCH("Jan 2025 Traffic",'company tracker'!$1:$1,0),FALSE()),"")</f>
        <v/>
      </c>
      <c r="E418" s="1" t="str">
        <f aca="false">IFERROR(VLOOKUP(A418,'company tracker'!$a:$s,MATCH("Jun 2026 Traffic",'company tracker'!$1:$1,0),FALSE()),"")</f>
        <v/>
      </c>
      <c r="F418" s="1" t="str">
        <f aca="false">IFERROR(VLOOKUP(A418,'company tracker'!$a:$s,MATCH("Traffic % Change",'company tracker'!$1:$1,0),FALSE()),"")</f>
        <v/>
      </c>
      <c r="G418" s="1" t="str">
        <f aca="false">IFERROR(VLOOKUP(A418,'company tracker'!$a:$s,MATCH("Jan 2025 Referring Domains",'company tracker'!$1:$1,0),FALSE()),"")</f>
        <v/>
      </c>
      <c r="H418" s="1" t="str">
        <f aca="false">IFERROR(VLOOKUP(A418,'company tracker'!$a:$s,MATCH("Jun 2026 Referring Domains",'company tracker'!$1:$1,0),FALSE()),"")</f>
        <v/>
      </c>
    </row>
    <row r="419" customFormat="false" ht="15" hidden="false" customHeight="true" outlineLevel="0" collapsed="false">
      <c r="B419" s="1" t="str">
        <f aca="false">IFERROR(VLOOKUP(A419,'company tracker'!$a:$s,MATCH("Category",'company tracker'!$1:$1,0),FALSE()),"")</f>
        <v/>
      </c>
      <c r="C419" s="1" t="str">
        <f aca="false">IFERROR(VLOOKUP(A419,'Pass 1 Archive'!$A:$AD,MATCH("LinkedIn Employee Count",'Pass 1 Archive'!$1:$1,0),FALSE()),"")</f>
        <v/>
      </c>
      <c r="D419" s="1" t="str">
        <f aca="false">IFERROR(VLOOKUP(A419,'company tracker'!$a:$s,MATCH("Jan 2025 Traffic",'company tracker'!$1:$1,0),FALSE()),"")</f>
        <v/>
      </c>
      <c r="E419" s="1" t="str">
        <f aca="false">IFERROR(VLOOKUP(A419,'company tracker'!$a:$s,MATCH("Jun 2026 Traffic",'company tracker'!$1:$1,0),FALSE()),"")</f>
        <v/>
      </c>
      <c r="F419" s="1" t="str">
        <f aca="false">IFERROR(VLOOKUP(A419,'company tracker'!$a:$s,MATCH("Traffic % Change",'company tracker'!$1:$1,0),FALSE()),"")</f>
        <v/>
      </c>
      <c r="G419" s="1" t="str">
        <f aca="false">IFERROR(VLOOKUP(A419,'company tracker'!$a:$s,MATCH("Jan 2025 Referring Domains",'company tracker'!$1:$1,0),FALSE()),"")</f>
        <v/>
      </c>
      <c r="H419" s="1" t="str">
        <f aca="false">IFERROR(VLOOKUP(A419,'company tracker'!$a:$s,MATCH("Jun 2026 Referring Domains",'company tracker'!$1:$1,0),FALSE()),"")</f>
        <v/>
      </c>
    </row>
    <row r="420" customFormat="false" ht="15" hidden="false" customHeight="true" outlineLevel="0" collapsed="false">
      <c r="B420" s="1" t="str">
        <f aca="false">IFERROR(VLOOKUP(A420,'company tracker'!$a:$s,MATCH("Category",'company tracker'!$1:$1,0),FALSE()),"")</f>
        <v/>
      </c>
      <c r="C420" s="1" t="str">
        <f aca="false">IFERROR(VLOOKUP(A420,'Pass 1 Archive'!$A:$AD,MATCH("LinkedIn Employee Count",'Pass 1 Archive'!$1:$1,0),FALSE()),"")</f>
        <v/>
      </c>
      <c r="D420" s="1" t="str">
        <f aca="false">IFERROR(VLOOKUP(A420,'company tracker'!$a:$s,MATCH("Jan 2025 Traffic",'company tracker'!$1:$1,0),FALSE()),"")</f>
        <v/>
      </c>
      <c r="E420" s="1" t="str">
        <f aca="false">IFERROR(VLOOKUP(A420,'company tracker'!$a:$s,MATCH("Jun 2026 Traffic",'company tracker'!$1:$1,0),FALSE()),"")</f>
        <v/>
      </c>
      <c r="F420" s="1" t="str">
        <f aca="false">IFERROR(VLOOKUP(A420,'company tracker'!$a:$s,MATCH("Traffic % Change",'company tracker'!$1:$1,0),FALSE()),"")</f>
        <v/>
      </c>
      <c r="G420" s="1" t="str">
        <f aca="false">IFERROR(VLOOKUP(A420,'company tracker'!$a:$s,MATCH("Jan 2025 Referring Domains",'company tracker'!$1:$1,0),FALSE()),"")</f>
        <v/>
      </c>
      <c r="H420" s="1" t="str">
        <f aca="false">IFERROR(VLOOKUP(A420,'company tracker'!$a:$s,MATCH("Jun 2026 Referring Domains",'company tracker'!$1:$1,0),FALSE()),"")</f>
        <v/>
      </c>
    </row>
    <row r="421" customFormat="false" ht="15" hidden="false" customHeight="true" outlineLevel="0" collapsed="false">
      <c r="B421" s="1" t="str">
        <f aca="false">IFERROR(VLOOKUP(A421,'company tracker'!$a:$s,MATCH("Category",'company tracker'!$1:$1,0),FALSE()),"")</f>
        <v/>
      </c>
      <c r="C421" s="1" t="str">
        <f aca="false">IFERROR(VLOOKUP(A421,'Pass 1 Archive'!$A:$AD,MATCH("LinkedIn Employee Count",'Pass 1 Archive'!$1:$1,0),FALSE()),"")</f>
        <v/>
      </c>
      <c r="D421" s="1" t="str">
        <f aca="false">IFERROR(VLOOKUP(A421,'company tracker'!$a:$s,MATCH("Jan 2025 Traffic",'company tracker'!$1:$1,0),FALSE()),"")</f>
        <v/>
      </c>
      <c r="E421" s="1" t="str">
        <f aca="false">IFERROR(VLOOKUP(A421,'company tracker'!$a:$s,MATCH("Jun 2026 Traffic",'company tracker'!$1:$1,0),FALSE()),"")</f>
        <v/>
      </c>
      <c r="F421" s="1" t="str">
        <f aca="false">IFERROR(VLOOKUP(A421,'company tracker'!$a:$s,MATCH("Traffic % Change",'company tracker'!$1:$1,0),FALSE()),"")</f>
        <v/>
      </c>
      <c r="G421" s="1" t="str">
        <f aca="false">IFERROR(VLOOKUP(A421,'company tracker'!$a:$s,MATCH("Jan 2025 Referring Domains",'company tracker'!$1:$1,0),FALSE()),"")</f>
        <v/>
      </c>
      <c r="H421" s="1" t="str">
        <f aca="false">IFERROR(VLOOKUP(A421,'company tracker'!$a:$s,MATCH("Jun 2026 Referring Domains",'company tracker'!$1:$1,0),FALSE()),"")</f>
        <v/>
      </c>
    </row>
    <row r="422" customFormat="false" ht="15" hidden="false" customHeight="true" outlineLevel="0" collapsed="false">
      <c r="B422" s="1" t="str">
        <f aca="false">IFERROR(VLOOKUP(A422,'company tracker'!$a:$s,MATCH("Category",'company tracker'!$1:$1,0),FALSE()),"")</f>
        <v/>
      </c>
      <c r="C422" s="1" t="str">
        <f aca="false">IFERROR(VLOOKUP(A422,'Pass 1 Archive'!$A:$AD,MATCH("LinkedIn Employee Count",'Pass 1 Archive'!$1:$1,0),FALSE()),"")</f>
        <v/>
      </c>
      <c r="D422" s="1" t="str">
        <f aca="false">IFERROR(VLOOKUP(A422,'company tracker'!$a:$s,MATCH("Jan 2025 Traffic",'company tracker'!$1:$1,0),FALSE()),"")</f>
        <v/>
      </c>
      <c r="E422" s="1" t="str">
        <f aca="false">IFERROR(VLOOKUP(A422,'company tracker'!$a:$s,MATCH("Jun 2026 Traffic",'company tracker'!$1:$1,0),FALSE()),"")</f>
        <v/>
      </c>
      <c r="F422" s="1" t="str">
        <f aca="false">IFERROR(VLOOKUP(A422,'company tracker'!$a:$s,MATCH("Traffic % Change",'company tracker'!$1:$1,0),FALSE()),"")</f>
        <v/>
      </c>
      <c r="G422" s="1" t="str">
        <f aca="false">IFERROR(VLOOKUP(A422,'company tracker'!$a:$s,MATCH("Jan 2025 Referring Domains",'company tracker'!$1:$1,0),FALSE()),"")</f>
        <v/>
      </c>
      <c r="H422" s="1" t="str">
        <f aca="false">IFERROR(VLOOKUP(A422,'company tracker'!$a:$s,MATCH("Jun 2026 Referring Domains",'company tracker'!$1:$1,0),FALSE()),"")</f>
        <v/>
      </c>
    </row>
    <row r="423" customFormat="false" ht="15" hidden="false" customHeight="true" outlineLevel="0" collapsed="false">
      <c r="B423" s="1" t="str">
        <f aca="false">IFERROR(VLOOKUP(A423,'company tracker'!$a:$s,MATCH("Category",'company tracker'!$1:$1,0),FALSE()),"")</f>
        <v/>
      </c>
      <c r="C423" s="1" t="str">
        <f aca="false">IFERROR(VLOOKUP(A423,'Pass 1 Archive'!$A:$AD,MATCH("LinkedIn Employee Count",'Pass 1 Archive'!$1:$1,0),FALSE()),"")</f>
        <v/>
      </c>
      <c r="D423" s="1" t="str">
        <f aca="false">IFERROR(VLOOKUP(A423,'company tracker'!$a:$s,MATCH("Jan 2025 Traffic",'company tracker'!$1:$1,0),FALSE()),"")</f>
        <v/>
      </c>
      <c r="E423" s="1" t="str">
        <f aca="false">IFERROR(VLOOKUP(A423,'company tracker'!$a:$s,MATCH("Jun 2026 Traffic",'company tracker'!$1:$1,0),FALSE()),"")</f>
        <v/>
      </c>
      <c r="F423" s="1" t="str">
        <f aca="false">IFERROR(VLOOKUP(A423,'company tracker'!$a:$s,MATCH("Traffic % Change",'company tracker'!$1:$1,0),FALSE()),"")</f>
        <v/>
      </c>
      <c r="G423" s="1" t="str">
        <f aca="false">IFERROR(VLOOKUP(A423,'company tracker'!$a:$s,MATCH("Jan 2025 Referring Domains",'company tracker'!$1:$1,0),FALSE()),"")</f>
        <v/>
      </c>
      <c r="H423" s="1" t="str">
        <f aca="false">IFERROR(VLOOKUP(A423,'company tracker'!$a:$s,MATCH("Jun 2026 Referring Domains",'company tracker'!$1:$1,0),FALSE()),"")</f>
        <v/>
      </c>
    </row>
    <row r="424" customFormat="false" ht="15" hidden="false" customHeight="true" outlineLevel="0" collapsed="false">
      <c r="B424" s="1" t="str">
        <f aca="false">IFERROR(VLOOKUP(A424,'company tracker'!$a:$s,MATCH("Category",'company tracker'!$1:$1,0),FALSE()),"")</f>
        <v/>
      </c>
      <c r="C424" s="1" t="str">
        <f aca="false">IFERROR(VLOOKUP(A424,'Pass 1 Archive'!$A:$AD,MATCH("LinkedIn Employee Count",'Pass 1 Archive'!$1:$1,0),FALSE()),"")</f>
        <v/>
      </c>
      <c r="D424" s="1" t="str">
        <f aca="false">IFERROR(VLOOKUP(A424,'company tracker'!$a:$s,MATCH("Jan 2025 Traffic",'company tracker'!$1:$1,0),FALSE()),"")</f>
        <v/>
      </c>
      <c r="E424" s="1" t="str">
        <f aca="false">IFERROR(VLOOKUP(A424,'company tracker'!$a:$s,MATCH("Jun 2026 Traffic",'company tracker'!$1:$1,0),FALSE()),"")</f>
        <v/>
      </c>
      <c r="F424" s="1" t="str">
        <f aca="false">IFERROR(VLOOKUP(A424,'company tracker'!$a:$s,MATCH("Traffic % Change",'company tracker'!$1:$1,0),FALSE()),"")</f>
        <v/>
      </c>
      <c r="G424" s="1" t="str">
        <f aca="false">IFERROR(VLOOKUP(A424,'company tracker'!$a:$s,MATCH("Jan 2025 Referring Domains",'company tracker'!$1:$1,0),FALSE()),"")</f>
        <v/>
      </c>
      <c r="H424" s="1" t="str">
        <f aca="false">IFERROR(VLOOKUP(A424,'company tracker'!$a:$s,MATCH("Jun 2026 Referring Domains",'company tracker'!$1:$1,0),FALSE()),"")</f>
        <v/>
      </c>
    </row>
    <row r="425" customFormat="false" ht="15" hidden="false" customHeight="true" outlineLevel="0" collapsed="false">
      <c r="B425" s="1" t="str">
        <f aca="false">IFERROR(VLOOKUP(A425,'company tracker'!$a:$s,MATCH("Category",'company tracker'!$1:$1,0),FALSE()),"")</f>
        <v/>
      </c>
      <c r="C425" s="1" t="str">
        <f aca="false">IFERROR(VLOOKUP(A425,'Pass 1 Archive'!$A:$AD,MATCH("LinkedIn Employee Count",'Pass 1 Archive'!$1:$1,0),FALSE()),"")</f>
        <v/>
      </c>
      <c r="D425" s="1" t="str">
        <f aca="false">IFERROR(VLOOKUP(A425,'company tracker'!$a:$s,MATCH("Jan 2025 Traffic",'company tracker'!$1:$1,0),FALSE()),"")</f>
        <v/>
      </c>
      <c r="E425" s="1" t="str">
        <f aca="false">IFERROR(VLOOKUP(A425,'company tracker'!$a:$s,MATCH("Jun 2026 Traffic",'company tracker'!$1:$1,0),FALSE()),"")</f>
        <v/>
      </c>
      <c r="F425" s="1" t="str">
        <f aca="false">IFERROR(VLOOKUP(A425,'company tracker'!$a:$s,MATCH("Traffic % Change",'company tracker'!$1:$1,0),FALSE()),"")</f>
        <v/>
      </c>
      <c r="G425" s="1" t="str">
        <f aca="false">IFERROR(VLOOKUP(A425,'company tracker'!$a:$s,MATCH("Jan 2025 Referring Domains",'company tracker'!$1:$1,0),FALSE()),"")</f>
        <v/>
      </c>
      <c r="H425" s="1" t="str">
        <f aca="false">IFERROR(VLOOKUP(A425,'company tracker'!$a:$s,MATCH("Jun 2026 Referring Domains",'company tracker'!$1:$1,0),FALSE()),"")</f>
        <v/>
      </c>
    </row>
    <row r="426" customFormat="false" ht="15" hidden="false" customHeight="true" outlineLevel="0" collapsed="false">
      <c r="B426" s="1" t="str">
        <f aca="false">IFERROR(VLOOKUP(A426,'company tracker'!$a:$s,MATCH("Category",'company tracker'!$1:$1,0),FALSE()),"")</f>
        <v/>
      </c>
      <c r="C426" s="1" t="str">
        <f aca="false">IFERROR(VLOOKUP(A426,'Pass 1 Archive'!$A:$AD,MATCH("LinkedIn Employee Count",'Pass 1 Archive'!$1:$1,0),FALSE()),"")</f>
        <v/>
      </c>
      <c r="D426" s="1" t="str">
        <f aca="false">IFERROR(VLOOKUP(A426,'company tracker'!$a:$s,MATCH("Jan 2025 Traffic",'company tracker'!$1:$1,0),FALSE()),"")</f>
        <v/>
      </c>
      <c r="E426" s="1" t="str">
        <f aca="false">IFERROR(VLOOKUP(A426,'company tracker'!$a:$s,MATCH("Jun 2026 Traffic",'company tracker'!$1:$1,0),FALSE()),"")</f>
        <v/>
      </c>
      <c r="F426" s="1" t="str">
        <f aca="false">IFERROR(VLOOKUP(A426,'company tracker'!$a:$s,MATCH("Traffic % Change",'company tracker'!$1:$1,0),FALSE()),"")</f>
        <v/>
      </c>
      <c r="G426" s="1" t="str">
        <f aca="false">IFERROR(VLOOKUP(A426,'company tracker'!$a:$s,MATCH("Jan 2025 Referring Domains",'company tracker'!$1:$1,0),FALSE()),"")</f>
        <v/>
      </c>
      <c r="H426" s="1" t="str">
        <f aca="false">IFERROR(VLOOKUP(A426,'company tracker'!$a:$s,MATCH("Jun 2026 Referring Domains",'company tracker'!$1:$1,0),FALSE()),"")</f>
        <v/>
      </c>
    </row>
    <row r="427" customFormat="false" ht="15" hidden="false" customHeight="true" outlineLevel="0" collapsed="false">
      <c r="B427" s="1" t="str">
        <f aca="false">IFERROR(VLOOKUP(A427,'company tracker'!$a:$s,MATCH("Category",'company tracker'!$1:$1,0),FALSE()),"")</f>
        <v/>
      </c>
      <c r="C427" s="1" t="str">
        <f aca="false">IFERROR(VLOOKUP(A427,'Pass 1 Archive'!$A:$AD,MATCH("LinkedIn Employee Count",'Pass 1 Archive'!$1:$1,0),FALSE()),"")</f>
        <v/>
      </c>
      <c r="D427" s="1" t="str">
        <f aca="false">IFERROR(VLOOKUP(A427,'company tracker'!$a:$s,MATCH("Jan 2025 Traffic",'company tracker'!$1:$1,0),FALSE()),"")</f>
        <v/>
      </c>
      <c r="E427" s="1" t="str">
        <f aca="false">IFERROR(VLOOKUP(A427,'company tracker'!$a:$s,MATCH("Jun 2026 Traffic",'company tracker'!$1:$1,0),FALSE()),"")</f>
        <v/>
      </c>
      <c r="F427" s="1" t="str">
        <f aca="false">IFERROR(VLOOKUP(A427,'company tracker'!$a:$s,MATCH("Traffic % Change",'company tracker'!$1:$1,0),FALSE()),"")</f>
        <v/>
      </c>
      <c r="G427" s="1" t="str">
        <f aca="false">IFERROR(VLOOKUP(A427,'company tracker'!$a:$s,MATCH("Jan 2025 Referring Domains",'company tracker'!$1:$1,0),FALSE()),"")</f>
        <v/>
      </c>
      <c r="H427" s="1" t="str">
        <f aca="false">IFERROR(VLOOKUP(A427,'company tracker'!$a:$s,MATCH("Jun 2026 Referring Domains",'company tracker'!$1:$1,0),FALSE()),"")</f>
        <v/>
      </c>
    </row>
    <row r="428" customFormat="false" ht="15" hidden="false" customHeight="true" outlineLevel="0" collapsed="false">
      <c r="B428" s="1" t="str">
        <f aca="false">IFERROR(VLOOKUP(A428,'company tracker'!$a:$s,MATCH("Category",'company tracker'!$1:$1,0),FALSE()),"")</f>
        <v/>
      </c>
      <c r="C428" s="1" t="str">
        <f aca="false">IFERROR(VLOOKUP(A428,'Pass 1 Archive'!$A:$AD,MATCH("LinkedIn Employee Count",'Pass 1 Archive'!$1:$1,0),FALSE()),"")</f>
        <v/>
      </c>
      <c r="D428" s="1" t="str">
        <f aca="false">IFERROR(VLOOKUP(A428,'company tracker'!$a:$s,MATCH("Jan 2025 Traffic",'company tracker'!$1:$1,0),FALSE()),"")</f>
        <v/>
      </c>
      <c r="E428" s="1" t="str">
        <f aca="false">IFERROR(VLOOKUP(A428,'company tracker'!$a:$s,MATCH("Jun 2026 Traffic",'company tracker'!$1:$1,0),FALSE()),"")</f>
        <v/>
      </c>
      <c r="F428" s="1" t="str">
        <f aca="false">IFERROR(VLOOKUP(A428,'company tracker'!$a:$s,MATCH("Traffic % Change",'company tracker'!$1:$1,0),FALSE()),"")</f>
        <v/>
      </c>
      <c r="G428" s="1" t="str">
        <f aca="false">IFERROR(VLOOKUP(A428,'company tracker'!$a:$s,MATCH("Jan 2025 Referring Domains",'company tracker'!$1:$1,0),FALSE()),"")</f>
        <v/>
      </c>
      <c r="H428" s="1" t="str">
        <f aca="false">IFERROR(VLOOKUP(A428,'company tracker'!$a:$s,MATCH("Jun 2026 Referring Domains",'company tracker'!$1:$1,0),FALSE()),"")</f>
        <v/>
      </c>
    </row>
    <row r="429" customFormat="false" ht="15" hidden="false" customHeight="true" outlineLevel="0" collapsed="false">
      <c r="B429" s="1" t="str">
        <f aca="false">IFERROR(VLOOKUP(A429,'company tracker'!$a:$s,MATCH("Category",'company tracker'!$1:$1,0),FALSE()),"")</f>
        <v/>
      </c>
      <c r="C429" s="1" t="str">
        <f aca="false">IFERROR(VLOOKUP(A429,'Pass 1 Archive'!$A:$AD,MATCH("LinkedIn Employee Count",'Pass 1 Archive'!$1:$1,0),FALSE()),"")</f>
        <v/>
      </c>
      <c r="D429" s="1" t="str">
        <f aca="false">IFERROR(VLOOKUP(A429,'company tracker'!$a:$s,MATCH("Jan 2025 Traffic",'company tracker'!$1:$1,0),FALSE()),"")</f>
        <v/>
      </c>
      <c r="E429" s="1" t="str">
        <f aca="false">IFERROR(VLOOKUP(A429,'company tracker'!$a:$s,MATCH("Jun 2026 Traffic",'company tracker'!$1:$1,0),FALSE()),"")</f>
        <v/>
      </c>
      <c r="F429" s="1" t="str">
        <f aca="false">IFERROR(VLOOKUP(A429,'company tracker'!$a:$s,MATCH("Traffic % Change",'company tracker'!$1:$1,0),FALSE()),"")</f>
        <v/>
      </c>
      <c r="G429" s="1" t="str">
        <f aca="false">IFERROR(VLOOKUP(A429,'company tracker'!$a:$s,MATCH("Jan 2025 Referring Domains",'company tracker'!$1:$1,0),FALSE()),"")</f>
        <v/>
      </c>
      <c r="H429" s="1" t="str">
        <f aca="false">IFERROR(VLOOKUP(A429,'company tracker'!$a:$s,MATCH("Jun 2026 Referring Domains",'company tracker'!$1:$1,0),FALSE()),"")</f>
        <v/>
      </c>
    </row>
    <row r="430" customFormat="false" ht="15" hidden="false" customHeight="true" outlineLevel="0" collapsed="false">
      <c r="B430" s="1" t="str">
        <f aca="false">IFERROR(VLOOKUP(A430,'company tracker'!$a:$s,MATCH("Category",'company tracker'!$1:$1,0),FALSE()),"")</f>
        <v/>
      </c>
      <c r="C430" s="1" t="str">
        <f aca="false">IFERROR(VLOOKUP(A430,'Pass 1 Archive'!$A:$AD,MATCH("LinkedIn Employee Count",'Pass 1 Archive'!$1:$1,0),FALSE()),"")</f>
        <v/>
      </c>
      <c r="D430" s="1" t="str">
        <f aca="false">IFERROR(VLOOKUP(A430,'company tracker'!$a:$s,MATCH("Jan 2025 Traffic",'company tracker'!$1:$1,0),FALSE()),"")</f>
        <v/>
      </c>
      <c r="E430" s="1" t="str">
        <f aca="false">IFERROR(VLOOKUP(A430,'company tracker'!$a:$s,MATCH("Jun 2026 Traffic",'company tracker'!$1:$1,0),FALSE()),"")</f>
        <v/>
      </c>
      <c r="F430" s="1" t="str">
        <f aca="false">IFERROR(VLOOKUP(A430,'company tracker'!$a:$s,MATCH("Traffic % Change",'company tracker'!$1:$1,0),FALSE()),"")</f>
        <v/>
      </c>
      <c r="G430" s="1" t="str">
        <f aca="false">IFERROR(VLOOKUP(A430,'company tracker'!$a:$s,MATCH("Jan 2025 Referring Domains",'company tracker'!$1:$1,0),FALSE()),"")</f>
        <v/>
      </c>
      <c r="H430" s="1" t="str">
        <f aca="false">IFERROR(VLOOKUP(A430,'company tracker'!$a:$s,MATCH("Jun 2026 Referring Domains",'company tracker'!$1:$1,0),FALSE()),"")</f>
        <v/>
      </c>
    </row>
    <row r="431" customFormat="false" ht="15" hidden="false" customHeight="true" outlineLevel="0" collapsed="false">
      <c r="B431" s="1" t="str">
        <f aca="false">IFERROR(VLOOKUP(A431,'company tracker'!$a:$s,MATCH("Category",'company tracker'!$1:$1,0),FALSE()),"")</f>
        <v/>
      </c>
      <c r="C431" s="1" t="str">
        <f aca="false">IFERROR(VLOOKUP(A431,'Pass 1 Archive'!$A:$AD,MATCH("LinkedIn Employee Count",'Pass 1 Archive'!$1:$1,0),FALSE()),"")</f>
        <v/>
      </c>
      <c r="D431" s="1" t="str">
        <f aca="false">IFERROR(VLOOKUP(A431,'company tracker'!$a:$s,MATCH("Jan 2025 Traffic",'company tracker'!$1:$1,0),FALSE()),"")</f>
        <v/>
      </c>
      <c r="E431" s="1" t="str">
        <f aca="false">IFERROR(VLOOKUP(A431,'company tracker'!$a:$s,MATCH("Jun 2026 Traffic",'company tracker'!$1:$1,0),FALSE()),"")</f>
        <v/>
      </c>
      <c r="F431" s="1" t="str">
        <f aca="false">IFERROR(VLOOKUP(A431,'company tracker'!$a:$s,MATCH("Traffic % Change",'company tracker'!$1:$1,0),FALSE()),"")</f>
        <v/>
      </c>
      <c r="G431" s="1" t="str">
        <f aca="false">IFERROR(VLOOKUP(A431,'company tracker'!$a:$s,MATCH("Jan 2025 Referring Domains",'company tracker'!$1:$1,0),FALSE()),"")</f>
        <v/>
      </c>
      <c r="H431" s="1" t="str">
        <f aca="false">IFERROR(VLOOKUP(A431,'company tracker'!$a:$s,MATCH("Jun 2026 Referring Domains",'company tracker'!$1:$1,0),FALSE()),"")</f>
        <v/>
      </c>
    </row>
    <row r="432" customFormat="false" ht="15" hidden="false" customHeight="true" outlineLevel="0" collapsed="false">
      <c r="B432" s="1" t="str">
        <f aca="false">IFERROR(VLOOKUP(A432,'company tracker'!$a:$s,MATCH("Category",'company tracker'!$1:$1,0),FALSE()),"")</f>
        <v/>
      </c>
      <c r="C432" s="1" t="str">
        <f aca="false">IFERROR(VLOOKUP(A432,'Pass 1 Archive'!$A:$AD,MATCH("LinkedIn Employee Count",'Pass 1 Archive'!$1:$1,0),FALSE()),"")</f>
        <v/>
      </c>
      <c r="D432" s="1" t="str">
        <f aca="false">IFERROR(VLOOKUP(A432,'company tracker'!$a:$s,MATCH("Jan 2025 Traffic",'company tracker'!$1:$1,0),FALSE()),"")</f>
        <v/>
      </c>
      <c r="E432" s="1" t="str">
        <f aca="false">IFERROR(VLOOKUP(A432,'company tracker'!$a:$s,MATCH("Jun 2026 Traffic",'company tracker'!$1:$1,0),FALSE()),"")</f>
        <v/>
      </c>
      <c r="F432" s="1" t="str">
        <f aca="false">IFERROR(VLOOKUP(A432,'company tracker'!$a:$s,MATCH("Traffic % Change",'company tracker'!$1:$1,0),FALSE()),"")</f>
        <v/>
      </c>
      <c r="G432" s="1" t="str">
        <f aca="false">IFERROR(VLOOKUP(A432,'company tracker'!$a:$s,MATCH("Jan 2025 Referring Domains",'company tracker'!$1:$1,0),FALSE()),"")</f>
        <v/>
      </c>
      <c r="H432" s="1" t="str">
        <f aca="false">IFERROR(VLOOKUP(A432,'company tracker'!$a:$s,MATCH("Jun 2026 Referring Domains",'company tracker'!$1:$1,0),FALSE()),"")</f>
        <v/>
      </c>
    </row>
    <row r="433" customFormat="false" ht="15" hidden="false" customHeight="true" outlineLevel="0" collapsed="false">
      <c r="B433" s="1" t="str">
        <f aca="false">IFERROR(VLOOKUP(A433,'company tracker'!$a:$s,MATCH("Category",'company tracker'!$1:$1,0),FALSE()),"")</f>
        <v/>
      </c>
      <c r="C433" s="1" t="str">
        <f aca="false">IFERROR(VLOOKUP(A433,'Pass 1 Archive'!$A:$AD,MATCH("LinkedIn Employee Count",'Pass 1 Archive'!$1:$1,0),FALSE()),"")</f>
        <v/>
      </c>
      <c r="D433" s="1" t="str">
        <f aca="false">IFERROR(VLOOKUP(A433,'company tracker'!$a:$s,MATCH("Jan 2025 Traffic",'company tracker'!$1:$1,0),FALSE()),"")</f>
        <v/>
      </c>
      <c r="E433" s="1" t="str">
        <f aca="false">IFERROR(VLOOKUP(A433,'company tracker'!$a:$s,MATCH("Jun 2026 Traffic",'company tracker'!$1:$1,0),FALSE()),"")</f>
        <v/>
      </c>
      <c r="F433" s="1" t="str">
        <f aca="false">IFERROR(VLOOKUP(A433,'company tracker'!$a:$s,MATCH("Traffic % Change",'company tracker'!$1:$1,0),FALSE()),"")</f>
        <v/>
      </c>
      <c r="G433" s="1" t="str">
        <f aca="false">IFERROR(VLOOKUP(A433,'company tracker'!$a:$s,MATCH("Jan 2025 Referring Domains",'company tracker'!$1:$1,0),FALSE()),"")</f>
        <v/>
      </c>
      <c r="H433" s="1" t="str">
        <f aca="false">IFERROR(VLOOKUP(A433,'company tracker'!$a:$s,MATCH("Jun 2026 Referring Domains",'company tracker'!$1:$1,0),FALSE()),"")</f>
        <v/>
      </c>
    </row>
    <row r="434" customFormat="false" ht="15" hidden="false" customHeight="true" outlineLevel="0" collapsed="false">
      <c r="B434" s="1" t="str">
        <f aca="false">IFERROR(VLOOKUP(A434,'company tracker'!$a:$s,MATCH("Category",'company tracker'!$1:$1,0),FALSE()),"")</f>
        <v/>
      </c>
      <c r="C434" s="1" t="str">
        <f aca="false">IFERROR(VLOOKUP(A434,'Pass 1 Archive'!$A:$AD,MATCH("LinkedIn Employee Count",'Pass 1 Archive'!$1:$1,0),FALSE()),"")</f>
        <v/>
      </c>
      <c r="D434" s="1" t="str">
        <f aca="false">IFERROR(VLOOKUP(A434,'company tracker'!$a:$s,MATCH("Jan 2025 Traffic",'company tracker'!$1:$1,0),FALSE()),"")</f>
        <v/>
      </c>
      <c r="E434" s="1" t="str">
        <f aca="false">IFERROR(VLOOKUP(A434,'company tracker'!$a:$s,MATCH("Jun 2026 Traffic",'company tracker'!$1:$1,0),FALSE()),"")</f>
        <v/>
      </c>
      <c r="F434" s="1" t="str">
        <f aca="false">IFERROR(VLOOKUP(A434,'company tracker'!$a:$s,MATCH("Traffic % Change",'company tracker'!$1:$1,0),FALSE()),"")</f>
        <v/>
      </c>
      <c r="G434" s="1" t="str">
        <f aca="false">IFERROR(VLOOKUP(A434,'company tracker'!$a:$s,MATCH("Jan 2025 Referring Domains",'company tracker'!$1:$1,0),FALSE()),"")</f>
        <v/>
      </c>
      <c r="H434" s="1" t="str">
        <f aca="false">IFERROR(VLOOKUP(A434,'company tracker'!$a:$s,MATCH("Jun 2026 Referring Domains",'company tracker'!$1:$1,0),FALSE()),"")</f>
        <v/>
      </c>
    </row>
    <row r="435" customFormat="false" ht="15" hidden="false" customHeight="true" outlineLevel="0" collapsed="false">
      <c r="B435" s="1" t="str">
        <f aca="false">IFERROR(VLOOKUP(A435,'company tracker'!$a:$s,MATCH("Category",'company tracker'!$1:$1,0),FALSE()),"")</f>
        <v/>
      </c>
      <c r="C435" s="1" t="str">
        <f aca="false">IFERROR(VLOOKUP(A435,'Pass 1 Archive'!$A:$AD,MATCH("LinkedIn Employee Count",'Pass 1 Archive'!$1:$1,0),FALSE()),"")</f>
        <v/>
      </c>
      <c r="D435" s="1" t="str">
        <f aca="false">IFERROR(VLOOKUP(A435,'company tracker'!$a:$s,MATCH("Jan 2025 Traffic",'company tracker'!$1:$1,0),FALSE()),"")</f>
        <v/>
      </c>
      <c r="E435" s="1" t="str">
        <f aca="false">IFERROR(VLOOKUP(A435,'company tracker'!$a:$s,MATCH("Jun 2026 Traffic",'company tracker'!$1:$1,0),FALSE()),"")</f>
        <v/>
      </c>
      <c r="F435" s="1" t="str">
        <f aca="false">IFERROR(VLOOKUP(A435,'company tracker'!$a:$s,MATCH("Traffic % Change",'company tracker'!$1:$1,0),FALSE()),"")</f>
        <v/>
      </c>
      <c r="G435" s="1" t="str">
        <f aca="false">IFERROR(VLOOKUP(A435,'company tracker'!$a:$s,MATCH("Jan 2025 Referring Domains",'company tracker'!$1:$1,0),FALSE()),"")</f>
        <v/>
      </c>
      <c r="H435" s="1" t="str">
        <f aca="false">IFERROR(VLOOKUP(A435,'company tracker'!$a:$s,MATCH("Jun 2026 Referring Domains",'company tracker'!$1:$1,0),FALSE()),"")</f>
        <v/>
      </c>
    </row>
    <row r="436" customFormat="false" ht="15" hidden="false" customHeight="true" outlineLevel="0" collapsed="false">
      <c r="B436" s="1" t="str">
        <f aca="false">IFERROR(VLOOKUP(A436,'company tracker'!$a:$s,MATCH("Category",'company tracker'!$1:$1,0),FALSE()),"")</f>
        <v/>
      </c>
      <c r="C436" s="1" t="str">
        <f aca="false">IFERROR(VLOOKUP(A436,'Pass 1 Archive'!$A:$AD,MATCH("LinkedIn Employee Count",'Pass 1 Archive'!$1:$1,0),FALSE()),"")</f>
        <v/>
      </c>
      <c r="D436" s="1" t="str">
        <f aca="false">IFERROR(VLOOKUP(A436,'company tracker'!$a:$s,MATCH("Jan 2025 Traffic",'company tracker'!$1:$1,0),FALSE()),"")</f>
        <v/>
      </c>
      <c r="E436" s="1" t="str">
        <f aca="false">IFERROR(VLOOKUP(A436,'company tracker'!$a:$s,MATCH("Jun 2026 Traffic",'company tracker'!$1:$1,0),FALSE()),"")</f>
        <v/>
      </c>
      <c r="F436" s="1" t="str">
        <f aca="false">IFERROR(VLOOKUP(A436,'company tracker'!$a:$s,MATCH("Traffic % Change",'company tracker'!$1:$1,0),FALSE()),"")</f>
        <v/>
      </c>
      <c r="G436" s="1" t="str">
        <f aca="false">IFERROR(VLOOKUP(A436,'company tracker'!$a:$s,MATCH("Jan 2025 Referring Domains",'company tracker'!$1:$1,0),FALSE()),"")</f>
        <v/>
      </c>
      <c r="H436" s="1" t="str">
        <f aca="false">IFERROR(VLOOKUP(A436,'company tracker'!$a:$s,MATCH("Jun 2026 Referring Domains",'company tracker'!$1:$1,0),FALSE()),"")</f>
        <v/>
      </c>
    </row>
    <row r="437" customFormat="false" ht="15" hidden="false" customHeight="true" outlineLevel="0" collapsed="false">
      <c r="B437" s="1" t="str">
        <f aca="false">IFERROR(VLOOKUP(A437,'company tracker'!$a:$s,MATCH("Category",'company tracker'!$1:$1,0),FALSE()),"")</f>
        <v/>
      </c>
      <c r="C437" s="1" t="str">
        <f aca="false">IFERROR(VLOOKUP(A437,'Pass 1 Archive'!$A:$AD,MATCH("LinkedIn Employee Count",'Pass 1 Archive'!$1:$1,0),FALSE()),"")</f>
        <v/>
      </c>
      <c r="D437" s="1" t="str">
        <f aca="false">IFERROR(VLOOKUP(A437,'company tracker'!$a:$s,MATCH("Jan 2025 Traffic",'company tracker'!$1:$1,0),FALSE()),"")</f>
        <v/>
      </c>
      <c r="E437" s="1" t="str">
        <f aca="false">IFERROR(VLOOKUP(A437,'company tracker'!$a:$s,MATCH("Jun 2026 Traffic",'company tracker'!$1:$1,0),FALSE()),"")</f>
        <v/>
      </c>
      <c r="F437" s="1" t="str">
        <f aca="false">IFERROR(VLOOKUP(A437,'company tracker'!$a:$s,MATCH("Traffic % Change",'company tracker'!$1:$1,0),FALSE()),"")</f>
        <v/>
      </c>
      <c r="G437" s="1" t="str">
        <f aca="false">IFERROR(VLOOKUP(A437,'company tracker'!$a:$s,MATCH("Jan 2025 Referring Domains",'company tracker'!$1:$1,0),FALSE()),"")</f>
        <v/>
      </c>
      <c r="H437" s="1" t="str">
        <f aca="false">IFERROR(VLOOKUP(A437,'company tracker'!$a:$s,MATCH("Jun 2026 Referring Domains",'company tracker'!$1:$1,0),FALSE()),"")</f>
        <v/>
      </c>
    </row>
    <row r="438" customFormat="false" ht="15" hidden="false" customHeight="true" outlineLevel="0" collapsed="false">
      <c r="B438" s="1" t="str">
        <f aca="false">IFERROR(VLOOKUP(A438,'company tracker'!$a:$s,MATCH("Category",'company tracker'!$1:$1,0),FALSE()),"")</f>
        <v/>
      </c>
      <c r="C438" s="1" t="str">
        <f aca="false">IFERROR(VLOOKUP(A438,'Pass 1 Archive'!$A:$AD,MATCH("LinkedIn Employee Count",'Pass 1 Archive'!$1:$1,0),FALSE()),"")</f>
        <v/>
      </c>
      <c r="D438" s="1" t="str">
        <f aca="false">IFERROR(VLOOKUP(A438,'company tracker'!$a:$s,MATCH("Jan 2025 Traffic",'company tracker'!$1:$1,0),FALSE()),"")</f>
        <v/>
      </c>
      <c r="E438" s="1" t="str">
        <f aca="false">IFERROR(VLOOKUP(A438,'company tracker'!$a:$s,MATCH("Jun 2026 Traffic",'company tracker'!$1:$1,0),FALSE()),"")</f>
        <v/>
      </c>
      <c r="F438" s="1" t="str">
        <f aca="false">IFERROR(VLOOKUP(A438,'company tracker'!$a:$s,MATCH("Traffic % Change",'company tracker'!$1:$1,0),FALSE()),"")</f>
        <v/>
      </c>
      <c r="G438" s="1" t="str">
        <f aca="false">IFERROR(VLOOKUP(A438,'company tracker'!$a:$s,MATCH("Jan 2025 Referring Domains",'company tracker'!$1:$1,0),FALSE()),"")</f>
        <v/>
      </c>
      <c r="H438" s="1" t="str">
        <f aca="false">IFERROR(VLOOKUP(A438,'company tracker'!$a:$s,MATCH("Jun 2026 Referring Domains",'company tracker'!$1:$1,0),FALSE()),"")</f>
        <v/>
      </c>
    </row>
    <row r="439" customFormat="false" ht="15" hidden="false" customHeight="true" outlineLevel="0" collapsed="false">
      <c r="B439" s="1" t="str">
        <f aca="false">IFERROR(VLOOKUP(A439,'company tracker'!$a:$s,MATCH("Category",'company tracker'!$1:$1,0),FALSE()),"")</f>
        <v/>
      </c>
      <c r="C439" s="1" t="str">
        <f aca="false">IFERROR(VLOOKUP(A439,'Pass 1 Archive'!$A:$AD,MATCH("LinkedIn Employee Count",'Pass 1 Archive'!$1:$1,0),FALSE()),"")</f>
        <v/>
      </c>
      <c r="D439" s="1" t="str">
        <f aca="false">IFERROR(VLOOKUP(A439,'company tracker'!$a:$s,MATCH("Jan 2025 Traffic",'company tracker'!$1:$1,0),FALSE()),"")</f>
        <v/>
      </c>
      <c r="E439" s="1" t="str">
        <f aca="false">IFERROR(VLOOKUP(A439,'company tracker'!$a:$s,MATCH("Jun 2026 Traffic",'company tracker'!$1:$1,0),FALSE()),"")</f>
        <v/>
      </c>
      <c r="F439" s="1" t="str">
        <f aca="false">IFERROR(VLOOKUP(A439,'company tracker'!$a:$s,MATCH("Traffic % Change",'company tracker'!$1:$1,0),FALSE()),"")</f>
        <v/>
      </c>
      <c r="G439" s="1" t="str">
        <f aca="false">IFERROR(VLOOKUP(A439,'company tracker'!$a:$s,MATCH("Jan 2025 Referring Domains",'company tracker'!$1:$1,0),FALSE()),"")</f>
        <v/>
      </c>
      <c r="H439" s="1" t="str">
        <f aca="false">IFERROR(VLOOKUP(A439,'company tracker'!$a:$s,MATCH("Jun 2026 Referring Domains",'company tracker'!$1:$1,0),FALSE()),"")</f>
        <v/>
      </c>
    </row>
    <row r="440" customFormat="false" ht="15" hidden="false" customHeight="true" outlineLevel="0" collapsed="false">
      <c r="B440" s="1" t="str">
        <f aca="false">IFERROR(VLOOKUP(A440,'company tracker'!$a:$s,MATCH("Category",'company tracker'!$1:$1,0),FALSE()),"")</f>
        <v/>
      </c>
      <c r="C440" s="1" t="str">
        <f aca="false">IFERROR(VLOOKUP(A440,'Pass 1 Archive'!$A:$AD,MATCH("LinkedIn Employee Count",'Pass 1 Archive'!$1:$1,0),FALSE()),"")</f>
        <v/>
      </c>
      <c r="D440" s="1" t="str">
        <f aca="false">IFERROR(VLOOKUP(A440,'company tracker'!$a:$s,MATCH("Jan 2025 Traffic",'company tracker'!$1:$1,0),FALSE()),"")</f>
        <v/>
      </c>
      <c r="E440" s="1" t="str">
        <f aca="false">IFERROR(VLOOKUP(A440,'company tracker'!$a:$s,MATCH("Jun 2026 Traffic",'company tracker'!$1:$1,0),FALSE()),"")</f>
        <v/>
      </c>
      <c r="F440" s="1" t="str">
        <f aca="false">IFERROR(VLOOKUP(A440,'company tracker'!$a:$s,MATCH("Traffic % Change",'company tracker'!$1:$1,0),FALSE()),"")</f>
        <v/>
      </c>
      <c r="G440" s="1" t="str">
        <f aca="false">IFERROR(VLOOKUP(A440,'company tracker'!$a:$s,MATCH("Jan 2025 Referring Domains",'company tracker'!$1:$1,0),FALSE()),"")</f>
        <v/>
      </c>
      <c r="H440" s="1" t="str">
        <f aca="false">IFERROR(VLOOKUP(A440,'company tracker'!$a:$s,MATCH("Jun 2026 Referring Domains",'company tracker'!$1:$1,0),FALSE()),"")</f>
        <v/>
      </c>
    </row>
    <row r="441" customFormat="false" ht="15" hidden="false" customHeight="true" outlineLevel="0" collapsed="false">
      <c r="B441" s="1" t="str">
        <f aca="false">IFERROR(VLOOKUP(A441,'company tracker'!$a:$s,MATCH("Category",'company tracker'!$1:$1,0),FALSE()),"")</f>
        <v/>
      </c>
      <c r="C441" s="1" t="str">
        <f aca="false">IFERROR(VLOOKUP(A441,'Pass 1 Archive'!$A:$AD,MATCH("LinkedIn Employee Count",'Pass 1 Archive'!$1:$1,0),FALSE()),"")</f>
        <v/>
      </c>
      <c r="D441" s="1" t="str">
        <f aca="false">IFERROR(VLOOKUP(A441,'company tracker'!$a:$s,MATCH("Jan 2025 Traffic",'company tracker'!$1:$1,0),FALSE()),"")</f>
        <v/>
      </c>
      <c r="E441" s="1" t="str">
        <f aca="false">IFERROR(VLOOKUP(A441,'company tracker'!$a:$s,MATCH("Jun 2026 Traffic",'company tracker'!$1:$1,0),FALSE()),"")</f>
        <v/>
      </c>
      <c r="F441" s="1" t="str">
        <f aca="false">IFERROR(VLOOKUP(A441,'company tracker'!$a:$s,MATCH("Traffic % Change",'company tracker'!$1:$1,0),FALSE()),"")</f>
        <v/>
      </c>
      <c r="G441" s="1" t="str">
        <f aca="false">IFERROR(VLOOKUP(A441,'company tracker'!$a:$s,MATCH("Jan 2025 Referring Domains",'company tracker'!$1:$1,0),FALSE()),"")</f>
        <v/>
      </c>
      <c r="H441" s="1" t="str">
        <f aca="false">IFERROR(VLOOKUP(A441,'company tracker'!$a:$s,MATCH("Jun 2026 Referring Domains",'company tracker'!$1:$1,0),FALSE()),"")</f>
        <v/>
      </c>
    </row>
    <row r="442" customFormat="false" ht="15" hidden="false" customHeight="true" outlineLevel="0" collapsed="false">
      <c r="B442" s="1" t="str">
        <f aca="false">IFERROR(VLOOKUP(A442,'company tracker'!$a:$s,MATCH("Category",'company tracker'!$1:$1,0),FALSE()),"")</f>
        <v/>
      </c>
      <c r="C442" s="1" t="str">
        <f aca="false">IFERROR(VLOOKUP(A442,'Pass 1 Archive'!$A:$AD,MATCH("LinkedIn Employee Count",'Pass 1 Archive'!$1:$1,0),FALSE()),"")</f>
        <v/>
      </c>
      <c r="D442" s="1" t="str">
        <f aca="false">IFERROR(VLOOKUP(A442,'company tracker'!$a:$s,MATCH("Jan 2025 Traffic",'company tracker'!$1:$1,0),FALSE()),"")</f>
        <v/>
      </c>
      <c r="E442" s="1" t="str">
        <f aca="false">IFERROR(VLOOKUP(A442,'company tracker'!$a:$s,MATCH("Jun 2026 Traffic",'company tracker'!$1:$1,0),FALSE()),"")</f>
        <v/>
      </c>
      <c r="F442" s="1" t="str">
        <f aca="false">IFERROR(VLOOKUP(A442,'company tracker'!$a:$s,MATCH("Traffic % Change",'company tracker'!$1:$1,0),FALSE()),"")</f>
        <v/>
      </c>
      <c r="G442" s="1" t="str">
        <f aca="false">IFERROR(VLOOKUP(A442,'company tracker'!$a:$s,MATCH("Jan 2025 Referring Domains",'company tracker'!$1:$1,0),FALSE()),"")</f>
        <v/>
      </c>
      <c r="H442" s="1" t="str">
        <f aca="false">IFERROR(VLOOKUP(A442,'company tracker'!$a:$s,MATCH("Jun 2026 Referring Domains",'company tracker'!$1:$1,0),FALSE()),"")</f>
        <v/>
      </c>
    </row>
    <row r="443" customFormat="false" ht="15" hidden="false" customHeight="true" outlineLevel="0" collapsed="false">
      <c r="B443" s="1" t="str">
        <f aca="false">IFERROR(VLOOKUP(A443,'company tracker'!$a:$s,MATCH("Category",'company tracker'!$1:$1,0),FALSE()),"")</f>
        <v/>
      </c>
      <c r="C443" s="1" t="str">
        <f aca="false">IFERROR(VLOOKUP(A443,'Pass 1 Archive'!$A:$AD,MATCH("LinkedIn Employee Count",'Pass 1 Archive'!$1:$1,0),FALSE()),"")</f>
        <v/>
      </c>
      <c r="D443" s="1" t="str">
        <f aca="false">IFERROR(VLOOKUP(A443,'company tracker'!$a:$s,MATCH("Jan 2025 Traffic",'company tracker'!$1:$1,0),FALSE()),"")</f>
        <v/>
      </c>
      <c r="E443" s="1" t="str">
        <f aca="false">IFERROR(VLOOKUP(A443,'company tracker'!$a:$s,MATCH("Jun 2026 Traffic",'company tracker'!$1:$1,0),FALSE()),"")</f>
        <v/>
      </c>
      <c r="F443" s="1" t="str">
        <f aca="false">IFERROR(VLOOKUP(A443,'company tracker'!$a:$s,MATCH("Traffic % Change",'company tracker'!$1:$1,0),FALSE()),"")</f>
        <v/>
      </c>
      <c r="G443" s="1" t="str">
        <f aca="false">IFERROR(VLOOKUP(A443,'company tracker'!$a:$s,MATCH("Jan 2025 Referring Domains",'company tracker'!$1:$1,0),FALSE()),"")</f>
        <v/>
      </c>
      <c r="H443" s="1" t="str">
        <f aca="false">IFERROR(VLOOKUP(A443,'company tracker'!$a:$s,MATCH("Jun 2026 Referring Domains",'company tracker'!$1:$1,0),FALSE()),"")</f>
        <v/>
      </c>
    </row>
    <row r="444" customFormat="false" ht="15" hidden="false" customHeight="true" outlineLevel="0" collapsed="false">
      <c r="B444" s="1" t="str">
        <f aca="false">IFERROR(VLOOKUP(A444,'company tracker'!$a:$s,MATCH("Category",'company tracker'!$1:$1,0),FALSE()),"")</f>
        <v/>
      </c>
      <c r="C444" s="1" t="str">
        <f aca="false">IFERROR(VLOOKUP(A444,'Pass 1 Archive'!$A:$AD,MATCH("LinkedIn Employee Count",'Pass 1 Archive'!$1:$1,0),FALSE()),"")</f>
        <v/>
      </c>
      <c r="D444" s="1" t="str">
        <f aca="false">IFERROR(VLOOKUP(A444,'company tracker'!$a:$s,MATCH("Jan 2025 Traffic",'company tracker'!$1:$1,0),FALSE()),"")</f>
        <v/>
      </c>
      <c r="E444" s="1" t="str">
        <f aca="false">IFERROR(VLOOKUP(A444,'company tracker'!$a:$s,MATCH("Jun 2026 Traffic",'company tracker'!$1:$1,0),FALSE()),"")</f>
        <v/>
      </c>
      <c r="F444" s="1" t="str">
        <f aca="false">IFERROR(VLOOKUP(A444,'company tracker'!$a:$s,MATCH("Traffic % Change",'company tracker'!$1:$1,0),FALSE()),"")</f>
        <v/>
      </c>
      <c r="G444" s="1" t="str">
        <f aca="false">IFERROR(VLOOKUP(A444,'company tracker'!$a:$s,MATCH("Jan 2025 Referring Domains",'company tracker'!$1:$1,0),FALSE()),"")</f>
        <v/>
      </c>
      <c r="H444" s="1" t="str">
        <f aca="false">IFERROR(VLOOKUP(A444,'company tracker'!$a:$s,MATCH("Jun 2026 Referring Domains",'company tracker'!$1:$1,0),FALSE()),"")</f>
        <v/>
      </c>
    </row>
    <row r="445" customFormat="false" ht="15" hidden="false" customHeight="true" outlineLevel="0" collapsed="false">
      <c r="B445" s="1" t="str">
        <f aca="false">IFERROR(VLOOKUP(A445,'company tracker'!$a:$s,MATCH("Category",'company tracker'!$1:$1,0),FALSE()),"")</f>
        <v/>
      </c>
      <c r="C445" s="1" t="str">
        <f aca="false">IFERROR(VLOOKUP(A445,'Pass 1 Archive'!$A:$AD,MATCH("LinkedIn Employee Count",'Pass 1 Archive'!$1:$1,0),FALSE()),"")</f>
        <v/>
      </c>
      <c r="D445" s="1" t="str">
        <f aca="false">IFERROR(VLOOKUP(A445,'company tracker'!$a:$s,MATCH("Jan 2025 Traffic",'company tracker'!$1:$1,0),FALSE()),"")</f>
        <v/>
      </c>
      <c r="E445" s="1" t="str">
        <f aca="false">IFERROR(VLOOKUP(A445,'company tracker'!$a:$s,MATCH("Jun 2026 Traffic",'company tracker'!$1:$1,0),FALSE()),"")</f>
        <v/>
      </c>
      <c r="F445" s="1" t="str">
        <f aca="false">IFERROR(VLOOKUP(A445,'company tracker'!$a:$s,MATCH("Traffic % Change",'company tracker'!$1:$1,0),FALSE()),"")</f>
        <v/>
      </c>
      <c r="G445" s="1" t="str">
        <f aca="false">IFERROR(VLOOKUP(A445,'company tracker'!$a:$s,MATCH("Jan 2025 Referring Domains",'company tracker'!$1:$1,0),FALSE()),"")</f>
        <v/>
      </c>
      <c r="H445" s="1" t="str">
        <f aca="false">IFERROR(VLOOKUP(A445,'company tracker'!$a:$s,MATCH("Jun 2026 Referring Domains",'company tracker'!$1:$1,0),FALSE()),"")</f>
        <v/>
      </c>
    </row>
    <row r="446" customFormat="false" ht="15" hidden="false" customHeight="true" outlineLevel="0" collapsed="false">
      <c r="B446" s="1" t="str">
        <f aca="false">IFERROR(VLOOKUP(A446,'company tracker'!$a:$s,MATCH("Category",'company tracker'!$1:$1,0),FALSE()),"")</f>
        <v/>
      </c>
      <c r="C446" s="1" t="str">
        <f aca="false">IFERROR(VLOOKUP(A446,'Pass 1 Archive'!$A:$AD,MATCH("LinkedIn Employee Count",'Pass 1 Archive'!$1:$1,0),FALSE()),"")</f>
        <v/>
      </c>
      <c r="D446" s="1" t="str">
        <f aca="false">IFERROR(VLOOKUP(A446,'company tracker'!$a:$s,MATCH("Jan 2025 Traffic",'company tracker'!$1:$1,0),FALSE()),"")</f>
        <v/>
      </c>
      <c r="E446" s="1" t="str">
        <f aca="false">IFERROR(VLOOKUP(A446,'company tracker'!$a:$s,MATCH("Jun 2026 Traffic",'company tracker'!$1:$1,0),FALSE()),"")</f>
        <v/>
      </c>
      <c r="F446" s="1" t="str">
        <f aca="false">IFERROR(VLOOKUP(A446,'company tracker'!$a:$s,MATCH("Traffic % Change",'company tracker'!$1:$1,0),FALSE()),"")</f>
        <v/>
      </c>
      <c r="G446" s="1" t="str">
        <f aca="false">IFERROR(VLOOKUP(A446,'company tracker'!$a:$s,MATCH("Jan 2025 Referring Domains",'company tracker'!$1:$1,0),FALSE()),"")</f>
        <v/>
      </c>
      <c r="H446" s="1" t="str">
        <f aca="false">IFERROR(VLOOKUP(A446,'company tracker'!$a:$s,MATCH("Jun 2026 Referring Domains",'company tracker'!$1:$1,0),FALSE()),"")</f>
        <v/>
      </c>
    </row>
    <row r="447" customFormat="false" ht="15" hidden="false" customHeight="true" outlineLevel="0" collapsed="false">
      <c r="B447" s="1" t="str">
        <f aca="false">IFERROR(VLOOKUP(A447,'company tracker'!$a:$s,MATCH("Category",'company tracker'!$1:$1,0),FALSE()),"")</f>
        <v/>
      </c>
      <c r="C447" s="1" t="str">
        <f aca="false">IFERROR(VLOOKUP(A447,'Pass 1 Archive'!$A:$AD,MATCH("LinkedIn Employee Count",'Pass 1 Archive'!$1:$1,0),FALSE()),"")</f>
        <v/>
      </c>
      <c r="D447" s="1" t="str">
        <f aca="false">IFERROR(VLOOKUP(A447,'company tracker'!$a:$s,MATCH("Jan 2025 Traffic",'company tracker'!$1:$1,0),FALSE()),"")</f>
        <v/>
      </c>
      <c r="E447" s="1" t="str">
        <f aca="false">IFERROR(VLOOKUP(A447,'company tracker'!$a:$s,MATCH("Jun 2026 Traffic",'company tracker'!$1:$1,0),FALSE()),"")</f>
        <v/>
      </c>
      <c r="F447" s="1" t="str">
        <f aca="false">IFERROR(VLOOKUP(A447,'company tracker'!$a:$s,MATCH("Traffic % Change",'company tracker'!$1:$1,0),FALSE()),"")</f>
        <v/>
      </c>
      <c r="G447" s="1" t="str">
        <f aca="false">IFERROR(VLOOKUP(A447,'company tracker'!$a:$s,MATCH("Jan 2025 Referring Domains",'company tracker'!$1:$1,0),FALSE()),"")</f>
        <v/>
      </c>
      <c r="H447" s="1" t="str">
        <f aca="false">IFERROR(VLOOKUP(A447,'company tracker'!$a:$s,MATCH("Jun 2026 Referring Domains",'company tracker'!$1:$1,0),FALSE()),"")</f>
        <v/>
      </c>
    </row>
    <row r="448" customFormat="false" ht="15" hidden="false" customHeight="true" outlineLevel="0" collapsed="false">
      <c r="B448" s="1" t="str">
        <f aca="false">IFERROR(VLOOKUP(A448,'company tracker'!$a:$s,MATCH("Category",'company tracker'!$1:$1,0),FALSE()),"")</f>
        <v/>
      </c>
      <c r="C448" s="1" t="str">
        <f aca="false">IFERROR(VLOOKUP(A448,'Pass 1 Archive'!$A:$AD,MATCH("LinkedIn Employee Count",'Pass 1 Archive'!$1:$1,0),FALSE()),"")</f>
        <v/>
      </c>
      <c r="D448" s="1" t="str">
        <f aca="false">IFERROR(VLOOKUP(A448,'company tracker'!$a:$s,MATCH("Jan 2025 Traffic",'company tracker'!$1:$1,0),FALSE()),"")</f>
        <v/>
      </c>
      <c r="E448" s="1" t="str">
        <f aca="false">IFERROR(VLOOKUP(A448,'company tracker'!$a:$s,MATCH("Jun 2026 Traffic",'company tracker'!$1:$1,0),FALSE()),"")</f>
        <v/>
      </c>
      <c r="F448" s="1" t="str">
        <f aca="false">IFERROR(VLOOKUP(A448,'company tracker'!$a:$s,MATCH("Traffic % Change",'company tracker'!$1:$1,0),FALSE()),"")</f>
        <v/>
      </c>
      <c r="G448" s="1" t="str">
        <f aca="false">IFERROR(VLOOKUP(A448,'company tracker'!$a:$s,MATCH("Jan 2025 Referring Domains",'company tracker'!$1:$1,0),FALSE()),"")</f>
        <v/>
      </c>
      <c r="H448" s="1" t="str">
        <f aca="false">IFERROR(VLOOKUP(A448,'company tracker'!$a:$s,MATCH("Jun 2026 Referring Domains",'company tracker'!$1:$1,0),FALSE()),"")</f>
        <v/>
      </c>
    </row>
    <row r="449" customFormat="false" ht="15" hidden="false" customHeight="true" outlineLevel="0" collapsed="false">
      <c r="B449" s="1" t="str">
        <f aca="false">IFERROR(VLOOKUP(A449,'company tracker'!$a:$s,MATCH("Category",'company tracker'!$1:$1,0),FALSE()),"")</f>
        <v/>
      </c>
      <c r="C449" s="1" t="str">
        <f aca="false">IFERROR(VLOOKUP(A449,'Pass 1 Archive'!$A:$AD,MATCH("LinkedIn Employee Count",'Pass 1 Archive'!$1:$1,0),FALSE()),"")</f>
        <v/>
      </c>
      <c r="D449" s="1" t="str">
        <f aca="false">IFERROR(VLOOKUP(A449,'company tracker'!$a:$s,MATCH("Jan 2025 Traffic",'company tracker'!$1:$1,0),FALSE()),"")</f>
        <v/>
      </c>
      <c r="E449" s="1" t="str">
        <f aca="false">IFERROR(VLOOKUP(A449,'company tracker'!$a:$s,MATCH("Jun 2026 Traffic",'company tracker'!$1:$1,0),FALSE()),"")</f>
        <v/>
      </c>
      <c r="F449" s="1" t="str">
        <f aca="false">IFERROR(VLOOKUP(A449,'company tracker'!$a:$s,MATCH("Traffic % Change",'company tracker'!$1:$1,0),FALSE()),"")</f>
        <v/>
      </c>
      <c r="G449" s="1" t="str">
        <f aca="false">IFERROR(VLOOKUP(A449,'company tracker'!$a:$s,MATCH("Jan 2025 Referring Domains",'company tracker'!$1:$1,0),FALSE()),"")</f>
        <v/>
      </c>
      <c r="H449" s="1" t="str">
        <f aca="false">IFERROR(VLOOKUP(A449,'company tracker'!$a:$s,MATCH("Jun 2026 Referring Domains",'company tracker'!$1:$1,0),FALSE()),"")</f>
        <v/>
      </c>
    </row>
    <row r="450" customFormat="false" ht="15" hidden="false" customHeight="true" outlineLevel="0" collapsed="false">
      <c r="B450" s="1" t="str">
        <f aca="false">IFERROR(VLOOKUP(A450,'company tracker'!$a:$s,MATCH("Category",'company tracker'!$1:$1,0),FALSE()),"")</f>
        <v/>
      </c>
      <c r="C450" s="1" t="str">
        <f aca="false">IFERROR(VLOOKUP(A450,'Pass 1 Archive'!$A:$AD,MATCH("LinkedIn Employee Count",'Pass 1 Archive'!$1:$1,0),FALSE()),"")</f>
        <v/>
      </c>
      <c r="D450" s="1" t="str">
        <f aca="false">IFERROR(VLOOKUP(A450,'company tracker'!$a:$s,MATCH("Jan 2025 Traffic",'company tracker'!$1:$1,0),FALSE()),"")</f>
        <v/>
      </c>
      <c r="E450" s="1" t="str">
        <f aca="false">IFERROR(VLOOKUP(A450,'company tracker'!$a:$s,MATCH("Jun 2026 Traffic",'company tracker'!$1:$1,0),FALSE()),"")</f>
        <v/>
      </c>
      <c r="F450" s="1" t="str">
        <f aca="false">IFERROR(VLOOKUP(A450,'company tracker'!$a:$s,MATCH("Traffic % Change",'company tracker'!$1:$1,0),FALSE()),"")</f>
        <v/>
      </c>
      <c r="G450" s="1" t="str">
        <f aca="false">IFERROR(VLOOKUP(A450,'company tracker'!$a:$s,MATCH("Jan 2025 Referring Domains",'company tracker'!$1:$1,0),FALSE()),"")</f>
        <v/>
      </c>
      <c r="H450" s="1" t="str">
        <f aca="false">IFERROR(VLOOKUP(A450,'company tracker'!$a:$s,MATCH("Jun 2026 Referring Domains",'company tracker'!$1:$1,0),FALSE()),"")</f>
        <v/>
      </c>
    </row>
    <row r="451" customFormat="false" ht="15" hidden="false" customHeight="true" outlineLevel="0" collapsed="false">
      <c r="B451" s="1" t="str">
        <f aca="false">IFERROR(VLOOKUP(A451,'company tracker'!$a:$s,MATCH("Category",'company tracker'!$1:$1,0),FALSE()),"")</f>
        <v/>
      </c>
      <c r="C451" s="1" t="str">
        <f aca="false">IFERROR(VLOOKUP(A451,'Pass 1 Archive'!$A:$AD,MATCH("LinkedIn Employee Count",'Pass 1 Archive'!$1:$1,0),FALSE()),"")</f>
        <v/>
      </c>
      <c r="D451" s="1" t="str">
        <f aca="false">IFERROR(VLOOKUP(A451,'company tracker'!$a:$s,MATCH("Jan 2025 Traffic",'company tracker'!$1:$1,0),FALSE()),"")</f>
        <v/>
      </c>
      <c r="E451" s="1" t="str">
        <f aca="false">IFERROR(VLOOKUP(A451,'company tracker'!$a:$s,MATCH("Jun 2026 Traffic",'company tracker'!$1:$1,0),FALSE()),"")</f>
        <v/>
      </c>
      <c r="F451" s="1" t="str">
        <f aca="false">IFERROR(VLOOKUP(A451,'company tracker'!$a:$s,MATCH("Traffic % Change",'company tracker'!$1:$1,0),FALSE()),"")</f>
        <v/>
      </c>
      <c r="G451" s="1" t="str">
        <f aca="false">IFERROR(VLOOKUP(A451,'company tracker'!$a:$s,MATCH("Jan 2025 Referring Domains",'company tracker'!$1:$1,0),FALSE()),"")</f>
        <v/>
      </c>
      <c r="H451" s="1" t="str">
        <f aca="false">IFERROR(VLOOKUP(A451,'company tracker'!$a:$s,MATCH("Jun 2026 Referring Domains",'company tracker'!$1:$1,0),FALSE()),"")</f>
        <v/>
      </c>
    </row>
    <row r="452" customFormat="false" ht="15" hidden="false" customHeight="true" outlineLevel="0" collapsed="false">
      <c r="B452" s="1" t="str">
        <f aca="false">IFERROR(VLOOKUP(A452,'company tracker'!$a:$s,MATCH("Category",'company tracker'!$1:$1,0),FALSE()),"")</f>
        <v/>
      </c>
      <c r="C452" s="1" t="str">
        <f aca="false">IFERROR(VLOOKUP(A452,'Pass 1 Archive'!$A:$AD,MATCH("LinkedIn Employee Count",'Pass 1 Archive'!$1:$1,0),FALSE()),"")</f>
        <v/>
      </c>
      <c r="D452" s="1" t="str">
        <f aca="false">IFERROR(VLOOKUP(A452,'company tracker'!$a:$s,MATCH("Jan 2025 Traffic",'company tracker'!$1:$1,0),FALSE()),"")</f>
        <v/>
      </c>
      <c r="E452" s="1" t="str">
        <f aca="false">IFERROR(VLOOKUP(A452,'company tracker'!$a:$s,MATCH("Jun 2026 Traffic",'company tracker'!$1:$1,0),FALSE()),"")</f>
        <v/>
      </c>
      <c r="F452" s="1" t="str">
        <f aca="false">IFERROR(VLOOKUP(A452,'company tracker'!$a:$s,MATCH("Traffic % Change",'company tracker'!$1:$1,0),FALSE()),"")</f>
        <v/>
      </c>
      <c r="G452" s="1" t="str">
        <f aca="false">IFERROR(VLOOKUP(A452,'company tracker'!$a:$s,MATCH("Jan 2025 Referring Domains",'company tracker'!$1:$1,0),FALSE()),"")</f>
        <v/>
      </c>
      <c r="H452" s="1" t="str">
        <f aca="false">IFERROR(VLOOKUP(A452,'company tracker'!$a:$s,MATCH("Jun 2026 Referring Domains",'company tracker'!$1:$1,0),FALSE()),"")</f>
        <v/>
      </c>
    </row>
    <row r="453" customFormat="false" ht="15" hidden="false" customHeight="true" outlineLevel="0" collapsed="false">
      <c r="B453" s="1" t="str">
        <f aca="false">IFERROR(VLOOKUP(A453,'company tracker'!$a:$s,MATCH("Category",'company tracker'!$1:$1,0),FALSE()),"")</f>
        <v/>
      </c>
      <c r="C453" s="1" t="str">
        <f aca="false">IFERROR(VLOOKUP(A453,'Pass 1 Archive'!$A:$AD,MATCH("LinkedIn Employee Count",'Pass 1 Archive'!$1:$1,0),FALSE()),"")</f>
        <v/>
      </c>
      <c r="D453" s="1" t="str">
        <f aca="false">IFERROR(VLOOKUP(A453,'company tracker'!$a:$s,MATCH("Jan 2025 Traffic",'company tracker'!$1:$1,0),FALSE()),"")</f>
        <v/>
      </c>
      <c r="E453" s="1" t="str">
        <f aca="false">IFERROR(VLOOKUP(A453,'company tracker'!$a:$s,MATCH("Jun 2026 Traffic",'company tracker'!$1:$1,0),FALSE()),"")</f>
        <v/>
      </c>
      <c r="F453" s="1" t="str">
        <f aca="false">IFERROR(VLOOKUP(A453,'company tracker'!$a:$s,MATCH("Traffic % Change",'company tracker'!$1:$1,0),FALSE()),"")</f>
        <v/>
      </c>
      <c r="G453" s="1" t="str">
        <f aca="false">IFERROR(VLOOKUP(A453,'company tracker'!$a:$s,MATCH("Jan 2025 Referring Domains",'company tracker'!$1:$1,0),FALSE()),"")</f>
        <v/>
      </c>
      <c r="H453" s="1" t="str">
        <f aca="false">IFERROR(VLOOKUP(A453,'company tracker'!$a:$s,MATCH("Jun 2026 Referring Domains",'company tracker'!$1:$1,0),FALSE()),"")</f>
        <v/>
      </c>
    </row>
    <row r="454" customFormat="false" ht="15" hidden="false" customHeight="true" outlineLevel="0" collapsed="false">
      <c r="B454" s="1" t="str">
        <f aca="false">IFERROR(VLOOKUP(A454,'company tracker'!$a:$s,MATCH("Category",'company tracker'!$1:$1,0),FALSE()),"")</f>
        <v/>
      </c>
      <c r="C454" s="1" t="str">
        <f aca="false">IFERROR(VLOOKUP(A454,'Pass 1 Archive'!$A:$AD,MATCH("LinkedIn Employee Count",'Pass 1 Archive'!$1:$1,0),FALSE()),"")</f>
        <v/>
      </c>
      <c r="D454" s="1" t="str">
        <f aca="false">IFERROR(VLOOKUP(A454,'company tracker'!$a:$s,MATCH("Jan 2025 Traffic",'company tracker'!$1:$1,0),FALSE()),"")</f>
        <v/>
      </c>
      <c r="E454" s="1" t="str">
        <f aca="false">IFERROR(VLOOKUP(A454,'company tracker'!$a:$s,MATCH("Jun 2026 Traffic",'company tracker'!$1:$1,0),FALSE()),"")</f>
        <v/>
      </c>
      <c r="F454" s="1" t="str">
        <f aca="false">IFERROR(VLOOKUP(A454,'company tracker'!$a:$s,MATCH("Traffic % Change",'company tracker'!$1:$1,0),FALSE()),"")</f>
        <v/>
      </c>
      <c r="G454" s="1" t="str">
        <f aca="false">IFERROR(VLOOKUP(A454,'company tracker'!$a:$s,MATCH("Jan 2025 Referring Domains",'company tracker'!$1:$1,0),FALSE()),"")</f>
        <v/>
      </c>
      <c r="H454" s="1" t="str">
        <f aca="false">IFERROR(VLOOKUP(A454,'company tracker'!$a:$s,MATCH("Jun 2026 Referring Domains",'company tracker'!$1:$1,0),FALSE()),"")</f>
        <v/>
      </c>
    </row>
    <row r="455" customFormat="false" ht="15" hidden="false" customHeight="true" outlineLevel="0" collapsed="false">
      <c r="B455" s="1" t="str">
        <f aca="false">IFERROR(VLOOKUP(A455,'company tracker'!$a:$s,MATCH("Category",'company tracker'!$1:$1,0),FALSE()),"")</f>
        <v/>
      </c>
      <c r="C455" s="1" t="str">
        <f aca="false">IFERROR(VLOOKUP(A455,'Pass 1 Archive'!$A:$AD,MATCH("LinkedIn Employee Count",'Pass 1 Archive'!$1:$1,0),FALSE()),"")</f>
        <v/>
      </c>
      <c r="D455" s="1" t="str">
        <f aca="false">IFERROR(VLOOKUP(A455,'company tracker'!$a:$s,MATCH("Jan 2025 Traffic",'company tracker'!$1:$1,0),FALSE()),"")</f>
        <v/>
      </c>
      <c r="E455" s="1" t="str">
        <f aca="false">IFERROR(VLOOKUP(A455,'company tracker'!$a:$s,MATCH("Jun 2026 Traffic",'company tracker'!$1:$1,0),FALSE()),"")</f>
        <v/>
      </c>
      <c r="F455" s="1" t="str">
        <f aca="false">IFERROR(VLOOKUP(A455,'company tracker'!$a:$s,MATCH("Traffic % Change",'company tracker'!$1:$1,0),FALSE()),"")</f>
        <v/>
      </c>
      <c r="G455" s="1" t="str">
        <f aca="false">IFERROR(VLOOKUP(A455,'company tracker'!$a:$s,MATCH("Jan 2025 Referring Domains",'company tracker'!$1:$1,0),FALSE()),"")</f>
        <v/>
      </c>
      <c r="H455" s="1" t="str">
        <f aca="false">IFERROR(VLOOKUP(A455,'company tracker'!$a:$s,MATCH("Jun 2026 Referring Domains",'company tracker'!$1:$1,0),FALSE()),"")</f>
        <v/>
      </c>
    </row>
    <row r="456" customFormat="false" ht="15" hidden="false" customHeight="true" outlineLevel="0" collapsed="false">
      <c r="B456" s="1" t="str">
        <f aca="false">IFERROR(VLOOKUP(A456,'company tracker'!$a:$s,MATCH("Category",'company tracker'!$1:$1,0),FALSE()),"")</f>
        <v/>
      </c>
      <c r="C456" s="1" t="str">
        <f aca="false">IFERROR(VLOOKUP(A456,'Pass 1 Archive'!$A:$AD,MATCH("LinkedIn Employee Count",'Pass 1 Archive'!$1:$1,0),FALSE()),"")</f>
        <v/>
      </c>
      <c r="D456" s="1" t="str">
        <f aca="false">IFERROR(VLOOKUP(A456,'company tracker'!$a:$s,MATCH("Jan 2025 Traffic",'company tracker'!$1:$1,0),FALSE()),"")</f>
        <v/>
      </c>
      <c r="E456" s="1" t="str">
        <f aca="false">IFERROR(VLOOKUP(A456,'company tracker'!$a:$s,MATCH("Jun 2026 Traffic",'company tracker'!$1:$1,0),FALSE()),"")</f>
        <v/>
      </c>
      <c r="F456" s="1" t="str">
        <f aca="false">IFERROR(VLOOKUP(A456,'company tracker'!$a:$s,MATCH("Traffic % Change",'company tracker'!$1:$1,0),FALSE()),"")</f>
        <v/>
      </c>
      <c r="G456" s="1" t="str">
        <f aca="false">IFERROR(VLOOKUP(A456,'company tracker'!$a:$s,MATCH("Jan 2025 Referring Domains",'company tracker'!$1:$1,0),FALSE()),"")</f>
        <v/>
      </c>
      <c r="H456" s="1" t="str">
        <f aca="false">IFERROR(VLOOKUP(A456,'company tracker'!$a:$s,MATCH("Jun 2026 Referring Domains",'company tracker'!$1:$1,0),FALSE()),"")</f>
        <v/>
      </c>
    </row>
    <row r="457" customFormat="false" ht="15" hidden="false" customHeight="true" outlineLevel="0" collapsed="false">
      <c r="B457" s="1" t="str">
        <f aca="false">IFERROR(VLOOKUP(A457,'company tracker'!$a:$s,MATCH("Category",'company tracker'!$1:$1,0),FALSE()),"")</f>
        <v/>
      </c>
      <c r="C457" s="1" t="str">
        <f aca="false">IFERROR(VLOOKUP(A457,'Pass 1 Archive'!$A:$AD,MATCH("LinkedIn Employee Count",'Pass 1 Archive'!$1:$1,0),FALSE()),"")</f>
        <v/>
      </c>
      <c r="D457" s="1" t="str">
        <f aca="false">IFERROR(VLOOKUP(A457,'company tracker'!$a:$s,MATCH("Jan 2025 Traffic",'company tracker'!$1:$1,0),FALSE()),"")</f>
        <v/>
      </c>
      <c r="E457" s="1" t="str">
        <f aca="false">IFERROR(VLOOKUP(A457,'company tracker'!$a:$s,MATCH("Jun 2026 Traffic",'company tracker'!$1:$1,0),FALSE()),"")</f>
        <v/>
      </c>
      <c r="F457" s="1" t="str">
        <f aca="false">IFERROR(VLOOKUP(A457,'company tracker'!$a:$s,MATCH("Traffic % Change",'company tracker'!$1:$1,0),FALSE()),"")</f>
        <v/>
      </c>
      <c r="G457" s="1" t="str">
        <f aca="false">IFERROR(VLOOKUP(A457,'company tracker'!$a:$s,MATCH("Jan 2025 Referring Domains",'company tracker'!$1:$1,0),FALSE()),"")</f>
        <v/>
      </c>
      <c r="H457" s="1" t="str">
        <f aca="false">IFERROR(VLOOKUP(A457,'company tracker'!$a:$s,MATCH("Jun 2026 Referring Domains",'company tracker'!$1:$1,0),FALSE()),"")</f>
        <v/>
      </c>
    </row>
    <row r="458" customFormat="false" ht="15" hidden="false" customHeight="true" outlineLevel="0" collapsed="false">
      <c r="B458" s="1" t="str">
        <f aca="false">IFERROR(VLOOKUP(A458,'company tracker'!$a:$s,MATCH("Category",'company tracker'!$1:$1,0),FALSE()),"")</f>
        <v/>
      </c>
      <c r="C458" s="1" t="str">
        <f aca="false">IFERROR(VLOOKUP(A458,'Pass 1 Archive'!$A:$AD,MATCH("LinkedIn Employee Count",'Pass 1 Archive'!$1:$1,0),FALSE()),"")</f>
        <v/>
      </c>
      <c r="D458" s="1" t="str">
        <f aca="false">IFERROR(VLOOKUP(A458,'company tracker'!$a:$s,MATCH("Jan 2025 Traffic",'company tracker'!$1:$1,0),FALSE()),"")</f>
        <v/>
      </c>
      <c r="E458" s="1" t="str">
        <f aca="false">IFERROR(VLOOKUP(A458,'company tracker'!$a:$s,MATCH("Jun 2026 Traffic",'company tracker'!$1:$1,0),FALSE()),"")</f>
        <v/>
      </c>
      <c r="F458" s="1" t="str">
        <f aca="false">IFERROR(VLOOKUP(A458,'company tracker'!$a:$s,MATCH("Traffic % Change",'company tracker'!$1:$1,0),FALSE()),"")</f>
        <v/>
      </c>
      <c r="G458" s="1" t="str">
        <f aca="false">IFERROR(VLOOKUP(A458,'company tracker'!$a:$s,MATCH("Jan 2025 Referring Domains",'company tracker'!$1:$1,0),FALSE()),"")</f>
        <v/>
      </c>
      <c r="H458" s="1" t="str">
        <f aca="false">IFERROR(VLOOKUP(A458,'company tracker'!$a:$s,MATCH("Jun 2026 Referring Domains",'company tracker'!$1:$1,0),FALSE()),"")</f>
        <v/>
      </c>
    </row>
    <row r="459" customFormat="false" ht="15" hidden="false" customHeight="true" outlineLevel="0" collapsed="false">
      <c r="B459" s="1" t="str">
        <f aca="false">IFERROR(VLOOKUP(A459,'company tracker'!$a:$s,MATCH("Category",'company tracker'!$1:$1,0),FALSE()),"")</f>
        <v/>
      </c>
      <c r="C459" s="1" t="str">
        <f aca="false">IFERROR(VLOOKUP(A459,'Pass 1 Archive'!$A:$AD,MATCH("LinkedIn Employee Count",'Pass 1 Archive'!$1:$1,0),FALSE()),"")</f>
        <v/>
      </c>
      <c r="D459" s="1" t="str">
        <f aca="false">IFERROR(VLOOKUP(A459,'company tracker'!$a:$s,MATCH("Jan 2025 Traffic",'company tracker'!$1:$1,0),FALSE()),"")</f>
        <v/>
      </c>
      <c r="E459" s="1" t="str">
        <f aca="false">IFERROR(VLOOKUP(A459,'company tracker'!$a:$s,MATCH("Jun 2026 Traffic",'company tracker'!$1:$1,0),FALSE()),"")</f>
        <v/>
      </c>
      <c r="F459" s="1" t="str">
        <f aca="false">IFERROR(VLOOKUP(A459,'company tracker'!$a:$s,MATCH("Traffic % Change",'company tracker'!$1:$1,0),FALSE()),"")</f>
        <v/>
      </c>
      <c r="G459" s="1" t="str">
        <f aca="false">IFERROR(VLOOKUP(A459,'company tracker'!$a:$s,MATCH("Jan 2025 Referring Domains",'company tracker'!$1:$1,0),FALSE()),"")</f>
        <v/>
      </c>
      <c r="H459" s="1" t="str">
        <f aca="false">IFERROR(VLOOKUP(A459,'company tracker'!$a:$s,MATCH("Jun 2026 Referring Domains",'company tracker'!$1:$1,0),FALSE()),"")</f>
        <v/>
      </c>
    </row>
    <row r="460" customFormat="false" ht="15" hidden="false" customHeight="true" outlineLevel="0" collapsed="false">
      <c r="B460" s="1" t="str">
        <f aca="false">IFERROR(VLOOKUP(A460,'company tracker'!$a:$s,MATCH("Category",'company tracker'!$1:$1,0),FALSE()),"")</f>
        <v/>
      </c>
      <c r="C460" s="1" t="str">
        <f aca="false">IFERROR(VLOOKUP(A460,'Pass 1 Archive'!$A:$AD,MATCH("LinkedIn Employee Count",'Pass 1 Archive'!$1:$1,0),FALSE()),"")</f>
        <v/>
      </c>
      <c r="D460" s="1" t="str">
        <f aca="false">IFERROR(VLOOKUP(A460,'company tracker'!$a:$s,MATCH("Jan 2025 Traffic",'company tracker'!$1:$1,0),FALSE()),"")</f>
        <v/>
      </c>
      <c r="E460" s="1" t="str">
        <f aca="false">IFERROR(VLOOKUP(A460,'company tracker'!$a:$s,MATCH("Jun 2026 Traffic",'company tracker'!$1:$1,0),FALSE()),"")</f>
        <v/>
      </c>
      <c r="F460" s="1" t="str">
        <f aca="false">IFERROR(VLOOKUP(A460,'company tracker'!$a:$s,MATCH("Traffic % Change",'company tracker'!$1:$1,0),FALSE()),"")</f>
        <v/>
      </c>
      <c r="G460" s="1" t="str">
        <f aca="false">IFERROR(VLOOKUP(A460,'company tracker'!$a:$s,MATCH("Jan 2025 Referring Domains",'company tracker'!$1:$1,0),FALSE()),"")</f>
        <v/>
      </c>
      <c r="H460" s="1" t="str">
        <f aca="false">IFERROR(VLOOKUP(A460,'company tracker'!$a:$s,MATCH("Jun 2026 Referring Domains",'company tracker'!$1:$1,0),FALSE()),"")</f>
        <v/>
      </c>
    </row>
    <row r="461" customFormat="false" ht="15" hidden="false" customHeight="true" outlineLevel="0" collapsed="false">
      <c r="B461" s="1" t="str">
        <f aca="false">IFERROR(VLOOKUP(A461,'company tracker'!$a:$s,MATCH("Category",'company tracker'!$1:$1,0),FALSE()),"")</f>
        <v/>
      </c>
      <c r="C461" s="1" t="str">
        <f aca="false">IFERROR(VLOOKUP(A461,'Pass 1 Archive'!$A:$AD,MATCH("LinkedIn Employee Count",'Pass 1 Archive'!$1:$1,0),FALSE()),"")</f>
        <v/>
      </c>
      <c r="D461" s="1" t="str">
        <f aca="false">IFERROR(VLOOKUP(A461,'company tracker'!$a:$s,MATCH("Jan 2025 Traffic",'company tracker'!$1:$1,0),FALSE()),"")</f>
        <v/>
      </c>
      <c r="E461" s="1" t="str">
        <f aca="false">IFERROR(VLOOKUP(A461,'company tracker'!$a:$s,MATCH("Jun 2026 Traffic",'company tracker'!$1:$1,0),FALSE()),"")</f>
        <v/>
      </c>
      <c r="F461" s="1" t="str">
        <f aca="false">IFERROR(VLOOKUP(A461,'company tracker'!$a:$s,MATCH("Traffic % Change",'company tracker'!$1:$1,0),FALSE()),"")</f>
        <v/>
      </c>
      <c r="G461" s="1" t="str">
        <f aca="false">IFERROR(VLOOKUP(A461,'company tracker'!$a:$s,MATCH("Jan 2025 Referring Domains",'company tracker'!$1:$1,0),FALSE()),"")</f>
        <v/>
      </c>
      <c r="H461" s="1" t="str">
        <f aca="false">IFERROR(VLOOKUP(A461,'company tracker'!$a:$s,MATCH("Jun 2026 Referring Domains",'company tracker'!$1:$1,0),FALSE()),"")</f>
        <v/>
      </c>
    </row>
    <row r="462" customFormat="false" ht="15" hidden="false" customHeight="true" outlineLevel="0" collapsed="false">
      <c r="B462" s="1" t="str">
        <f aca="false">IFERROR(VLOOKUP(A462,'company tracker'!$a:$s,MATCH("Category",'company tracker'!$1:$1,0),FALSE()),"")</f>
        <v/>
      </c>
      <c r="C462" s="1" t="str">
        <f aca="false">IFERROR(VLOOKUP(A462,'Pass 1 Archive'!$A:$AD,MATCH("LinkedIn Employee Count",'Pass 1 Archive'!$1:$1,0),FALSE()),"")</f>
        <v/>
      </c>
      <c r="D462" s="1" t="str">
        <f aca="false">IFERROR(VLOOKUP(A462,'company tracker'!$a:$s,MATCH("Jan 2025 Traffic",'company tracker'!$1:$1,0),FALSE()),"")</f>
        <v/>
      </c>
      <c r="E462" s="1" t="str">
        <f aca="false">IFERROR(VLOOKUP(A462,'company tracker'!$a:$s,MATCH("Jun 2026 Traffic",'company tracker'!$1:$1,0),FALSE()),"")</f>
        <v/>
      </c>
      <c r="F462" s="1" t="str">
        <f aca="false">IFERROR(VLOOKUP(A462,'company tracker'!$a:$s,MATCH("Traffic % Change",'company tracker'!$1:$1,0),FALSE()),"")</f>
        <v/>
      </c>
      <c r="G462" s="1" t="str">
        <f aca="false">IFERROR(VLOOKUP(A462,'company tracker'!$a:$s,MATCH("Jan 2025 Referring Domains",'company tracker'!$1:$1,0),FALSE()),"")</f>
        <v/>
      </c>
      <c r="H462" s="1" t="str">
        <f aca="false">IFERROR(VLOOKUP(A462,'company tracker'!$a:$s,MATCH("Jun 2026 Referring Domains",'company tracker'!$1:$1,0),FALSE()),"")</f>
        <v/>
      </c>
    </row>
    <row r="463" customFormat="false" ht="15" hidden="false" customHeight="true" outlineLevel="0" collapsed="false">
      <c r="B463" s="1" t="str">
        <f aca="false">IFERROR(VLOOKUP(A463,'company tracker'!$a:$s,MATCH("Category",'company tracker'!$1:$1,0),FALSE()),"")</f>
        <v/>
      </c>
      <c r="C463" s="1" t="str">
        <f aca="false">IFERROR(VLOOKUP(A463,'Pass 1 Archive'!$A:$AD,MATCH("LinkedIn Employee Count",'Pass 1 Archive'!$1:$1,0),FALSE()),"")</f>
        <v/>
      </c>
      <c r="D463" s="1" t="str">
        <f aca="false">IFERROR(VLOOKUP(A463,'company tracker'!$a:$s,MATCH("Jan 2025 Traffic",'company tracker'!$1:$1,0),FALSE()),"")</f>
        <v/>
      </c>
      <c r="E463" s="1" t="str">
        <f aca="false">IFERROR(VLOOKUP(A463,'company tracker'!$a:$s,MATCH("Jun 2026 Traffic",'company tracker'!$1:$1,0),FALSE()),"")</f>
        <v/>
      </c>
      <c r="F463" s="1" t="str">
        <f aca="false">IFERROR(VLOOKUP(A463,'company tracker'!$a:$s,MATCH("Traffic % Change",'company tracker'!$1:$1,0),FALSE()),"")</f>
        <v/>
      </c>
      <c r="G463" s="1" t="str">
        <f aca="false">IFERROR(VLOOKUP(A463,'company tracker'!$a:$s,MATCH("Jan 2025 Referring Domains",'company tracker'!$1:$1,0),FALSE()),"")</f>
        <v/>
      </c>
      <c r="H463" s="1" t="str">
        <f aca="false">IFERROR(VLOOKUP(A463,'company tracker'!$a:$s,MATCH("Jun 2026 Referring Domains",'company tracker'!$1:$1,0),FALSE()),"")</f>
        <v/>
      </c>
    </row>
    <row r="464" customFormat="false" ht="15" hidden="false" customHeight="true" outlineLevel="0" collapsed="false">
      <c r="B464" s="1" t="str">
        <f aca="false">IFERROR(VLOOKUP(A464,'company tracker'!$a:$s,MATCH("Category",'company tracker'!$1:$1,0),FALSE()),"")</f>
        <v/>
      </c>
      <c r="C464" s="1" t="str">
        <f aca="false">IFERROR(VLOOKUP(A464,'Pass 1 Archive'!$A:$AD,MATCH("LinkedIn Employee Count",'Pass 1 Archive'!$1:$1,0),FALSE()),"")</f>
        <v/>
      </c>
      <c r="D464" s="1" t="str">
        <f aca="false">IFERROR(VLOOKUP(A464,'company tracker'!$a:$s,MATCH("Jan 2025 Traffic",'company tracker'!$1:$1,0),FALSE()),"")</f>
        <v/>
      </c>
      <c r="E464" s="1" t="str">
        <f aca="false">IFERROR(VLOOKUP(A464,'company tracker'!$a:$s,MATCH("Jun 2026 Traffic",'company tracker'!$1:$1,0),FALSE()),"")</f>
        <v/>
      </c>
      <c r="F464" s="1" t="str">
        <f aca="false">IFERROR(VLOOKUP(A464,'company tracker'!$a:$s,MATCH("Traffic % Change",'company tracker'!$1:$1,0),FALSE()),"")</f>
        <v/>
      </c>
      <c r="G464" s="1" t="str">
        <f aca="false">IFERROR(VLOOKUP(A464,'company tracker'!$a:$s,MATCH("Jan 2025 Referring Domains",'company tracker'!$1:$1,0),FALSE()),"")</f>
        <v/>
      </c>
      <c r="H464" s="1" t="str">
        <f aca="false">IFERROR(VLOOKUP(A464,'company tracker'!$a:$s,MATCH("Jun 2026 Referring Domains",'company tracker'!$1:$1,0),FALSE()),"")</f>
        <v/>
      </c>
    </row>
    <row r="465" customFormat="false" ht="15" hidden="false" customHeight="true" outlineLevel="0" collapsed="false">
      <c r="B465" s="1" t="str">
        <f aca="false">IFERROR(VLOOKUP(A465,'company tracker'!$a:$s,MATCH("Category",'company tracker'!$1:$1,0),FALSE()),"")</f>
        <v/>
      </c>
      <c r="C465" s="1" t="str">
        <f aca="false">IFERROR(VLOOKUP(A465,'Pass 1 Archive'!$A:$AD,MATCH("LinkedIn Employee Count",'Pass 1 Archive'!$1:$1,0),FALSE()),"")</f>
        <v/>
      </c>
      <c r="D465" s="1" t="str">
        <f aca="false">IFERROR(VLOOKUP(A465,'company tracker'!$a:$s,MATCH("Jan 2025 Traffic",'company tracker'!$1:$1,0),FALSE()),"")</f>
        <v/>
      </c>
      <c r="E465" s="1" t="str">
        <f aca="false">IFERROR(VLOOKUP(A465,'company tracker'!$a:$s,MATCH("Jun 2026 Traffic",'company tracker'!$1:$1,0),FALSE()),"")</f>
        <v/>
      </c>
      <c r="F465" s="1" t="str">
        <f aca="false">IFERROR(VLOOKUP(A465,'company tracker'!$a:$s,MATCH("Traffic % Change",'company tracker'!$1:$1,0),FALSE()),"")</f>
        <v/>
      </c>
      <c r="G465" s="1" t="str">
        <f aca="false">IFERROR(VLOOKUP(A465,'company tracker'!$a:$s,MATCH("Jan 2025 Referring Domains",'company tracker'!$1:$1,0),FALSE()),"")</f>
        <v/>
      </c>
      <c r="H465" s="1" t="str">
        <f aca="false">IFERROR(VLOOKUP(A465,'company tracker'!$a:$s,MATCH("Jun 2026 Referring Domains",'company tracker'!$1:$1,0),FALSE()),"")</f>
        <v/>
      </c>
    </row>
    <row r="466" customFormat="false" ht="15" hidden="false" customHeight="true" outlineLevel="0" collapsed="false">
      <c r="B466" s="1" t="str">
        <f aca="false">IFERROR(VLOOKUP(A466,'company tracker'!$a:$s,MATCH("Category",'company tracker'!$1:$1,0),FALSE()),"")</f>
        <v/>
      </c>
      <c r="C466" s="1" t="str">
        <f aca="false">IFERROR(VLOOKUP(A466,'Pass 1 Archive'!$A:$AD,MATCH("LinkedIn Employee Count",'Pass 1 Archive'!$1:$1,0),FALSE()),"")</f>
        <v/>
      </c>
      <c r="D466" s="1" t="str">
        <f aca="false">IFERROR(VLOOKUP(A466,'company tracker'!$a:$s,MATCH("Jan 2025 Traffic",'company tracker'!$1:$1,0),FALSE()),"")</f>
        <v/>
      </c>
      <c r="E466" s="1" t="str">
        <f aca="false">IFERROR(VLOOKUP(A466,'company tracker'!$a:$s,MATCH("Jun 2026 Traffic",'company tracker'!$1:$1,0),FALSE()),"")</f>
        <v/>
      </c>
      <c r="F466" s="1" t="str">
        <f aca="false">IFERROR(VLOOKUP(A466,'company tracker'!$a:$s,MATCH("Traffic % Change",'company tracker'!$1:$1,0),FALSE()),"")</f>
        <v/>
      </c>
      <c r="G466" s="1" t="str">
        <f aca="false">IFERROR(VLOOKUP(A466,'company tracker'!$a:$s,MATCH("Jan 2025 Referring Domains",'company tracker'!$1:$1,0),FALSE()),"")</f>
        <v/>
      </c>
      <c r="H466" s="1" t="str">
        <f aca="false">IFERROR(VLOOKUP(A466,'company tracker'!$a:$s,MATCH("Jun 2026 Referring Domains",'company tracker'!$1:$1,0),FALSE()),"")</f>
        <v/>
      </c>
    </row>
    <row r="467" customFormat="false" ht="15" hidden="false" customHeight="true" outlineLevel="0" collapsed="false">
      <c r="B467" s="1" t="str">
        <f aca="false">IFERROR(VLOOKUP(A467,'company tracker'!$a:$s,MATCH("Category",'company tracker'!$1:$1,0),FALSE()),"")</f>
        <v/>
      </c>
      <c r="C467" s="1" t="str">
        <f aca="false">IFERROR(VLOOKUP(A467,'Pass 1 Archive'!$A:$AD,MATCH("LinkedIn Employee Count",'Pass 1 Archive'!$1:$1,0),FALSE()),"")</f>
        <v/>
      </c>
      <c r="D467" s="1" t="str">
        <f aca="false">IFERROR(VLOOKUP(A467,'company tracker'!$a:$s,MATCH("Jan 2025 Traffic",'company tracker'!$1:$1,0),FALSE()),"")</f>
        <v/>
      </c>
      <c r="E467" s="1" t="str">
        <f aca="false">IFERROR(VLOOKUP(A467,'company tracker'!$a:$s,MATCH("Jun 2026 Traffic",'company tracker'!$1:$1,0),FALSE()),"")</f>
        <v/>
      </c>
      <c r="F467" s="1" t="str">
        <f aca="false">IFERROR(VLOOKUP(A467,'company tracker'!$a:$s,MATCH("Traffic % Change",'company tracker'!$1:$1,0),FALSE()),"")</f>
        <v/>
      </c>
      <c r="G467" s="1" t="str">
        <f aca="false">IFERROR(VLOOKUP(A467,'company tracker'!$a:$s,MATCH("Jan 2025 Referring Domains",'company tracker'!$1:$1,0),FALSE()),"")</f>
        <v/>
      </c>
      <c r="H467" s="1" t="str">
        <f aca="false">IFERROR(VLOOKUP(A467,'company tracker'!$a:$s,MATCH("Jun 2026 Referring Domains",'company tracker'!$1:$1,0),FALSE()),"")</f>
        <v/>
      </c>
    </row>
    <row r="468" customFormat="false" ht="15" hidden="false" customHeight="true" outlineLevel="0" collapsed="false">
      <c r="B468" s="1" t="str">
        <f aca="false">IFERROR(VLOOKUP(A468,'company tracker'!$a:$s,MATCH("Category",'company tracker'!$1:$1,0),FALSE()),"")</f>
        <v/>
      </c>
      <c r="C468" s="1" t="str">
        <f aca="false">IFERROR(VLOOKUP(A468,'Pass 1 Archive'!$A:$AD,MATCH("LinkedIn Employee Count",'Pass 1 Archive'!$1:$1,0),FALSE()),"")</f>
        <v/>
      </c>
      <c r="D468" s="1" t="str">
        <f aca="false">IFERROR(VLOOKUP(A468,'company tracker'!$a:$s,MATCH("Jan 2025 Traffic",'company tracker'!$1:$1,0),FALSE()),"")</f>
        <v/>
      </c>
      <c r="E468" s="1" t="str">
        <f aca="false">IFERROR(VLOOKUP(A468,'company tracker'!$a:$s,MATCH("Jun 2026 Traffic",'company tracker'!$1:$1,0),FALSE()),"")</f>
        <v/>
      </c>
      <c r="F468" s="1" t="str">
        <f aca="false">IFERROR(VLOOKUP(A468,'company tracker'!$a:$s,MATCH("Traffic % Change",'company tracker'!$1:$1,0),FALSE()),"")</f>
        <v/>
      </c>
      <c r="G468" s="1" t="str">
        <f aca="false">IFERROR(VLOOKUP(A468,'company tracker'!$a:$s,MATCH("Jan 2025 Referring Domains",'company tracker'!$1:$1,0),FALSE()),"")</f>
        <v/>
      </c>
      <c r="H468" s="1" t="str">
        <f aca="false">IFERROR(VLOOKUP(A468,'company tracker'!$a:$s,MATCH("Jun 2026 Referring Domains",'company tracker'!$1:$1,0),FALSE()),"")</f>
        <v/>
      </c>
    </row>
    <row r="469" customFormat="false" ht="15" hidden="false" customHeight="true" outlineLevel="0" collapsed="false">
      <c r="B469" s="1" t="str">
        <f aca="false">IFERROR(VLOOKUP(A469,'company tracker'!$a:$s,MATCH("Category",'company tracker'!$1:$1,0),FALSE()),"")</f>
        <v/>
      </c>
      <c r="C469" s="1" t="str">
        <f aca="false">IFERROR(VLOOKUP(A469,'Pass 1 Archive'!$A:$AD,MATCH("LinkedIn Employee Count",'Pass 1 Archive'!$1:$1,0),FALSE()),"")</f>
        <v/>
      </c>
      <c r="D469" s="1" t="str">
        <f aca="false">IFERROR(VLOOKUP(A469,'company tracker'!$a:$s,MATCH("Jan 2025 Traffic",'company tracker'!$1:$1,0),FALSE()),"")</f>
        <v/>
      </c>
      <c r="E469" s="1" t="str">
        <f aca="false">IFERROR(VLOOKUP(A469,'company tracker'!$a:$s,MATCH("Jun 2026 Traffic",'company tracker'!$1:$1,0),FALSE()),"")</f>
        <v/>
      </c>
      <c r="F469" s="1" t="str">
        <f aca="false">IFERROR(VLOOKUP(A469,'company tracker'!$a:$s,MATCH("Traffic % Change",'company tracker'!$1:$1,0),FALSE()),"")</f>
        <v/>
      </c>
      <c r="G469" s="1" t="str">
        <f aca="false">IFERROR(VLOOKUP(A469,'company tracker'!$a:$s,MATCH("Jan 2025 Referring Domains",'company tracker'!$1:$1,0),FALSE()),"")</f>
        <v/>
      </c>
      <c r="H469" s="1" t="str">
        <f aca="false">IFERROR(VLOOKUP(A469,'company tracker'!$a:$s,MATCH("Jun 2026 Referring Domains",'company tracker'!$1:$1,0),FALSE()),"")</f>
        <v/>
      </c>
    </row>
    <row r="470" customFormat="false" ht="15" hidden="false" customHeight="true" outlineLevel="0" collapsed="false">
      <c r="B470" s="1" t="str">
        <f aca="false">IFERROR(VLOOKUP(A470,'company tracker'!$a:$s,MATCH("Category",'company tracker'!$1:$1,0),FALSE()),"")</f>
        <v/>
      </c>
      <c r="C470" s="1" t="str">
        <f aca="false">IFERROR(VLOOKUP(A470,'Pass 1 Archive'!$A:$AD,MATCH("LinkedIn Employee Count",'Pass 1 Archive'!$1:$1,0),FALSE()),"")</f>
        <v/>
      </c>
      <c r="D470" s="1" t="str">
        <f aca="false">IFERROR(VLOOKUP(A470,'company tracker'!$a:$s,MATCH("Jan 2025 Traffic",'company tracker'!$1:$1,0),FALSE()),"")</f>
        <v/>
      </c>
      <c r="E470" s="1" t="str">
        <f aca="false">IFERROR(VLOOKUP(A470,'company tracker'!$a:$s,MATCH("Jun 2026 Traffic",'company tracker'!$1:$1,0),FALSE()),"")</f>
        <v/>
      </c>
      <c r="F470" s="1" t="str">
        <f aca="false">IFERROR(VLOOKUP(A470,'company tracker'!$a:$s,MATCH("Traffic % Change",'company tracker'!$1:$1,0),FALSE()),"")</f>
        <v/>
      </c>
      <c r="G470" s="1" t="str">
        <f aca="false">IFERROR(VLOOKUP(A470,'company tracker'!$a:$s,MATCH("Jan 2025 Referring Domains",'company tracker'!$1:$1,0),FALSE()),"")</f>
        <v/>
      </c>
      <c r="H470" s="1" t="str">
        <f aca="false">IFERROR(VLOOKUP(A470,'company tracker'!$a:$s,MATCH("Jun 2026 Referring Domains",'company tracker'!$1:$1,0),FALSE()),"")</f>
        <v/>
      </c>
    </row>
    <row r="471" customFormat="false" ht="15" hidden="false" customHeight="true" outlineLevel="0" collapsed="false">
      <c r="B471" s="1" t="str">
        <f aca="false">IFERROR(VLOOKUP(A471,'company tracker'!$a:$s,MATCH("Category",'company tracker'!$1:$1,0),FALSE()),"")</f>
        <v/>
      </c>
      <c r="C471" s="1" t="str">
        <f aca="false">IFERROR(VLOOKUP(A471,'Pass 1 Archive'!$A:$AD,MATCH("LinkedIn Employee Count",'Pass 1 Archive'!$1:$1,0),FALSE()),"")</f>
        <v/>
      </c>
      <c r="D471" s="1" t="str">
        <f aca="false">IFERROR(VLOOKUP(A471,'company tracker'!$a:$s,MATCH("Jan 2025 Traffic",'company tracker'!$1:$1,0),FALSE()),"")</f>
        <v/>
      </c>
      <c r="E471" s="1" t="str">
        <f aca="false">IFERROR(VLOOKUP(A471,'company tracker'!$a:$s,MATCH("Jun 2026 Traffic",'company tracker'!$1:$1,0),FALSE()),"")</f>
        <v/>
      </c>
      <c r="F471" s="1" t="str">
        <f aca="false">IFERROR(VLOOKUP(A471,'company tracker'!$a:$s,MATCH("Traffic % Change",'company tracker'!$1:$1,0),FALSE()),"")</f>
        <v/>
      </c>
      <c r="G471" s="1" t="str">
        <f aca="false">IFERROR(VLOOKUP(A471,'company tracker'!$a:$s,MATCH("Jan 2025 Referring Domains",'company tracker'!$1:$1,0),FALSE()),"")</f>
        <v/>
      </c>
      <c r="H471" s="1" t="str">
        <f aca="false">IFERROR(VLOOKUP(A471,'company tracker'!$a:$s,MATCH("Jun 2026 Referring Domains",'company tracker'!$1:$1,0),FALSE()),"")</f>
        <v/>
      </c>
    </row>
    <row r="472" customFormat="false" ht="15" hidden="false" customHeight="true" outlineLevel="0" collapsed="false">
      <c r="B472" s="1" t="str">
        <f aca="false">IFERROR(VLOOKUP(A472,'company tracker'!$a:$s,MATCH("Category",'company tracker'!$1:$1,0),FALSE()),"")</f>
        <v/>
      </c>
      <c r="C472" s="1" t="str">
        <f aca="false">IFERROR(VLOOKUP(A472,'Pass 1 Archive'!$A:$AD,MATCH("LinkedIn Employee Count",'Pass 1 Archive'!$1:$1,0),FALSE()),"")</f>
        <v/>
      </c>
      <c r="D472" s="1" t="str">
        <f aca="false">IFERROR(VLOOKUP(A472,'company tracker'!$a:$s,MATCH("Jan 2025 Traffic",'company tracker'!$1:$1,0),FALSE()),"")</f>
        <v/>
      </c>
      <c r="E472" s="1" t="str">
        <f aca="false">IFERROR(VLOOKUP(A472,'company tracker'!$a:$s,MATCH("Jun 2026 Traffic",'company tracker'!$1:$1,0),FALSE()),"")</f>
        <v/>
      </c>
      <c r="F472" s="1" t="str">
        <f aca="false">IFERROR(VLOOKUP(A472,'company tracker'!$a:$s,MATCH("Traffic % Change",'company tracker'!$1:$1,0),FALSE()),"")</f>
        <v/>
      </c>
      <c r="G472" s="1" t="str">
        <f aca="false">IFERROR(VLOOKUP(A472,'company tracker'!$a:$s,MATCH("Jan 2025 Referring Domains",'company tracker'!$1:$1,0),FALSE()),"")</f>
        <v/>
      </c>
      <c r="H472" s="1" t="str">
        <f aca="false">IFERROR(VLOOKUP(A472,'company tracker'!$a:$s,MATCH("Jun 2026 Referring Domains",'company tracker'!$1:$1,0),FALSE()),"")</f>
        <v/>
      </c>
    </row>
    <row r="473" customFormat="false" ht="15" hidden="false" customHeight="true" outlineLevel="0" collapsed="false">
      <c r="B473" s="1" t="str">
        <f aca="false">IFERROR(VLOOKUP(A473,'company tracker'!$a:$s,MATCH("Category",'company tracker'!$1:$1,0),FALSE()),"")</f>
        <v/>
      </c>
      <c r="C473" s="1" t="str">
        <f aca="false">IFERROR(VLOOKUP(A473,'Pass 1 Archive'!$A:$AD,MATCH("LinkedIn Employee Count",'Pass 1 Archive'!$1:$1,0),FALSE()),"")</f>
        <v/>
      </c>
      <c r="D473" s="1" t="str">
        <f aca="false">IFERROR(VLOOKUP(A473,'company tracker'!$a:$s,MATCH("Jan 2025 Traffic",'company tracker'!$1:$1,0),FALSE()),"")</f>
        <v/>
      </c>
      <c r="E473" s="1" t="str">
        <f aca="false">IFERROR(VLOOKUP(A473,'company tracker'!$a:$s,MATCH("Jun 2026 Traffic",'company tracker'!$1:$1,0),FALSE()),"")</f>
        <v/>
      </c>
      <c r="F473" s="1" t="str">
        <f aca="false">IFERROR(VLOOKUP(A473,'company tracker'!$a:$s,MATCH("Traffic % Change",'company tracker'!$1:$1,0),FALSE()),"")</f>
        <v/>
      </c>
      <c r="G473" s="1" t="str">
        <f aca="false">IFERROR(VLOOKUP(A473,'company tracker'!$a:$s,MATCH("Jan 2025 Referring Domains",'company tracker'!$1:$1,0),FALSE()),"")</f>
        <v/>
      </c>
      <c r="H473" s="1" t="str">
        <f aca="false">IFERROR(VLOOKUP(A473,'company tracker'!$a:$s,MATCH("Jun 2026 Referring Domains",'company tracker'!$1:$1,0),FALSE()),"")</f>
        <v/>
      </c>
    </row>
    <row r="474" customFormat="false" ht="15" hidden="false" customHeight="true" outlineLevel="0" collapsed="false">
      <c r="B474" s="1" t="str">
        <f aca="false">IFERROR(VLOOKUP(A474,'company tracker'!$a:$s,MATCH("Category",'company tracker'!$1:$1,0),FALSE()),"")</f>
        <v/>
      </c>
      <c r="C474" s="1" t="str">
        <f aca="false">IFERROR(VLOOKUP(A474,'Pass 1 Archive'!$A:$AD,MATCH("LinkedIn Employee Count",'Pass 1 Archive'!$1:$1,0),FALSE()),"")</f>
        <v/>
      </c>
      <c r="D474" s="1" t="str">
        <f aca="false">IFERROR(VLOOKUP(A474,'company tracker'!$a:$s,MATCH("Jan 2025 Traffic",'company tracker'!$1:$1,0),FALSE()),"")</f>
        <v/>
      </c>
      <c r="E474" s="1" t="str">
        <f aca="false">IFERROR(VLOOKUP(A474,'company tracker'!$a:$s,MATCH("Jun 2026 Traffic",'company tracker'!$1:$1,0),FALSE()),"")</f>
        <v/>
      </c>
      <c r="F474" s="1" t="str">
        <f aca="false">IFERROR(VLOOKUP(A474,'company tracker'!$a:$s,MATCH("Traffic % Change",'company tracker'!$1:$1,0),FALSE()),"")</f>
        <v/>
      </c>
      <c r="G474" s="1" t="str">
        <f aca="false">IFERROR(VLOOKUP(A474,'company tracker'!$a:$s,MATCH("Jan 2025 Referring Domains",'company tracker'!$1:$1,0),FALSE()),"")</f>
        <v/>
      </c>
      <c r="H474" s="1" t="str">
        <f aca="false">IFERROR(VLOOKUP(A474,'company tracker'!$a:$s,MATCH("Jun 2026 Referring Domains",'company tracker'!$1:$1,0),FALSE()),"")</f>
        <v/>
      </c>
    </row>
    <row r="475" customFormat="false" ht="15" hidden="false" customHeight="true" outlineLevel="0" collapsed="false">
      <c r="B475" s="1" t="str">
        <f aca="false">IFERROR(VLOOKUP(A475,'company tracker'!$a:$s,MATCH("Category",'company tracker'!$1:$1,0),FALSE()),"")</f>
        <v/>
      </c>
      <c r="C475" s="1" t="str">
        <f aca="false">IFERROR(VLOOKUP(A475,'Pass 1 Archive'!$A:$AD,MATCH("LinkedIn Employee Count",'Pass 1 Archive'!$1:$1,0),FALSE()),"")</f>
        <v/>
      </c>
      <c r="D475" s="1" t="str">
        <f aca="false">IFERROR(VLOOKUP(A475,'company tracker'!$a:$s,MATCH("Jan 2025 Traffic",'company tracker'!$1:$1,0),FALSE()),"")</f>
        <v/>
      </c>
      <c r="E475" s="1" t="str">
        <f aca="false">IFERROR(VLOOKUP(A475,'company tracker'!$a:$s,MATCH("Jun 2026 Traffic",'company tracker'!$1:$1,0),FALSE()),"")</f>
        <v/>
      </c>
      <c r="F475" s="1" t="str">
        <f aca="false">IFERROR(VLOOKUP(A475,'company tracker'!$a:$s,MATCH("Traffic % Change",'company tracker'!$1:$1,0),FALSE()),"")</f>
        <v/>
      </c>
      <c r="G475" s="1" t="str">
        <f aca="false">IFERROR(VLOOKUP(A475,'company tracker'!$a:$s,MATCH("Jan 2025 Referring Domains",'company tracker'!$1:$1,0),FALSE()),"")</f>
        <v/>
      </c>
      <c r="H475" s="1" t="str">
        <f aca="false">IFERROR(VLOOKUP(A475,'company tracker'!$a:$s,MATCH("Jun 2026 Referring Domains",'company tracker'!$1:$1,0),FALSE()),"")</f>
        <v/>
      </c>
    </row>
    <row r="476" customFormat="false" ht="15" hidden="false" customHeight="true" outlineLevel="0" collapsed="false">
      <c r="B476" s="1" t="str">
        <f aca="false">IFERROR(VLOOKUP(A476,'company tracker'!$a:$s,MATCH("Category",'company tracker'!$1:$1,0),FALSE()),"")</f>
        <v/>
      </c>
      <c r="C476" s="1" t="str">
        <f aca="false">IFERROR(VLOOKUP(A476,'Pass 1 Archive'!$A:$AD,MATCH("LinkedIn Employee Count",'Pass 1 Archive'!$1:$1,0),FALSE()),"")</f>
        <v/>
      </c>
      <c r="D476" s="1" t="str">
        <f aca="false">IFERROR(VLOOKUP(A476,'company tracker'!$a:$s,MATCH("Jan 2025 Traffic",'company tracker'!$1:$1,0),FALSE()),"")</f>
        <v/>
      </c>
      <c r="E476" s="1" t="str">
        <f aca="false">IFERROR(VLOOKUP(A476,'company tracker'!$a:$s,MATCH("Jun 2026 Traffic",'company tracker'!$1:$1,0),FALSE()),"")</f>
        <v/>
      </c>
      <c r="F476" s="1" t="str">
        <f aca="false">IFERROR(VLOOKUP(A476,'company tracker'!$a:$s,MATCH("Traffic % Change",'company tracker'!$1:$1,0),FALSE()),"")</f>
        <v/>
      </c>
      <c r="G476" s="1" t="str">
        <f aca="false">IFERROR(VLOOKUP(A476,'company tracker'!$a:$s,MATCH("Jan 2025 Referring Domains",'company tracker'!$1:$1,0),FALSE()),"")</f>
        <v/>
      </c>
      <c r="H476" s="1" t="str">
        <f aca="false">IFERROR(VLOOKUP(A476,'company tracker'!$a:$s,MATCH("Jun 2026 Referring Domains",'company tracker'!$1:$1,0),FALSE()),"")</f>
        <v/>
      </c>
    </row>
    <row r="477" customFormat="false" ht="15" hidden="false" customHeight="true" outlineLevel="0" collapsed="false">
      <c r="B477" s="1" t="str">
        <f aca="false">IFERROR(VLOOKUP(A477,'company tracker'!$a:$s,MATCH("Category",'company tracker'!$1:$1,0),FALSE()),"")</f>
        <v/>
      </c>
      <c r="C477" s="1" t="str">
        <f aca="false">IFERROR(VLOOKUP(A477,'Pass 1 Archive'!$A:$AD,MATCH("LinkedIn Employee Count",'Pass 1 Archive'!$1:$1,0),FALSE()),"")</f>
        <v/>
      </c>
      <c r="D477" s="1" t="str">
        <f aca="false">IFERROR(VLOOKUP(A477,'company tracker'!$a:$s,MATCH("Jan 2025 Traffic",'company tracker'!$1:$1,0),FALSE()),"")</f>
        <v/>
      </c>
      <c r="E477" s="1" t="str">
        <f aca="false">IFERROR(VLOOKUP(A477,'company tracker'!$a:$s,MATCH("Jun 2026 Traffic",'company tracker'!$1:$1,0),FALSE()),"")</f>
        <v/>
      </c>
      <c r="F477" s="1" t="str">
        <f aca="false">IFERROR(VLOOKUP(A477,'company tracker'!$a:$s,MATCH("Traffic % Change",'company tracker'!$1:$1,0),FALSE()),"")</f>
        <v/>
      </c>
      <c r="G477" s="1" t="str">
        <f aca="false">IFERROR(VLOOKUP(A477,'company tracker'!$a:$s,MATCH("Jan 2025 Referring Domains",'company tracker'!$1:$1,0),FALSE()),"")</f>
        <v/>
      </c>
      <c r="H477" s="1" t="str">
        <f aca="false">IFERROR(VLOOKUP(A477,'company tracker'!$a:$s,MATCH("Jun 2026 Referring Domains",'company tracker'!$1:$1,0),FALSE()),"")</f>
        <v/>
      </c>
    </row>
    <row r="478" customFormat="false" ht="15" hidden="false" customHeight="true" outlineLevel="0" collapsed="false">
      <c r="B478" s="1" t="str">
        <f aca="false">IFERROR(VLOOKUP(A478,'company tracker'!$a:$s,MATCH("Category",'company tracker'!$1:$1,0),FALSE()),"")</f>
        <v/>
      </c>
      <c r="C478" s="1" t="str">
        <f aca="false">IFERROR(VLOOKUP(A478,'Pass 1 Archive'!$A:$AD,MATCH("LinkedIn Employee Count",'Pass 1 Archive'!$1:$1,0),FALSE()),"")</f>
        <v/>
      </c>
      <c r="D478" s="1" t="str">
        <f aca="false">IFERROR(VLOOKUP(A478,'company tracker'!$a:$s,MATCH("Jan 2025 Traffic",'company tracker'!$1:$1,0),FALSE()),"")</f>
        <v/>
      </c>
      <c r="E478" s="1" t="str">
        <f aca="false">IFERROR(VLOOKUP(A478,'company tracker'!$a:$s,MATCH("Jun 2026 Traffic",'company tracker'!$1:$1,0),FALSE()),"")</f>
        <v/>
      </c>
      <c r="F478" s="1" t="str">
        <f aca="false">IFERROR(VLOOKUP(A478,'company tracker'!$a:$s,MATCH("Traffic % Change",'company tracker'!$1:$1,0),FALSE()),"")</f>
        <v/>
      </c>
      <c r="G478" s="1" t="str">
        <f aca="false">IFERROR(VLOOKUP(A478,'company tracker'!$a:$s,MATCH("Jan 2025 Referring Domains",'company tracker'!$1:$1,0),FALSE()),"")</f>
        <v/>
      </c>
      <c r="H478" s="1" t="str">
        <f aca="false">IFERROR(VLOOKUP(A478,'company tracker'!$a:$s,MATCH("Jun 2026 Referring Domains",'company tracker'!$1:$1,0),FALSE()),"")</f>
        <v/>
      </c>
    </row>
    <row r="479" customFormat="false" ht="15" hidden="false" customHeight="true" outlineLevel="0" collapsed="false">
      <c r="B479" s="1" t="str">
        <f aca="false">IFERROR(VLOOKUP(A479,'company tracker'!$a:$s,MATCH("Category",'company tracker'!$1:$1,0),FALSE()),"")</f>
        <v/>
      </c>
      <c r="C479" s="1" t="str">
        <f aca="false">IFERROR(VLOOKUP(A479,'Pass 1 Archive'!$A:$AD,MATCH("LinkedIn Employee Count",'Pass 1 Archive'!$1:$1,0),FALSE()),"")</f>
        <v/>
      </c>
      <c r="D479" s="1" t="str">
        <f aca="false">IFERROR(VLOOKUP(A479,'company tracker'!$a:$s,MATCH("Jan 2025 Traffic",'company tracker'!$1:$1,0),FALSE()),"")</f>
        <v/>
      </c>
      <c r="E479" s="1" t="str">
        <f aca="false">IFERROR(VLOOKUP(A479,'company tracker'!$a:$s,MATCH("Jun 2026 Traffic",'company tracker'!$1:$1,0),FALSE()),"")</f>
        <v/>
      </c>
      <c r="F479" s="1" t="str">
        <f aca="false">IFERROR(VLOOKUP(A479,'company tracker'!$a:$s,MATCH("Traffic % Change",'company tracker'!$1:$1,0),FALSE()),"")</f>
        <v/>
      </c>
      <c r="G479" s="1" t="str">
        <f aca="false">IFERROR(VLOOKUP(A479,'company tracker'!$a:$s,MATCH("Jan 2025 Referring Domains",'company tracker'!$1:$1,0),FALSE()),"")</f>
        <v/>
      </c>
      <c r="H479" s="1" t="str">
        <f aca="false">IFERROR(VLOOKUP(A479,'company tracker'!$a:$s,MATCH("Jun 2026 Referring Domains",'company tracker'!$1:$1,0),FALSE()),"")</f>
        <v/>
      </c>
    </row>
    <row r="480" customFormat="false" ht="15" hidden="false" customHeight="true" outlineLevel="0" collapsed="false">
      <c r="B480" s="1" t="str">
        <f aca="false">IFERROR(VLOOKUP(A480,'company tracker'!$a:$s,MATCH("Category",'company tracker'!$1:$1,0),FALSE()),"")</f>
        <v/>
      </c>
      <c r="C480" s="1" t="str">
        <f aca="false">IFERROR(VLOOKUP(A480,'Pass 1 Archive'!$A:$AD,MATCH("LinkedIn Employee Count",'Pass 1 Archive'!$1:$1,0),FALSE()),"")</f>
        <v/>
      </c>
      <c r="D480" s="1" t="str">
        <f aca="false">IFERROR(VLOOKUP(A480,'company tracker'!$a:$s,MATCH("Jan 2025 Traffic",'company tracker'!$1:$1,0),FALSE()),"")</f>
        <v/>
      </c>
      <c r="E480" s="1" t="str">
        <f aca="false">IFERROR(VLOOKUP(A480,'company tracker'!$a:$s,MATCH("Jun 2026 Traffic",'company tracker'!$1:$1,0),FALSE()),"")</f>
        <v/>
      </c>
      <c r="F480" s="1" t="str">
        <f aca="false">IFERROR(VLOOKUP(A480,'company tracker'!$a:$s,MATCH("Traffic % Change",'company tracker'!$1:$1,0),FALSE()),"")</f>
        <v/>
      </c>
      <c r="G480" s="1" t="str">
        <f aca="false">IFERROR(VLOOKUP(A480,'company tracker'!$a:$s,MATCH("Jan 2025 Referring Domains",'company tracker'!$1:$1,0),FALSE()),"")</f>
        <v/>
      </c>
      <c r="H480" s="1" t="str">
        <f aca="false">IFERROR(VLOOKUP(A480,'company tracker'!$a:$s,MATCH("Jun 2026 Referring Domains",'company tracker'!$1:$1,0),FALSE()),"")</f>
        <v/>
      </c>
    </row>
    <row r="481" customFormat="false" ht="15" hidden="false" customHeight="true" outlineLevel="0" collapsed="false">
      <c r="B481" s="1" t="str">
        <f aca="false">IFERROR(VLOOKUP(A481,'company tracker'!$a:$s,MATCH("Category",'company tracker'!$1:$1,0),FALSE()),"")</f>
        <v/>
      </c>
      <c r="C481" s="1" t="str">
        <f aca="false">IFERROR(VLOOKUP(A481,'Pass 1 Archive'!$A:$AD,MATCH("LinkedIn Employee Count",'Pass 1 Archive'!$1:$1,0),FALSE()),"")</f>
        <v/>
      </c>
      <c r="D481" s="1" t="str">
        <f aca="false">IFERROR(VLOOKUP(A481,'company tracker'!$a:$s,MATCH("Jan 2025 Traffic",'company tracker'!$1:$1,0),FALSE()),"")</f>
        <v/>
      </c>
      <c r="E481" s="1" t="str">
        <f aca="false">IFERROR(VLOOKUP(A481,'company tracker'!$a:$s,MATCH("Jun 2026 Traffic",'company tracker'!$1:$1,0),FALSE()),"")</f>
        <v/>
      </c>
      <c r="F481" s="1" t="str">
        <f aca="false">IFERROR(VLOOKUP(A481,'company tracker'!$a:$s,MATCH("Traffic % Change",'company tracker'!$1:$1,0),FALSE()),"")</f>
        <v/>
      </c>
      <c r="G481" s="1" t="str">
        <f aca="false">IFERROR(VLOOKUP(A481,'company tracker'!$a:$s,MATCH("Jan 2025 Referring Domains",'company tracker'!$1:$1,0),FALSE()),"")</f>
        <v/>
      </c>
      <c r="H481" s="1" t="str">
        <f aca="false">IFERROR(VLOOKUP(A481,'company tracker'!$a:$s,MATCH("Jun 2026 Referring Domains",'company tracker'!$1:$1,0),FALSE()),"")</f>
        <v/>
      </c>
    </row>
    <row r="482" customFormat="false" ht="15" hidden="false" customHeight="true" outlineLevel="0" collapsed="false">
      <c r="B482" s="1" t="str">
        <f aca="false">IFERROR(VLOOKUP(A482,'company tracker'!$a:$s,MATCH("Category",'company tracker'!$1:$1,0),FALSE()),"")</f>
        <v/>
      </c>
      <c r="C482" s="1" t="str">
        <f aca="false">IFERROR(VLOOKUP(A482,'Pass 1 Archive'!$A:$AD,MATCH("LinkedIn Employee Count",'Pass 1 Archive'!$1:$1,0),FALSE()),"")</f>
        <v/>
      </c>
      <c r="D482" s="1" t="str">
        <f aca="false">IFERROR(VLOOKUP(A482,'company tracker'!$a:$s,MATCH("Jan 2025 Traffic",'company tracker'!$1:$1,0),FALSE()),"")</f>
        <v/>
      </c>
      <c r="E482" s="1" t="str">
        <f aca="false">IFERROR(VLOOKUP(A482,'company tracker'!$a:$s,MATCH("Jun 2026 Traffic",'company tracker'!$1:$1,0),FALSE()),"")</f>
        <v/>
      </c>
      <c r="F482" s="1" t="str">
        <f aca="false">IFERROR(VLOOKUP(A482,'company tracker'!$a:$s,MATCH("Traffic % Change",'company tracker'!$1:$1,0),FALSE()),"")</f>
        <v/>
      </c>
      <c r="G482" s="1" t="str">
        <f aca="false">IFERROR(VLOOKUP(A482,'company tracker'!$a:$s,MATCH("Jan 2025 Referring Domains",'company tracker'!$1:$1,0),FALSE()),"")</f>
        <v/>
      </c>
      <c r="H482" s="1" t="str">
        <f aca="false">IFERROR(VLOOKUP(A482,'company tracker'!$a:$s,MATCH("Jun 2026 Referring Domains",'company tracker'!$1:$1,0),FALSE()),"")</f>
        <v/>
      </c>
    </row>
    <row r="483" customFormat="false" ht="15" hidden="false" customHeight="true" outlineLevel="0" collapsed="false">
      <c r="B483" s="1" t="str">
        <f aca="false">IFERROR(VLOOKUP(A483,'company tracker'!$a:$s,MATCH("Category",'company tracker'!$1:$1,0),FALSE()),"")</f>
        <v/>
      </c>
      <c r="C483" s="1" t="str">
        <f aca="false">IFERROR(VLOOKUP(A483,'Pass 1 Archive'!$A:$AD,MATCH("LinkedIn Employee Count",'Pass 1 Archive'!$1:$1,0),FALSE()),"")</f>
        <v/>
      </c>
      <c r="D483" s="1" t="str">
        <f aca="false">IFERROR(VLOOKUP(A483,'company tracker'!$a:$s,MATCH("Jan 2025 Traffic",'company tracker'!$1:$1,0),FALSE()),"")</f>
        <v/>
      </c>
      <c r="E483" s="1" t="str">
        <f aca="false">IFERROR(VLOOKUP(A483,'company tracker'!$a:$s,MATCH("Jun 2026 Traffic",'company tracker'!$1:$1,0),FALSE()),"")</f>
        <v/>
      </c>
      <c r="F483" s="1" t="str">
        <f aca="false">IFERROR(VLOOKUP(A483,'company tracker'!$a:$s,MATCH("Traffic % Change",'company tracker'!$1:$1,0),FALSE()),"")</f>
        <v/>
      </c>
      <c r="G483" s="1" t="str">
        <f aca="false">IFERROR(VLOOKUP(A483,'company tracker'!$a:$s,MATCH("Jan 2025 Referring Domains",'company tracker'!$1:$1,0),FALSE()),"")</f>
        <v/>
      </c>
      <c r="H483" s="1" t="str">
        <f aca="false">IFERROR(VLOOKUP(A483,'company tracker'!$a:$s,MATCH("Jun 2026 Referring Domains",'company tracker'!$1:$1,0),FALSE()),"")</f>
        <v/>
      </c>
    </row>
    <row r="484" customFormat="false" ht="15" hidden="false" customHeight="true" outlineLevel="0" collapsed="false">
      <c r="B484" s="1" t="str">
        <f aca="false">IFERROR(VLOOKUP(A484,'company tracker'!$a:$s,MATCH("Category",'company tracker'!$1:$1,0),FALSE()),"")</f>
        <v/>
      </c>
      <c r="C484" s="1" t="str">
        <f aca="false">IFERROR(VLOOKUP(A484,'Pass 1 Archive'!$A:$AD,MATCH("LinkedIn Employee Count",'Pass 1 Archive'!$1:$1,0),FALSE()),"")</f>
        <v/>
      </c>
      <c r="D484" s="1" t="str">
        <f aca="false">IFERROR(VLOOKUP(A484,'company tracker'!$a:$s,MATCH("Jan 2025 Traffic",'company tracker'!$1:$1,0),FALSE()),"")</f>
        <v/>
      </c>
      <c r="E484" s="1" t="str">
        <f aca="false">IFERROR(VLOOKUP(A484,'company tracker'!$a:$s,MATCH("Jun 2026 Traffic",'company tracker'!$1:$1,0),FALSE()),"")</f>
        <v/>
      </c>
      <c r="F484" s="1" t="str">
        <f aca="false">IFERROR(VLOOKUP(A484,'company tracker'!$a:$s,MATCH("Traffic % Change",'company tracker'!$1:$1,0),FALSE()),"")</f>
        <v/>
      </c>
      <c r="G484" s="1" t="str">
        <f aca="false">IFERROR(VLOOKUP(A484,'company tracker'!$a:$s,MATCH("Jan 2025 Referring Domains",'company tracker'!$1:$1,0),FALSE()),"")</f>
        <v/>
      </c>
      <c r="H484" s="1" t="str">
        <f aca="false">IFERROR(VLOOKUP(A484,'company tracker'!$a:$s,MATCH("Jun 2026 Referring Domains",'company tracker'!$1:$1,0),FALSE()),"")</f>
        <v/>
      </c>
    </row>
    <row r="485" customFormat="false" ht="15" hidden="false" customHeight="true" outlineLevel="0" collapsed="false">
      <c r="B485" s="1" t="str">
        <f aca="false">IFERROR(VLOOKUP(A485,'company tracker'!$a:$s,MATCH("Category",'company tracker'!$1:$1,0),FALSE()),"")</f>
        <v/>
      </c>
      <c r="C485" s="1" t="str">
        <f aca="false">IFERROR(VLOOKUP(A485,'Pass 1 Archive'!$A:$AD,MATCH("LinkedIn Employee Count",'Pass 1 Archive'!$1:$1,0),FALSE()),"")</f>
        <v/>
      </c>
      <c r="D485" s="1" t="str">
        <f aca="false">IFERROR(VLOOKUP(A485,'company tracker'!$a:$s,MATCH("Jan 2025 Traffic",'company tracker'!$1:$1,0),FALSE()),"")</f>
        <v/>
      </c>
      <c r="E485" s="1" t="str">
        <f aca="false">IFERROR(VLOOKUP(A485,'company tracker'!$a:$s,MATCH("Jun 2026 Traffic",'company tracker'!$1:$1,0),FALSE()),"")</f>
        <v/>
      </c>
      <c r="F485" s="1" t="str">
        <f aca="false">IFERROR(VLOOKUP(A485,'company tracker'!$a:$s,MATCH("Traffic % Change",'company tracker'!$1:$1,0),FALSE()),"")</f>
        <v/>
      </c>
      <c r="G485" s="1" t="str">
        <f aca="false">IFERROR(VLOOKUP(A485,'company tracker'!$a:$s,MATCH("Jan 2025 Referring Domains",'company tracker'!$1:$1,0),FALSE()),"")</f>
        <v/>
      </c>
      <c r="H485" s="1" t="str">
        <f aca="false">IFERROR(VLOOKUP(A485,'company tracker'!$a:$s,MATCH("Jun 2026 Referring Domains",'company tracker'!$1:$1,0),FALSE()),"")</f>
        <v/>
      </c>
    </row>
    <row r="486" customFormat="false" ht="15" hidden="false" customHeight="true" outlineLevel="0" collapsed="false">
      <c r="B486" s="1" t="str">
        <f aca="false">IFERROR(VLOOKUP(A486,'company tracker'!$a:$s,MATCH("Category",'company tracker'!$1:$1,0),FALSE()),"")</f>
        <v/>
      </c>
      <c r="C486" s="1" t="str">
        <f aca="false">IFERROR(VLOOKUP(A486,'Pass 1 Archive'!$A:$AD,MATCH("LinkedIn Employee Count",'Pass 1 Archive'!$1:$1,0),FALSE()),"")</f>
        <v/>
      </c>
      <c r="D486" s="1" t="str">
        <f aca="false">IFERROR(VLOOKUP(A486,'company tracker'!$a:$s,MATCH("Jan 2025 Traffic",'company tracker'!$1:$1,0),FALSE()),"")</f>
        <v/>
      </c>
      <c r="E486" s="1" t="str">
        <f aca="false">IFERROR(VLOOKUP(A486,'company tracker'!$a:$s,MATCH("Jun 2026 Traffic",'company tracker'!$1:$1,0),FALSE()),"")</f>
        <v/>
      </c>
      <c r="F486" s="1" t="str">
        <f aca="false">IFERROR(VLOOKUP(A486,'company tracker'!$a:$s,MATCH("Traffic % Change",'company tracker'!$1:$1,0),FALSE()),"")</f>
        <v/>
      </c>
      <c r="G486" s="1" t="str">
        <f aca="false">IFERROR(VLOOKUP(A486,'company tracker'!$a:$s,MATCH("Jan 2025 Referring Domains",'company tracker'!$1:$1,0),FALSE()),"")</f>
        <v/>
      </c>
      <c r="H486" s="1" t="str">
        <f aca="false">IFERROR(VLOOKUP(A486,'company tracker'!$a:$s,MATCH("Jun 2026 Referring Domains",'company tracker'!$1:$1,0),FALSE()),"")</f>
        <v/>
      </c>
    </row>
    <row r="487" customFormat="false" ht="15" hidden="false" customHeight="true" outlineLevel="0" collapsed="false">
      <c r="B487" s="1" t="str">
        <f aca="false">IFERROR(VLOOKUP(A487,'company tracker'!$a:$s,MATCH("Category",'company tracker'!$1:$1,0),FALSE()),"")</f>
        <v/>
      </c>
      <c r="C487" s="1" t="str">
        <f aca="false">IFERROR(VLOOKUP(A487,'Pass 1 Archive'!$A:$AD,MATCH("LinkedIn Employee Count",'Pass 1 Archive'!$1:$1,0),FALSE()),"")</f>
        <v/>
      </c>
      <c r="D487" s="1" t="str">
        <f aca="false">IFERROR(VLOOKUP(A487,'company tracker'!$a:$s,MATCH("Jan 2025 Traffic",'company tracker'!$1:$1,0),FALSE()),"")</f>
        <v/>
      </c>
      <c r="E487" s="1" t="str">
        <f aca="false">IFERROR(VLOOKUP(A487,'company tracker'!$a:$s,MATCH("Jun 2026 Traffic",'company tracker'!$1:$1,0),FALSE()),"")</f>
        <v/>
      </c>
      <c r="F487" s="1" t="str">
        <f aca="false">IFERROR(VLOOKUP(A487,'company tracker'!$a:$s,MATCH("Traffic % Change",'company tracker'!$1:$1,0),FALSE()),"")</f>
        <v/>
      </c>
      <c r="G487" s="1" t="str">
        <f aca="false">IFERROR(VLOOKUP(A487,'company tracker'!$a:$s,MATCH("Jan 2025 Referring Domains",'company tracker'!$1:$1,0),FALSE()),"")</f>
        <v/>
      </c>
      <c r="H487" s="1" t="str">
        <f aca="false">IFERROR(VLOOKUP(A487,'company tracker'!$a:$s,MATCH("Jun 2026 Referring Domains",'company tracker'!$1:$1,0),FALSE()),"")</f>
        <v/>
      </c>
    </row>
    <row r="488" customFormat="false" ht="15" hidden="false" customHeight="true" outlineLevel="0" collapsed="false">
      <c r="B488" s="1" t="str">
        <f aca="false">IFERROR(VLOOKUP(A488,'company tracker'!$a:$s,MATCH("Category",'company tracker'!$1:$1,0),FALSE()),"")</f>
        <v/>
      </c>
      <c r="C488" s="1" t="str">
        <f aca="false">IFERROR(VLOOKUP(A488,'Pass 1 Archive'!$A:$AD,MATCH("LinkedIn Employee Count",'Pass 1 Archive'!$1:$1,0),FALSE()),"")</f>
        <v/>
      </c>
      <c r="D488" s="1" t="str">
        <f aca="false">IFERROR(VLOOKUP(A488,'company tracker'!$a:$s,MATCH("Jan 2025 Traffic",'company tracker'!$1:$1,0),FALSE()),"")</f>
        <v/>
      </c>
      <c r="E488" s="1" t="str">
        <f aca="false">IFERROR(VLOOKUP(A488,'company tracker'!$a:$s,MATCH("Jun 2026 Traffic",'company tracker'!$1:$1,0),FALSE()),"")</f>
        <v/>
      </c>
      <c r="F488" s="1" t="str">
        <f aca="false">IFERROR(VLOOKUP(A488,'company tracker'!$a:$s,MATCH("Traffic % Change",'company tracker'!$1:$1,0),FALSE()),"")</f>
        <v/>
      </c>
      <c r="G488" s="1" t="str">
        <f aca="false">IFERROR(VLOOKUP(A488,'company tracker'!$a:$s,MATCH("Jan 2025 Referring Domains",'company tracker'!$1:$1,0),FALSE()),"")</f>
        <v/>
      </c>
      <c r="H488" s="1" t="str">
        <f aca="false">IFERROR(VLOOKUP(A488,'company tracker'!$a:$s,MATCH("Jun 2026 Referring Domains",'company tracker'!$1:$1,0),FALSE()),"")</f>
        <v/>
      </c>
    </row>
    <row r="489" customFormat="false" ht="15" hidden="false" customHeight="true" outlineLevel="0" collapsed="false">
      <c r="B489" s="1" t="str">
        <f aca="false">IFERROR(VLOOKUP(A489,'company tracker'!$a:$s,MATCH("Category",'company tracker'!$1:$1,0),FALSE()),"")</f>
        <v/>
      </c>
      <c r="C489" s="1" t="str">
        <f aca="false">IFERROR(VLOOKUP(A489,'Pass 1 Archive'!$A:$AD,MATCH("LinkedIn Employee Count",'Pass 1 Archive'!$1:$1,0),FALSE()),"")</f>
        <v/>
      </c>
      <c r="D489" s="1" t="str">
        <f aca="false">IFERROR(VLOOKUP(A489,'company tracker'!$a:$s,MATCH("Jan 2025 Traffic",'company tracker'!$1:$1,0),FALSE()),"")</f>
        <v/>
      </c>
      <c r="E489" s="1" t="str">
        <f aca="false">IFERROR(VLOOKUP(A489,'company tracker'!$a:$s,MATCH("Jun 2026 Traffic",'company tracker'!$1:$1,0),FALSE()),"")</f>
        <v/>
      </c>
      <c r="F489" s="1" t="str">
        <f aca="false">IFERROR(VLOOKUP(A489,'company tracker'!$a:$s,MATCH("Traffic % Change",'company tracker'!$1:$1,0),FALSE()),"")</f>
        <v/>
      </c>
      <c r="G489" s="1" t="str">
        <f aca="false">IFERROR(VLOOKUP(A489,'company tracker'!$a:$s,MATCH("Jan 2025 Referring Domains",'company tracker'!$1:$1,0),FALSE()),"")</f>
        <v/>
      </c>
      <c r="H489" s="1" t="str">
        <f aca="false">IFERROR(VLOOKUP(A489,'company tracker'!$a:$s,MATCH("Jun 2026 Referring Domains",'company tracker'!$1:$1,0),FALSE()),"")</f>
        <v/>
      </c>
    </row>
    <row r="490" customFormat="false" ht="15" hidden="false" customHeight="true" outlineLevel="0" collapsed="false">
      <c r="B490" s="1" t="str">
        <f aca="false">IFERROR(VLOOKUP(A490,'company tracker'!$a:$s,MATCH("Category",'company tracker'!$1:$1,0),FALSE()),"")</f>
        <v/>
      </c>
      <c r="C490" s="1" t="str">
        <f aca="false">IFERROR(VLOOKUP(A490,'Pass 1 Archive'!$A:$AD,MATCH("LinkedIn Employee Count",'Pass 1 Archive'!$1:$1,0),FALSE()),"")</f>
        <v/>
      </c>
      <c r="D490" s="1" t="str">
        <f aca="false">IFERROR(VLOOKUP(A490,'company tracker'!$a:$s,MATCH("Jan 2025 Traffic",'company tracker'!$1:$1,0),FALSE()),"")</f>
        <v/>
      </c>
      <c r="E490" s="1" t="str">
        <f aca="false">IFERROR(VLOOKUP(A490,'company tracker'!$a:$s,MATCH("Jun 2026 Traffic",'company tracker'!$1:$1,0),FALSE()),"")</f>
        <v/>
      </c>
      <c r="F490" s="1" t="str">
        <f aca="false">IFERROR(VLOOKUP(A490,'company tracker'!$a:$s,MATCH("Traffic % Change",'company tracker'!$1:$1,0),FALSE()),"")</f>
        <v/>
      </c>
      <c r="G490" s="1" t="str">
        <f aca="false">IFERROR(VLOOKUP(A490,'company tracker'!$a:$s,MATCH("Jan 2025 Referring Domains",'company tracker'!$1:$1,0),FALSE()),"")</f>
        <v/>
      </c>
      <c r="H490" s="1" t="str">
        <f aca="false">IFERROR(VLOOKUP(A490,'company tracker'!$a:$s,MATCH("Jun 2026 Referring Domains",'company tracker'!$1:$1,0),FALSE()),"")</f>
        <v/>
      </c>
    </row>
    <row r="491" customFormat="false" ht="15" hidden="false" customHeight="true" outlineLevel="0" collapsed="false">
      <c r="B491" s="1" t="str">
        <f aca="false">IFERROR(VLOOKUP(A491,'company tracker'!$a:$s,MATCH("Category",'company tracker'!$1:$1,0),FALSE()),"")</f>
        <v/>
      </c>
      <c r="C491" s="1" t="str">
        <f aca="false">IFERROR(VLOOKUP(A491,'Pass 1 Archive'!$A:$AD,MATCH("LinkedIn Employee Count",'Pass 1 Archive'!$1:$1,0),FALSE()),"")</f>
        <v/>
      </c>
      <c r="D491" s="1" t="str">
        <f aca="false">IFERROR(VLOOKUP(A491,'company tracker'!$a:$s,MATCH("Jan 2025 Traffic",'company tracker'!$1:$1,0),FALSE()),"")</f>
        <v/>
      </c>
      <c r="E491" s="1" t="str">
        <f aca="false">IFERROR(VLOOKUP(A491,'company tracker'!$a:$s,MATCH("Jun 2026 Traffic",'company tracker'!$1:$1,0),FALSE()),"")</f>
        <v/>
      </c>
      <c r="F491" s="1" t="str">
        <f aca="false">IFERROR(VLOOKUP(A491,'company tracker'!$a:$s,MATCH("Traffic % Change",'company tracker'!$1:$1,0),FALSE()),"")</f>
        <v/>
      </c>
      <c r="G491" s="1" t="str">
        <f aca="false">IFERROR(VLOOKUP(A491,'company tracker'!$a:$s,MATCH("Jan 2025 Referring Domains",'company tracker'!$1:$1,0),FALSE()),"")</f>
        <v/>
      </c>
      <c r="H491" s="1" t="str">
        <f aca="false">IFERROR(VLOOKUP(A491,'company tracker'!$a:$s,MATCH("Jun 2026 Referring Domains",'company tracker'!$1:$1,0),FALSE()),"")</f>
        <v/>
      </c>
    </row>
    <row r="492" customFormat="false" ht="15" hidden="false" customHeight="true" outlineLevel="0" collapsed="false">
      <c r="B492" s="1" t="str">
        <f aca="false">IFERROR(VLOOKUP(A492,'company tracker'!$a:$s,MATCH("Category",'company tracker'!$1:$1,0),FALSE()),"")</f>
        <v/>
      </c>
      <c r="C492" s="1" t="str">
        <f aca="false">IFERROR(VLOOKUP(A492,'Pass 1 Archive'!$A:$AD,MATCH("LinkedIn Employee Count",'Pass 1 Archive'!$1:$1,0),FALSE()),"")</f>
        <v/>
      </c>
      <c r="D492" s="1" t="str">
        <f aca="false">IFERROR(VLOOKUP(A492,'company tracker'!$a:$s,MATCH("Jan 2025 Traffic",'company tracker'!$1:$1,0),FALSE()),"")</f>
        <v/>
      </c>
      <c r="E492" s="1" t="str">
        <f aca="false">IFERROR(VLOOKUP(A492,'company tracker'!$a:$s,MATCH("Jun 2026 Traffic",'company tracker'!$1:$1,0),FALSE()),"")</f>
        <v/>
      </c>
      <c r="F492" s="1" t="str">
        <f aca="false">IFERROR(VLOOKUP(A492,'company tracker'!$a:$s,MATCH("Traffic % Change",'company tracker'!$1:$1,0),FALSE()),"")</f>
        <v/>
      </c>
      <c r="G492" s="1" t="str">
        <f aca="false">IFERROR(VLOOKUP(A492,'company tracker'!$a:$s,MATCH("Jan 2025 Referring Domains",'company tracker'!$1:$1,0),FALSE()),"")</f>
        <v/>
      </c>
      <c r="H492" s="1" t="str">
        <f aca="false">IFERROR(VLOOKUP(A492,'company tracker'!$a:$s,MATCH("Jun 2026 Referring Domains",'company tracker'!$1:$1,0),FALSE()),"")</f>
        <v/>
      </c>
    </row>
    <row r="493" customFormat="false" ht="15" hidden="false" customHeight="true" outlineLevel="0" collapsed="false">
      <c r="B493" s="1" t="str">
        <f aca="false">IFERROR(VLOOKUP(A493,'company tracker'!$a:$s,MATCH("Category",'company tracker'!$1:$1,0),FALSE()),"")</f>
        <v/>
      </c>
      <c r="C493" s="1" t="str">
        <f aca="false">IFERROR(VLOOKUP(A493,'Pass 1 Archive'!$A:$AD,MATCH("LinkedIn Employee Count",'Pass 1 Archive'!$1:$1,0),FALSE()),"")</f>
        <v/>
      </c>
      <c r="D493" s="1" t="str">
        <f aca="false">IFERROR(VLOOKUP(A493,'company tracker'!$a:$s,MATCH("Jan 2025 Traffic",'company tracker'!$1:$1,0),FALSE()),"")</f>
        <v/>
      </c>
      <c r="E493" s="1" t="str">
        <f aca="false">IFERROR(VLOOKUP(A493,'company tracker'!$a:$s,MATCH("Jun 2026 Traffic",'company tracker'!$1:$1,0),FALSE()),"")</f>
        <v/>
      </c>
      <c r="F493" s="1" t="str">
        <f aca="false">IFERROR(VLOOKUP(A493,'company tracker'!$a:$s,MATCH("Traffic % Change",'company tracker'!$1:$1,0),FALSE()),"")</f>
        <v/>
      </c>
      <c r="G493" s="1" t="str">
        <f aca="false">IFERROR(VLOOKUP(A493,'company tracker'!$a:$s,MATCH("Jan 2025 Referring Domains",'company tracker'!$1:$1,0),FALSE()),"")</f>
        <v/>
      </c>
      <c r="H493" s="1" t="str">
        <f aca="false">IFERROR(VLOOKUP(A493,'company tracker'!$a:$s,MATCH("Jun 2026 Referring Domains",'company tracker'!$1:$1,0),FALSE()),"")</f>
        <v/>
      </c>
    </row>
    <row r="494" customFormat="false" ht="15" hidden="false" customHeight="true" outlineLevel="0" collapsed="false">
      <c r="B494" s="1" t="str">
        <f aca="false">IFERROR(VLOOKUP(A494,'company tracker'!$a:$s,MATCH("Category",'company tracker'!$1:$1,0),FALSE()),"")</f>
        <v/>
      </c>
      <c r="C494" s="1" t="str">
        <f aca="false">IFERROR(VLOOKUP(A494,'Pass 1 Archive'!$A:$AD,MATCH("LinkedIn Employee Count",'Pass 1 Archive'!$1:$1,0),FALSE()),"")</f>
        <v/>
      </c>
      <c r="D494" s="1" t="str">
        <f aca="false">IFERROR(VLOOKUP(A494,'company tracker'!$a:$s,MATCH("Jan 2025 Traffic",'company tracker'!$1:$1,0),FALSE()),"")</f>
        <v/>
      </c>
      <c r="E494" s="1" t="str">
        <f aca="false">IFERROR(VLOOKUP(A494,'company tracker'!$a:$s,MATCH("Jun 2026 Traffic",'company tracker'!$1:$1,0),FALSE()),"")</f>
        <v/>
      </c>
      <c r="F494" s="1" t="str">
        <f aca="false">IFERROR(VLOOKUP(A494,'company tracker'!$a:$s,MATCH("Traffic % Change",'company tracker'!$1:$1,0),FALSE()),"")</f>
        <v/>
      </c>
      <c r="G494" s="1" t="str">
        <f aca="false">IFERROR(VLOOKUP(A494,'company tracker'!$a:$s,MATCH("Jan 2025 Referring Domains",'company tracker'!$1:$1,0),FALSE()),"")</f>
        <v/>
      </c>
      <c r="H494" s="1" t="str">
        <f aca="false">IFERROR(VLOOKUP(A494,'company tracker'!$a:$s,MATCH("Jun 2026 Referring Domains",'company tracker'!$1:$1,0),FALSE()),"")</f>
        <v/>
      </c>
    </row>
    <row r="495" customFormat="false" ht="15" hidden="false" customHeight="true" outlineLevel="0" collapsed="false">
      <c r="B495" s="1" t="str">
        <f aca="false">IFERROR(VLOOKUP(A495,'company tracker'!$a:$s,MATCH("Category",'company tracker'!$1:$1,0),FALSE()),"")</f>
        <v/>
      </c>
      <c r="C495" s="1" t="str">
        <f aca="false">IFERROR(VLOOKUP(A495,'Pass 1 Archive'!$A:$AD,MATCH("LinkedIn Employee Count",'Pass 1 Archive'!$1:$1,0),FALSE()),"")</f>
        <v/>
      </c>
      <c r="D495" s="1" t="str">
        <f aca="false">IFERROR(VLOOKUP(A495,'company tracker'!$a:$s,MATCH("Jan 2025 Traffic",'company tracker'!$1:$1,0),FALSE()),"")</f>
        <v/>
      </c>
      <c r="E495" s="1" t="str">
        <f aca="false">IFERROR(VLOOKUP(A495,'company tracker'!$a:$s,MATCH("Jun 2026 Traffic",'company tracker'!$1:$1,0),FALSE()),"")</f>
        <v/>
      </c>
      <c r="F495" s="1" t="str">
        <f aca="false">IFERROR(VLOOKUP(A495,'company tracker'!$a:$s,MATCH("Traffic % Change",'company tracker'!$1:$1,0),FALSE()),"")</f>
        <v/>
      </c>
      <c r="G495" s="1" t="str">
        <f aca="false">IFERROR(VLOOKUP(A495,'company tracker'!$a:$s,MATCH("Jan 2025 Referring Domains",'company tracker'!$1:$1,0),FALSE()),"")</f>
        <v/>
      </c>
      <c r="H495" s="1" t="str">
        <f aca="false">IFERROR(VLOOKUP(A495,'company tracker'!$a:$s,MATCH("Jun 2026 Referring Domains",'company tracker'!$1:$1,0),FALSE()),"")</f>
        <v/>
      </c>
    </row>
    <row r="496" customFormat="false" ht="15" hidden="false" customHeight="true" outlineLevel="0" collapsed="false">
      <c r="B496" s="1" t="str">
        <f aca="false">IFERROR(VLOOKUP(A496,'company tracker'!$a:$s,MATCH("Category",'company tracker'!$1:$1,0),FALSE()),"")</f>
        <v/>
      </c>
      <c r="C496" s="1" t="str">
        <f aca="false">IFERROR(VLOOKUP(A496,'Pass 1 Archive'!$A:$AD,MATCH("LinkedIn Employee Count",'Pass 1 Archive'!$1:$1,0),FALSE()),"")</f>
        <v/>
      </c>
      <c r="D496" s="1" t="str">
        <f aca="false">IFERROR(VLOOKUP(A496,'company tracker'!$a:$s,MATCH("Jan 2025 Traffic",'company tracker'!$1:$1,0),FALSE()),"")</f>
        <v/>
      </c>
      <c r="E496" s="1" t="str">
        <f aca="false">IFERROR(VLOOKUP(A496,'company tracker'!$a:$s,MATCH("Jun 2026 Traffic",'company tracker'!$1:$1,0),FALSE()),"")</f>
        <v/>
      </c>
      <c r="F496" s="1" t="str">
        <f aca="false">IFERROR(VLOOKUP(A496,'company tracker'!$a:$s,MATCH("Traffic % Change",'company tracker'!$1:$1,0),FALSE()),"")</f>
        <v/>
      </c>
      <c r="G496" s="1" t="str">
        <f aca="false">IFERROR(VLOOKUP(A496,'company tracker'!$a:$s,MATCH("Jan 2025 Referring Domains",'company tracker'!$1:$1,0),FALSE()),"")</f>
        <v/>
      </c>
      <c r="H496" s="1" t="str">
        <f aca="false">IFERROR(VLOOKUP(A496,'company tracker'!$a:$s,MATCH("Jun 2026 Referring Domains",'company tracker'!$1:$1,0),FALSE()),"")</f>
        <v/>
      </c>
    </row>
    <row r="497" customFormat="false" ht="15" hidden="false" customHeight="true" outlineLevel="0" collapsed="false">
      <c r="B497" s="1" t="str">
        <f aca="false">IFERROR(VLOOKUP(A497,'company tracker'!$a:$s,MATCH("Category",'company tracker'!$1:$1,0),FALSE()),"")</f>
        <v/>
      </c>
      <c r="C497" s="1" t="str">
        <f aca="false">IFERROR(VLOOKUP(A497,'Pass 1 Archive'!$A:$AD,MATCH("LinkedIn Employee Count",'Pass 1 Archive'!$1:$1,0),FALSE()),"")</f>
        <v/>
      </c>
      <c r="D497" s="1" t="str">
        <f aca="false">IFERROR(VLOOKUP(A497,'company tracker'!$a:$s,MATCH("Jan 2025 Traffic",'company tracker'!$1:$1,0),FALSE()),"")</f>
        <v/>
      </c>
      <c r="E497" s="1" t="str">
        <f aca="false">IFERROR(VLOOKUP(A497,'company tracker'!$a:$s,MATCH("Jun 2026 Traffic",'company tracker'!$1:$1,0),FALSE()),"")</f>
        <v/>
      </c>
      <c r="F497" s="1" t="str">
        <f aca="false">IFERROR(VLOOKUP(A497,'company tracker'!$a:$s,MATCH("Traffic % Change",'company tracker'!$1:$1,0),FALSE()),"")</f>
        <v/>
      </c>
      <c r="G497" s="1" t="str">
        <f aca="false">IFERROR(VLOOKUP(A497,'company tracker'!$a:$s,MATCH("Jan 2025 Referring Domains",'company tracker'!$1:$1,0),FALSE()),"")</f>
        <v/>
      </c>
      <c r="H497" s="1" t="str">
        <f aca="false">IFERROR(VLOOKUP(A497,'company tracker'!$a:$s,MATCH("Jun 2026 Referring Domains",'company tracker'!$1:$1,0),FALSE()),"")</f>
        <v/>
      </c>
    </row>
    <row r="498" customFormat="false" ht="15" hidden="false" customHeight="true" outlineLevel="0" collapsed="false">
      <c r="B498" s="1" t="str">
        <f aca="false">IFERROR(VLOOKUP(A498,'company tracker'!$a:$s,MATCH("Category",'company tracker'!$1:$1,0),FALSE()),"")</f>
        <v/>
      </c>
      <c r="C498" s="1" t="str">
        <f aca="false">IFERROR(VLOOKUP(A498,'Pass 1 Archive'!$A:$AD,MATCH("LinkedIn Employee Count",'Pass 1 Archive'!$1:$1,0),FALSE()),"")</f>
        <v/>
      </c>
      <c r="D498" s="1" t="str">
        <f aca="false">IFERROR(VLOOKUP(A498,'company tracker'!$a:$s,MATCH("Jan 2025 Traffic",'company tracker'!$1:$1,0),FALSE()),"")</f>
        <v/>
      </c>
      <c r="E498" s="1" t="str">
        <f aca="false">IFERROR(VLOOKUP(A498,'company tracker'!$a:$s,MATCH("Jun 2026 Traffic",'company tracker'!$1:$1,0),FALSE()),"")</f>
        <v/>
      </c>
      <c r="F498" s="1" t="str">
        <f aca="false">IFERROR(VLOOKUP(A498,'company tracker'!$a:$s,MATCH("Traffic % Change",'company tracker'!$1:$1,0),FALSE()),"")</f>
        <v/>
      </c>
      <c r="G498" s="1" t="str">
        <f aca="false">IFERROR(VLOOKUP(A498,'company tracker'!$a:$s,MATCH("Jan 2025 Referring Domains",'company tracker'!$1:$1,0),FALSE()),"")</f>
        <v/>
      </c>
      <c r="H498" s="1" t="str">
        <f aca="false">IFERROR(VLOOKUP(A498,'company tracker'!$a:$s,MATCH("Jun 2026 Referring Domains",'company tracker'!$1:$1,0),FALSE()),"")</f>
        <v/>
      </c>
    </row>
    <row r="499" customFormat="false" ht="15" hidden="false" customHeight="true" outlineLevel="0" collapsed="false">
      <c r="B499" s="1" t="str">
        <f aca="false">IFERROR(VLOOKUP(A499,'company tracker'!$a:$s,MATCH("Category",'company tracker'!$1:$1,0),FALSE()),"")</f>
        <v/>
      </c>
      <c r="C499" s="1" t="str">
        <f aca="false">IFERROR(VLOOKUP(A499,'Pass 1 Archive'!$A:$AD,MATCH("LinkedIn Employee Count",'Pass 1 Archive'!$1:$1,0),FALSE()),"")</f>
        <v/>
      </c>
      <c r="D499" s="1" t="str">
        <f aca="false">IFERROR(VLOOKUP(A499,'company tracker'!$a:$s,MATCH("Jan 2025 Traffic",'company tracker'!$1:$1,0),FALSE()),"")</f>
        <v/>
      </c>
      <c r="E499" s="1" t="str">
        <f aca="false">IFERROR(VLOOKUP(A499,'company tracker'!$a:$s,MATCH("Jun 2026 Traffic",'company tracker'!$1:$1,0),FALSE()),"")</f>
        <v/>
      </c>
      <c r="F499" s="1" t="str">
        <f aca="false">IFERROR(VLOOKUP(A499,'company tracker'!$a:$s,MATCH("Traffic % Change",'company tracker'!$1:$1,0),FALSE()),"")</f>
        <v/>
      </c>
      <c r="G499" s="1" t="str">
        <f aca="false">IFERROR(VLOOKUP(A499,'company tracker'!$a:$s,MATCH("Jan 2025 Referring Domains",'company tracker'!$1:$1,0),FALSE()),"")</f>
        <v/>
      </c>
      <c r="H499" s="1" t="str">
        <f aca="false">IFERROR(VLOOKUP(A499,'company tracker'!$a:$s,MATCH("Jun 2026 Referring Domains",'company tracker'!$1:$1,0),FALSE()),"")</f>
        <v/>
      </c>
    </row>
    <row r="500" customFormat="false" ht="15" hidden="false" customHeight="true" outlineLevel="0" collapsed="false">
      <c r="B500" s="1" t="str">
        <f aca="false">IFERROR(VLOOKUP(A500,'company tracker'!$a:$s,MATCH("Category",'company tracker'!$1:$1,0),FALSE()),"")</f>
        <v/>
      </c>
      <c r="C500" s="1" t="str">
        <f aca="false">IFERROR(VLOOKUP(A500,'Pass 1 Archive'!$A:$AD,MATCH("LinkedIn Employee Count",'Pass 1 Archive'!$1:$1,0),FALSE()),"")</f>
        <v/>
      </c>
      <c r="D500" s="1" t="str">
        <f aca="false">IFERROR(VLOOKUP(A500,'company tracker'!$a:$s,MATCH("Jan 2025 Traffic",'company tracker'!$1:$1,0),FALSE()),"")</f>
        <v/>
      </c>
      <c r="E500" s="1" t="str">
        <f aca="false">IFERROR(VLOOKUP(A500,'company tracker'!$a:$s,MATCH("Jun 2026 Traffic",'company tracker'!$1:$1,0),FALSE()),"")</f>
        <v/>
      </c>
      <c r="F500" s="1" t="str">
        <f aca="false">IFERROR(VLOOKUP(A500,'company tracker'!$a:$s,MATCH("Traffic % Change",'company tracker'!$1:$1,0),FALSE()),"")</f>
        <v/>
      </c>
      <c r="G500" s="1" t="str">
        <f aca="false">IFERROR(VLOOKUP(A500,'company tracker'!$a:$s,MATCH("Jan 2025 Referring Domains",'company tracker'!$1:$1,0),FALSE()),"")</f>
        <v/>
      </c>
      <c r="H500" s="1" t="str">
        <f aca="false">IFERROR(VLOOKUP(A500,'company tracker'!$a:$s,MATCH("Jun 2026 Referring Domains",'company tracker'!$1:$1,0),FALSE()),"")</f>
        <v/>
      </c>
    </row>
  </sheetData>
  <dataValidations count="11">
    <dataValidation allowBlank="true" errorStyle="stop" operator="between" showDropDown="false" showErrorMessage="false" showInputMessage="false" sqref="N2:N501" type="list">
      <formula1>Lists!$C$2:$C$11</formula1>
      <formula2>0</formula2>
    </dataValidation>
    <dataValidation allowBlank="true" errorStyle="stop" operator="between" showDropDown="false" showErrorMessage="false" showInputMessage="false" sqref="Q2:Q501" type="list">
      <formula1>Lists!$C$2:$C$11</formula1>
      <formula2>0</formula2>
    </dataValidation>
    <dataValidation allowBlank="true" errorStyle="stop" operator="between" showDropDown="false" showErrorMessage="false" showInputMessage="false" sqref="T2:T501" type="list">
      <formula1>Lists!$C$2:$C$11</formula1>
      <formula2>0</formula2>
    </dataValidation>
    <dataValidation allowBlank="true" errorStyle="stop" operator="between" showDropDown="false" showErrorMessage="false" showInputMessage="false" sqref="W2:W501" type="list">
      <formula1>Lists!$C$2:$C$11</formula1>
      <formula2>0</formula2>
    </dataValidation>
    <dataValidation allowBlank="true" errorStyle="stop" operator="between" showDropDown="false" showErrorMessage="false" showInputMessage="false" sqref="Z2:Z501" type="list">
      <formula1>Lists!$C$2:$C$11</formula1>
      <formula2>0</formula2>
    </dataValidation>
    <dataValidation allowBlank="true" errorStyle="stop" operator="between" showDropDown="false" showErrorMessage="false" showInputMessage="false" sqref="AA2:AA501" type="list">
      <formula1>"Concentrated,Distributed"</formula1>
      <formula2>0</formula2>
    </dataValidation>
    <dataValidation allowBlank="true" errorStyle="stop" operator="between" showDropDown="false" showErrorMessage="false" showInputMessage="false" sqref="AB2:AB501" type="list">
      <formula1>"Net-new,Refreshed,Both"</formula1>
      <formula2>0</formula2>
    </dataValidation>
    <dataValidation allowBlank="true" errorStyle="stop" operator="between" showDropDown="false" showErrorMessage="false" showInputMessage="false" sqref="AC2:AC501" type="list">
      <formula1>"Gradual,Step-change"</formula1>
      <formula2>0</formula2>
    </dataValidation>
    <dataValidation allowBlank="true" errorStyle="stop" operator="between" showDropDown="false" showErrorMessage="false" showInputMessage="false" sqref="AJ2:AJ501" type="list">
      <formula1>Lists!$B$2:$B$10</formula1>
      <formula2>0</formula2>
    </dataValidation>
    <dataValidation allowBlank="true" errorStyle="stop" operator="between" showDropDown="false" showErrorMessage="false" showInputMessage="false" sqref="AK2:AK501" type="list">
      <formula1>"Not Started,In Progress,Complete"</formula1>
      <formula2>0</formula2>
    </dataValidation>
    <dataValidation allowBlank="true" errorStyle="stop" operator="between" showDropDown="false" showErrorMessage="false" showInputMessage="false" sqref="AM2:AM50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3" min="2" style="1" width="22"/>
    <col collapsed="false" customWidth="true" hidden="false" outlineLevel="0" max="6" min="4" style="1" width="14"/>
    <col collapsed="false" customWidth="true" hidden="false" outlineLevel="0" max="9" min="7" style="1" width="16"/>
    <col collapsed="false" customWidth="true" hidden="false" outlineLevel="0" max="11" min="10" style="1" width="14"/>
    <col collapsed="false" customWidth="true" hidden="false" outlineLevel="0" max="13" min="12" style="1" width="26"/>
    <col collapsed="false" customWidth="true" hidden="false" outlineLevel="0" max="14" min="14" style="1" width="22"/>
    <col collapsed="false" customWidth="true" hidden="false" outlineLevel="0" max="15" min="15" style="1" width="30"/>
    <col collapsed="false" customWidth="true" hidden="false" outlineLevel="0" max="18" min="16" style="1" width="14"/>
    <col collapsed="false" customWidth="true" hidden="false" outlineLevel="0" max="19" min="19" style="1" width="16"/>
  </cols>
  <sheetData>
    <row r="1" customFormat="false" ht="33.75" hidden="false" customHeight="true" outlineLevel="0" collapsed="false">
      <c r="A1" s="11" t="s">
        <v>41</v>
      </c>
      <c r="B1" s="11" t="s">
        <v>19</v>
      </c>
      <c r="C1" s="11" t="s">
        <v>155</v>
      </c>
      <c r="D1" s="11" t="s">
        <v>1416</v>
      </c>
      <c r="E1" s="11" t="s">
        <v>1417</v>
      </c>
      <c r="F1" s="11" t="s">
        <v>1418</v>
      </c>
      <c r="G1" s="11" t="s">
        <v>1419</v>
      </c>
      <c r="H1" s="11" t="s">
        <v>1420</v>
      </c>
      <c r="I1" s="11" t="s">
        <v>157</v>
      </c>
      <c r="J1" s="11" t="s">
        <v>159</v>
      </c>
      <c r="K1" s="11" t="s">
        <v>211</v>
      </c>
      <c r="L1" s="11" t="s">
        <v>214</v>
      </c>
      <c r="M1" s="11" t="s">
        <v>217</v>
      </c>
      <c r="N1" s="11" t="s">
        <v>218</v>
      </c>
      <c r="O1" s="11" t="s">
        <v>221</v>
      </c>
      <c r="P1" s="11" t="s">
        <v>222</v>
      </c>
      <c r="Q1" s="11" t="s">
        <v>191</v>
      </c>
      <c r="R1" s="11" t="s">
        <v>193</v>
      </c>
    </row>
    <row r="2" customFormat="false" ht="15" hidden="false" customHeight="true" outlineLevel="0" collapsed="false">
      <c r="B2" s="1" t="str">
        <f aca="false">IFERROR(VLOOKUP(A2,'company tracker'!$a:$s,MATCH("Category",'company tracker'!$1:$1,0),FALSE()),"")</f>
        <v/>
      </c>
      <c r="C2" s="1" t="str">
        <f aca="false">IFERROR(VLOOKUP(A2,'Pass 1 Archive'!$A:$AD,MATCH("LinkedIn Employee Count",'Pass 1 Archive'!$1:$1,0),FALSE()),"")</f>
        <v/>
      </c>
      <c r="D2" s="1" t="str">
        <f aca="false">IFERROR(VLOOKUP(A2,'company tracker'!$a:$s,MATCH("Jan 2025 Traffic",'company tracker'!$1:$1,0),FALSE()),"")</f>
        <v/>
      </c>
      <c r="E2" s="1" t="str">
        <f aca="false">IFERROR(VLOOKUP(A2,'company tracker'!$a:$s,MATCH("Jun 2026 Traffic",'company tracker'!$1:$1,0),FALSE()),"")</f>
        <v/>
      </c>
      <c r="F2" s="1" t="str">
        <f aca="false">IFERROR(VLOOKUP(A2,'company tracker'!$a:$s,MATCH("Traffic % Change",'company tracker'!$1:$1,0),FALSE()),"")</f>
        <v/>
      </c>
      <c r="G2" s="1" t="str">
        <f aca="false">IFERROR(VLOOKUP(A2,'company tracker'!$a:$s,MATCH("Jan 2025 Referring Domains",'company tracker'!$1:$1,0),FALSE()),"")</f>
        <v/>
      </c>
      <c r="H2" s="1" t="str">
        <f aca="false">IFERROR(VLOOKUP(A2,'company tracker'!$a:$s,MATCH("Jun 2026 Referring Domains",'company tracker'!$1:$1,0),FALSE()),"")</f>
        <v/>
      </c>
    </row>
    <row r="3" customFormat="false" ht="15" hidden="false" customHeight="true" outlineLevel="0" collapsed="false">
      <c r="B3" s="1" t="str">
        <f aca="false">IFERROR(VLOOKUP(A3,'company tracker'!$a:$s,MATCH("Category",'company tracker'!$1:$1,0),FALSE()),"")</f>
        <v/>
      </c>
      <c r="C3" s="1" t="str">
        <f aca="false">IFERROR(VLOOKUP(A3,'Pass 1 Archive'!$A:$AD,MATCH("LinkedIn Employee Count",'Pass 1 Archive'!$1:$1,0),FALSE()),"")</f>
        <v/>
      </c>
      <c r="D3" s="1" t="str">
        <f aca="false">IFERROR(VLOOKUP(A3,'company tracker'!$a:$s,MATCH("Jan 2025 Traffic",'company tracker'!$1:$1,0),FALSE()),"")</f>
        <v/>
      </c>
      <c r="E3" s="1" t="str">
        <f aca="false">IFERROR(VLOOKUP(A3,'company tracker'!$a:$s,MATCH("Jun 2026 Traffic",'company tracker'!$1:$1,0),FALSE()),"")</f>
        <v/>
      </c>
      <c r="F3" s="1" t="str">
        <f aca="false">IFERROR(VLOOKUP(A3,'company tracker'!$a:$s,MATCH("Traffic % Change",'company tracker'!$1:$1,0),FALSE()),"")</f>
        <v/>
      </c>
      <c r="G3" s="1" t="str">
        <f aca="false">IFERROR(VLOOKUP(A3,'company tracker'!$a:$s,MATCH("Jan 2025 Referring Domains",'company tracker'!$1:$1,0),FALSE()),"")</f>
        <v/>
      </c>
      <c r="H3" s="1" t="str">
        <f aca="false">IFERROR(VLOOKUP(A3,'company tracker'!$a:$s,MATCH("Jun 2026 Referring Domains",'company tracker'!$1:$1,0),FALSE()),"")</f>
        <v/>
      </c>
    </row>
    <row r="4" customFormat="false" ht="15" hidden="false" customHeight="true" outlineLevel="0" collapsed="false">
      <c r="B4" s="1" t="str">
        <f aca="false">IFERROR(VLOOKUP(A4,'company tracker'!$a:$s,MATCH("Category",'company tracker'!$1:$1,0),FALSE()),"")</f>
        <v/>
      </c>
      <c r="C4" s="1" t="str">
        <f aca="false">IFERROR(VLOOKUP(A4,'Pass 1 Archive'!$A:$AD,MATCH("LinkedIn Employee Count",'Pass 1 Archive'!$1:$1,0),FALSE()),"")</f>
        <v/>
      </c>
      <c r="D4" s="1" t="str">
        <f aca="false">IFERROR(VLOOKUP(A4,'company tracker'!$a:$s,MATCH("Jan 2025 Traffic",'company tracker'!$1:$1,0),FALSE()),"")</f>
        <v/>
      </c>
      <c r="E4" s="1" t="str">
        <f aca="false">IFERROR(VLOOKUP(A4,'company tracker'!$a:$s,MATCH("Jun 2026 Traffic",'company tracker'!$1:$1,0),FALSE()),"")</f>
        <v/>
      </c>
      <c r="F4" s="1" t="str">
        <f aca="false">IFERROR(VLOOKUP(A4,'company tracker'!$a:$s,MATCH("Traffic % Change",'company tracker'!$1:$1,0),FALSE()),"")</f>
        <v/>
      </c>
      <c r="G4" s="1" t="str">
        <f aca="false">IFERROR(VLOOKUP(A4,'company tracker'!$a:$s,MATCH("Jan 2025 Referring Domains",'company tracker'!$1:$1,0),FALSE()),"")</f>
        <v/>
      </c>
      <c r="H4" s="1" t="str">
        <f aca="false">IFERROR(VLOOKUP(A4,'company tracker'!$a:$s,MATCH("Jun 2026 Referring Domains",'company tracker'!$1:$1,0),FALSE()),"")</f>
        <v/>
      </c>
    </row>
    <row r="5" customFormat="false" ht="15" hidden="false" customHeight="true" outlineLevel="0" collapsed="false">
      <c r="B5" s="1" t="str">
        <f aca="false">IFERROR(VLOOKUP(A5,'company tracker'!$a:$s,MATCH("Category",'company tracker'!$1:$1,0),FALSE()),"")</f>
        <v/>
      </c>
      <c r="C5" s="1" t="str">
        <f aca="false">IFERROR(VLOOKUP(A5,'Pass 1 Archive'!$A:$AD,MATCH("LinkedIn Employee Count",'Pass 1 Archive'!$1:$1,0),FALSE()),"")</f>
        <v/>
      </c>
      <c r="D5" s="1" t="str">
        <f aca="false">IFERROR(VLOOKUP(A5,'company tracker'!$a:$s,MATCH("Jan 2025 Traffic",'company tracker'!$1:$1,0),FALSE()),"")</f>
        <v/>
      </c>
      <c r="E5" s="1" t="str">
        <f aca="false">IFERROR(VLOOKUP(A5,'company tracker'!$a:$s,MATCH("Jun 2026 Traffic",'company tracker'!$1:$1,0),FALSE()),"")</f>
        <v/>
      </c>
      <c r="F5" s="1" t="str">
        <f aca="false">IFERROR(VLOOKUP(A5,'company tracker'!$a:$s,MATCH("Traffic % Change",'company tracker'!$1:$1,0),FALSE()),"")</f>
        <v/>
      </c>
      <c r="G5" s="1" t="str">
        <f aca="false">IFERROR(VLOOKUP(A5,'company tracker'!$a:$s,MATCH("Jan 2025 Referring Domains",'company tracker'!$1:$1,0),FALSE()),"")</f>
        <v/>
      </c>
      <c r="H5" s="1" t="str">
        <f aca="false">IFERROR(VLOOKUP(A5,'company tracker'!$a:$s,MATCH("Jun 2026 Referring Domains",'company tracker'!$1:$1,0),FALSE()),"")</f>
        <v/>
      </c>
    </row>
    <row r="6" customFormat="false" ht="15" hidden="false" customHeight="true" outlineLevel="0" collapsed="false">
      <c r="B6" s="1" t="str">
        <f aca="false">IFERROR(VLOOKUP(A6,'company tracker'!$a:$s,MATCH("Category",'company tracker'!$1:$1,0),FALSE()),"")</f>
        <v/>
      </c>
      <c r="C6" s="1" t="str">
        <f aca="false">IFERROR(VLOOKUP(A6,'Pass 1 Archive'!$A:$AD,MATCH("LinkedIn Employee Count",'Pass 1 Archive'!$1:$1,0),FALSE()),"")</f>
        <v/>
      </c>
      <c r="D6" s="1" t="str">
        <f aca="false">IFERROR(VLOOKUP(A6,'company tracker'!$a:$s,MATCH("Jan 2025 Traffic",'company tracker'!$1:$1,0),FALSE()),"")</f>
        <v/>
      </c>
      <c r="E6" s="1" t="str">
        <f aca="false">IFERROR(VLOOKUP(A6,'company tracker'!$a:$s,MATCH("Jun 2026 Traffic",'company tracker'!$1:$1,0),FALSE()),"")</f>
        <v/>
      </c>
      <c r="F6" s="1" t="str">
        <f aca="false">IFERROR(VLOOKUP(A6,'company tracker'!$a:$s,MATCH("Traffic % Change",'company tracker'!$1:$1,0),FALSE()),"")</f>
        <v/>
      </c>
      <c r="G6" s="1" t="str">
        <f aca="false">IFERROR(VLOOKUP(A6,'company tracker'!$a:$s,MATCH("Jan 2025 Referring Domains",'company tracker'!$1:$1,0),FALSE()),"")</f>
        <v/>
      </c>
      <c r="H6" s="1" t="str">
        <f aca="false">IFERROR(VLOOKUP(A6,'company tracker'!$a:$s,MATCH("Jun 2026 Referring Domains",'company tracker'!$1:$1,0),FALSE()),"")</f>
        <v/>
      </c>
    </row>
    <row r="7" customFormat="false" ht="15" hidden="false" customHeight="true" outlineLevel="0" collapsed="false">
      <c r="B7" s="1" t="str">
        <f aca="false">IFERROR(VLOOKUP(A7,'company tracker'!$a:$s,MATCH("Category",'company tracker'!$1:$1,0),FALSE()),"")</f>
        <v/>
      </c>
      <c r="C7" s="1" t="str">
        <f aca="false">IFERROR(VLOOKUP(A7,'Pass 1 Archive'!$A:$AD,MATCH("LinkedIn Employee Count",'Pass 1 Archive'!$1:$1,0),FALSE()),"")</f>
        <v/>
      </c>
      <c r="D7" s="1" t="str">
        <f aca="false">IFERROR(VLOOKUP(A7,'company tracker'!$a:$s,MATCH("Jan 2025 Traffic",'company tracker'!$1:$1,0),FALSE()),"")</f>
        <v/>
      </c>
      <c r="E7" s="1" t="str">
        <f aca="false">IFERROR(VLOOKUP(A7,'company tracker'!$a:$s,MATCH("Jun 2026 Traffic",'company tracker'!$1:$1,0),FALSE()),"")</f>
        <v/>
      </c>
      <c r="F7" s="1" t="str">
        <f aca="false">IFERROR(VLOOKUP(A7,'company tracker'!$a:$s,MATCH("Traffic % Change",'company tracker'!$1:$1,0),FALSE()),"")</f>
        <v/>
      </c>
      <c r="G7" s="1" t="str">
        <f aca="false">IFERROR(VLOOKUP(A7,'company tracker'!$a:$s,MATCH("Jan 2025 Referring Domains",'company tracker'!$1:$1,0),FALSE()),"")</f>
        <v/>
      </c>
      <c r="H7" s="1" t="str">
        <f aca="false">IFERROR(VLOOKUP(A7,'company tracker'!$a:$s,MATCH("Jun 2026 Referring Domains",'company tracker'!$1:$1,0),FALSE()),"")</f>
        <v/>
      </c>
    </row>
    <row r="8" customFormat="false" ht="15" hidden="false" customHeight="true" outlineLevel="0" collapsed="false">
      <c r="B8" s="1" t="str">
        <f aca="false">IFERROR(VLOOKUP(A8,'company tracker'!$a:$s,MATCH("Category",'company tracker'!$1:$1,0),FALSE()),"")</f>
        <v/>
      </c>
      <c r="C8" s="1" t="str">
        <f aca="false">IFERROR(VLOOKUP(A8,'Pass 1 Archive'!$A:$AD,MATCH("LinkedIn Employee Count",'Pass 1 Archive'!$1:$1,0),FALSE()),"")</f>
        <v/>
      </c>
      <c r="D8" s="1" t="str">
        <f aca="false">IFERROR(VLOOKUP(A8,'company tracker'!$a:$s,MATCH("Jan 2025 Traffic",'company tracker'!$1:$1,0),FALSE()),"")</f>
        <v/>
      </c>
      <c r="E8" s="1" t="str">
        <f aca="false">IFERROR(VLOOKUP(A8,'company tracker'!$a:$s,MATCH("Jun 2026 Traffic",'company tracker'!$1:$1,0),FALSE()),"")</f>
        <v/>
      </c>
      <c r="F8" s="1" t="str">
        <f aca="false">IFERROR(VLOOKUP(A8,'company tracker'!$a:$s,MATCH("Traffic % Change",'company tracker'!$1:$1,0),FALSE()),"")</f>
        <v/>
      </c>
      <c r="G8" s="1" t="str">
        <f aca="false">IFERROR(VLOOKUP(A8,'company tracker'!$a:$s,MATCH("Jan 2025 Referring Domains",'company tracker'!$1:$1,0),FALSE()),"")</f>
        <v/>
      </c>
      <c r="H8" s="1" t="str">
        <f aca="false">IFERROR(VLOOKUP(A8,'company tracker'!$a:$s,MATCH("Jun 2026 Referring Domains",'company tracker'!$1:$1,0),FALSE()),"")</f>
        <v/>
      </c>
    </row>
    <row r="9" customFormat="false" ht="15" hidden="false" customHeight="true" outlineLevel="0" collapsed="false">
      <c r="B9" s="1" t="str">
        <f aca="false">IFERROR(VLOOKUP(A9,'company tracker'!$a:$s,MATCH("Category",'company tracker'!$1:$1,0),FALSE()),"")</f>
        <v/>
      </c>
      <c r="C9" s="1" t="str">
        <f aca="false">IFERROR(VLOOKUP(A9,'Pass 1 Archive'!$A:$AD,MATCH("LinkedIn Employee Count",'Pass 1 Archive'!$1:$1,0),FALSE()),"")</f>
        <v/>
      </c>
      <c r="D9" s="1" t="str">
        <f aca="false">IFERROR(VLOOKUP(A9,'company tracker'!$a:$s,MATCH("Jan 2025 Traffic",'company tracker'!$1:$1,0),FALSE()),"")</f>
        <v/>
      </c>
      <c r="E9" s="1" t="str">
        <f aca="false">IFERROR(VLOOKUP(A9,'company tracker'!$a:$s,MATCH("Jun 2026 Traffic",'company tracker'!$1:$1,0),FALSE()),"")</f>
        <v/>
      </c>
      <c r="F9" s="1" t="str">
        <f aca="false">IFERROR(VLOOKUP(A9,'company tracker'!$a:$s,MATCH("Traffic % Change",'company tracker'!$1:$1,0),FALSE()),"")</f>
        <v/>
      </c>
      <c r="G9" s="1" t="str">
        <f aca="false">IFERROR(VLOOKUP(A9,'company tracker'!$a:$s,MATCH("Jan 2025 Referring Domains",'company tracker'!$1:$1,0),FALSE()),"")</f>
        <v/>
      </c>
      <c r="H9" s="1" t="str">
        <f aca="false">IFERROR(VLOOKUP(A9,'company tracker'!$a:$s,MATCH("Jun 2026 Referring Domains",'company tracker'!$1:$1,0),FALSE()),"")</f>
        <v/>
      </c>
    </row>
    <row r="10" customFormat="false" ht="15" hidden="false" customHeight="true" outlineLevel="0" collapsed="false">
      <c r="B10" s="1" t="str">
        <f aca="false">IFERROR(VLOOKUP(A10,'company tracker'!$a:$s,MATCH("Category",'company tracker'!$1:$1,0),FALSE()),"")</f>
        <v/>
      </c>
      <c r="C10" s="1" t="str">
        <f aca="false">IFERROR(VLOOKUP(A10,'Pass 1 Archive'!$A:$AD,MATCH("LinkedIn Employee Count",'Pass 1 Archive'!$1:$1,0),FALSE()),"")</f>
        <v/>
      </c>
      <c r="D10" s="1" t="str">
        <f aca="false">IFERROR(VLOOKUP(A10,'company tracker'!$a:$s,MATCH("Jan 2025 Traffic",'company tracker'!$1:$1,0),FALSE()),"")</f>
        <v/>
      </c>
      <c r="E10" s="1" t="str">
        <f aca="false">IFERROR(VLOOKUP(A10,'company tracker'!$a:$s,MATCH("Jun 2026 Traffic",'company tracker'!$1:$1,0),FALSE()),"")</f>
        <v/>
      </c>
      <c r="F10" s="1" t="str">
        <f aca="false">IFERROR(VLOOKUP(A10,'company tracker'!$a:$s,MATCH("Traffic % Change",'company tracker'!$1:$1,0),FALSE()),"")</f>
        <v/>
      </c>
      <c r="G10" s="1" t="str">
        <f aca="false">IFERROR(VLOOKUP(A10,'company tracker'!$a:$s,MATCH("Jan 2025 Referring Domains",'company tracker'!$1:$1,0),FALSE()),"")</f>
        <v/>
      </c>
      <c r="H10" s="1" t="str">
        <f aca="false">IFERROR(VLOOKUP(A10,'company tracker'!$a:$s,MATCH("Jun 2026 Referring Domains",'company tracker'!$1:$1,0),FALSE()),"")</f>
        <v/>
      </c>
    </row>
    <row r="11" customFormat="false" ht="15" hidden="false" customHeight="true" outlineLevel="0" collapsed="false">
      <c r="B11" s="1" t="str">
        <f aca="false">IFERROR(VLOOKUP(A11,'company tracker'!$a:$s,MATCH("Category",'company tracker'!$1:$1,0),FALSE()),"")</f>
        <v/>
      </c>
      <c r="C11" s="1" t="str">
        <f aca="false">IFERROR(VLOOKUP(A11,'Pass 1 Archive'!$A:$AD,MATCH("LinkedIn Employee Count",'Pass 1 Archive'!$1:$1,0),FALSE()),"")</f>
        <v/>
      </c>
      <c r="D11" s="1" t="str">
        <f aca="false">IFERROR(VLOOKUP(A11,'company tracker'!$a:$s,MATCH("Jan 2025 Traffic",'company tracker'!$1:$1,0),FALSE()),"")</f>
        <v/>
      </c>
      <c r="E11" s="1" t="str">
        <f aca="false">IFERROR(VLOOKUP(A11,'company tracker'!$a:$s,MATCH("Jun 2026 Traffic",'company tracker'!$1:$1,0),FALSE()),"")</f>
        <v/>
      </c>
      <c r="F11" s="1" t="str">
        <f aca="false">IFERROR(VLOOKUP(A11,'company tracker'!$a:$s,MATCH("Traffic % Change",'company tracker'!$1:$1,0),FALSE()),"")</f>
        <v/>
      </c>
      <c r="G11" s="1" t="str">
        <f aca="false">IFERROR(VLOOKUP(A11,'company tracker'!$a:$s,MATCH("Jan 2025 Referring Domains",'company tracker'!$1:$1,0),FALSE()),"")</f>
        <v/>
      </c>
      <c r="H11" s="1" t="str">
        <f aca="false">IFERROR(VLOOKUP(A11,'company tracker'!$a:$s,MATCH("Jun 2026 Referring Domains",'company tracker'!$1:$1,0),FALSE()),"")</f>
        <v/>
      </c>
    </row>
    <row r="12" customFormat="false" ht="15" hidden="false" customHeight="true" outlineLevel="0" collapsed="false">
      <c r="B12" s="1" t="str">
        <f aca="false">IFERROR(VLOOKUP(A12,'company tracker'!$a:$s,MATCH("Category",'company tracker'!$1:$1,0),FALSE()),"")</f>
        <v/>
      </c>
      <c r="C12" s="1" t="str">
        <f aca="false">IFERROR(VLOOKUP(A12,'Pass 1 Archive'!$A:$AD,MATCH("LinkedIn Employee Count",'Pass 1 Archive'!$1:$1,0),FALSE()),"")</f>
        <v/>
      </c>
      <c r="D12" s="1" t="str">
        <f aca="false">IFERROR(VLOOKUP(A12,'company tracker'!$a:$s,MATCH("Jan 2025 Traffic",'company tracker'!$1:$1,0),FALSE()),"")</f>
        <v/>
      </c>
      <c r="E12" s="1" t="str">
        <f aca="false">IFERROR(VLOOKUP(A12,'company tracker'!$a:$s,MATCH("Jun 2026 Traffic",'company tracker'!$1:$1,0),FALSE()),"")</f>
        <v/>
      </c>
      <c r="F12" s="1" t="str">
        <f aca="false">IFERROR(VLOOKUP(A12,'company tracker'!$a:$s,MATCH("Traffic % Change",'company tracker'!$1:$1,0),FALSE()),"")</f>
        <v/>
      </c>
      <c r="G12" s="1" t="str">
        <f aca="false">IFERROR(VLOOKUP(A12,'company tracker'!$a:$s,MATCH("Jan 2025 Referring Domains",'company tracker'!$1:$1,0),FALSE()),"")</f>
        <v/>
      </c>
      <c r="H12" s="1" t="str">
        <f aca="false">IFERROR(VLOOKUP(A12,'company tracker'!$a:$s,MATCH("Jun 2026 Referring Domains",'company tracker'!$1:$1,0),FALSE()),"")</f>
        <v/>
      </c>
    </row>
    <row r="13" customFormat="false" ht="15" hidden="false" customHeight="true" outlineLevel="0" collapsed="false">
      <c r="B13" s="1" t="str">
        <f aca="false">IFERROR(VLOOKUP(A13,'company tracker'!$a:$s,MATCH("Category",'company tracker'!$1:$1,0),FALSE()),"")</f>
        <v/>
      </c>
      <c r="C13" s="1" t="str">
        <f aca="false">IFERROR(VLOOKUP(A13,'Pass 1 Archive'!$A:$AD,MATCH("LinkedIn Employee Count",'Pass 1 Archive'!$1:$1,0),FALSE()),"")</f>
        <v/>
      </c>
      <c r="D13" s="1" t="str">
        <f aca="false">IFERROR(VLOOKUP(A13,'company tracker'!$a:$s,MATCH("Jan 2025 Traffic",'company tracker'!$1:$1,0),FALSE()),"")</f>
        <v/>
      </c>
      <c r="E13" s="1" t="str">
        <f aca="false">IFERROR(VLOOKUP(A13,'company tracker'!$a:$s,MATCH("Jun 2026 Traffic",'company tracker'!$1:$1,0),FALSE()),"")</f>
        <v/>
      </c>
      <c r="F13" s="1" t="str">
        <f aca="false">IFERROR(VLOOKUP(A13,'company tracker'!$a:$s,MATCH("Traffic % Change",'company tracker'!$1:$1,0),FALSE()),"")</f>
        <v/>
      </c>
      <c r="G13" s="1" t="str">
        <f aca="false">IFERROR(VLOOKUP(A13,'company tracker'!$a:$s,MATCH("Jan 2025 Referring Domains",'company tracker'!$1:$1,0),FALSE()),"")</f>
        <v/>
      </c>
      <c r="H13" s="1" t="str">
        <f aca="false">IFERROR(VLOOKUP(A13,'company tracker'!$a:$s,MATCH("Jun 2026 Referring Domains",'company tracker'!$1:$1,0),FALSE()),"")</f>
        <v/>
      </c>
    </row>
    <row r="14" customFormat="false" ht="15" hidden="false" customHeight="true" outlineLevel="0" collapsed="false">
      <c r="B14" s="1" t="str">
        <f aca="false">IFERROR(VLOOKUP(A14,'company tracker'!$a:$s,MATCH("Category",'company tracker'!$1:$1,0),FALSE()),"")</f>
        <v/>
      </c>
      <c r="C14" s="1" t="str">
        <f aca="false">IFERROR(VLOOKUP(A14,'Pass 1 Archive'!$A:$AD,MATCH("LinkedIn Employee Count",'Pass 1 Archive'!$1:$1,0),FALSE()),"")</f>
        <v/>
      </c>
      <c r="D14" s="1" t="str">
        <f aca="false">IFERROR(VLOOKUP(A14,'company tracker'!$a:$s,MATCH("Jan 2025 Traffic",'company tracker'!$1:$1,0),FALSE()),"")</f>
        <v/>
      </c>
      <c r="E14" s="1" t="str">
        <f aca="false">IFERROR(VLOOKUP(A14,'company tracker'!$a:$s,MATCH("Jun 2026 Traffic",'company tracker'!$1:$1,0),FALSE()),"")</f>
        <v/>
      </c>
      <c r="F14" s="1" t="str">
        <f aca="false">IFERROR(VLOOKUP(A14,'company tracker'!$a:$s,MATCH("Traffic % Change",'company tracker'!$1:$1,0),FALSE()),"")</f>
        <v/>
      </c>
      <c r="G14" s="1" t="str">
        <f aca="false">IFERROR(VLOOKUP(A14,'company tracker'!$a:$s,MATCH("Jan 2025 Referring Domains",'company tracker'!$1:$1,0),FALSE()),"")</f>
        <v/>
      </c>
      <c r="H14" s="1" t="str">
        <f aca="false">IFERROR(VLOOKUP(A14,'company tracker'!$a:$s,MATCH("Jun 2026 Referring Domains",'company tracker'!$1:$1,0),FALSE()),"")</f>
        <v/>
      </c>
    </row>
    <row r="15" customFormat="false" ht="15" hidden="false" customHeight="true" outlineLevel="0" collapsed="false">
      <c r="B15" s="1" t="str">
        <f aca="false">IFERROR(VLOOKUP(A15,'company tracker'!$a:$s,MATCH("Category",'company tracker'!$1:$1,0),FALSE()),"")</f>
        <v/>
      </c>
      <c r="C15" s="1" t="str">
        <f aca="false">IFERROR(VLOOKUP(A15,'Pass 1 Archive'!$A:$AD,MATCH("LinkedIn Employee Count",'Pass 1 Archive'!$1:$1,0),FALSE()),"")</f>
        <v/>
      </c>
      <c r="D15" s="1" t="str">
        <f aca="false">IFERROR(VLOOKUP(A15,'company tracker'!$a:$s,MATCH("Jan 2025 Traffic",'company tracker'!$1:$1,0),FALSE()),"")</f>
        <v/>
      </c>
      <c r="E15" s="1" t="str">
        <f aca="false">IFERROR(VLOOKUP(A15,'company tracker'!$a:$s,MATCH("Jun 2026 Traffic",'company tracker'!$1:$1,0),FALSE()),"")</f>
        <v/>
      </c>
      <c r="F15" s="1" t="str">
        <f aca="false">IFERROR(VLOOKUP(A15,'company tracker'!$a:$s,MATCH("Traffic % Change",'company tracker'!$1:$1,0),FALSE()),"")</f>
        <v/>
      </c>
      <c r="G15" s="1" t="str">
        <f aca="false">IFERROR(VLOOKUP(A15,'company tracker'!$a:$s,MATCH("Jan 2025 Referring Domains",'company tracker'!$1:$1,0),FALSE()),"")</f>
        <v/>
      </c>
      <c r="H15" s="1" t="str">
        <f aca="false">IFERROR(VLOOKUP(A15,'company tracker'!$a:$s,MATCH("Jun 2026 Referring Domains",'company tracker'!$1:$1,0),FALSE()),"")</f>
        <v/>
      </c>
    </row>
    <row r="16" customFormat="false" ht="15" hidden="false" customHeight="true" outlineLevel="0" collapsed="false">
      <c r="B16" s="1" t="str">
        <f aca="false">IFERROR(VLOOKUP(A16,'company tracker'!$a:$s,MATCH("Category",'company tracker'!$1:$1,0),FALSE()),"")</f>
        <v/>
      </c>
      <c r="C16" s="1" t="str">
        <f aca="false">IFERROR(VLOOKUP(A16,'Pass 1 Archive'!$A:$AD,MATCH("LinkedIn Employee Count",'Pass 1 Archive'!$1:$1,0),FALSE()),"")</f>
        <v/>
      </c>
      <c r="D16" s="1" t="str">
        <f aca="false">IFERROR(VLOOKUP(A16,'company tracker'!$a:$s,MATCH("Jan 2025 Traffic",'company tracker'!$1:$1,0),FALSE()),"")</f>
        <v/>
      </c>
      <c r="E16" s="1" t="str">
        <f aca="false">IFERROR(VLOOKUP(A16,'company tracker'!$a:$s,MATCH("Jun 2026 Traffic",'company tracker'!$1:$1,0),FALSE()),"")</f>
        <v/>
      </c>
      <c r="F16" s="1" t="str">
        <f aca="false">IFERROR(VLOOKUP(A16,'company tracker'!$a:$s,MATCH("Traffic % Change",'company tracker'!$1:$1,0),FALSE()),"")</f>
        <v/>
      </c>
      <c r="G16" s="1" t="str">
        <f aca="false">IFERROR(VLOOKUP(A16,'company tracker'!$a:$s,MATCH("Jan 2025 Referring Domains",'company tracker'!$1:$1,0),FALSE()),"")</f>
        <v/>
      </c>
      <c r="H16" s="1" t="str">
        <f aca="false">IFERROR(VLOOKUP(A16,'company tracker'!$a:$s,MATCH("Jun 2026 Referring Domains",'company tracker'!$1:$1,0),FALSE()),"")</f>
        <v/>
      </c>
    </row>
    <row r="17" customFormat="false" ht="15" hidden="false" customHeight="true" outlineLevel="0" collapsed="false">
      <c r="B17" s="1" t="str">
        <f aca="false">IFERROR(VLOOKUP(A17,'company tracker'!$a:$s,MATCH("Category",'company tracker'!$1:$1,0),FALSE()),"")</f>
        <v/>
      </c>
      <c r="C17" s="1" t="str">
        <f aca="false">IFERROR(VLOOKUP(A17,'Pass 1 Archive'!$A:$AD,MATCH("LinkedIn Employee Count",'Pass 1 Archive'!$1:$1,0),FALSE()),"")</f>
        <v/>
      </c>
      <c r="D17" s="1" t="str">
        <f aca="false">IFERROR(VLOOKUP(A17,'company tracker'!$a:$s,MATCH("Jan 2025 Traffic",'company tracker'!$1:$1,0),FALSE()),"")</f>
        <v/>
      </c>
      <c r="E17" s="1" t="str">
        <f aca="false">IFERROR(VLOOKUP(A17,'company tracker'!$a:$s,MATCH("Jun 2026 Traffic",'company tracker'!$1:$1,0),FALSE()),"")</f>
        <v/>
      </c>
      <c r="F17" s="1" t="str">
        <f aca="false">IFERROR(VLOOKUP(A17,'company tracker'!$a:$s,MATCH("Traffic % Change",'company tracker'!$1:$1,0),FALSE()),"")</f>
        <v/>
      </c>
      <c r="G17" s="1" t="str">
        <f aca="false">IFERROR(VLOOKUP(A17,'company tracker'!$a:$s,MATCH("Jan 2025 Referring Domains",'company tracker'!$1:$1,0),FALSE()),"")</f>
        <v/>
      </c>
      <c r="H17" s="1" t="str">
        <f aca="false">IFERROR(VLOOKUP(A17,'company tracker'!$a:$s,MATCH("Jun 2026 Referring Domains",'company tracker'!$1:$1,0),FALSE()),"")</f>
        <v/>
      </c>
    </row>
    <row r="18" customFormat="false" ht="15" hidden="false" customHeight="true" outlineLevel="0" collapsed="false">
      <c r="B18" s="1" t="str">
        <f aca="false">IFERROR(VLOOKUP(A18,'company tracker'!$a:$s,MATCH("Category",'company tracker'!$1:$1,0),FALSE()),"")</f>
        <v/>
      </c>
      <c r="C18" s="1" t="str">
        <f aca="false">IFERROR(VLOOKUP(A18,'Pass 1 Archive'!$A:$AD,MATCH("LinkedIn Employee Count",'Pass 1 Archive'!$1:$1,0),FALSE()),"")</f>
        <v/>
      </c>
      <c r="D18" s="1" t="str">
        <f aca="false">IFERROR(VLOOKUP(A18,'company tracker'!$a:$s,MATCH("Jan 2025 Traffic",'company tracker'!$1:$1,0),FALSE()),"")</f>
        <v/>
      </c>
      <c r="E18" s="1" t="str">
        <f aca="false">IFERROR(VLOOKUP(A18,'company tracker'!$a:$s,MATCH("Jun 2026 Traffic",'company tracker'!$1:$1,0),FALSE()),"")</f>
        <v/>
      </c>
      <c r="F18" s="1" t="str">
        <f aca="false">IFERROR(VLOOKUP(A18,'company tracker'!$a:$s,MATCH("Traffic % Change",'company tracker'!$1:$1,0),FALSE()),"")</f>
        <v/>
      </c>
      <c r="G18" s="1" t="str">
        <f aca="false">IFERROR(VLOOKUP(A18,'company tracker'!$a:$s,MATCH("Jan 2025 Referring Domains",'company tracker'!$1:$1,0),FALSE()),"")</f>
        <v/>
      </c>
      <c r="H18" s="1" t="str">
        <f aca="false">IFERROR(VLOOKUP(A18,'company tracker'!$a:$s,MATCH("Jun 2026 Referring Domains",'company tracker'!$1:$1,0),FALSE()),"")</f>
        <v/>
      </c>
    </row>
    <row r="19" customFormat="false" ht="15" hidden="false" customHeight="true" outlineLevel="0" collapsed="false">
      <c r="B19" s="1" t="str">
        <f aca="false">IFERROR(VLOOKUP(A19,'company tracker'!$a:$s,MATCH("Category",'company tracker'!$1:$1,0),FALSE()),"")</f>
        <v/>
      </c>
      <c r="C19" s="1" t="str">
        <f aca="false">IFERROR(VLOOKUP(A19,'Pass 1 Archive'!$A:$AD,MATCH("LinkedIn Employee Count",'Pass 1 Archive'!$1:$1,0),FALSE()),"")</f>
        <v/>
      </c>
      <c r="D19" s="1" t="str">
        <f aca="false">IFERROR(VLOOKUP(A19,'company tracker'!$a:$s,MATCH("Jan 2025 Traffic",'company tracker'!$1:$1,0),FALSE()),"")</f>
        <v/>
      </c>
      <c r="E19" s="1" t="str">
        <f aca="false">IFERROR(VLOOKUP(A19,'company tracker'!$a:$s,MATCH("Jun 2026 Traffic",'company tracker'!$1:$1,0),FALSE()),"")</f>
        <v/>
      </c>
      <c r="F19" s="1" t="str">
        <f aca="false">IFERROR(VLOOKUP(A19,'company tracker'!$a:$s,MATCH("Traffic % Change",'company tracker'!$1:$1,0),FALSE()),"")</f>
        <v/>
      </c>
      <c r="G19" s="1" t="str">
        <f aca="false">IFERROR(VLOOKUP(A19,'company tracker'!$a:$s,MATCH("Jan 2025 Referring Domains",'company tracker'!$1:$1,0),FALSE()),"")</f>
        <v/>
      </c>
      <c r="H19" s="1" t="str">
        <f aca="false">IFERROR(VLOOKUP(A19,'company tracker'!$a:$s,MATCH("Jun 2026 Referring Domains",'company tracker'!$1:$1,0),FALSE()),"")</f>
        <v/>
      </c>
    </row>
    <row r="20" customFormat="false" ht="15" hidden="false" customHeight="true" outlineLevel="0" collapsed="false">
      <c r="B20" s="1" t="str">
        <f aca="false">IFERROR(VLOOKUP(A20,'company tracker'!$a:$s,MATCH("Category",'company tracker'!$1:$1,0),FALSE()),"")</f>
        <v/>
      </c>
      <c r="C20" s="1" t="str">
        <f aca="false">IFERROR(VLOOKUP(A20,'Pass 1 Archive'!$A:$AD,MATCH("LinkedIn Employee Count",'Pass 1 Archive'!$1:$1,0),FALSE()),"")</f>
        <v/>
      </c>
      <c r="D20" s="1" t="str">
        <f aca="false">IFERROR(VLOOKUP(A20,'company tracker'!$a:$s,MATCH("Jan 2025 Traffic",'company tracker'!$1:$1,0),FALSE()),"")</f>
        <v/>
      </c>
      <c r="E20" s="1" t="str">
        <f aca="false">IFERROR(VLOOKUP(A20,'company tracker'!$a:$s,MATCH("Jun 2026 Traffic",'company tracker'!$1:$1,0),FALSE()),"")</f>
        <v/>
      </c>
      <c r="F20" s="1" t="str">
        <f aca="false">IFERROR(VLOOKUP(A20,'company tracker'!$a:$s,MATCH("Traffic % Change",'company tracker'!$1:$1,0),FALSE()),"")</f>
        <v/>
      </c>
      <c r="G20" s="1" t="str">
        <f aca="false">IFERROR(VLOOKUP(A20,'company tracker'!$a:$s,MATCH("Jan 2025 Referring Domains",'company tracker'!$1:$1,0),FALSE()),"")</f>
        <v/>
      </c>
      <c r="H20" s="1" t="str">
        <f aca="false">IFERROR(VLOOKUP(A20,'company tracker'!$a:$s,MATCH("Jun 2026 Referring Domains",'company tracker'!$1:$1,0),FALSE()),"")</f>
        <v/>
      </c>
    </row>
    <row r="21" customFormat="false" ht="15" hidden="false" customHeight="true" outlineLevel="0" collapsed="false">
      <c r="B21" s="1" t="str">
        <f aca="false">IFERROR(VLOOKUP(A21,'company tracker'!$a:$s,MATCH("Category",'company tracker'!$1:$1,0),FALSE()),"")</f>
        <v/>
      </c>
      <c r="C21" s="1" t="str">
        <f aca="false">IFERROR(VLOOKUP(A21,'Pass 1 Archive'!$A:$AD,MATCH("LinkedIn Employee Count",'Pass 1 Archive'!$1:$1,0),FALSE()),"")</f>
        <v/>
      </c>
      <c r="D21" s="1" t="str">
        <f aca="false">IFERROR(VLOOKUP(A21,'company tracker'!$a:$s,MATCH("Jan 2025 Traffic",'company tracker'!$1:$1,0),FALSE()),"")</f>
        <v/>
      </c>
      <c r="E21" s="1" t="str">
        <f aca="false">IFERROR(VLOOKUP(A21,'company tracker'!$a:$s,MATCH("Jun 2026 Traffic",'company tracker'!$1:$1,0),FALSE()),"")</f>
        <v/>
      </c>
      <c r="F21" s="1" t="str">
        <f aca="false">IFERROR(VLOOKUP(A21,'company tracker'!$a:$s,MATCH("Traffic % Change",'company tracker'!$1:$1,0),FALSE()),"")</f>
        <v/>
      </c>
      <c r="G21" s="1" t="str">
        <f aca="false">IFERROR(VLOOKUP(A21,'company tracker'!$a:$s,MATCH("Jan 2025 Referring Domains",'company tracker'!$1:$1,0),FALSE()),"")</f>
        <v/>
      </c>
      <c r="H21" s="1" t="str">
        <f aca="false">IFERROR(VLOOKUP(A21,'company tracker'!$a:$s,MATCH("Jun 2026 Referring Domains",'company tracker'!$1:$1,0),FALSE()),"")</f>
        <v/>
      </c>
    </row>
    <row r="22" customFormat="false" ht="15" hidden="false" customHeight="true" outlineLevel="0" collapsed="false">
      <c r="B22" s="1" t="str">
        <f aca="false">IFERROR(VLOOKUP(A22,'company tracker'!$a:$s,MATCH("Category",'company tracker'!$1:$1,0),FALSE()),"")</f>
        <v/>
      </c>
      <c r="C22" s="1" t="str">
        <f aca="false">IFERROR(VLOOKUP(A22,'Pass 1 Archive'!$A:$AD,MATCH("LinkedIn Employee Count",'Pass 1 Archive'!$1:$1,0),FALSE()),"")</f>
        <v/>
      </c>
      <c r="D22" s="1" t="str">
        <f aca="false">IFERROR(VLOOKUP(A22,'company tracker'!$a:$s,MATCH("Jan 2025 Traffic",'company tracker'!$1:$1,0),FALSE()),"")</f>
        <v/>
      </c>
      <c r="E22" s="1" t="str">
        <f aca="false">IFERROR(VLOOKUP(A22,'company tracker'!$a:$s,MATCH("Jun 2026 Traffic",'company tracker'!$1:$1,0),FALSE()),"")</f>
        <v/>
      </c>
      <c r="F22" s="1" t="str">
        <f aca="false">IFERROR(VLOOKUP(A22,'company tracker'!$a:$s,MATCH("Traffic % Change",'company tracker'!$1:$1,0),FALSE()),"")</f>
        <v/>
      </c>
      <c r="G22" s="1" t="str">
        <f aca="false">IFERROR(VLOOKUP(A22,'company tracker'!$a:$s,MATCH("Jan 2025 Referring Domains",'company tracker'!$1:$1,0),FALSE()),"")</f>
        <v/>
      </c>
      <c r="H22" s="1" t="str">
        <f aca="false">IFERROR(VLOOKUP(A22,'company tracker'!$a:$s,MATCH("Jun 2026 Referring Domains",'company tracker'!$1:$1,0),FALSE()),"")</f>
        <v/>
      </c>
    </row>
    <row r="23" customFormat="false" ht="15" hidden="false" customHeight="true" outlineLevel="0" collapsed="false">
      <c r="B23" s="1" t="str">
        <f aca="false">IFERROR(VLOOKUP(A23,'company tracker'!$a:$s,MATCH("Category",'company tracker'!$1:$1,0),FALSE()),"")</f>
        <v/>
      </c>
      <c r="C23" s="1" t="str">
        <f aca="false">IFERROR(VLOOKUP(A23,'Pass 1 Archive'!$A:$AD,MATCH("LinkedIn Employee Count",'Pass 1 Archive'!$1:$1,0),FALSE()),"")</f>
        <v/>
      </c>
      <c r="D23" s="1" t="str">
        <f aca="false">IFERROR(VLOOKUP(A23,'company tracker'!$a:$s,MATCH("Jan 2025 Traffic",'company tracker'!$1:$1,0),FALSE()),"")</f>
        <v/>
      </c>
      <c r="E23" s="1" t="str">
        <f aca="false">IFERROR(VLOOKUP(A23,'company tracker'!$a:$s,MATCH("Jun 2026 Traffic",'company tracker'!$1:$1,0),FALSE()),"")</f>
        <v/>
      </c>
      <c r="F23" s="1" t="str">
        <f aca="false">IFERROR(VLOOKUP(A23,'company tracker'!$a:$s,MATCH("Traffic % Change",'company tracker'!$1:$1,0),FALSE()),"")</f>
        <v/>
      </c>
      <c r="G23" s="1" t="str">
        <f aca="false">IFERROR(VLOOKUP(A23,'company tracker'!$a:$s,MATCH("Jan 2025 Referring Domains",'company tracker'!$1:$1,0),FALSE()),"")</f>
        <v/>
      </c>
      <c r="H23" s="1" t="str">
        <f aca="false">IFERROR(VLOOKUP(A23,'company tracker'!$a:$s,MATCH("Jun 2026 Referring Domains",'company tracker'!$1:$1,0),FALSE()),"")</f>
        <v/>
      </c>
    </row>
    <row r="24" customFormat="false" ht="15" hidden="false" customHeight="true" outlineLevel="0" collapsed="false">
      <c r="B24" s="1" t="str">
        <f aca="false">IFERROR(VLOOKUP(A24,'company tracker'!$a:$s,MATCH("Category",'company tracker'!$1:$1,0),FALSE()),"")</f>
        <v/>
      </c>
      <c r="C24" s="1" t="str">
        <f aca="false">IFERROR(VLOOKUP(A24,'Pass 1 Archive'!$A:$AD,MATCH("LinkedIn Employee Count",'Pass 1 Archive'!$1:$1,0),FALSE()),"")</f>
        <v/>
      </c>
      <c r="D24" s="1" t="str">
        <f aca="false">IFERROR(VLOOKUP(A24,'company tracker'!$a:$s,MATCH("Jan 2025 Traffic",'company tracker'!$1:$1,0),FALSE()),"")</f>
        <v/>
      </c>
      <c r="E24" s="1" t="str">
        <f aca="false">IFERROR(VLOOKUP(A24,'company tracker'!$a:$s,MATCH("Jun 2026 Traffic",'company tracker'!$1:$1,0),FALSE()),"")</f>
        <v/>
      </c>
      <c r="F24" s="1" t="str">
        <f aca="false">IFERROR(VLOOKUP(A24,'company tracker'!$a:$s,MATCH("Traffic % Change",'company tracker'!$1:$1,0),FALSE()),"")</f>
        <v/>
      </c>
      <c r="G24" s="1" t="str">
        <f aca="false">IFERROR(VLOOKUP(A24,'company tracker'!$a:$s,MATCH("Jan 2025 Referring Domains",'company tracker'!$1:$1,0),FALSE()),"")</f>
        <v/>
      </c>
      <c r="H24" s="1" t="str">
        <f aca="false">IFERROR(VLOOKUP(A24,'company tracker'!$a:$s,MATCH("Jun 2026 Referring Domains",'company tracker'!$1:$1,0),FALSE()),"")</f>
        <v/>
      </c>
    </row>
    <row r="25" customFormat="false" ht="15" hidden="false" customHeight="true" outlineLevel="0" collapsed="false">
      <c r="B25" s="1" t="str">
        <f aca="false">IFERROR(VLOOKUP(A25,'company tracker'!$a:$s,MATCH("Category",'company tracker'!$1:$1,0),FALSE()),"")</f>
        <v/>
      </c>
      <c r="C25" s="1" t="str">
        <f aca="false">IFERROR(VLOOKUP(A25,'Pass 1 Archive'!$A:$AD,MATCH("LinkedIn Employee Count",'Pass 1 Archive'!$1:$1,0),FALSE()),"")</f>
        <v/>
      </c>
      <c r="D25" s="1" t="str">
        <f aca="false">IFERROR(VLOOKUP(A25,'company tracker'!$a:$s,MATCH("Jan 2025 Traffic",'company tracker'!$1:$1,0),FALSE()),"")</f>
        <v/>
      </c>
      <c r="E25" s="1" t="str">
        <f aca="false">IFERROR(VLOOKUP(A25,'company tracker'!$a:$s,MATCH("Jun 2026 Traffic",'company tracker'!$1:$1,0),FALSE()),"")</f>
        <v/>
      </c>
      <c r="F25" s="1" t="str">
        <f aca="false">IFERROR(VLOOKUP(A25,'company tracker'!$a:$s,MATCH("Traffic % Change",'company tracker'!$1:$1,0),FALSE()),"")</f>
        <v/>
      </c>
      <c r="G25" s="1" t="str">
        <f aca="false">IFERROR(VLOOKUP(A25,'company tracker'!$a:$s,MATCH("Jan 2025 Referring Domains",'company tracker'!$1:$1,0),FALSE()),"")</f>
        <v/>
      </c>
      <c r="H25" s="1" t="str">
        <f aca="false">IFERROR(VLOOKUP(A25,'company tracker'!$a:$s,MATCH("Jun 2026 Referring Domains",'company tracker'!$1:$1,0),FALSE()),"")</f>
        <v/>
      </c>
    </row>
    <row r="26" customFormat="false" ht="15" hidden="false" customHeight="true" outlineLevel="0" collapsed="false">
      <c r="B26" s="1" t="str">
        <f aca="false">IFERROR(VLOOKUP(A26,'company tracker'!$a:$s,MATCH("Category",'company tracker'!$1:$1,0),FALSE()),"")</f>
        <v/>
      </c>
      <c r="C26" s="1" t="str">
        <f aca="false">IFERROR(VLOOKUP(A26,'Pass 1 Archive'!$A:$AD,MATCH("LinkedIn Employee Count",'Pass 1 Archive'!$1:$1,0),FALSE()),"")</f>
        <v/>
      </c>
      <c r="D26" s="1" t="str">
        <f aca="false">IFERROR(VLOOKUP(A26,'company tracker'!$a:$s,MATCH("Jan 2025 Traffic",'company tracker'!$1:$1,0),FALSE()),"")</f>
        <v/>
      </c>
      <c r="E26" s="1" t="str">
        <f aca="false">IFERROR(VLOOKUP(A26,'company tracker'!$a:$s,MATCH("Jun 2026 Traffic",'company tracker'!$1:$1,0),FALSE()),"")</f>
        <v/>
      </c>
      <c r="F26" s="1" t="str">
        <f aca="false">IFERROR(VLOOKUP(A26,'company tracker'!$a:$s,MATCH("Traffic % Change",'company tracker'!$1:$1,0),FALSE()),"")</f>
        <v/>
      </c>
      <c r="G26" s="1" t="str">
        <f aca="false">IFERROR(VLOOKUP(A26,'company tracker'!$a:$s,MATCH("Jan 2025 Referring Domains",'company tracker'!$1:$1,0),FALSE()),"")</f>
        <v/>
      </c>
      <c r="H26" s="1" t="str">
        <f aca="false">IFERROR(VLOOKUP(A26,'company tracker'!$a:$s,MATCH("Jun 2026 Referring Domains",'company tracker'!$1:$1,0),FALSE()),"")</f>
        <v/>
      </c>
    </row>
    <row r="27" customFormat="false" ht="15" hidden="false" customHeight="true" outlineLevel="0" collapsed="false">
      <c r="B27" s="1" t="str">
        <f aca="false">IFERROR(VLOOKUP(A27,'company tracker'!$a:$s,MATCH("Category",'company tracker'!$1:$1,0),FALSE()),"")</f>
        <v/>
      </c>
      <c r="C27" s="1" t="str">
        <f aca="false">IFERROR(VLOOKUP(A27,'Pass 1 Archive'!$A:$AD,MATCH("LinkedIn Employee Count",'Pass 1 Archive'!$1:$1,0),FALSE()),"")</f>
        <v/>
      </c>
      <c r="D27" s="1" t="str">
        <f aca="false">IFERROR(VLOOKUP(A27,'company tracker'!$a:$s,MATCH("Jan 2025 Traffic",'company tracker'!$1:$1,0),FALSE()),"")</f>
        <v/>
      </c>
      <c r="E27" s="1" t="str">
        <f aca="false">IFERROR(VLOOKUP(A27,'company tracker'!$a:$s,MATCH("Jun 2026 Traffic",'company tracker'!$1:$1,0),FALSE()),"")</f>
        <v/>
      </c>
      <c r="F27" s="1" t="str">
        <f aca="false">IFERROR(VLOOKUP(A27,'company tracker'!$a:$s,MATCH("Traffic % Change",'company tracker'!$1:$1,0),FALSE()),"")</f>
        <v/>
      </c>
      <c r="G27" s="1" t="str">
        <f aca="false">IFERROR(VLOOKUP(A27,'company tracker'!$a:$s,MATCH("Jan 2025 Referring Domains",'company tracker'!$1:$1,0),FALSE()),"")</f>
        <v/>
      </c>
      <c r="H27" s="1" t="str">
        <f aca="false">IFERROR(VLOOKUP(A27,'company tracker'!$a:$s,MATCH("Jun 2026 Referring Domains",'company tracker'!$1:$1,0),FALSE()),"")</f>
        <v/>
      </c>
    </row>
    <row r="28" customFormat="false" ht="15" hidden="false" customHeight="true" outlineLevel="0" collapsed="false">
      <c r="B28" s="1" t="str">
        <f aca="false">IFERROR(VLOOKUP(A28,'company tracker'!$a:$s,MATCH("Category",'company tracker'!$1:$1,0),FALSE()),"")</f>
        <v/>
      </c>
      <c r="C28" s="1" t="str">
        <f aca="false">IFERROR(VLOOKUP(A28,'Pass 1 Archive'!$A:$AD,MATCH("LinkedIn Employee Count",'Pass 1 Archive'!$1:$1,0),FALSE()),"")</f>
        <v/>
      </c>
      <c r="D28" s="1" t="str">
        <f aca="false">IFERROR(VLOOKUP(A28,'company tracker'!$a:$s,MATCH("Jan 2025 Traffic",'company tracker'!$1:$1,0),FALSE()),"")</f>
        <v/>
      </c>
      <c r="E28" s="1" t="str">
        <f aca="false">IFERROR(VLOOKUP(A28,'company tracker'!$a:$s,MATCH("Jun 2026 Traffic",'company tracker'!$1:$1,0),FALSE()),"")</f>
        <v/>
      </c>
      <c r="F28" s="1" t="str">
        <f aca="false">IFERROR(VLOOKUP(A28,'company tracker'!$a:$s,MATCH("Traffic % Change",'company tracker'!$1:$1,0),FALSE()),"")</f>
        <v/>
      </c>
      <c r="G28" s="1" t="str">
        <f aca="false">IFERROR(VLOOKUP(A28,'company tracker'!$a:$s,MATCH("Jan 2025 Referring Domains",'company tracker'!$1:$1,0),FALSE()),"")</f>
        <v/>
      </c>
      <c r="H28" s="1" t="str">
        <f aca="false">IFERROR(VLOOKUP(A28,'company tracker'!$a:$s,MATCH("Jun 2026 Referring Domains",'company tracker'!$1:$1,0),FALSE()),"")</f>
        <v/>
      </c>
    </row>
    <row r="29" customFormat="false" ht="15" hidden="false" customHeight="true" outlineLevel="0" collapsed="false">
      <c r="B29" s="1" t="str">
        <f aca="false">IFERROR(VLOOKUP(A29,'company tracker'!$a:$s,MATCH("Category",'company tracker'!$1:$1,0),FALSE()),"")</f>
        <v/>
      </c>
      <c r="C29" s="1" t="str">
        <f aca="false">IFERROR(VLOOKUP(A29,'Pass 1 Archive'!$A:$AD,MATCH("LinkedIn Employee Count",'Pass 1 Archive'!$1:$1,0),FALSE()),"")</f>
        <v/>
      </c>
      <c r="D29" s="1" t="str">
        <f aca="false">IFERROR(VLOOKUP(A29,'company tracker'!$a:$s,MATCH("Jan 2025 Traffic",'company tracker'!$1:$1,0),FALSE()),"")</f>
        <v/>
      </c>
      <c r="E29" s="1" t="str">
        <f aca="false">IFERROR(VLOOKUP(A29,'company tracker'!$a:$s,MATCH("Jun 2026 Traffic",'company tracker'!$1:$1,0),FALSE()),"")</f>
        <v/>
      </c>
      <c r="F29" s="1" t="str">
        <f aca="false">IFERROR(VLOOKUP(A29,'company tracker'!$a:$s,MATCH("Traffic % Change",'company tracker'!$1:$1,0),FALSE()),"")</f>
        <v/>
      </c>
      <c r="G29" s="1" t="str">
        <f aca="false">IFERROR(VLOOKUP(A29,'company tracker'!$a:$s,MATCH("Jan 2025 Referring Domains",'company tracker'!$1:$1,0),FALSE()),"")</f>
        <v/>
      </c>
      <c r="H29" s="1" t="str">
        <f aca="false">IFERROR(VLOOKUP(A29,'company tracker'!$a:$s,MATCH("Jun 2026 Referring Domains",'company tracker'!$1:$1,0),FALSE()),"")</f>
        <v/>
      </c>
    </row>
    <row r="30" customFormat="false" ht="15" hidden="false" customHeight="true" outlineLevel="0" collapsed="false">
      <c r="B30" s="1" t="str">
        <f aca="false">IFERROR(VLOOKUP(A30,'company tracker'!$a:$s,MATCH("Category",'company tracker'!$1:$1,0),FALSE()),"")</f>
        <v/>
      </c>
      <c r="C30" s="1" t="str">
        <f aca="false">IFERROR(VLOOKUP(A30,'Pass 1 Archive'!$A:$AD,MATCH("LinkedIn Employee Count",'Pass 1 Archive'!$1:$1,0),FALSE()),"")</f>
        <v/>
      </c>
      <c r="D30" s="1" t="str">
        <f aca="false">IFERROR(VLOOKUP(A30,'company tracker'!$a:$s,MATCH("Jan 2025 Traffic",'company tracker'!$1:$1,0),FALSE()),"")</f>
        <v/>
      </c>
      <c r="E30" s="1" t="str">
        <f aca="false">IFERROR(VLOOKUP(A30,'company tracker'!$a:$s,MATCH("Jun 2026 Traffic",'company tracker'!$1:$1,0),FALSE()),"")</f>
        <v/>
      </c>
      <c r="F30" s="1" t="str">
        <f aca="false">IFERROR(VLOOKUP(A30,'company tracker'!$a:$s,MATCH("Traffic % Change",'company tracker'!$1:$1,0),FALSE()),"")</f>
        <v/>
      </c>
      <c r="G30" s="1" t="str">
        <f aca="false">IFERROR(VLOOKUP(A30,'company tracker'!$a:$s,MATCH("Jan 2025 Referring Domains",'company tracker'!$1:$1,0),FALSE()),"")</f>
        <v/>
      </c>
      <c r="H30" s="1" t="str">
        <f aca="false">IFERROR(VLOOKUP(A30,'company tracker'!$a:$s,MATCH("Jun 2026 Referring Domains",'company tracker'!$1:$1,0),FALSE()),"")</f>
        <v/>
      </c>
    </row>
    <row r="31" customFormat="false" ht="15" hidden="false" customHeight="true" outlineLevel="0" collapsed="false">
      <c r="B31" s="1" t="str">
        <f aca="false">IFERROR(VLOOKUP(A31,'company tracker'!$a:$s,MATCH("Category",'company tracker'!$1:$1,0),FALSE()),"")</f>
        <v/>
      </c>
      <c r="C31" s="1" t="str">
        <f aca="false">IFERROR(VLOOKUP(A31,'Pass 1 Archive'!$A:$AD,MATCH("LinkedIn Employee Count",'Pass 1 Archive'!$1:$1,0),FALSE()),"")</f>
        <v/>
      </c>
      <c r="D31" s="1" t="str">
        <f aca="false">IFERROR(VLOOKUP(A31,'company tracker'!$a:$s,MATCH("Jan 2025 Traffic",'company tracker'!$1:$1,0),FALSE()),"")</f>
        <v/>
      </c>
      <c r="E31" s="1" t="str">
        <f aca="false">IFERROR(VLOOKUP(A31,'company tracker'!$a:$s,MATCH("Jun 2026 Traffic",'company tracker'!$1:$1,0),FALSE()),"")</f>
        <v/>
      </c>
      <c r="F31" s="1" t="str">
        <f aca="false">IFERROR(VLOOKUP(A31,'company tracker'!$a:$s,MATCH("Traffic % Change",'company tracker'!$1:$1,0),FALSE()),"")</f>
        <v/>
      </c>
      <c r="G31" s="1" t="str">
        <f aca="false">IFERROR(VLOOKUP(A31,'company tracker'!$a:$s,MATCH("Jan 2025 Referring Domains",'company tracker'!$1:$1,0),FALSE()),"")</f>
        <v/>
      </c>
      <c r="H31" s="1" t="str">
        <f aca="false">IFERROR(VLOOKUP(A31,'company tracker'!$a:$s,MATCH("Jun 2026 Referring Domains",'company tracker'!$1:$1,0),FALSE()),"")</f>
        <v/>
      </c>
    </row>
    <row r="32" customFormat="false" ht="15" hidden="false" customHeight="true" outlineLevel="0" collapsed="false">
      <c r="B32" s="1" t="str">
        <f aca="false">IFERROR(VLOOKUP(A32,'company tracker'!$a:$s,MATCH("Category",'company tracker'!$1:$1,0),FALSE()),"")</f>
        <v/>
      </c>
      <c r="C32" s="1" t="str">
        <f aca="false">IFERROR(VLOOKUP(A32,'Pass 1 Archive'!$A:$AD,MATCH("LinkedIn Employee Count",'Pass 1 Archive'!$1:$1,0),FALSE()),"")</f>
        <v/>
      </c>
      <c r="D32" s="1" t="str">
        <f aca="false">IFERROR(VLOOKUP(A32,'company tracker'!$a:$s,MATCH("Jan 2025 Traffic",'company tracker'!$1:$1,0),FALSE()),"")</f>
        <v/>
      </c>
      <c r="E32" s="1" t="str">
        <f aca="false">IFERROR(VLOOKUP(A32,'company tracker'!$a:$s,MATCH("Jun 2026 Traffic",'company tracker'!$1:$1,0),FALSE()),"")</f>
        <v/>
      </c>
      <c r="F32" s="1" t="str">
        <f aca="false">IFERROR(VLOOKUP(A32,'company tracker'!$a:$s,MATCH("Traffic % Change",'company tracker'!$1:$1,0),FALSE()),"")</f>
        <v/>
      </c>
      <c r="G32" s="1" t="str">
        <f aca="false">IFERROR(VLOOKUP(A32,'company tracker'!$a:$s,MATCH("Jan 2025 Referring Domains",'company tracker'!$1:$1,0),FALSE()),"")</f>
        <v/>
      </c>
      <c r="H32" s="1" t="str">
        <f aca="false">IFERROR(VLOOKUP(A32,'company tracker'!$a:$s,MATCH("Jun 2026 Referring Domains",'company tracker'!$1:$1,0),FALSE()),"")</f>
        <v/>
      </c>
    </row>
    <row r="33" customFormat="false" ht="15" hidden="false" customHeight="true" outlineLevel="0" collapsed="false">
      <c r="B33" s="1" t="str">
        <f aca="false">IFERROR(VLOOKUP(A33,'company tracker'!$a:$s,MATCH("Category",'company tracker'!$1:$1,0),FALSE()),"")</f>
        <v/>
      </c>
      <c r="C33" s="1" t="str">
        <f aca="false">IFERROR(VLOOKUP(A33,'Pass 1 Archive'!$A:$AD,MATCH("LinkedIn Employee Count",'Pass 1 Archive'!$1:$1,0),FALSE()),"")</f>
        <v/>
      </c>
      <c r="D33" s="1" t="str">
        <f aca="false">IFERROR(VLOOKUP(A33,'company tracker'!$a:$s,MATCH("Jan 2025 Traffic",'company tracker'!$1:$1,0),FALSE()),"")</f>
        <v/>
      </c>
      <c r="E33" s="1" t="str">
        <f aca="false">IFERROR(VLOOKUP(A33,'company tracker'!$a:$s,MATCH("Jun 2026 Traffic",'company tracker'!$1:$1,0),FALSE()),"")</f>
        <v/>
      </c>
      <c r="F33" s="1" t="str">
        <f aca="false">IFERROR(VLOOKUP(A33,'company tracker'!$a:$s,MATCH("Traffic % Change",'company tracker'!$1:$1,0),FALSE()),"")</f>
        <v/>
      </c>
      <c r="G33" s="1" t="str">
        <f aca="false">IFERROR(VLOOKUP(A33,'company tracker'!$a:$s,MATCH("Jan 2025 Referring Domains",'company tracker'!$1:$1,0),FALSE()),"")</f>
        <v/>
      </c>
      <c r="H33" s="1" t="str">
        <f aca="false">IFERROR(VLOOKUP(A33,'company tracker'!$a:$s,MATCH("Jun 2026 Referring Domains",'company tracker'!$1:$1,0),FALSE()),"")</f>
        <v/>
      </c>
    </row>
    <row r="34" customFormat="false" ht="15" hidden="false" customHeight="true" outlineLevel="0" collapsed="false">
      <c r="B34" s="1" t="str">
        <f aca="false">IFERROR(VLOOKUP(A34,'company tracker'!$a:$s,MATCH("Category",'company tracker'!$1:$1,0),FALSE()),"")</f>
        <v/>
      </c>
      <c r="C34" s="1" t="str">
        <f aca="false">IFERROR(VLOOKUP(A34,'Pass 1 Archive'!$A:$AD,MATCH("LinkedIn Employee Count",'Pass 1 Archive'!$1:$1,0),FALSE()),"")</f>
        <v/>
      </c>
      <c r="D34" s="1" t="str">
        <f aca="false">IFERROR(VLOOKUP(A34,'company tracker'!$a:$s,MATCH("Jan 2025 Traffic",'company tracker'!$1:$1,0),FALSE()),"")</f>
        <v/>
      </c>
      <c r="E34" s="1" t="str">
        <f aca="false">IFERROR(VLOOKUP(A34,'company tracker'!$a:$s,MATCH("Jun 2026 Traffic",'company tracker'!$1:$1,0),FALSE()),"")</f>
        <v/>
      </c>
      <c r="F34" s="1" t="str">
        <f aca="false">IFERROR(VLOOKUP(A34,'company tracker'!$a:$s,MATCH("Traffic % Change",'company tracker'!$1:$1,0),FALSE()),"")</f>
        <v/>
      </c>
      <c r="G34" s="1" t="str">
        <f aca="false">IFERROR(VLOOKUP(A34,'company tracker'!$a:$s,MATCH("Jan 2025 Referring Domains",'company tracker'!$1:$1,0),FALSE()),"")</f>
        <v/>
      </c>
      <c r="H34" s="1" t="str">
        <f aca="false">IFERROR(VLOOKUP(A34,'company tracker'!$a:$s,MATCH("Jun 2026 Referring Domains",'company tracker'!$1:$1,0),FALSE()),"")</f>
        <v/>
      </c>
    </row>
    <row r="35" customFormat="false" ht="15" hidden="false" customHeight="true" outlineLevel="0" collapsed="false">
      <c r="B35" s="1" t="str">
        <f aca="false">IFERROR(VLOOKUP(A35,'company tracker'!$a:$s,MATCH("Category",'company tracker'!$1:$1,0),FALSE()),"")</f>
        <v/>
      </c>
      <c r="C35" s="1" t="str">
        <f aca="false">IFERROR(VLOOKUP(A35,'Pass 1 Archive'!$A:$AD,MATCH("LinkedIn Employee Count",'Pass 1 Archive'!$1:$1,0),FALSE()),"")</f>
        <v/>
      </c>
      <c r="D35" s="1" t="str">
        <f aca="false">IFERROR(VLOOKUP(A35,'company tracker'!$a:$s,MATCH("Jan 2025 Traffic",'company tracker'!$1:$1,0),FALSE()),"")</f>
        <v/>
      </c>
      <c r="E35" s="1" t="str">
        <f aca="false">IFERROR(VLOOKUP(A35,'company tracker'!$a:$s,MATCH("Jun 2026 Traffic",'company tracker'!$1:$1,0),FALSE()),"")</f>
        <v/>
      </c>
      <c r="F35" s="1" t="str">
        <f aca="false">IFERROR(VLOOKUP(A35,'company tracker'!$a:$s,MATCH("Traffic % Change",'company tracker'!$1:$1,0),FALSE()),"")</f>
        <v/>
      </c>
      <c r="G35" s="1" t="str">
        <f aca="false">IFERROR(VLOOKUP(A35,'company tracker'!$a:$s,MATCH("Jan 2025 Referring Domains",'company tracker'!$1:$1,0),FALSE()),"")</f>
        <v/>
      </c>
      <c r="H35" s="1" t="str">
        <f aca="false">IFERROR(VLOOKUP(A35,'company tracker'!$a:$s,MATCH("Jun 2026 Referring Domains",'company tracker'!$1:$1,0),FALSE()),"")</f>
        <v/>
      </c>
    </row>
    <row r="36" customFormat="false" ht="15" hidden="false" customHeight="true" outlineLevel="0" collapsed="false">
      <c r="B36" s="1" t="str">
        <f aca="false">IFERROR(VLOOKUP(A36,'company tracker'!$a:$s,MATCH("Category",'company tracker'!$1:$1,0),FALSE()),"")</f>
        <v/>
      </c>
      <c r="C36" s="1" t="str">
        <f aca="false">IFERROR(VLOOKUP(A36,'Pass 1 Archive'!$A:$AD,MATCH("LinkedIn Employee Count",'Pass 1 Archive'!$1:$1,0),FALSE()),"")</f>
        <v/>
      </c>
      <c r="D36" s="1" t="str">
        <f aca="false">IFERROR(VLOOKUP(A36,'company tracker'!$a:$s,MATCH("Jan 2025 Traffic",'company tracker'!$1:$1,0),FALSE()),"")</f>
        <v/>
      </c>
      <c r="E36" s="1" t="str">
        <f aca="false">IFERROR(VLOOKUP(A36,'company tracker'!$a:$s,MATCH("Jun 2026 Traffic",'company tracker'!$1:$1,0),FALSE()),"")</f>
        <v/>
      </c>
      <c r="F36" s="1" t="str">
        <f aca="false">IFERROR(VLOOKUP(A36,'company tracker'!$a:$s,MATCH("Traffic % Change",'company tracker'!$1:$1,0),FALSE()),"")</f>
        <v/>
      </c>
      <c r="G36" s="1" t="str">
        <f aca="false">IFERROR(VLOOKUP(A36,'company tracker'!$a:$s,MATCH("Jan 2025 Referring Domains",'company tracker'!$1:$1,0),FALSE()),"")</f>
        <v/>
      </c>
      <c r="H36" s="1" t="str">
        <f aca="false">IFERROR(VLOOKUP(A36,'company tracker'!$a:$s,MATCH("Jun 2026 Referring Domains",'company tracker'!$1:$1,0),FALSE()),"")</f>
        <v/>
      </c>
    </row>
    <row r="37" customFormat="false" ht="15" hidden="false" customHeight="true" outlineLevel="0" collapsed="false">
      <c r="B37" s="1" t="str">
        <f aca="false">IFERROR(VLOOKUP(A37,'company tracker'!$a:$s,MATCH("Category",'company tracker'!$1:$1,0),FALSE()),"")</f>
        <v/>
      </c>
      <c r="C37" s="1" t="str">
        <f aca="false">IFERROR(VLOOKUP(A37,'Pass 1 Archive'!$A:$AD,MATCH("LinkedIn Employee Count",'Pass 1 Archive'!$1:$1,0),FALSE()),"")</f>
        <v/>
      </c>
      <c r="D37" s="1" t="str">
        <f aca="false">IFERROR(VLOOKUP(A37,'company tracker'!$a:$s,MATCH("Jan 2025 Traffic",'company tracker'!$1:$1,0),FALSE()),"")</f>
        <v/>
      </c>
      <c r="E37" s="1" t="str">
        <f aca="false">IFERROR(VLOOKUP(A37,'company tracker'!$a:$s,MATCH("Jun 2026 Traffic",'company tracker'!$1:$1,0),FALSE()),"")</f>
        <v/>
      </c>
      <c r="F37" s="1" t="str">
        <f aca="false">IFERROR(VLOOKUP(A37,'company tracker'!$a:$s,MATCH("Traffic % Change",'company tracker'!$1:$1,0),FALSE()),"")</f>
        <v/>
      </c>
      <c r="G37" s="1" t="str">
        <f aca="false">IFERROR(VLOOKUP(A37,'company tracker'!$a:$s,MATCH("Jan 2025 Referring Domains",'company tracker'!$1:$1,0),FALSE()),"")</f>
        <v/>
      </c>
      <c r="H37" s="1" t="str">
        <f aca="false">IFERROR(VLOOKUP(A37,'company tracker'!$a:$s,MATCH("Jun 2026 Referring Domains",'company tracker'!$1:$1,0),FALSE()),"")</f>
        <v/>
      </c>
    </row>
    <row r="38" customFormat="false" ht="15" hidden="false" customHeight="true" outlineLevel="0" collapsed="false">
      <c r="B38" s="1" t="str">
        <f aca="false">IFERROR(VLOOKUP(A38,'company tracker'!$a:$s,MATCH("Category",'company tracker'!$1:$1,0),FALSE()),"")</f>
        <v/>
      </c>
      <c r="C38" s="1" t="str">
        <f aca="false">IFERROR(VLOOKUP(A38,'Pass 1 Archive'!$A:$AD,MATCH("LinkedIn Employee Count",'Pass 1 Archive'!$1:$1,0),FALSE()),"")</f>
        <v/>
      </c>
      <c r="D38" s="1" t="str">
        <f aca="false">IFERROR(VLOOKUP(A38,'company tracker'!$a:$s,MATCH("Jan 2025 Traffic",'company tracker'!$1:$1,0),FALSE()),"")</f>
        <v/>
      </c>
      <c r="E38" s="1" t="str">
        <f aca="false">IFERROR(VLOOKUP(A38,'company tracker'!$a:$s,MATCH("Jun 2026 Traffic",'company tracker'!$1:$1,0),FALSE()),"")</f>
        <v/>
      </c>
      <c r="F38" s="1" t="str">
        <f aca="false">IFERROR(VLOOKUP(A38,'company tracker'!$a:$s,MATCH("Traffic % Change",'company tracker'!$1:$1,0),FALSE()),"")</f>
        <v/>
      </c>
      <c r="G38" s="1" t="str">
        <f aca="false">IFERROR(VLOOKUP(A38,'company tracker'!$a:$s,MATCH("Jan 2025 Referring Domains",'company tracker'!$1:$1,0),FALSE()),"")</f>
        <v/>
      </c>
      <c r="H38" s="1" t="str">
        <f aca="false">IFERROR(VLOOKUP(A38,'company tracker'!$a:$s,MATCH("Jun 2026 Referring Domains",'company tracker'!$1:$1,0),FALSE()),"")</f>
        <v/>
      </c>
    </row>
    <row r="39" customFormat="false" ht="15" hidden="false" customHeight="true" outlineLevel="0" collapsed="false">
      <c r="B39" s="1" t="str">
        <f aca="false">IFERROR(VLOOKUP(A39,'company tracker'!$a:$s,MATCH("Category",'company tracker'!$1:$1,0),FALSE()),"")</f>
        <v/>
      </c>
      <c r="C39" s="1" t="str">
        <f aca="false">IFERROR(VLOOKUP(A39,'Pass 1 Archive'!$A:$AD,MATCH("LinkedIn Employee Count",'Pass 1 Archive'!$1:$1,0),FALSE()),"")</f>
        <v/>
      </c>
      <c r="D39" s="1" t="str">
        <f aca="false">IFERROR(VLOOKUP(A39,'company tracker'!$a:$s,MATCH("Jan 2025 Traffic",'company tracker'!$1:$1,0),FALSE()),"")</f>
        <v/>
      </c>
      <c r="E39" s="1" t="str">
        <f aca="false">IFERROR(VLOOKUP(A39,'company tracker'!$a:$s,MATCH("Jun 2026 Traffic",'company tracker'!$1:$1,0),FALSE()),"")</f>
        <v/>
      </c>
      <c r="F39" s="1" t="str">
        <f aca="false">IFERROR(VLOOKUP(A39,'company tracker'!$a:$s,MATCH("Traffic % Change",'company tracker'!$1:$1,0),FALSE()),"")</f>
        <v/>
      </c>
      <c r="G39" s="1" t="str">
        <f aca="false">IFERROR(VLOOKUP(A39,'company tracker'!$a:$s,MATCH("Jan 2025 Referring Domains",'company tracker'!$1:$1,0),FALSE()),"")</f>
        <v/>
      </c>
      <c r="H39" s="1" t="str">
        <f aca="false">IFERROR(VLOOKUP(A39,'company tracker'!$a:$s,MATCH("Jun 2026 Referring Domains",'company tracker'!$1:$1,0),FALSE()),"")</f>
        <v/>
      </c>
    </row>
    <row r="40" customFormat="false" ht="15" hidden="false" customHeight="true" outlineLevel="0" collapsed="false">
      <c r="B40" s="1" t="str">
        <f aca="false">IFERROR(VLOOKUP(A40,'company tracker'!$a:$s,MATCH("Category",'company tracker'!$1:$1,0),FALSE()),"")</f>
        <v/>
      </c>
      <c r="C40" s="1" t="str">
        <f aca="false">IFERROR(VLOOKUP(A40,'Pass 1 Archive'!$A:$AD,MATCH("LinkedIn Employee Count",'Pass 1 Archive'!$1:$1,0),FALSE()),"")</f>
        <v/>
      </c>
      <c r="D40" s="1" t="str">
        <f aca="false">IFERROR(VLOOKUP(A40,'company tracker'!$a:$s,MATCH("Jan 2025 Traffic",'company tracker'!$1:$1,0),FALSE()),"")</f>
        <v/>
      </c>
      <c r="E40" s="1" t="str">
        <f aca="false">IFERROR(VLOOKUP(A40,'company tracker'!$a:$s,MATCH("Jun 2026 Traffic",'company tracker'!$1:$1,0),FALSE()),"")</f>
        <v/>
      </c>
      <c r="F40" s="1" t="str">
        <f aca="false">IFERROR(VLOOKUP(A40,'company tracker'!$a:$s,MATCH("Traffic % Change",'company tracker'!$1:$1,0),FALSE()),"")</f>
        <v/>
      </c>
      <c r="G40" s="1" t="str">
        <f aca="false">IFERROR(VLOOKUP(A40,'company tracker'!$a:$s,MATCH("Jan 2025 Referring Domains",'company tracker'!$1:$1,0),FALSE()),"")</f>
        <v/>
      </c>
      <c r="H40" s="1" t="str">
        <f aca="false">IFERROR(VLOOKUP(A40,'company tracker'!$a:$s,MATCH("Jun 2026 Referring Domains",'company tracker'!$1:$1,0),FALSE()),"")</f>
        <v/>
      </c>
    </row>
    <row r="41" customFormat="false" ht="15" hidden="false" customHeight="true" outlineLevel="0" collapsed="false">
      <c r="B41" s="1" t="str">
        <f aca="false">IFERROR(VLOOKUP(A41,'company tracker'!$a:$s,MATCH("Category",'company tracker'!$1:$1,0),FALSE()),"")</f>
        <v/>
      </c>
      <c r="C41" s="1" t="str">
        <f aca="false">IFERROR(VLOOKUP(A41,'Pass 1 Archive'!$A:$AD,MATCH("LinkedIn Employee Count",'Pass 1 Archive'!$1:$1,0),FALSE()),"")</f>
        <v/>
      </c>
      <c r="D41" s="1" t="str">
        <f aca="false">IFERROR(VLOOKUP(A41,'company tracker'!$a:$s,MATCH("Jan 2025 Traffic",'company tracker'!$1:$1,0),FALSE()),"")</f>
        <v/>
      </c>
      <c r="E41" s="1" t="str">
        <f aca="false">IFERROR(VLOOKUP(A41,'company tracker'!$a:$s,MATCH("Jun 2026 Traffic",'company tracker'!$1:$1,0),FALSE()),"")</f>
        <v/>
      </c>
      <c r="F41" s="1" t="str">
        <f aca="false">IFERROR(VLOOKUP(A41,'company tracker'!$a:$s,MATCH("Traffic % Change",'company tracker'!$1:$1,0),FALSE()),"")</f>
        <v/>
      </c>
      <c r="G41" s="1" t="str">
        <f aca="false">IFERROR(VLOOKUP(A41,'company tracker'!$a:$s,MATCH("Jan 2025 Referring Domains",'company tracker'!$1:$1,0),FALSE()),"")</f>
        <v/>
      </c>
      <c r="H41" s="1" t="str">
        <f aca="false">IFERROR(VLOOKUP(A41,'company tracker'!$a:$s,MATCH("Jun 2026 Referring Domains",'company tracker'!$1:$1,0),FALSE()),"")</f>
        <v/>
      </c>
    </row>
    <row r="42" customFormat="false" ht="15" hidden="false" customHeight="true" outlineLevel="0" collapsed="false">
      <c r="B42" s="1" t="str">
        <f aca="false">IFERROR(VLOOKUP(A42,'company tracker'!$a:$s,MATCH("Category",'company tracker'!$1:$1,0),FALSE()),"")</f>
        <v/>
      </c>
      <c r="C42" s="1" t="str">
        <f aca="false">IFERROR(VLOOKUP(A42,'Pass 1 Archive'!$A:$AD,MATCH("LinkedIn Employee Count",'Pass 1 Archive'!$1:$1,0),FALSE()),"")</f>
        <v/>
      </c>
      <c r="D42" s="1" t="str">
        <f aca="false">IFERROR(VLOOKUP(A42,'company tracker'!$a:$s,MATCH("Jan 2025 Traffic",'company tracker'!$1:$1,0),FALSE()),"")</f>
        <v/>
      </c>
      <c r="E42" s="1" t="str">
        <f aca="false">IFERROR(VLOOKUP(A42,'company tracker'!$a:$s,MATCH("Jun 2026 Traffic",'company tracker'!$1:$1,0),FALSE()),"")</f>
        <v/>
      </c>
      <c r="F42" s="1" t="str">
        <f aca="false">IFERROR(VLOOKUP(A42,'company tracker'!$a:$s,MATCH("Traffic % Change",'company tracker'!$1:$1,0),FALSE()),"")</f>
        <v/>
      </c>
      <c r="G42" s="1" t="str">
        <f aca="false">IFERROR(VLOOKUP(A42,'company tracker'!$a:$s,MATCH("Jan 2025 Referring Domains",'company tracker'!$1:$1,0),FALSE()),"")</f>
        <v/>
      </c>
      <c r="H42" s="1" t="str">
        <f aca="false">IFERROR(VLOOKUP(A42,'company tracker'!$a:$s,MATCH("Jun 2026 Referring Domains",'company tracker'!$1:$1,0),FALSE()),"")</f>
        <v/>
      </c>
    </row>
    <row r="43" customFormat="false" ht="15" hidden="false" customHeight="true" outlineLevel="0" collapsed="false">
      <c r="B43" s="1" t="str">
        <f aca="false">IFERROR(VLOOKUP(A43,'company tracker'!$a:$s,MATCH("Category",'company tracker'!$1:$1,0),FALSE()),"")</f>
        <v/>
      </c>
      <c r="C43" s="1" t="str">
        <f aca="false">IFERROR(VLOOKUP(A43,'Pass 1 Archive'!$A:$AD,MATCH("LinkedIn Employee Count",'Pass 1 Archive'!$1:$1,0),FALSE()),"")</f>
        <v/>
      </c>
      <c r="D43" s="1" t="str">
        <f aca="false">IFERROR(VLOOKUP(A43,'company tracker'!$a:$s,MATCH("Jan 2025 Traffic",'company tracker'!$1:$1,0),FALSE()),"")</f>
        <v/>
      </c>
      <c r="E43" s="1" t="str">
        <f aca="false">IFERROR(VLOOKUP(A43,'company tracker'!$a:$s,MATCH("Jun 2026 Traffic",'company tracker'!$1:$1,0),FALSE()),"")</f>
        <v/>
      </c>
      <c r="F43" s="1" t="str">
        <f aca="false">IFERROR(VLOOKUP(A43,'company tracker'!$a:$s,MATCH("Traffic % Change",'company tracker'!$1:$1,0),FALSE()),"")</f>
        <v/>
      </c>
      <c r="G43" s="1" t="str">
        <f aca="false">IFERROR(VLOOKUP(A43,'company tracker'!$a:$s,MATCH("Jan 2025 Referring Domains",'company tracker'!$1:$1,0),FALSE()),"")</f>
        <v/>
      </c>
      <c r="H43" s="1" t="str">
        <f aca="false">IFERROR(VLOOKUP(A43,'company tracker'!$a:$s,MATCH("Jun 2026 Referring Domains",'company tracker'!$1:$1,0),FALSE()),"")</f>
        <v/>
      </c>
    </row>
    <row r="44" customFormat="false" ht="15" hidden="false" customHeight="true" outlineLevel="0" collapsed="false">
      <c r="B44" s="1" t="str">
        <f aca="false">IFERROR(VLOOKUP(A44,'company tracker'!$a:$s,MATCH("Category",'company tracker'!$1:$1,0),FALSE()),"")</f>
        <v/>
      </c>
      <c r="C44" s="1" t="str">
        <f aca="false">IFERROR(VLOOKUP(A44,'Pass 1 Archive'!$A:$AD,MATCH("LinkedIn Employee Count",'Pass 1 Archive'!$1:$1,0),FALSE()),"")</f>
        <v/>
      </c>
      <c r="D44" s="1" t="str">
        <f aca="false">IFERROR(VLOOKUP(A44,'company tracker'!$a:$s,MATCH("Jan 2025 Traffic",'company tracker'!$1:$1,0),FALSE()),"")</f>
        <v/>
      </c>
      <c r="E44" s="1" t="str">
        <f aca="false">IFERROR(VLOOKUP(A44,'company tracker'!$a:$s,MATCH("Jun 2026 Traffic",'company tracker'!$1:$1,0),FALSE()),"")</f>
        <v/>
      </c>
      <c r="F44" s="1" t="str">
        <f aca="false">IFERROR(VLOOKUP(A44,'company tracker'!$a:$s,MATCH("Traffic % Change",'company tracker'!$1:$1,0),FALSE()),"")</f>
        <v/>
      </c>
      <c r="G44" s="1" t="str">
        <f aca="false">IFERROR(VLOOKUP(A44,'company tracker'!$a:$s,MATCH("Jan 2025 Referring Domains",'company tracker'!$1:$1,0),FALSE()),"")</f>
        <v/>
      </c>
      <c r="H44" s="1" t="str">
        <f aca="false">IFERROR(VLOOKUP(A44,'company tracker'!$a:$s,MATCH("Jun 2026 Referring Domains",'company tracker'!$1:$1,0),FALSE()),"")</f>
        <v/>
      </c>
    </row>
    <row r="45" customFormat="false" ht="15" hidden="false" customHeight="true" outlineLevel="0" collapsed="false">
      <c r="B45" s="1" t="str">
        <f aca="false">IFERROR(VLOOKUP(A45,'company tracker'!$a:$s,MATCH("Category",'company tracker'!$1:$1,0),FALSE()),"")</f>
        <v/>
      </c>
      <c r="C45" s="1" t="str">
        <f aca="false">IFERROR(VLOOKUP(A45,'Pass 1 Archive'!$A:$AD,MATCH("LinkedIn Employee Count",'Pass 1 Archive'!$1:$1,0),FALSE()),"")</f>
        <v/>
      </c>
      <c r="D45" s="1" t="str">
        <f aca="false">IFERROR(VLOOKUP(A45,'company tracker'!$a:$s,MATCH("Jan 2025 Traffic",'company tracker'!$1:$1,0),FALSE()),"")</f>
        <v/>
      </c>
      <c r="E45" s="1" t="str">
        <f aca="false">IFERROR(VLOOKUP(A45,'company tracker'!$a:$s,MATCH("Jun 2026 Traffic",'company tracker'!$1:$1,0),FALSE()),"")</f>
        <v/>
      </c>
      <c r="F45" s="1" t="str">
        <f aca="false">IFERROR(VLOOKUP(A45,'company tracker'!$a:$s,MATCH("Traffic % Change",'company tracker'!$1:$1,0),FALSE()),"")</f>
        <v/>
      </c>
      <c r="G45" s="1" t="str">
        <f aca="false">IFERROR(VLOOKUP(A45,'company tracker'!$a:$s,MATCH("Jan 2025 Referring Domains",'company tracker'!$1:$1,0),FALSE()),"")</f>
        <v/>
      </c>
      <c r="H45" s="1" t="str">
        <f aca="false">IFERROR(VLOOKUP(A45,'company tracker'!$a:$s,MATCH("Jun 2026 Referring Domains",'company tracker'!$1:$1,0),FALSE()),"")</f>
        <v/>
      </c>
    </row>
    <row r="46" customFormat="false" ht="15" hidden="false" customHeight="true" outlineLevel="0" collapsed="false">
      <c r="B46" s="1" t="str">
        <f aca="false">IFERROR(VLOOKUP(A46,'company tracker'!$a:$s,MATCH("Category",'company tracker'!$1:$1,0),FALSE()),"")</f>
        <v/>
      </c>
      <c r="C46" s="1" t="str">
        <f aca="false">IFERROR(VLOOKUP(A46,'Pass 1 Archive'!$A:$AD,MATCH("LinkedIn Employee Count",'Pass 1 Archive'!$1:$1,0),FALSE()),"")</f>
        <v/>
      </c>
      <c r="D46" s="1" t="str">
        <f aca="false">IFERROR(VLOOKUP(A46,'company tracker'!$a:$s,MATCH("Jan 2025 Traffic",'company tracker'!$1:$1,0),FALSE()),"")</f>
        <v/>
      </c>
      <c r="E46" s="1" t="str">
        <f aca="false">IFERROR(VLOOKUP(A46,'company tracker'!$a:$s,MATCH("Jun 2026 Traffic",'company tracker'!$1:$1,0),FALSE()),"")</f>
        <v/>
      </c>
      <c r="F46" s="1" t="str">
        <f aca="false">IFERROR(VLOOKUP(A46,'company tracker'!$a:$s,MATCH("Traffic % Change",'company tracker'!$1:$1,0),FALSE()),"")</f>
        <v/>
      </c>
      <c r="G46" s="1" t="str">
        <f aca="false">IFERROR(VLOOKUP(A46,'company tracker'!$a:$s,MATCH("Jan 2025 Referring Domains",'company tracker'!$1:$1,0),FALSE()),"")</f>
        <v/>
      </c>
      <c r="H46" s="1" t="str">
        <f aca="false">IFERROR(VLOOKUP(A46,'company tracker'!$a:$s,MATCH("Jun 2026 Referring Domains",'company tracker'!$1:$1,0),FALSE()),"")</f>
        <v/>
      </c>
    </row>
    <row r="47" customFormat="false" ht="15" hidden="false" customHeight="true" outlineLevel="0" collapsed="false">
      <c r="B47" s="1" t="str">
        <f aca="false">IFERROR(VLOOKUP(A47,'company tracker'!$a:$s,MATCH("Category",'company tracker'!$1:$1,0),FALSE()),"")</f>
        <v/>
      </c>
      <c r="C47" s="1" t="str">
        <f aca="false">IFERROR(VLOOKUP(A47,'Pass 1 Archive'!$A:$AD,MATCH("LinkedIn Employee Count",'Pass 1 Archive'!$1:$1,0),FALSE()),"")</f>
        <v/>
      </c>
      <c r="D47" s="1" t="str">
        <f aca="false">IFERROR(VLOOKUP(A47,'company tracker'!$a:$s,MATCH("Jan 2025 Traffic",'company tracker'!$1:$1,0),FALSE()),"")</f>
        <v/>
      </c>
      <c r="E47" s="1" t="str">
        <f aca="false">IFERROR(VLOOKUP(A47,'company tracker'!$a:$s,MATCH("Jun 2026 Traffic",'company tracker'!$1:$1,0),FALSE()),"")</f>
        <v/>
      </c>
      <c r="F47" s="1" t="str">
        <f aca="false">IFERROR(VLOOKUP(A47,'company tracker'!$a:$s,MATCH("Traffic % Change",'company tracker'!$1:$1,0),FALSE()),"")</f>
        <v/>
      </c>
      <c r="G47" s="1" t="str">
        <f aca="false">IFERROR(VLOOKUP(A47,'company tracker'!$a:$s,MATCH("Jan 2025 Referring Domains",'company tracker'!$1:$1,0),FALSE()),"")</f>
        <v/>
      </c>
      <c r="H47" s="1" t="str">
        <f aca="false">IFERROR(VLOOKUP(A47,'company tracker'!$a:$s,MATCH("Jun 2026 Referring Domains",'company tracker'!$1:$1,0),FALSE()),"")</f>
        <v/>
      </c>
    </row>
    <row r="48" customFormat="false" ht="15" hidden="false" customHeight="true" outlineLevel="0" collapsed="false">
      <c r="B48" s="1" t="str">
        <f aca="false">IFERROR(VLOOKUP(A48,'company tracker'!$a:$s,MATCH("Category",'company tracker'!$1:$1,0),FALSE()),"")</f>
        <v/>
      </c>
      <c r="C48" s="1" t="str">
        <f aca="false">IFERROR(VLOOKUP(A48,'Pass 1 Archive'!$A:$AD,MATCH("LinkedIn Employee Count",'Pass 1 Archive'!$1:$1,0),FALSE()),"")</f>
        <v/>
      </c>
      <c r="D48" s="1" t="str">
        <f aca="false">IFERROR(VLOOKUP(A48,'company tracker'!$a:$s,MATCH("Jan 2025 Traffic",'company tracker'!$1:$1,0),FALSE()),"")</f>
        <v/>
      </c>
      <c r="E48" s="1" t="str">
        <f aca="false">IFERROR(VLOOKUP(A48,'company tracker'!$a:$s,MATCH("Jun 2026 Traffic",'company tracker'!$1:$1,0),FALSE()),"")</f>
        <v/>
      </c>
      <c r="F48" s="1" t="str">
        <f aca="false">IFERROR(VLOOKUP(A48,'company tracker'!$a:$s,MATCH("Traffic % Change",'company tracker'!$1:$1,0),FALSE()),"")</f>
        <v/>
      </c>
      <c r="G48" s="1" t="str">
        <f aca="false">IFERROR(VLOOKUP(A48,'company tracker'!$a:$s,MATCH("Jan 2025 Referring Domains",'company tracker'!$1:$1,0),FALSE()),"")</f>
        <v/>
      </c>
      <c r="H48" s="1" t="str">
        <f aca="false">IFERROR(VLOOKUP(A48,'company tracker'!$a:$s,MATCH("Jun 2026 Referring Domains",'company tracker'!$1:$1,0),FALSE()),"")</f>
        <v/>
      </c>
    </row>
    <row r="49" customFormat="false" ht="15" hidden="false" customHeight="true" outlineLevel="0" collapsed="false">
      <c r="B49" s="1" t="str">
        <f aca="false">IFERROR(VLOOKUP(A49,'company tracker'!$a:$s,MATCH("Category",'company tracker'!$1:$1,0),FALSE()),"")</f>
        <v/>
      </c>
      <c r="C49" s="1" t="str">
        <f aca="false">IFERROR(VLOOKUP(A49,'Pass 1 Archive'!$A:$AD,MATCH("LinkedIn Employee Count",'Pass 1 Archive'!$1:$1,0),FALSE()),"")</f>
        <v/>
      </c>
      <c r="D49" s="1" t="str">
        <f aca="false">IFERROR(VLOOKUP(A49,'company tracker'!$a:$s,MATCH("Jan 2025 Traffic",'company tracker'!$1:$1,0),FALSE()),"")</f>
        <v/>
      </c>
      <c r="E49" s="1" t="str">
        <f aca="false">IFERROR(VLOOKUP(A49,'company tracker'!$a:$s,MATCH("Jun 2026 Traffic",'company tracker'!$1:$1,0),FALSE()),"")</f>
        <v/>
      </c>
      <c r="F49" s="1" t="str">
        <f aca="false">IFERROR(VLOOKUP(A49,'company tracker'!$a:$s,MATCH("Traffic % Change",'company tracker'!$1:$1,0),FALSE()),"")</f>
        <v/>
      </c>
      <c r="G49" s="1" t="str">
        <f aca="false">IFERROR(VLOOKUP(A49,'company tracker'!$a:$s,MATCH("Jan 2025 Referring Domains",'company tracker'!$1:$1,0),FALSE()),"")</f>
        <v/>
      </c>
      <c r="H49" s="1" t="str">
        <f aca="false">IFERROR(VLOOKUP(A49,'company tracker'!$a:$s,MATCH("Jun 2026 Referring Domains",'company tracker'!$1:$1,0),FALSE()),"")</f>
        <v/>
      </c>
    </row>
    <row r="50" customFormat="false" ht="15" hidden="false" customHeight="true" outlineLevel="0" collapsed="false">
      <c r="B50" s="1" t="str">
        <f aca="false">IFERROR(VLOOKUP(A50,'company tracker'!$a:$s,MATCH("Category",'company tracker'!$1:$1,0),FALSE()),"")</f>
        <v/>
      </c>
      <c r="C50" s="1" t="str">
        <f aca="false">IFERROR(VLOOKUP(A50,'Pass 1 Archive'!$A:$AD,MATCH("LinkedIn Employee Count",'Pass 1 Archive'!$1:$1,0),FALSE()),"")</f>
        <v/>
      </c>
      <c r="D50" s="1" t="str">
        <f aca="false">IFERROR(VLOOKUP(A50,'company tracker'!$a:$s,MATCH("Jan 2025 Traffic",'company tracker'!$1:$1,0),FALSE()),"")</f>
        <v/>
      </c>
      <c r="E50" s="1" t="str">
        <f aca="false">IFERROR(VLOOKUP(A50,'company tracker'!$a:$s,MATCH("Jun 2026 Traffic",'company tracker'!$1:$1,0),FALSE()),"")</f>
        <v/>
      </c>
      <c r="F50" s="1" t="str">
        <f aca="false">IFERROR(VLOOKUP(A50,'company tracker'!$a:$s,MATCH("Traffic % Change",'company tracker'!$1:$1,0),FALSE()),"")</f>
        <v/>
      </c>
      <c r="G50" s="1" t="str">
        <f aca="false">IFERROR(VLOOKUP(A50,'company tracker'!$a:$s,MATCH("Jan 2025 Referring Domains",'company tracker'!$1:$1,0),FALSE()),"")</f>
        <v/>
      </c>
      <c r="H50" s="1" t="str">
        <f aca="false">IFERROR(VLOOKUP(A50,'company tracker'!$a:$s,MATCH("Jun 2026 Referring Domains",'company tracker'!$1:$1,0),FALSE()),"")</f>
        <v/>
      </c>
    </row>
    <row r="51" customFormat="false" ht="15" hidden="false" customHeight="true" outlineLevel="0" collapsed="false">
      <c r="B51" s="1" t="str">
        <f aca="false">IFERROR(VLOOKUP(A51,'company tracker'!$a:$s,MATCH("Category",'company tracker'!$1:$1,0),FALSE()),"")</f>
        <v/>
      </c>
      <c r="C51" s="1" t="str">
        <f aca="false">IFERROR(VLOOKUP(A51,'Pass 1 Archive'!$A:$AD,MATCH("LinkedIn Employee Count",'Pass 1 Archive'!$1:$1,0),FALSE()),"")</f>
        <v/>
      </c>
      <c r="D51" s="1" t="str">
        <f aca="false">IFERROR(VLOOKUP(A51,'company tracker'!$a:$s,MATCH("Jan 2025 Traffic",'company tracker'!$1:$1,0),FALSE()),"")</f>
        <v/>
      </c>
      <c r="E51" s="1" t="str">
        <f aca="false">IFERROR(VLOOKUP(A51,'company tracker'!$a:$s,MATCH("Jun 2026 Traffic",'company tracker'!$1:$1,0),FALSE()),"")</f>
        <v/>
      </c>
      <c r="F51" s="1" t="str">
        <f aca="false">IFERROR(VLOOKUP(A51,'company tracker'!$a:$s,MATCH("Traffic % Change",'company tracker'!$1:$1,0),FALSE()),"")</f>
        <v/>
      </c>
      <c r="G51" s="1" t="str">
        <f aca="false">IFERROR(VLOOKUP(A51,'company tracker'!$a:$s,MATCH("Jan 2025 Referring Domains",'company tracker'!$1:$1,0),FALSE()),"")</f>
        <v/>
      </c>
      <c r="H51" s="1" t="str">
        <f aca="false">IFERROR(VLOOKUP(A51,'company tracker'!$a:$s,MATCH("Jun 2026 Referring Domains",'company tracker'!$1:$1,0),FALSE()),"")</f>
        <v/>
      </c>
    </row>
    <row r="52" customFormat="false" ht="15" hidden="false" customHeight="true" outlineLevel="0" collapsed="false">
      <c r="B52" s="1" t="str">
        <f aca="false">IFERROR(VLOOKUP(A52,'company tracker'!$a:$s,MATCH("Category",'company tracker'!$1:$1,0),FALSE()),"")</f>
        <v/>
      </c>
      <c r="C52" s="1" t="str">
        <f aca="false">IFERROR(VLOOKUP(A52,'Pass 1 Archive'!$A:$AD,MATCH("LinkedIn Employee Count",'Pass 1 Archive'!$1:$1,0),FALSE()),"")</f>
        <v/>
      </c>
      <c r="D52" s="1" t="str">
        <f aca="false">IFERROR(VLOOKUP(A52,'company tracker'!$a:$s,MATCH("Jan 2025 Traffic",'company tracker'!$1:$1,0),FALSE()),"")</f>
        <v/>
      </c>
      <c r="E52" s="1" t="str">
        <f aca="false">IFERROR(VLOOKUP(A52,'company tracker'!$a:$s,MATCH("Jun 2026 Traffic",'company tracker'!$1:$1,0),FALSE()),"")</f>
        <v/>
      </c>
      <c r="F52" s="1" t="str">
        <f aca="false">IFERROR(VLOOKUP(A52,'company tracker'!$a:$s,MATCH("Traffic % Change",'company tracker'!$1:$1,0),FALSE()),"")</f>
        <v/>
      </c>
      <c r="G52" s="1" t="str">
        <f aca="false">IFERROR(VLOOKUP(A52,'company tracker'!$a:$s,MATCH("Jan 2025 Referring Domains",'company tracker'!$1:$1,0),FALSE()),"")</f>
        <v/>
      </c>
      <c r="H52" s="1" t="str">
        <f aca="false">IFERROR(VLOOKUP(A52,'company tracker'!$a:$s,MATCH("Jun 2026 Referring Domains",'company tracker'!$1:$1,0),FALSE()),"")</f>
        <v/>
      </c>
    </row>
    <row r="53" customFormat="false" ht="15" hidden="false" customHeight="true" outlineLevel="0" collapsed="false">
      <c r="B53" s="1" t="str">
        <f aca="false">IFERROR(VLOOKUP(A53,'company tracker'!$a:$s,MATCH("Category",'company tracker'!$1:$1,0),FALSE()),"")</f>
        <v/>
      </c>
      <c r="C53" s="1" t="str">
        <f aca="false">IFERROR(VLOOKUP(A53,'Pass 1 Archive'!$A:$AD,MATCH("LinkedIn Employee Count",'Pass 1 Archive'!$1:$1,0),FALSE()),"")</f>
        <v/>
      </c>
      <c r="D53" s="1" t="str">
        <f aca="false">IFERROR(VLOOKUP(A53,'company tracker'!$a:$s,MATCH("Jan 2025 Traffic",'company tracker'!$1:$1,0),FALSE()),"")</f>
        <v/>
      </c>
      <c r="E53" s="1" t="str">
        <f aca="false">IFERROR(VLOOKUP(A53,'company tracker'!$a:$s,MATCH("Jun 2026 Traffic",'company tracker'!$1:$1,0),FALSE()),"")</f>
        <v/>
      </c>
      <c r="F53" s="1" t="str">
        <f aca="false">IFERROR(VLOOKUP(A53,'company tracker'!$a:$s,MATCH("Traffic % Change",'company tracker'!$1:$1,0),FALSE()),"")</f>
        <v/>
      </c>
      <c r="G53" s="1" t="str">
        <f aca="false">IFERROR(VLOOKUP(A53,'company tracker'!$a:$s,MATCH("Jan 2025 Referring Domains",'company tracker'!$1:$1,0),FALSE()),"")</f>
        <v/>
      </c>
      <c r="H53" s="1" t="str">
        <f aca="false">IFERROR(VLOOKUP(A53,'company tracker'!$a:$s,MATCH("Jun 2026 Referring Domains",'company tracker'!$1:$1,0),FALSE()),"")</f>
        <v/>
      </c>
    </row>
    <row r="54" customFormat="false" ht="15" hidden="false" customHeight="true" outlineLevel="0" collapsed="false">
      <c r="B54" s="1" t="str">
        <f aca="false">IFERROR(VLOOKUP(A54,'company tracker'!$a:$s,MATCH("Category",'company tracker'!$1:$1,0),FALSE()),"")</f>
        <v/>
      </c>
      <c r="C54" s="1" t="str">
        <f aca="false">IFERROR(VLOOKUP(A54,'Pass 1 Archive'!$A:$AD,MATCH("LinkedIn Employee Count",'Pass 1 Archive'!$1:$1,0),FALSE()),"")</f>
        <v/>
      </c>
      <c r="D54" s="1" t="str">
        <f aca="false">IFERROR(VLOOKUP(A54,'company tracker'!$a:$s,MATCH("Jan 2025 Traffic",'company tracker'!$1:$1,0),FALSE()),"")</f>
        <v/>
      </c>
      <c r="E54" s="1" t="str">
        <f aca="false">IFERROR(VLOOKUP(A54,'company tracker'!$a:$s,MATCH("Jun 2026 Traffic",'company tracker'!$1:$1,0),FALSE()),"")</f>
        <v/>
      </c>
      <c r="F54" s="1" t="str">
        <f aca="false">IFERROR(VLOOKUP(A54,'company tracker'!$a:$s,MATCH("Traffic % Change",'company tracker'!$1:$1,0),FALSE()),"")</f>
        <v/>
      </c>
      <c r="G54" s="1" t="str">
        <f aca="false">IFERROR(VLOOKUP(A54,'company tracker'!$a:$s,MATCH("Jan 2025 Referring Domains",'company tracker'!$1:$1,0),FALSE()),"")</f>
        <v/>
      </c>
      <c r="H54" s="1" t="str">
        <f aca="false">IFERROR(VLOOKUP(A54,'company tracker'!$a:$s,MATCH("Jun 2026 Referring Domains",'company tracker'!$1:$1,0),FALSE()),"")</f>
        <v/>
      </c>
    </row>
    <row r="55" customFormat="false" ht="15" hidden="false" customHeight="true" outlineLevel="0" collapsed="false">
      <c r="B55" s="1" t="str">
        <f aca="false">IFERROR(VLOOKUP(A55,'company tracker'!$a:$s,MATCH("Category",'company tracker'!$1:$1,0),FALSE()),"")</f>
        <v/>
      </c>
      <c r="C55" s="1" t="str">
        <f aca="false">IFERROR(VLOOKUP(A55,'Pass 1 Archive'!$A:$AD,MATCH("LinkedIn Employee Count",'Pass 1 Archive'!$1:$1,0),FALSE()),"")</f>
        <v/>
      </c>
      <c r="D55" s="1" t="str">
        <f aca="false">IFERROR(VLOOKUP(A55,'company tracker'!$a:$s,MATCH("Jan 2025 Traffic",'company tracker'!$1:$1,0),FALSE()),"")</f>
        <v/>
      </c>
      <c r="E55" s="1" t="str">
        <f aca="false">IFERROR(VLOOKUP(A55,'company tracker'!$a:$s,MATCH("Jun 2026 Traffic",'company tracker'!$1:$1,0),FALSE()),"")</f>
        <v/>
      </c>
      <c r="F55" s="1" t="str">
        <f aca="false">IFERROR(VLOOKUP(A55,'company tracker'!$a:$s,MATCH("Traffic % Change",'company tracker'!$1:$1,0),FALSE()),"")</f>
        <v/>
      </c>
      <c r="G55" s="1" t="str">
        <f aca="false">IFERROR(VLOOKUP(A55,'company tracker'!$a:$s,MATCH("Jan 2025 Referring Domains",'company tracker'!$1:$1,0),FALSE()),"")</f>
        <v/>
      </c>
      <c r="H55" s="1" t="str">
        <f aca="false">IFERROR(VLOOKUP(A55,'company tracker'!$a:$s,MATCH("Jun 2026 Referring Domains",'company tracker'!$1:$1,0),FALSE()),"")</f>
        <v/>
      </c>
    </row>
    <row r="56" customFormat="false" ht="15" hidden="false" customHeight="true" outlineLevel="0" collapsed="false">
      <c r="B56" s="1" t="str">
        <f aca="false">IFERROR(VLOOKUP(A56,'company tracker'!$a:$s,MATCH("Category",'company tracker'!$1:$1,0),FALSE()),"")</f>
        <v/>
      </c>
      <c r="C56" s="1" t="str">
        <f aca="false">IFERROR(VLOOKUP(A56,'Pass 1 Archive'!$A:$AD,MATCH("LinkedIn Employee Count",'Pass 1 Archive'!$1:$1,0),FALSE()),"")</f>
        <v/>
      </c>
      <c r="D56" s="1" t="str">
        <f aca="false">IFERROR(VLOOKUP(A56,'company tracker'!$a:$s,MATCH("Jan 2025 Traffic",'company tracker'!$1:$1,0),FALSE()),"")</f>
        <v/>
      </c>
      <c r="E56" s="1" t="str">
        <f aca="false">IFERROR(VLOOKUP(A56,'company tracker'!$a:$s,MATCH("Jun 2026 Traffic",'company tracker'!$1:$1,0),FALSE()),"")</f>
        <v/>
      </c>
      <c r="F56" s="1" t="str">
        <f aca="false">IFERROR(VLOOKUP(A56,'company tracker'!$a:$s,MATCH("Traffic % Change",'company tracker'!$1:$1,0),FALSE()),"")</f>
        <v/>
      </c>
      <c r="G56" s="1" t="str">
        <f aca="false">IFERROR(VLOOKUP(A56,'company tracker'!$a:$s,MATCH("Jan 2025 Referring Domains",'company tracker'!$1:$1,0),FALSE()),"")</f>
        <v/>
      </c>
      <c r="H56" s="1" t="str">
        <f aca="false">IFERROR(VLOOKUP(A56,'company tracker'!$a:$s,MATCH("Jun 2026 Referring Domains",'company tracker'!$1:$1,0),FALSE()),"")</f>
        <v/>
      </c>
    </row>
    <row r="57" customFormat="false" ht="15" hidden="false" customHeight="true" outlineLevel="0" collapsed="false">
      <c r="B57" s="1" t="str">
        <f aca="false">IFERROR(VLOOKUP(A57,'company tracker'!$a:$s,MATCH("Category",'company tracker'!$1:$1,0),FALSE()),"")</f>
        <v/>
      </c>
      <c r="C57" s="1" t="str">
        <f aca="false">IFERROR(VLOOKUP(A57,'Pass 1 Archive'!$A:$AD,MATCH("LinkedIn Employee Count",'Pass 1 Archive'!$1:$1,0),FALSE()),"")</f>
        <v/>
      </c>
      <c r="D57" s="1" t="str">
        <f aca="false">IFERROR(VLOOKUP(A57,'company tracker'!$a:$s,MATCH("Jan 2025 Traffic",'company tracker'!$1:$1,0),FALSE()),"")</f>
        <v/>
      </c>
      <c r="E57" s="1" t="str">
        <f aca="false">IFERROR(VLOOKUP(A57,'company tracker'!$a:$s,MATCH("Jun 2026 Traffic",'company tracker'!$1:$1,0),FALSE()),"")</f>
        <v/>
      </c>
      <c r="F57" s="1" t="str">
        <f aca="false">IFERROR(VLOOKUP(A57,'company tracker'!$a:$s,MATCH("Traffic % Change",'company tracker'!$1:$1,0),FALSE()),"")</f>
        <v/>
      </c>
      <c r="G57" s="1" t="str">
        <f aca="false">IFERROR(VLOOKUP(A57,'company tracker'!$a:$s,MATCH("Jan 2025 Referring Domains",'company tracker'!$1:$1,0),FALSE()),"")</f>
        <v/>
      </c>
      <c r="H57" s="1" t="str">
        <f aca="false">IFERROR(VLOOKUP(A57,'company tracker'!$a:$s,MATCH("Jun 2026 Referring Domains",'company tracker'!$1:$1,0),FALSE()),"")</f>
        <v/>
      </c>
    </row>
    <row r="58" customFormat="false" ht="15" hidden="false" customHeight="true" outlineLevel="0" collapsed="false">
      <c r="B58" s="1" t="str">
        <f aca="false">IFERROR(VLOOKUP(A58,'company tracker'!$a:$s,MATCH("Category",'company tracker'!$1:$1,0),FALSE()),"")</f>
        <v/>
      </c>
      <c r="C58" s="1" t="str">
        <f aca="false">IFERROR(VLOOKUP(A58,'Pass 1 Archive'!$A:$AD,MATCH("LinkedIn Employee Count",'Pass 1 Archive'!$1:$1,0),FALSE()),"")</f>
        <v/>
      </c>
      <c r="D58" s="1" t="str">
        <f aca="false">IFERROR(VLOOKUP(A58,'company tracker'!$a:$s,MATCH("Jan 2025 Traffic",'company tracker'!$1:$1,0),FALSE()),"")</f>
        <v/>
      </c>
      <c r="E58" s="1" t="str">
        <f aca="false">IFERROR(VLOOKUP(A58,'company tracker'!$a:$s,MATCH("Jun 2026 Traffic",'company tracker'!$1:$1,0),FALSE()),"")</f>
        <v/>
      </c>
      <c r="F58" s="1" t="str">
        <f aca="false">IFERROR(VLOOKUP(A58,'company tracker'!$a:$s,MATCH("Traffic % Change",'company tracker'!$1:$1,0),FALSE()),"")</f>
        <v/>
      </c>
      <c r="G58" s="1" t="str">
        <f aca="false">IFERROR(VLOOKUP(A58,'company tracker'!$a:$s,MATCH("Jan 2025 Referring Domains",'company tracker'!$1:$1,0),FALSE()),"")</f>
        <v/>
      </c>
      <c r="H58" s="1" t="str">
        <f aca="false">IFERROR(VLOOKUP(A58,'company tracker'!$a:$s,MATCH("Jun 2026 Referring Domains",'company tracker'!$1:$1,0),FALSE()),"")</f>
        <v/>
      </c>
    </row>
    <row r="59" customFormat="false" ht="15" hidden="false" customHeight="true" outlineLevel="0" collapsed="false">
      <c r="B59" s="1" t="str">
        <f aca="false">IFERROR(VLOOKUP(A59,'company tracker'!$a:$s,MATCH("Category",'company tracker'!$1:$1,0),FALSE()),"")</f>
        <v/>
      </c>
      <c r="C59" s="1" t="str">
        <f aca="false">IFERROR(VLOOKUP(A59,'Pass 1 Archive'!$A:$AD,MATCH("LinkedIn Employee Count",'Pass 1 Archive'!$1:$1,0),FALSE()),"")</f>
        <v/>
      </c>
      <c r="D59" s="1" t="str">
        <f aca="false">IFERROR(VLOOKUP(A59,'company tracker'!$a:$s,MATCH("Jan 2025 Traffic",'company tracker'!$1:$1,0),FALSE()),"")</f>
        <v/>
      </c>
      <c r="E59" s="1" t="str">
        <f aca="false">IFERROR(VLOOKUP(A59,'company tracker'!$a:$s,MATCH("Jun 2026 Traffic",'company tracker'!$1:$1,0),FALSE()),"")</f>
        <v/>
      </c>
      <c r="F59" s="1" t="str">
        <f aca="false">IFERROR(VLOOKUP(A59,'company tracker'!$a:$s,MATCH("Traffic % Change",'company tracker'!$1:$1,0),FALSE()),"")</f>
        <v/>
      </c>
      <c r="G59" s="1" t="str">
        <f aca="false">IFERROR(VLOOKUP(A59,'company tracker'!$a:$s,MATCH("Jan 2025 Referring Domains",'company tracker'!$1:$1,0),FALSE()),"")</f>
        <v/>
      </c>
      <c r="H59" s="1" t="str">
        <f aca="false">IFERROR(VLOOKUP(A59,'company tracker'!$a:$s,MATCH("Jun 2026 Referring Domains",'company tracker'!$1:$1,0),FALSE()),"")</f>
        <v/>
      </c>
    </row>
    <row r="60" customFormat="false" ht="15" hidden="false" customHeight="true" outlineLevel="0" collapsed="false">
      <c r="B60" s="1" t="str">
        <f aca="false">IFERROR(VLOOKUP(A60,'company tracker'!$a:$s,MATCH("Category",'company tracker'!$1:$1,0),FALSE()),"")</f>
        <v/>
      </c>
      <c r="C60" s="1" t="str">
        <f aca="false">IFERROR(VLOOKUP(A60,'Pass 1 Archive'!$A:$AD,MATCH("LinkedIn Employee Count",'Pass 1 Archive'!$1:$1,0),FALSE()),"")</f>
        <v/>
      </c>
      <c r="D60" s="1" t="str">
        <f aca="false">IFERROR(VLOOKUP(A60,'company tracker'!$a:$s,MATCH("Jan 2025 Traffic",'company tracker'!$1:$1,0),FALSE()),"")</f>
        <v/>
      </c>
      <c r="E60" s="1" t="str">
        <f aca="false">IFERROR(VLOOKUP(A60,'company tracker'!$a:$s,MATCH("Jun 2026 Traffic",'company tracker'!$1:$1,0),FALSE()),"")</f>
        <v/>
      </c>
      <c r="F60" s="1" t="str">
        <f aca="false">IFERROR(VLOOKUP(A60,'company tracker'!$a:$s,MATCH("Traffic % Change",'company tracker'!$1:$1,0),FALSE()),"")</f>
        <v/>
      </c>
      <c r="G60" s="1" t="str">
        <f aca="false">IFERROR(VLOOKUP(A60,'company tracker'!$a:$s,MATCH("Jan 2025 Referring Domains",'company tracker'!$1:$1,0),FALSE()),"")</f>
        <v/>
      </c>
      <c r="H60" s="1" t="str">
        <f aca="false">IFERROR(VLOOKUP(A60,'company tracker'!$a:$s,MATCH("Jun 2026 Referring Domains",'company tracker'!$1:$1,0),FALSE()),"")</f>
        <v/>
      </c>
    </row>
    <row r="61" customFormat="false" ht="15" hidden="false" customHeight="true" outlineLevel="0" collapsed="false">
      <c r="B61" s="1" t="str">
        <f aca="false">IFERROR(VLOOKUP(A61,'company tracker'!$a:$s,MATCH("Category",'company tracker'!$1:$1,0),FALSE()),"")</f>
        <v/>
      </c>
      <c r="C61" s="1" t="str">
        <f aca="false">IFERROR(VLOOKUP(A61,'Pass 1 Archive'!$A:$AD,MATCH("LinkedIn Employee Count",'Pass 1 Archive'!$1:$1,0),FALSE()),"")</f>
        <v/>
      </c>
      <c r="D61" s="1" t="str">
        <f aca="false">IFERROR(VLOOKUP(A61,'company tracker'!$a:$s,MATCH("Jan 2025 Traffic",'company tracker'!$1:$1,0),FALSE()),"")</f>
        <v/>
      </c>
      <c r="E61" s="1" t="str">
        <f aca="false">IFERROR(VLOOKUP(A61,'company tracker'!$a:$s,MATCH("Jun 2026 Traffic",'company tracker'!$1:$1,0),FALSE()),"")</f>
        <v/>
      </c>
      <c r="F61" s="1" t="str">
        <f aca="false">IFERROR(VLOOKUP(A61,'company tracker'!$a:$s,MATCH("Traffic % Change",'company tracker'!$1:$1,0),FALSE()),"")</f>
        <v/>
      </c>
      <c r="G61" s="1" t="str">
        <f aca="false">IFERROR(VLOOKUP(A61,'company tracker'!$a:$s,MATCH("Jan 2025 Referring Domains",'company tracker'!$1:$1,0),FALSE()),"")</f>
        <v/>
      </c>
      <c r="H61" s="1" t="str">
        <f aca="false">IFERROR(VLOOKUP(A61,'company tracker'!$a:$s,MATCH("Jun 2026 Referring Domains",'company tracker'!$1:$1,0),FALSE()),"")</f>
        <v/>
      </c>
    </row>
    <row r="62" customFormat="false" ht="15" hidden="false" customHeight="true" outlineLevel="0" collapsed="false">
      <c r="B62" s="1" t="str">
        <f aca="false">IFERROR(VLOOKUP(A62,'company tracker'!$a:$s,MATCH("Category",'company tracker'!$1:$1,0),FALSE()),"")</f>
        <v/>
      </c>
      <c r="C62" s="1" t="str">
        <f aca="false">IFERROR(VLOOKUP(A62,'Pass 1 Archive'!$A:$AD,MATCH("LinkedIn Employee Count",'Pass 1 Archive'!$1:$1,0),FALSE()),"")</f>
        <v/>
      </c>
      <c r="D62" s="1" t="str">
        <f aca="false">IFERROR(VLOOKUP(A62,'company tracker'!$a:$s,MATCH("Jan 2025 Traffic",'company tracker'!$1:$1,0),FALSE()),"")</f>
        <v/>
      </c>
      <c r="E62" s="1" t="str">
        <f aca="false">IFERROR(VLOOKUP(A62,'company tracker'!$a:$s,MATCH("Jun 2026 Traffic",'company tracker'!$1:$1,0),FALSE()),"")</f>
        <v/>
      </c>
      <c r="F62" s="1" t="str">
        <f aca="false">IFERROR(VLOOKUP(A62,'company tracker'!$a:$s,MATCH("Traffic % Change",'company tracker'!$1:$1,0),FALSE()),"")</f>
        <v/>
      </c>
      <c r="G62" s="1" t="str">
        <f aca="false">IFERROR(VLOOKUP(A62,'company tracker'!$a:$s,MATCH("Jan 2025 Referring Domains",'company tracker'!$1:$1,0),FALSE()),"")</f>
        <v/>
      </c>
      <c r="H62" s="1" t="str">
        <f aca="false">IFERROR(VLOOKUP(A62,'company tracker'!$a:$s,MATCH("Jun 2026 Referring Domains",'company tracker'!$1:$1,0),FALSE()),"")</f>
        <v/>
      </c>
    </row>
    <row r="63" customFormat="false" ht="15" hidden="false" customHeight="true" outlineLevel="0" collapsed="false">
      <c r="B63" s="1" t="str">
        <f aca="false">IFERROR(VLOOKUP(A63,'company tracker'!$a:$s,MATCH("Category",'company tracker'!$1:$1,0),FALSE()),"")</f>
        <v/>
      </c>
      <c r="C63" s="1" t="str">
        <f aca="false">IFERROR(VLOOKUP(A63,'Pass 1 Archive'!$A:$AD,MATCH("LinkedIn Employee Count",'Pass 1 Archive'!$1:$1,0),FALSE()),"")</f>
        <v/>
      </c>
      <c r="D63" s="1" t="str">
        <f aca="false">IFERROR(VLOOKUP(A63,'company tracker'!$a:$s,MATCH("Jan 2025 Traffic",'company tracker'!$1:$1,0),FALSE()),"")</f>
        <v/>
      </c>
      <c r="E63" s="1" t="str">
        <f aca="false">IFERROR(VLOOKUP(A63,'company tracker'!$a:$s,MATCH("Jun 2026 Traffic",'company tracker'!$1:$1,0),FALSE()),"")</f>
        <v/>
      </c>
      <c r="F63" s="1" t="str">
        <f aca="false">IFERROR(VLOOKUP(A63,'company tracker'!$a:$s,MATCH("Traffic % Change",'company tracker'!$1:$1,0),FALSE()),"")</f>
        <v/>
      </c>
      <c r="G63" s="1" t="str">
        <f aca="false">IFERROR(VLOOKUP(A63,'company tracker'!$a:$s,MATCH("Jan 2025 Referring Domains",'company tracker'!$1:$1,0),FALSE()),"")</f>
        <v/>
      </c>
      <c r="H63" s="1" t="str">
        <f aca="false">IFERROR(VLOOKUP(A63,'company tracker'!$a:$s,MATCH("Jun 2026 Referring Domains",'company tracker'!$1:$1,0),FALSE()),"")</f>
        <v/>
      </c>
    </row>
    <row r="64" customFormat="false" ht="15" hidden="false" customHeight="true" outlineLevel="0" collapsed="false">
      <c r="B64" s="1" t="str">
        <f aca="false">IFERROR(VLOOKUP(A64,'company tracker'!$a:$s,MATCH("Category",'company tracker'!$1:$1,0),FALSE()),"")</f>
        <v/>
      </c>
      <c r="C64" s="1" t="str">
        <f aca="false">IFERROR(VLOOKUP(A64,'Pass 1 Archive'!$A:$AD,MATCH("LinkedIn Employee Count",'Pass 1 Archive'!$1:$1,0),FALSE()),"")</f>
        <v/>
      </c>
      <c r="D64" s="1" t="str">
        <f aca="false">IFERROR(VLOOKUP(A64,'company tracker'!$a:$s,MATCH("Jan 2025 Traffic",'company tracker'!$1:$1,0),FALSE()),"")</f>
        <v/>
      </c>
      <c r="E64" s="1" t="str">
        <f aca="false">IFERROR(VLOOKUP(A64,'company tracker'!$a:$s,MATCH("Jun 2026 Traffic",'company tracker'!$1:$1,0),FALSE()),"")</f>
        <v/>
      </c>
      <c r="F64" s="1" t="str">
        <f aca="false">IFERROR(VLOOKUP(A64,'company tracker'!$a:$s,MATCH("Traffic % Change",'company tracker'!$1:$1,0),FALSE()),"")</f>
        <v/>
      </c>
      <c r="G64" s="1" t="str">
        <f aca="false">IFERROR(VLOOKUP(A64,'company tracker'!$a:$s,MATCH("Jan 2025 Referring Domains",'company tracker'!$1:$1,0),FALSE()),"")</f>
        <v/>
      </c>
      <c r="H64" s="1" t="str">
        <f aca="false">IFERROR(VLOOKUP(A64,'company tracker'!$a:$s,MATCH("Jun 2026 Referring Domains",'company tracker'!$1:$1,0),FALSE()),"")</f>
        <v/>
      </c>
    </row>
    <row r="65" customFormat="false" ht="15" hidden="false" customHeight="true" outlineLevel="0" collapsed="false">
      <c r="B65" s="1" t="str">
        <f aca="false">IFERROR(VLOOKUP(A65,'company tracker'!$a:$s,MATCH("Category",'company tracker'!$1:$1,0),FALSE()),"")</f>
        <v/>
      </c>
      <c r="C65" s="1" t="str">
        <f aca="false">IFERROR(VLOOKUP(A65,'Pass 1 Archive'!$A:$AD,MATCH("LinkedIn Employee Count",'Pass 1 Archive'!$1:$1,0),FALSE()),"")</f>
        <v/>
      </c>
      <c r="D65" s="1" t="str">
        <f aca="false">IFERROR(VLOOKUP(A65,'company tracker'!$a:$s,MATCH("Jan 2025 Traffic",'company tracker'!$1:$1,0),FALSE()),"")</f>
        <v/>
      </c>
      <c r="E65" s="1" t="str">
        <f aca="false">IFERROR(VLOOKUP(A65,'company tracker'!$a:$s,MATCH("Jun 2026 Traffic",'company tracker'!$1:$1,0),FALSE()),"")</f>
        <v/>
      </c>
      <c r="F65" s="1" t="str">
        <f aca="false">IFERROR(VLOOKUP(A65,'company tracker'!$a:$s,MATCH("Traffic % Change",'company tracker'!$1:$1,0),FALSE()),"")</f>
        <v/>
      </c>
      <c r="G65" s="1" t="str">
        <f aca="false">IFERROR(VLOOKUP(A65,'company tracker'!$a:$s,MATCH("Jan 2025 Referring Domains",'company tracker'!$1:$1,0),FALSE()),"")</f>
        <v/>
      </c>
      <c r="H65" s="1" t="str">
        <f aca="false">IFERROR(VLOOKUP(A65,'company tracker'!$a:$s,MATCH("Jun 2026 Referring Domains",'company tracker'!$1:$1,0),FALSE()),"")</f>
        <v/>
      </c>
    </row>
    <row r="66" customFormat="false" ht="15" hidden="false" customHeight="true" outlineLevel="0" collapsed="false">
      <c r="B66" s="1" t="str">
        <f aca="false">IFERROR(VLOOKUP(A66,'company tracker'!$a:$s,MATCH("Category",'company tracker'!$1:$1,0),FALSE()),"")</f>
        <v/>
      </c>
      <c r="C66" s="1" t="str">
        <f aca="false">IFERROR(VLOOKUP(A66,'Pass 1 Archive'!$A:$AD,MATCH("LinkedIn Employee Count",'Pass 1 Archive'!$1:$1,0),FALSE()),"")</f>
        <v/>
      </c>
      <c r="D66" s="1" t="str">
        <f aca="false">IFERROR(VLOOKUP(A66,'company tracker'!$a:$s,MATCH("Jan 2025 Traffic",'company tracker'!$1:$1,0),FALSE()),"")</f>
        <v/>
      </c>
      <c r="E66" s="1" t="str">
        <f aca="false">IFERROR(VLOOKUP(A66,'company tracker'!$a:$s,MATCH("Jun 2026 Traffic",'company tracker'!$1:$1,0),FALSE()),"")</f>
        <v/>
      </c>
      <c r="F66" s="1" t="str">
        <f aca="false">IFERROR(VLOOKUP(A66,'company tracker'!$a:$s,MATCH("Traffic % Change",'company tracker'!$1:$1,0),FALSE()),"")</f>
        <v/>
      </c>
      <c r="G66" s="1" t="str">
        <f aca="false">IFERROR(VLOOKUP(A66,'company tracker'!$a:$s,MATCH("Jan 2025 Referring Domains",'company tracker'!$1:$1,0),FALSE()),"")</f>
        <v/>
      </c>
      <c r="H66" s="1" t="str">
        <f aca="false">IFERROR(VLOOKUP(A66,'company tracker'!$a:$s,MATCH("Jun 2026 Referring Domains",'company tracker'!$1:$1,0),FALSE()),"")</f>
        <v/>
      </c>
    </row>
    <row r="67" customFormat="false" ht="15" hidden="false" customHeight="true" outlineLevel="0" collapsed="false">
      <c r="B67" s="1" t="str">
        <f aca="false">IFERROR(VLOOKUP(A67,'company tracker'!$a:$s,MATCH("Category",'company tracker'!$1:$1,0),FALSE()),"")</f>
        <v/>
      </c>
      <c r="C67" s="1" t="str">
        <f aca="false">IFERROR(VLOOKUP(A67,'Pass 1 Archive'!$A:$AD,MATCH("LinkedIn Employee Count",'Pass 1 Archive'!$1:$1,0),FALSE()),"")</f>
        <v/>
      </c>
      <c r="D67" s="1" t="str">
        <f aca="false">IFERROR(VLOOKUP(A67,'company tracker'!$a:$s,MATCH("Jan 2025 Traffic",'company tracker'!$1:$1,0),FALSE()),"")</f>
        <v/>
      </c>
      <c r="E67" s="1" t="str">
        <f aca="false">IFERROR(VLOOKUP(A67,'company tracker'!$a:$s,MATCH("Jun 2026 Traffic",'company tracker'!$1:$1,0),FALSE()),"")</f>
        <v/>
      </c>
      <c r="F67" s="1" t="str">
        <f aca="false">IFERROR(VLOOKUP(A67,'company tracker'!$a:$s,MATCH("Traffic % Change",'company tracker'!$1:$1,0),FALSE()),"")</f>
        <v/>
      </c>
      <c r="G67" s="1" t="str">
        <f aca="false">IFERROR(VLOOKUP(A67,'company tracker'!$a:$s,MATCH("Jan 2025 Referring Domains",'company tracker'!$1:$1,0),FALSE()),"")</f>
        <v/>
      </c>
      <c r="H67" s="1" t="str">
        <f aca="false">IFERROR(VLOOKUP(A67,'company tracker'!$a:$s,MATCH("Jun 2026 Referring Domains",'company tracker'!$1:$1,0),FALSE()),"")</f>
        <v/>
      </c>
    </row>
    <row r="68" customFormat="false" ht="15" hidden="false" customHeight="true" outlineLevel="0" collapsed="false">
      <c r="B68" s="1" t="str">
        <f aca="false">IFERROR(VLOOKUP(A68,'company tracker'!$a:$s,MATCH("Category",'company tracker'!$1:$1,0),FALSE()),"")</f>
        <v/>
      </c>
      <c r="C68" s="1" t="str">
        <f aca="false">IFERROR(VLOOKUP(A68,'Pass 1 Archive'!$A:$AD,MATCH("LinkedIn Employee Count",'Pass 1 Archive'!$1:$1,0),FALSE()),"")</f>
        <v/>
      </c>
      <c r="D68" s="1" t="str">
        <f aca="false">IFERROR(VLOOKUP(A68,'company tracker'!$a:$s,MATCH("Jan 2025 Traffic",'company tracker'!$1:$1,0),FALSE()),"")</f>
        <v/>
      </c>
      <c r="E68" s="1" t="str">
        <f aca="false">IFERROR(VLOOKUP(A68,'company tracker'!$a:$s,MATCH("Jun 2026 Traffic",'company tracker'!$1:$1,0),FALSE()),"")</f>
        <v/>
      </c>
      <c r="F68" s="1" t="str">
        <f aca="false">IFERROR(VLOOKUP(A68,'company tracker'!$a:$s,MATCH("Traffic % Change",'company tracker'!$1:$1,0),FALSE()),"")</f>
        <v/>
      </c>
      <c r="G68" s="1" t="str">
        <f aca="false">IFERROR(VLOOKUP(A68,'company tracker'!$a:$s,MATCH("Jan 2025 Referring Domains",'company tracker'!$1:$1,0),FALSE()),"")</f>
        <v/>
      </c>
      <c r="H68" s="1" t="str">
        <f aca="false">IFERROR(VLOOKUP(A68,'company tracker'!$a:$s,MATCH("Jun 2026 Referring Domains",'company tracker'!$1:$1,0),FALSE()),"")</f>
        <v/>
      </c>
    </row>
    <row r="69" customFormat="false" ht="15" hidden="false" customHeight="true" outlineLevel="0" collapsed="false">
      <c r="B69" s="1" t="str">
        <f aca="false">IFERROR(VLOOKUP(A69,'company tracker'!$a:$s,MATCH("Category",'company tracker'!$1:$1,0),FALSE()),"")</f>
        <v/>
      </c>
      <c r="C69" s="1" t="str">
        <f aca="false">IFERROR(VLOOKUP(A69,'Pass 1 Archive'!$A:$AD,MATCH("LinkedIn Employee Count",'Pass 1 Archive'!$1:$1,0),FALSE()),"")</f>
        <v/>
      </c>
      <c r="D69" s="1" t="str">
        <f aca="false">IFERROR(VLOOKUP(A69,'company tracker'!$a:$s,MATCH("Jan 2025 Traffic",'company tracker'!$1:$1,0),FALSE()),"")</f>
        <v/>
      </c>
      <c r="E69" s="1" t="str">
        <f aca="false">IFERROR(VLOOKUP(A69,'company tracker'!$a:$s,MATCH("Jun 2026 Traffic",'company tracker'!$1:$1,0),FALSE()),"")</f>
        <v/>
      </c>
      <c r="F69" s="1" t="str">
        <f aca="false">IFERROR(VLOOKUP(A69,'company tracker'!$a:$s,MATCH("Traffic % Change",'company tracker'!$1:$1,0),FALSE()),"")</f>
        <v/>
      </c>
      <c r="G69" s="1" t="str">
        <f aca="false">IFERROR(VLOOKUP(A69,'company tracker'!$a:$s,MATCH("Jan 2025 Referring Domains",'company tracker'!$1:$1,0),FALSE()),"")</f>
        <v/>
      </c>
      <c r="H69" s="1" t="str">
        <f aca="false">IFERROR(VLOOKUP(A69,'company tracker'!$a:$s,MATCH("Jun 2026 Referring Domains",'company tracker'!$1:$1,0),FALSE()),"")</f>
        <v/>
      </c>
    </row>
    <row r="70" customFormat="false" ht="15" hidden="false" customHeight="true" outlineLevel="0" collapsed="false">
      <c r="B70" s="1" t="str">
        <f aca="false">IFERROR(VLOOKUP(A70,'company tracker'!$a:$s,MATCH("Category",'company tracker'!$1:$1,0),FALSE()),"")</f>
        <v/>
      </c>
      <c r="C70" s="1" t="str">
        <f aca="false">IFERROR(VLOOKUP(A70,'Pass 1 Archive'!$A:$AD,MATCH("LinkedIn Employee Count",'Pass 1 Archive'!$1:$1,0),FALSE()),"")</f>
        <v/>
      </c>
      <c r="D70" s="1" t="str">
        <f aca="false">IFERROR(VLOOKUP(A70,'company tracker'!$a:$s,MATCH("Jan 2025 Traffic",'company tracker'!$1:$1,0),FALSE()),"")</f>
        <v/>
      </c>
      <c r="E70" s="1" t="str">
        <f aca="false">IFERROR(VLOOKUP(A70,'company tracker'!$a:$s,MATCH("Jun 2026 Traffic",'company tracker'!$1:$1,0),FALSE()),"")</f>
        <v/>
      </c>
      <c r="F70" s="1" t="str">
        <f aca="false">IFERROR(VLOOKUP(A70,'company tracker'!$a:$s,MATCH("Traffic % Change",'company tracker'!$1:$1,0),FALSE()),"")</f>
        <v/>
      </c>
      <c r="G70" s="1" t="str">
        <f aca="false">IFERROR(VLOOKUP(A70,'company tracker'!$a:$s,MATCH("Jan 2025 Referring Domains",'company tracker'!$1:$1,0),FALSE()),"")</f>
        <v/>
      </c>
      <c r="H70" s="1" t="str">
        <f aca="false">IFERROR(VLOOKUP(A70,'company tracker'!$a:$s,MATCH("Jun 2026 Referring Domains",'company tracker'!$1:$1,0),FALSE()),"")</f>
        <v/>
      </c>
    </row>
    <row r="71" customFormat="false" ht="15" hidden="false" customHeight="true" outlineLevel="0" collapsed="false">
      <c r="B71" s="1" t="str">
        <f aca="false">IFERROR(VLOOKUP(A71,'company tracker'!$a:$s,MATCH("Category",'company tracker'!$1:$1,0),FALSE()),"")</f>
        <v/>
      </c>
      <c r="C71" s="1" t="str">
        <f aca="false">IFERROR(VLOOKUP(A71,'Pass 1 Archive'!$A:$AD,MATCH("LinkedIn Employee Count",'Pass 1 Archive'!$1:$1,0),FALSE()),"")</f>
        <v/>
      </c>
      <c r="D71" s="1" t="str">
        <f aca="false">IFERROR(VLOOKUP(A71,'company tracker'!$a:$s,MATCH("Jan 2025 Traffic",'company tracker'!$1:$1,0),FALSE()),"")</f>
        <v/>
      </c>
      <c r="E71" s="1" t="str">
        <f aca="false">IFERROR(VLOOKUP(A71,'company tracker'!$a:$s,MATCH("Jun 2026 Traffic",'company tracker'!$1:$1,0),FALSE()),"")</f>
        <v/>
      </c>
      <c r="F71" s="1" t="str">
        <f aca="false">IFERROR(VLOOKUP(A71,'company tracker'!$a:$s,MATCH("Traffic % Change",'company tracker'!$1:$1,0),FALSE()),"")</f>
        <v/>
      </c>
      <c r="G71" s="1" t="str">
        <f aca="false">IFERROR(VLOOKUP(A71,'company tracker'!$a:$s,MATCH("Jan 2025 Referring Domains",'company tracker'!$1:$1,0),FALSE()),"")</f>
        <v/>
      </c>
      <c r="H71" s="1" t="str">
        <f aca="false">IFERROR(VLOOKUP(A71,'company tracker'!$a:$s,MATCH("Jun 2026 Referring Domains",'company tracker'!$1:$1,0),FALSE()),"")</f>
        <v/>
      </c>
    </row>
    <row r="72" customFormat="false" ht="15" hidden="false" customHeight="true" outlineLevel="0" collapsed="false">
      <c r="B72" s="1" t="str">
        <f aca="false">IFERROR(VLOOKUP(A72,'company tracker'!$a:$s,MATCH("Category",'company tracker'!$1:$1,0),FALSE()),"")</f>
        <v/>
      </c>
      <c r="C72" s="1" t="str">
        <f aca="false">IFERROR(VLOOKUP(A72,'Pass 1 Archive'!$A:$AD,MATCH("LinkedIn Employee Count",'Pass 1 Archive'!$1:$1,0),FALSE()),"")</f>
        <v/>
      </c>
      <c r="D72" s="1" t="str">
        <f aca="false">IFERROR(VLOOKUP(A72,'company tracker'!$a:$s,MATCH("Jan 2025 Traffic",'company tracker'!$1:$1,0),FALSE()),"")</f>
        <v/>
      </c>
      <c r="E72" s="1" t="str">
        <f aca="false">IFERROR(VLOOKUP(A72,'company tracker'!$a:$s,MATCH("Jun 2026 Traffic",'company tracker'!$1:$1,0),FALSE()),"")</f>
        <v/>
      </c>
      <c r="F72" s="1" t="str">
        <f aca="false">IFERROR(VLOOKUP(A72,'company tracker'!$a:$s,MATCH("Traffic % Change",'company tracker'!$1:$1,0),FALSE()),"")</f>
        <v/>
      </c>
      <c r="G72" s="1" t="str">
        <f aca="false">IFERROR(VLOOKUP(A72,'company tracker'!$a:$s,MATCH("Jan 2025 Referring Domains",'company tracker'!$1:$1,0),FALSE()),"")</f>
        <v/>
      </c>
      <c r="H72" s="1" t="str">
        <f aca="false">IFERROR(VLOOKUP(A72,'company tracker'!$a:$s,MATCH("Jun 2026 Referring Domains",'company tracker'!$1:$1,0),FALSE()),"")</f>
        <v/>
      </c>
    </row>
    <row r="73" customFormat="false" ht="15" hidden="false" customHeight="true" outlineLevel="0" collapsed="false">
      <c r="B73" s="1" t="str">
        <f aca="false">IFERROR(VLOOKUP(A73,'company tracker'!$a:$s,MATCH("Category",'company tracker'!$1:$1,0),FALSE()),"")</f>
        <v/>
      </c>
      <c r="C73" s="1" t="str">
        <f aca="false">IFERROR(VLOOKUP(A73,'Pass 1 Archive'!$A:$AD,MATCH("LinkedIn Employee Count",'Pass 1 Archive'!$1:$1,0),FALSE()),"")</f>
        <v/>
      </c>
      <c r="D73" s="1" t="str">
        <f aca="false">IFERROR(VLOOKUP(A73,'company tracker'!$a:$s,MATCH("Jan 2025 Traffic",'company tracker'!$1:$1,0),FALSE()),"")</f>
        <v/>
      </c>
      <c r="E73" s="1" t="str">
        <f aca="false">IFERROR(VLOOKUP(A73,'company tracker'!$a:$s,MATCH("Jun 2026 Traffic",'company tracker'!$1:$1,0),FALSE()),"")</f>
        <v/>
      </c>
      <c r="F73" s="1" t="str">
        <f aca="false">IFERROR(VLOOKUP(A73,'company tracker'!$a:$s,MATCH("Traffic % Change",'company tracker'!$1:$1,0),FALSE()),"")</f>
        <v/>
      </c>
      <c r="G73" s="1" t="str">
        <f aca="false">IFERROR(VLOOKUP(A73,'company tracker'!$a:$s,MATCH("Jan 2025 Referring Domains",'company tracker'!$1:$1,0),FALSE()),"")</f>
        <v/>
      </c>
      <c r="H73" s="1" t="str">
        <f aca="false">IFERROR(VLOOKUP(A73,'company tracker'!$a:$s,MATCH("Jun 2026 Referring Domains",'company tracker'!$1:$1,0),FALSE()),"")</f>
        <v/>
      </c>
    </row>
    <row r="74" customFormat="false" ht="15" hidden="false" customHeight="true" outlineLevel="0" collapsed="false">
      <c r="B74" s="1" t="str">
        <f aca="false">IFERROR(VLOOKUP(A74,'company tracker'!$a:$s,MATCH("Category",'company tracker'!$1:$1,0),FALSE()),"")</f>
        <v/>
      </c>
      <c r="C74" s="1" t="str">
        <f aca="false">IFERROR(VLOOKUP(A74,'Pass 1 Archive'!$A:$AD,MATCH("LinkedIn Employee Count",'Pass 1 Archive'!$1:$1,0),FALSE()),"")</f>
        <v/>
      </c>
      <c r="D74" s="1" t="str">
        <f aca="false">IFERROR(VLOOKUP(A74,'company tracker'!$a:$s,MATCH("Jan 2025 Traffic",'company tracker'!$1:$1,0),FALSE()),"")</f>
        <v/>
      </c>
      <c r="E74" s="1" t="str">
        <f aca="false">IFERROR(VLOOKUP(A74,'company tracker'!$a:$s,MATCH("Jun 2026 Traffic",'company tracker'!$1:$1,0),FALSE()),"")</f>
        <v/>
      </c>
      <c r="F74" s="1" t="str">
        <f aca="false">IFERROR(VLOOKUP(A74,'company tracker'!$a:$s,MATCH("Traffic % Change",'company tracker'!$1:$1,0),FALSE()),"")</f>
        <v/>
      </c>
      <c r="G74" s="1" t="str">
        <f aca="false">IFERROR(VLOOKUP(A74,'company tracker'!$a:$s,MATCH("Jan 2025 Referring Domains",'company tracker'!$1:$1,0),FALSE()),"")</f>
        <v/>
      </c>
      <c r="H74" s="1" t="str">
        <f aca="false">IFERROR(VLOOKUP(A74,'company tracker'!$a:$s,MATCH("Jun 2026 Referring Domains",'company tracker'!$1:$1,0),FALSE()),"")</f>
        <v/>
      </c>
    </row>
    <row r="75" customFormat="false" ht="15" hidden="false" customHeight="true" outlineLevel="0" collapsed="false">
      <c r="B75" s="1" t="str">
        <f aca="false">IFERROR(VLOOKUP(A75,'company tracker'!$a:$s,MATCH("Category",'company tracker'!$1:$1,0),FALSE()),"")</f>
        <v/>
      </c>
      <c r="C75" s="1" t="str">
        <f aca="false">IFERROR(VLOOKUP(A75,'Pass 1 Archive'!$A:$AD,MATCH("LinkedIn Employee Count",'Pass 1 Archive'!$1:$1,0),FALSE()),"")</f>
        <v/>
      </c>
      <c r="D75" s="1" t="str">
        <f aca="false">IFERROR(VLOOKUP(A75,'company tracker'!$a:$s,MATCH("Jan 2025 Traffic",'company tracker'!$1:$1,0),FALSE()),"")</f>
        <v/>
      </c>
      <c r="E75" s="1" t="str">
        <f aca="false">IFERROR(VLOOKUP(A75,'company tracker'!$a:$s,MATCH("Jun 2026 Traffic",'company tracker'!$1:$1,0),FALSE()),"")</f>
        <v/>
      </c>
      <c r="F75" s="1" t="str">
        <f aca="false">IFERROR(VLOOKUP(A75,'company tracker'!$a:$s,MATCH("Traffic % Change",'company tracker'!$1:$1,0),FALSE()),"")</f>
        <v/>
      </c>
      <c r="G75" s="1" t="str">
        <f aca="false">IFERROR(VLOOKUP(A75,'company tracker'!$a:$s,MATCH("Jan 2025 Referring Domains",'company tracker'!$1:$1,0),FALSE()),"")</f>
        <v/>
      </c>
      <c r="H75" s="1" t="str">
        <f aca="false">IFERROR(VLOOKUP(A75,'company tracker'!$a:$s,MATCH("Jun 2026 Referring Domains",'company tracker'!$1:$1,0),FALSE()),"")</f>
        <v/>
      </c>
    </row>
    <row r="76" customFormat="false" ht="15" hidden="false" customHeight="true" outlineLevel="0" collapsed="false">
      <c r="B76" s="1" t="str">
        <f aca="false">IFERROR(VLOOKUP(A76,'company tracker'!$a:$s,MATCH("Category",'company tracker'!$1:$1,0),FALSE()),"")</f>
        <v/>
      </c>
      <c r="C76" s="1" t="str">
        <f aca="false">IFERROR(VLOOKUP(A76,'Pass 1 Archive'!$A:$AD,MATCH("LinkedIn Employee Count",'Pass 1 Archive'!$1:$1,0),FALSE()),"")</f>
        <v/>
      </c>
      <c r="D76" s="1" t="str">
        <f aca="false">IFERROR(VLOOKUP(A76,'company tracker'!$a:$s,MATCH("Jan 2025 Traffic",'company tracker'!$1:$1,0),FALSE()),"")</f>
        <v/>
      </c>
      <c r="E76" s="1" t="str">
        <f aca="false">IFERROR(VLOOKUP(A76,'company tracker'!$a:$s,MATCH("Jun 2026 Traffic",'company tracker'!$1:$1,0),FALSE()),"")</f>
        <v/>
      </c>
      <c r="F76" s="1" t="str">
        <f aca="false">IFERROR(VLOOKUP(A76,'company tracker'!$a:$s,MATCH("Traffic % Change",'company tracker'!$1:$1,0),FALSE()),"")</f>
        <v/>
      </c>
      <c r="G76" s="1" t="str">
        <f aca="false">IFERROR(VLOOKUP(A76,'company tracker'!$a:$s,MATCH("Jan 2025 Referring Domains",'company tracker'!$1:$1,0),FALSE()),"")</f>
        <v/>
      </c>
      <c r="H76" s="1" t="str">
        <f aca="false">IFERROR(VLOOKUP(A76,'company tracker'!$a:$s,MATCH("Jun 2026 Referring Domains",'company tracker'!$1:$1,0),FALSE()),"")</f>
        <v/>
      </c>
    </row>
    <row r="77" customFormat="false" ht="15" hidden="false" customHeight="true" outlineLevel="0" collapsed="false">
      <c r="B77" s="1" t="str">
        <f aca="false">IFERROR(VLOOKUP(A77,'company tracker'!$a:$s,MATCH("Category",'company tracker'!$1:$1,0),FALSE()),"")</f>
        <v/>
      </c>
      <c r="C77" s="1" t="str">
        <f aca="false">IFERROR(VLOOKUP(A77,'Pass 1 Archive'!$A:$AD,MATCH("LinkedIn Employee Count",'Pass 1 Archive'!$1:$1,0),FALSE()),"")</f>
        <v/>
      </c>
      <c r="D77" s="1" t="str">
        <f aca="false">IFERROR(VLOOKUP(A77,'company tracker'!$a:$s,MATCH("Jan 2025 Traffic",'company tracker'!$1:$1,0),FALSE()),"")</f>
        <v/>
      </c>
      <c r="E77" s="1" t="str">
        <f aca="false">IFERROR(VLOOKUP(A77,'company tracker'!$a:$s,MATCH("Jun 2026 Traffic",'company tracker'!$1:$1,0),FALSE()),"")</f>
        <v/>
      </c>
      <c r="F77" s="1" t="str">
        <f aca="false">IFERROR(VLOOKUP(A77,'company tracker'!$a:$s,MATCH("Traffic % Change",'company tracker'!$1:$1,0),FALSE()),"")</f>
        <v/>
      </c>
      <c r="G77" s="1" t="str">
        <f aca="false">IFERROR(VLOOKUP(A77,'company tracker'!$a:$s,MATCH("Jan 2025 Referring Domains",'company tracker'!$1:$1,0),FALSE()),"")</f>
        <v/>
      </c>
      <c r="H77" s="1" t="str">
        <f aca="false">IFERROR(VLOOKUP(A77,'company tracker'!$a:$s,MATCH("Jun 2026 Referring Domains",'company tracker'!$1:$1,0),FALSE()),"")</f>
        <v/>
      </c>
    </row>
    <row r="78" customFormat="false" ht="15" hidden="false" customHeight="true" outlineLevel="0" collapsed="false">
      <c r="B78" s="1" t="str">
        <f aca="false">IFERROR(VLOOKUP(A78,'company tracker'!$a:$s,MATCH("Category",'company tracker'!$1:$1,0),FALSE()),"")</f>
        <v/>
      </c>
      <c r="C78" s="1" t="str">
        <f aca="false">IFERROR(VLOOKUP(A78,'Pass 1 Archive'!$A:$AD,MATCH("LinkedIn Employee Count",'Pass 1 Archive'!$1:$1,0),FALSE()),"")</f>
        <v/>
      </c>
      <c r="D78" s="1" t="str">
        <f aca="false">IFERROR(VLOOKUP(A78,'company tracker'!$a:$s,MATCH("Jan 2025 Traffic",'company tracker'!$1:$1,0),FALSE()),"")</f>
        <v/>
      </c>
      <c r="E78" s="1" t="str">
        <f aca="false">IFERROR(VLOOKUP(A78,'company tracker'!$a:$s,MATCH("Jun 2026 Traffic",'company tracker'!$1:$1,0),FALSE()),"")</f>
        <v/>
      </c>
      <c r="F78" s="1" t="str">
        <f aca="false">IFERROR(VLOOKUP(A78,'company tracker'!$a:$s,MATCH("Traffic % Change",'company tracker'!$1:$1,0),FALSE()),"")</f>
        <v/>
      </c>
      <c r="G78" s="1" t="str">
        <f aca="false">IFERROR(VLOOKUP(A78,'company tracker'!$a:$s,MATCH("Jan 2025 Referring Domains",'company tracker'!$1:$1,0),FALSE()),"")</f>
        <v/>
      </c>
      <c r="H78" s="1" t="str">
        <f aca="false">IFERROR(VLOOKUP(A78,'company tracker'!$a:$s,MATCH("Jun 2026 Referring Domains",'company tracker'!$1:$1,0),FALSE()),"")</f>
        <v/>
      </c>
    </row>
    <row r="79" customFormat="false" ht="15" hidden="false" customHeight="true" outlineLevel="0" collapsed="false">
      <c r="B79" s="1" t="str">
        <f aca="false">IFERROR(VLOOKUP(A79,'company tracker'!$a:$s,MATCH("Category",'company tracker'!$1:$1,0),FALSE()),"")</f>
        <v/>
      </c>
      <c r="C79" s="1" t="str">
        <f aca="false">IFERROR(VLOOKUP(A79,'Pass 1 Archive'!$A:$AD,MATCH("LinkedIn Employee Count",'Pass 1 Archive'!$1:$1,0),FALSE()),"")</f>
        <v/>
      </c>
      <c r="D79" s="1" t="str">
        <f aca="false">IFERROR(VLOOKUP(A79,'company tracker'!$a:$s,MATCH("Jan 2025 Traffic",'company tracker'!$1:$1,0),FALSE()),"")</f>
        <v/>
      </c>
      <c r="E79" s="1" t="str">
        <f aca="false">IFERROR(VLOOKUP(A79,'company tracker'!$a:$s,MATCH("Jun 2026 Traffic",'company tracker'!$1:$1,0),FALSE()),"")</f>
        <v/>
      </c>
      <c r="F79" s="1" t="str">
        <f aca="false">IFERROR(VLOOKUP(A79,'company tracker'!$a:$s,MATCH("Traffic % Change",'company tracker'!$1:$1,0),FALSE()),"")</f>
        <v/>
      </c>
      <c r="G79" s="1" t="str">
        <f aca="false">IFERROR(VLOOKUP(A79,'company tracker'!$a:$s,MATCH("Jan 2025 Referring Domains",'company tracker'!$1:$1,0),FALSE()),"")</f>
        <v/>
      </c>
      <c r="H79" s="1" t="str">
        <f aca="false">IFERROR(VLOOKUP(A79,'company tracker'!$a:$s,MATCH("Jun 2026 Referring Domains",'company tracker'!$1:$1,0),FALSE()),"")</f>
        <v/>
      </c>
    </row>
    <row r="80" customFormat="false" ht="15" hidden="false" customHeight="true" outlineLevel="0" collapsed="false">
      <c r="B80" s="1" t="str">
        <f aca="false">IFERROR(VLOOKUP(A80,'company tracker'!$a:$s,MATCH("Category",'company tracker'!$1:$1,0),FALSE()),"")</f>
        <v/>
      </c>
      <c r="C80" s="1" t="str">
        <f aca="false">IFERROR(VLOOKUP(A80,'Pass 1 Archive'!$A:$AD,MATCH("LinkedIn Employee Count",'Pass 1 Archive'!$1:$1,0),FALSE()),"")</f>
        <v/>
      </c>
      <c r="D80" s="1" t="str">
        <f aca="false">IFERROR(VLOOKUP(A80,'company tracker'!$a:$s,MATCH("Jan 2025 Traffic",'company tracker'!$1:$1,0),FALSE()),"")</f>
        <v/>
      </c>
      <c r="E80" s="1" t="str">
        <f aca="false">IFERROR(VLOOKUP(A80,'company tracker'!$a:$s,MATCH("Jun 2026 Traffic",'company tracker'!$1:$1,0),FALSE()),"")</f>
        <v/>
      </c>
      <c r="F80" s="1" t="str">
        <f aca="false">IFERROR(VLOOKUP(A80,'company tracker'!$a:$s,MATCH("Traffic % Change",'company tracker'!$1:$1,0),FALSE()),"")</f>
        <v/>
      </c>
      <c r="G80" s="1" t="str">
        <f aca="false">IFERROR(VLOOKUP(A80,'company tracker'!$a:$s,MATCH("Jan 2025 Referring Domains",'company tracker'!$1:$1,0),FALSE()),"")</f>
        <v/>
      </c>
      <c r="H80" s="1" t="str">
        <f aca="false">IFERROR(VLOOKUP(A80,'company tracker'!$a:$s,MATCH("Jun 2026 Referring Domains",'company tracker'!$1:$1,0),FALSE()),"")</f>
        <v/>
      </c>
    </row>
    <row r="81" customFormat="false" ht="15" hidden="false" customHeight="true" outlineLevel="0" collapsed="false">
      <c r="B81" s="1" t="str">
        <f aca="false">IFERROR(VLOOKUP(A81,'company tracker'!$a:$s,MATCH("Category",'company tracker'!$1:$1,0),FALSE()),"")</f>
        <v/>
      </c>
      <c r="C81" s="1" t="str">
        <f aca="false">IFERROR(VLOOKUP(A81,'Pass 1 Archive'!$A:$AD,MATCH("LinkedIn Employee Count",'Pass 1 Archive'!$1:$1,0),FALSE()),"")</f>
        <v/>
      </c>
      <c r="D81" s="1" t="str">
        <f aca="false">IFERROR(VLOOKUP(A81,'company tracker'!$a:$s,MATCH("Jan 2025 Traffic",'company tracker'!$1:$1,0),FALSE()),"")</f>
        <v/>
      </c>
      <c r="E81" s="1" t="str">
        <f aca="false">IFERROR(VLOOKUP(A81,'company tracker'!$a:$s,MATCH("Jun 2026 Traffic",'company tracker'!$1:$1,0),FALSE()),"")</f>
        <v/>
      </c>
      <c r="F81" s="1" t="str">
        <f aca="false">IFERROR(VLOOKUP(A81,'company tracker'!$a:$s,MATCH("Traffic % Change",'company tracker'!$1:$1,0),FALSE()),"")</f>
        <v/>
      </c>
      <c r="G81" s="1" t="str">
        <f aca="false">IFERROR(VLOOKUP(A81,'company tracker'!$a:$s,MATCH("Jan 2025 Referring Domains",'company tracker'!$1:$1,0),FALSE()),"")</f>
        <v/>
      </c>
      <c r="H81" s="1" t="str">
        <f aca="false">IFERROR(VLOOKUP(A81,'company tracker'!$a:$s,MATCH("Jun 2026 Referring Domains",'company tracker'!$1:$1,0),FALSE()),"")</f>
        <v/>
      </c>
    </row>
    <row r="82" customFormat="false" ht="15" hidden="false" customHeight="true" outlineLevel="0" collapsed="false">
      <c r="B82" s="1" t="str">
        <f aca="false">IFERROR(VLOOKUP(A82,'company tracker'!$a:$s,MATCH("Category",'company tracker'!$1:$1,0),FALSE()),"")</f>
        <v/>
      </c>
      <c r="C82" s="1" t="str">
        <f aca="false">IFERROR(VLOOKUP(A82,'Pass 1 Archive'!$A:$AD,MATCH("LinkedIn Employee Count",'Pass 1 Archive'!$1:$1,0),FALSE()),"")</f>
        <v/>
      </c>
      <c r="D82" s="1" t="str">
        <f aca="false">IFERROR(VLOOKUP(A82,'company tracker'!$a:$s,MATCH("Jan 2025 Traffic",'company tracker'!$1:$1,0),FALSE()),"")</f>
        <v/>
      </c>
      <c r="E82" s="1" t="str">
        <f aca="false">IFERROR(VLOOKUP(A82,'company tracker'!$a:$s,MATCH("Jun 2026 Traffic",'company tracker'!$1:$1,0),FALSE()),"")</f>
        <v/>
      </c>
      <c r="F82" s="1" t="str">
        <f aca="false">IFERROR(VLOOKUP(A82,'company tracker'!$a:$s,MATCH("Traffic % Change",'company tracker'!$1:$1,0),FALSE()),"")</f>
        <v/>
      </c>
      <c r="G82" s="1" t="str">
        <f aca="false">IFERROR(VLOOKUP(A82,'company tracker'!$a:$s,MATCH("Jan 2025 Referring Domains",'company tracker'!$1:$1,0),FALSE()),"")</f>
        <v/>
      </c>
      <c r="H82" s="1" t="str">
        <f aca="false">IFERROR(VLOOKUP(A82,'company tracker'!$a:$s,MATCH("Jun 2026 Referring Domains",'company tracker'!$1:$1,0),FALSE()),"")</f>
        <v/>
      </c>
    </row>
    <row r="83" customFormat="false" ht="15" hidden="false" customHeight="true" outlineLevel="0" collapsed="false">
      <c r="B83" s="1" t="str">
        <f aca="false">IFERROR(VLOOKUP(A83,'company tracker'!$a:$s,MATCH("Category",'company tracker'!$1:$1,0),FALSE()),"")</f>
        <v/>
      </c>
      <c r="C83" s="1" t="str">
        <f aca="false">IFERROR(VLOOKUP(A83,'Pass 1 Archive'!$A:$AD,MATCH("LinkedIn Employee Count",'Pass 1 Archive'!$1:$1,0),FALSE()),"")</f>
        <v/>
      </c>
      <c r="D83" s="1" t="str">
        <f aca="false">IFERROR(VLOOKUP(A83,'company tracker'!$a:$s,MATCH("Jan 2025 Traffic",'company tracker'!$1:$1,0),FALSE()),"")</f>
        <v/>
      </c>
      <c r="E83" s="1" t="str">
        <f aca="false">IFERROR(VLOOKUP(A83,'company tracker'!$a:$s,MATCH("Jun 2026 Traffic",'company tracker'!$1:$1,0),FALSE()),"")</f>
        <v/>
      </c>
      <c r="F83" s="1" t="str">
        <f aca="false">IFERROR(VLOOKUP(A83,'company tracker'!$a:$s,MATCH("Traffic % Change",'company tracker'!$1:$1,0),FALSE()),"")</f>
        <v/>
      </c>
      <c r="G83" s="1" t="str">
        <f aca="false">IFERROR(VLOOKUP(A83,'company tracker'!$a:$s,MATCH("Jan 2025 Referring Domains",'company tracker'!$1:$1,0),FALSE()),"")</f>
        <v/>
      </c>
      <c r="H83" s="1" t="str">
        <f aca="false">IFERROR(VLOOKUP(A83,'company tracker'!$a:$s,MATCH("Jun 2026 Referring Domains",'company tracker'!$1:$1,0),FALSE()),"")</f>
        <v/>
      </c>
    </row>
    <row r="84" customFormat="false" ht="15" hidden="false" customHeight="true" outlineLevel="0" collapsed="false">
      <c r="B84" s="1" t="str">
        <f aca="false">IFERROR(VLOOKUP(A84,'company tracker'!$a:$s,MATCH("Category",'company tracker'!$1:$1,0),FALSE()),"")</f>
        <v/>
      </c>
      <c r="C84" s="1" t="str">
        <f aca="false">IFERROR(VLOOKUP(A84,'Pass 1 Archive'!$A:$AD,MATCH("LinkedIn Employee Count",'Pass 1 Archive'!$1:$1,0),FALSE()),"")</f>
        <v/>
      </c>
      <c r="D84" s="1" t="str">
        <f aca="false">IFERROR(VLOOKUP(A84,'company tracker'!$a:$s,MATCH("Jan 2025 Traffic",'company tracker'!$1:$1,0),FALSE()),"")</f>
        <v/>
      </c>
      <c r="E84" s="1" t="str">
        <f aca="false">IFERROR(VLOOKUP(A84,'company tracker'!$a:$s,MATCH("Jun 2026 Traffic",'company tracker'!$1:$1,0),FALSE()),"")</f>
        <v/>
      </c>
      <c r="F84" s="1" t="str">
        <f aca="false">IFERROR(VLOOKUP(A84,'company tracker'!$a:$s,MATCH("Traffic % Change",'company tracker'!$1:$1,0),FALSE()),"")</f>
        <v/>
      </c>
      <c r="G84" s="1" t="str">
        <f aca="false">IFERROR(VLOOKUP(A84,'company tracker'!$a:$s,MATCH("Jan 2025 Referring Domains",'company tracker'!$1:$1,0),FALSE()),"")</f>
        <v/>
      </c>
      <c r="H84" s="1" t="str">
        <f aca="false">IFERROR(VLOOKUP(A84,'company tracker'!$a:$s,MATCH("Jun 2026 Referring Domains",'company tracker'!$1:$1,0),FALSE()),"")</f>
        <v/>
      </c>
    </row>
    <row r="85" customFormat="false" ht="15" hidden="false" customHeight="true" outlineLevel="0" collapsed="false">
      <c r="B85" s="1" t="str">
        <f aca="false">IFERROR(VLOOKUP(A85,'company tracker'!$a:$s,MATCH("Category",'company tracker'!$1:$1,0),FALSE()),"")</f>
        <v/>
      </c>
      <c r="C85" s="1" t="str">
        <f aca="false">IFERROR(VLOOKUP(A85,'Pass 1 Archive'!$A:$AD,MATCH("LinkedIn Employee Count",'Pass 1 Archive'!$1:$1,0),FALSE()),"")</f>
        <v/>
      </c>
      <c r="D85" s="1" t="str">
        <f aca="false">IFERROR(VLOOKUP(A85,'company tracker'!$a:$s,MATCH("Jan 2025 Traffic",'company tracker'!$1:$1,0),FALSE()),"")</f>
        <v/>
      </c>
      <c r="E85" s="1" t="str">
        <f aca="false">IFERROR(VLOOKUP(A85,'company tracker'!$a:$s,MATCH("Jun 2026 Traffic",'company tracker'!$1:$1,0),FALSE()),"")</f>
        <v/>
      </c>
      <c r="F85" s="1" t="str">
        <f aca="false">IFERROR(VLOOKUP(A85,'company tracker'!$a:$s,MATCH("Traffic % Change",'company tracker'!$1:$1,0),FALSE()),"")</f>
        <v/>
      </c>
      <c r="G85" s="1" t="str">
        <f aca="false">IFERROR(VLOOKUP(A85,'company tracker'!$a:$s,MATCH("Jan 2025 Referring Domains",'company tracker'!$1:$1,0),FALSE()),"")</f>
        <v/>
      </c>
      <c r="H85" s="1" t="str">
        <f aca="false">IFERROR(VLOOKUP(A85,'company tracker'!$a:$s,MATCH("Jun 2026 Referring Domains",'company tracker'!$1:$1,0),FALSE()),"")</f>
        <v/>
      </c>
    </row>
    <row r="86" customFormat="false" ht="15" hidden="false" customHeight="true" outlineLevel="0" collapsed="false">
      <c r="B86" s="1" t="str">
        <f aca="false">IFERROR(VLOOKUP(A86,'company tracker'!$a:$s,MATCH("Category",'company tracker'!$1:$1,0),FALSE()),"")</f>
        <v/>
      </c>
      <c r="C86" s="1" t="str">
        <f aca="false">IFERROR(VLOOKUP(A86,'Pass 1 Archive'!$A:$AD,MATCH("LinkedIn Employee Count",'Pass 1 Archive'!$1:$1,0),FALSE()),"")</f>
        <v/>
      </c>
      <c r="D86" s="1" t="str">
        <f aca="false">IFERROR(VLOOKUP(A86,'company tracker'!$a:$s,MATCH("Jan 2025 Traffic",'company tracker'!$1:$1,0),FALSE()),"")</f>
        <v/>
      </c>
      <c r="E86" s="1" t="str">
        <f aca="false">IFERROR(VLOOKUP(A86,'company tracker'!$a:$s,MATCH("Jun 2026 Traffic",'company tracker'!$1:$1,0),FALSE()),"")</f>
        <v/>
      </c>
      <c r="F86" s="1" t="str">
        <f aca="false">IFERROR(VLOOKUP(A86,'company tracker'!$a:$s,MATCH("Traffic % Change",'company tracker'!$1:$1,0),FALSE()),"")</f>
        <v/>
      </c>
      <c r="G86" s="1" t="str">
        <f aca="false">IFERROR(VLOOKUP(A86,'company tracker'!$a:$s,MATCH("Jan 2025 Referring Domains",'company tracker'!$1:$1,0),FALSE()),"")</f>
        <v/>
      </c>
      <c r="H86" s="1" t="str">
        <f aca="false">IFERROR(VLOOKUP(A86,'company tracker'!$a:$s,MATCH("Jun 2026 Referring Domains",'company tracker'!$1:$1,0),FALSE()),"")</f>
        <v/>
      </c>
    </row>
    <row r="87" customFormat="false" ht="15" hidden="false" customHeight="true" outlineLevel="0" collapsed="false">
      <c r="B87" s="1" t="str">
        <f aca="false">IFERROR(VLOOKUP(A87,'company tracker'!$a:$s,MATCH("Category",'company tracker'!$1:$1,0),FALSE()),"")</f>
        <v/>
      </c>
      <c r="C87" s="1" t="str">
        <f aca="false">IFERROR(VLOOKUP(A87,'Pass 1 Archive'!$A:$AD,MATCH("LinkedIn Employee Count",'Pass 1 Archive'!$1:$1,0),FALSE()),"")</f>
        <v/>
      </c>
      <c r="D87" s="1" t="str">
        <f aca="false">IFERROR(VLOOKUP(A87,'company tracker'!$a:$s,MATCH("Jan 2025 Traffic",'company tracker'!$1:$1,0),FALSE()),"")</f>
        <v/>
      </c>
      <c r="E87" s="1" t="str">
        <f aca="false">IFERROR(VLOOKUP(A87,'company tracker'!$a:$s,MATCH("Jun 2026 Traffic",'company tracker'!$1:$1,0),FALSE()),"")</f>
        <v/>
      </c>
      <c r="F87" s="1" t="str">
        <f aca="false">IFERROR(VLOOKUP(A87,'company tracker'!$a:$s,MATCH("Traffic % Change",'company tracker'!$1:$1,0),FALSE()),"")</f>
        <v/>
      </c>
      <c r="G87" s="1" t="str">
        <f aca="false">IFERROR(VLOOKUP(A87,'company tracker'!$a:$s,MATCH("Jan 2025 Referring Domains",'company tracker'!$1:$1,0),FALSE()),"")</f>
        <v/>
      </c>
      <c r="H87" s="1" t="str">
        <f aca="false">IFERROR(VLOOKUP(A87,'company tracker'!$a:$s,MATCH("Jun 2026 Referring Domains",'company tracker'!$1:$1,0),FALSE()),"")</f>
        <v/>
      </c>
    </row>
    <row r="88" customFormat="false" ht="15" hidden="false" customHeight="true" outlineLevel="0" collapsed="false">
      <c r="B88" s="1" t="str">
        <f aca="false">IFERROR(VLOOKUP(A88,'company tracker'!$a:$s,MATCH("Category",'company tracker'!$1:$1,0),FALSE()),"")</f>
        <v/>
      </c>
      <c r="C88" s="1" t="str">
        <f aca="false">IFERROR(VLOOKUP(A88,'Pass 1 Archive'!$A:$AD,MATCH("LinkedIn Employee Count",'Pass 1 Archive'!$1:$1,0),FALSE()),"")</f>
        <v/>
      </c>
      <c r="D88" s="1" t="str">
        <f aca="false">IFERROR(VLOOKUP(A88,'company tracker'!$a:$s,MATCH("Jan 2025 Traffic",'company tracker'!$1:$1,0),FALSE()),"")</f>
        <v/>
      </c>
      <c r="E88" s="1" t="str">
        <f aca="false">IFERROR(VLOOKUP(A88,'company tracker'!$a:$s,MATCH("Jun 2026 Traffic",'company tracker'!$1:$1,0),FALSE()),"")</f>
        <v/>
      </c>
      <c r="F88" s="1" t="str">
        <f aca="false">IFERROR(VLOOKUP(A88,'company tracker'!$a:$s,MATCH("Traffic % Change",'company tracker'!$1:$1,0),FALSE()),"")</f>
        <v/>
      </c>
      <c r="G88" s="1" t="str">
        <f aca="false">IFERROR(VLOOKUP(A88,'company tracker'!$a:$s,MATCH("Jan 2025 Referring Domains",'company tracker'!$1:$1,0),FALSE()),"")</f>
        <v/>
      </c>
      <c r="H88" s="1" t="str">
        <f aca="false">IFERROR(VLOOKUP(A88,'company tracker'!$a:$s,MATCH("Jun 2026 Referring Domains",'company tracker'!$1:$1,0),FALSE()),"")</f>
        <v/>
      </c>
    </row>
    <row r="89" customFormat="false" ht="15" hidden="false" customHeight="true" outlineLevel="0" collapsed="false">
      <c r="B89" s="1" t="str">
        <f aca="false">IFERROR(VLOOKUP(A89,'company tracker'!$a:$s,MATCH("Category",'company tracker'!$1:$1,0),FALSE()),"")</f>
        <v/>
      </c>
      <c r="C89" s="1" t="str">
        <f aca="false">IFERROR(VLOOKUP(A89,'Pass 1 Archive'!$A:$AD,MATCH("LinkedIn Employee Count",'Pass 1 Archive'!$1:$1,0),FALSE()),"")</f>
        <v/>
      </c>
      <c r="D89" s="1" t="str">
        <f aca="false">IFERROR(VLOOKUP(A89,'company tracker'!$a:$s,MATCH("Jan 2025 Traffic",'company tracker'!$1:$1,0),FALSE()),"")</f>
        <v/>
      </c>
      <c r="E89" s="1" t="str">
        <f aca="false">IFERROR(VLOOKUP(A89,'company tracker'!$a:$s,MATCH("Jun 2026 Traffic",'company tracker'!$1:$1,0),FALSE()),"")</f>
        <v/>
      </c>
      <c r="F89" s="1" t="str">
        <f aca="false">IFERROR(VLOOKUP(A89,'company tracker'!$a:$s,MATCH("Traffic % Change",'company tracker'!$1:$1,0),FALSE()),"")</f>
        <v/>
      </c>
      <c r="G89" s="1" t="str">
        <f aca="false">IFERROR(VLOOKUP(A89,'company tracker'!$a:$s,MATCH("Jan 2025 Referring Domains",'company tracker'!$1:$1,0),FALSE()),"")</f>
        <v/>
      </c>
      <c r="H89" s="1" t="str">
        <f aca="false">IFERROR(VLOOKUP(A89,'company tracker'!$a:$s,MATCH("Jun 2026 Referring Domains",'company tracker'!$1:$1,0),FALSE()),"")</f>
        <v/>
      </c>
    </row>
    <row r="90" customFormat="false" ht="15" hidden="false" customHeight="true" outlineLevel="0" collapsed="false">
      <c r="B90" s="1" t="str">
        <f aca="false">IFERROR(VLOOKUP(A90,'company tracker'!$a:$s,MATCH("Category",'company tracker'!$1:$1,0),FALSE()),"")</f>
        <v/>
      </c>
      <c r="C90" s="1" t="str">
        <f aca="false">IFERROR(VLOOKUP(A90,'Pass 1 Archive'!$A:$AD,MATCH("LinkedIn Employee Count",'Pass 1 Archive'!$1:$1,0),FALSE()),"")</f>
        <v/>
      </c>
      <c r="D90" s="1" t="str">
        <f aca="false">IFERROR(VLOOKUP(A90,'company tracker'!$a:$s,MATCH("Jan 2025 Traffic",'company tracker'!$1:$1,0),FALSE()),"")</f>
        <v/>
      </c>
      <c r="E90" s="1" t="str">
        <f aca="false">IFERROR(VLOOKUP(A90,'company tracker'!$a:$s,MATCH("Jun 2026 Traffic",'company tracker'!$1:$1,0),FALSE()),"")</f>
        <v/>
      </c>
      <c r="F90" s="1" t="str">
        <f aca="false">IFERROR(VLOOKUP(A90,'company tracker'!$a:$s,MATCH("Traffic % Change",'company tracker'!$1:$1,0),FALSE()),"")</f>
        <v/>
      </c>
      <c r="G90" s="1" t="str">
        <f aca="false">IFERROR(VLOOKUP(A90,'company tracker'!$a:$s,MATCH("Jan 2025 Referring Domains",'company tracker'!$1:$1,0),FALSE()),"")</f>
        <v/>
      </c>
      <c r="H90" s="1" t="str">
        <f aca="false">IFERROR(VLOOKUP(A90,'company tracker'!$a:$s,MATCH("Jun 2026 Referring Domains",'company tracker'!$1:$1,0),FALSE()),"")</f>
        <v/>
      </c>
    </row>
    <row r="91" customFormat="false" ht="15" hidden="false" customHeight="true" outlineLevel="0" collapsed="false">
      <c r="B91" s="1" t="str">
        <f aca="false">IFERROR(VLOOKUP(A91,'company tracker'!$a:$s,MATCH("Category",'company tracker'!$1:$1,0),FALSE()),"")</f>
        <v/>
      </c>
      <c r="C91" s="1" t="str">
        <f aca="false">IFERROR(VLOOKUP(A91,'Pass 1 Archive'!$A:$AD,MATCH("LinkedIn Employee Count",'Pass 1 Archive'!$1:$1,0),FALSE()),"")</f>
        <v/>
      </c>
      <c r="D91" s="1" t="str">
        <f aca="false">IFERROR(VLOOKUP(A91,'company tracker'!$a:$s,MATCH("Jan 2025 Traffic",'company tracker'!$1:$1,0),FALSE()),"")</f>
        <v/>
      </c>
      <c r="E91" s="1" t="str">
        <f aca="false">IFERROR(VLOOKUP(A91,'company tracker'!$a:$s,MATCH("Jun 2026 Traffic",'company tracker'!$1:$1,0),FALSE()),"")</f>
        <v/>
      </c>
      <c r="F91" s="1" t="str">
        <f aca="false">IFERROR(VLOOKUP(A91,'company tracker'!$a:$s,MATCH("Traffic % Change",'company tracker'!$1:$1,0),FALSE()),"")</f>
        <v/>
      </c>
      <c r="G91" s="1" t="str">
        <f aca="false">IFERROR(VLOOKUP(A91,'company tracker'!$a:$s,MATCH("Jan 2025 Referring Domains",'company tracker'!$1:$1,0),FALSE()),"")</f>
        <v/>
      </c>
      <c r="H91" s="1" t="str">
        <f aca="false">IFERROR(VLOOKUP(A91,'company tracker'!$a:$s,MATCH("Jun 2026 Referring Domains",'company tracker'!$1:$1,0),FALSE()),"")</f>
        <v/>
      </c>
    </row>
    <row r="92" customFormat="false" ht="15" hidden="false" customHeight="true" outlineLevel="0" collapsed="false">
      <c r="B92" s="1" t="str">
        <f aca="false">IFERROR(VLOOKUP(A92,'company tracker'!$a:$s,MATCH("Category",'company tracker'!$1:$1,0),FALSE()),"")</f>
        <v/>
      </c>
      <c r="C92" s="1" t="str">
        <f aca="false">IFERROR(VLOOKUP(A92,'Pass 1 Archive'!$A:$AD,MATCH("LinkedIn Employee Count",'Pass 1 Archive'!$1:$1,0),FALSE()),"")</f>
        <v/>
      </c>
      <c r="D92" s="1" t="str">
        <f aca="false">IFERROR(VLOOKUP(A92,'company tracker'!$a:$s,MATCH("Jan 2025 Traffic",'company tracker'!$1:$1,0),FALSE()),"")</f>
        <v/>
      </c>
      <c r="E92" s="1" t="str">
        <f aca="false">IFERROR(VLOOKUP(A92,'company tracker'!$a:$s,MATCH("Jun 2026 Traffic",'company tracker'!$1:$1,0),FALSE()),"")</f>
        <v/>
      </c>
      <c r="F92" s="1" t="str">
        <f aca="false">IFERROR(VLOOKUP(A92,'company tracker'!$a:$s,MATCH("Traffic % Change",'company tracker'!$1:$1,0),FALSE()),"")</f>
        <v/>
      </c>
      <c r="G92" s="1" t="str">
        <f aca="false">IFERROR(VLOOKUP(A92,'company tracker'!$a:$s,MATCH("Jan 2025 Referring Domains",'company tracker'!$1:$1,0),FALSE()),"")</f>
        <v/>
      </c>
      <c r="H92" s="1" t="str">
        <f aca="false">IFERROR(VLOOKUP(A92,'company tracker'!$a:$s,MATCH("Jun 2026 Referring Domains",'company tracker'!$1:$1,0),FALSE()),"")</f>
        <v/>
      </c>
    </row>
    <row r="93" customFormat="false" ht="15" hidden="false" customHeight="true" outlineLevel="0" collapsed="false">
      <c r="B93" s="1" t="str">
        <f aca="false">IFERROR(VLOOKUP(A93,'company tracker'!$a:$s,MATCH("Category",'company tracker'!$1:$1,0),FALSE()),"")</f>
        <v/>
      </c>
      <c r="C93" s="1" t="str">
        <f aca="false">IFERROR(VLOOKUP(A93,'Pass 1 Archive'!$A:$AD,MATCH("LinkedIn Employee Count",'Pass 1 Archive'!$1:$1,0),FALSE()),"")</f>
        <v/>
      </c>
      <c r="D93" s="1" t="str">
        <f aca="false">IFERROR(VLOOKUP(A93,'company tracker'!$a:$s,MATCH("Jan 2025 Traffic",'company tracker'!$1:$1,0),FALSE()),"")</f>
        <v/>
      </c>
      <c r="E93" s="1" t="str">
        <f aca="false">IFERROR(VLOOKUP(A93,'company tracker'!$a:$s,MATCH("Jun 2026 Traffic",'company tracker'!$1:$1,0),FALSE()),"")</f>
        <v/>
      </c>
      <c r="F93" s="1" t="str">
        <f aca="false">IFERROR(VLOOKUP(A93,'company tracker'!$a:$s,MATCH("Traffic % Change",'company tracker'!$1:$1,0),FALSE()),"")</f>
        <v/>
      </c>
      <c r="G93" s="1" t="str">
        <f aca="false">IFERROR(VLOOKUP(A93,'company tracker'!$a:$s,MATCH("Jan 2025 Referring Domains",'company tracker'!$1:$1,0),FALSE()),"")</f>
        <v/>
      </c>
      <c r="H93" s="1" t="str">
        <f aca="false">IFERROR(VLOOKUP(A93,'company tracker'!$a:$s,MATCH("Jun 2026 Referring Domains",'company tracker'!$1:$1,0),FALSE()),"")</f>
        <v/>
      </c>
    </row>
    <row r="94" customFormat="false" ht="15" hidden="false" customHeight="true" outlineLevel="0" collapsed="false">
      <c r="B94" s="1" t="str">
        <f aca="false">IFERROR(VLOOKUP(A94,'company tracker'!$a:$s,MATCH("Category",'company tracker'!$1:$1,0),FALSE()),"")</f>
        <v/>
      </c>
      <c r="C94" s="1" t="str">
        <f aca="false">IFERROR(VLOOKUP(A94,'Pass 1 Archive'!$A:$AD,MATCH("LinkedIn Employee Count",'Pass 1 Archive'!$1:$1,0),FALSE()),"")</f>
        <v/>
      </c>
      <c r="D94" s="1" t="str">
        <f aca="false">IFERROR(VLOOKUP(A94,'company tracker'!$a:$s,MATCH("Jan 2025 Traffic",'company tracker'!$1:$1,0),FALSE()),"")</f>
        <v/>
      </c>
      <c r="E94" s="1" t="str">
        <f aca="false">IFERROR(VLOOKUP(A94,'company tracker'!$a:$s,MATCH("Jun 2026 Traffic",'company tracker'!$1:$1,0),FALSE()),"")</f>
        <v/>
      </c>
      <c r="F94" s="1" t="str">
        <f aca="false">IFERROR(VLOOKUP(A94,'company tracker'!$a:$s,MATCH("Traffic % Change",'company tracker'!$1:$1,0),FALSE()),"")</f>
        <v/>
      </c>
      <c r="G94" s="1" t="str">
        <f aca="false">IFERROR(VLOOKUP(A94,'company tracker'!$a:$s,MATCH("Jan 2025 Referring Domains",'company tracker'!$1:$1,0),FALSE()),"")</f>
        <v/>
      </c>
      <c r="H94" s="1" t="str">
        <f aca="false">IFERROR(VLOOKUP(A94,'company tracker'!$a:$s,MATCH("Jun 2026 Referring Domains",'company tracker'!$1:$1,0),FALSE()),"")</f>
        <v/>
      </c>
    </row>
    <row r="95" customFormat="false" ht="15" hidden="false" customHeight="true" outlineLevel="0" collapsed="false">
      <c r="B95" s="1" t="str">
        <f aca="false">IFERROR(VLOOKUP(A95,'company tracker'!$a:$s,MATCH("Category",'company tracker'!$1:$1,0),FALSE()),"")</f>
        <v/>
      </c>
      <c r="C95" s="1" t="str">
        <f aca="false">IFERROR(VLOOKUP(A95,'Pass 1 Archive'!$A:$AD,MATCH("LinkedIn Employee Count",'Pass 1 Archive'!$1:$1,0),FALSE()),"")</f>
        <v/>
      </c>
      <c r="D95" s="1" t="str">
        <f aca="false">IFERROR(VLOOKUP(A95,'company tracker'!$a:$s,MATCH("Jan 2025 Traffic",'company tracker'!$1:$1,0),FALSE()),"")</f>
        <v/>
      </c>
      <c r="E95" s="1" t="str">
        <f aca="false">IFERROR(VLOOKUP(A95,'company tracker'!$a:$s,MATCH("Jun 2026 Traffic",'company tracker'!$1:$1,0),FALSE()),"")</f>
        <v/>
      </c>
      <c r="F95" s="1" t="str">
        <f aca="false">IFERROR(VLOOKUP(A95,'company tracker'!$a:$s,MATCH("Traffic % Change",'company tracker'!$1:$1,0),FALSE()),"")</f>
        <v/>
      </c>
      <c r="G95" s="1" t="str">
        <f aca="false">IFERROR(VLOOKUP(A95,'company tracker'!$a:$s,MATCH("Jan 2025 Referring Domains",'company tracker'!$1:$1,0),FALSE()),"")</f>
        <v/>
      </c>
      <c r="H95" s="1" t="str">
        <f aca="false">IFERROR(VLOOKUP(A95,'company tracker'!$a:$s,MATCH("Jun 2026 Referring Domains",'company tracker'!$1:$1,0),FALSE()),"")</f>
        <v/>
      </c>
    </row>
    <row r="96" customFormat="false" ht="15" hidden="false" customHeight="true" outlineLevel="0" collapsed="false">
      <c r="B96" s="1" t="str">
        <f aca="false">IFERROR(VLOOKUP(A96,'company tracker'!$a:$s,MATCH("Category",'company tracker'!$1:$1,0),FALSE()),"")</f>
        <v/>
      </c>
      <c r="C96" s="1" t="str">
        <f aca="false">IFERROR(VLOOKUP(A96,'Pass 1 Archive'!$A:$AD,MATCH("LinkedIn Employee Count",'Pass 1 Archive'!$1:$1,0),FALSE()),"")</f>
        <v/>
      </c>
      <c r="D96" s="1" t="str">
        <f aca="false">IFERROR(VLOOKUP(A96,'company tracker'!$a:$s,MATCH("Jan 2025 Traffic",'company tracker'!$1:$1,0),FALSE()),"")</f>
        <v/>
      </c>
      <c r="E96" s="1" t="str">
        <f aca="false">IFERROR(VLOOKUP(A96,'company tracker'!$a:$s,MATCH("Jun 2026 Traffic",'company tracker'!$1:$1,0),FALSE()),"")</f>
        <v/>
      </c>
      <c r="F96" s="1" t="str">
        <f aca="false">IFERROR(VLOOKUP(A96,'company tracker'!$a:$s,MATCH("Traffic % Change",'company tracker'!$1:$1,0),FALSE()),"")</f>
        <v/>
      </c>
      <c r="G96" s="1" t="str">
        <f aca="false">IFERROR(VLOOKUP(A96,'company tracker'!$a:$s,MATCH("Jan 2025 Referring Domains",'company tracker'!$1:$1,0),FALSE()),"")</f>
        <v/>
      </c>
      <c r="H96" s="1" t="str">
        <f aca="false">IFERROR(VLOOKUP(A96,'company tracker'!$a:$s,MATCH("Jun 2026 Referring Domains",'company tracker'!$1:$1,0),FALSE()),"")</f>
        <v/>
      </c>
    </row>
    <row r="97" customFormat="false" ht="15" hidden="false" customHeight="true" outlineLevel="0" collapsed="false">
      <c r="B97" s="1" t="str">
        <f aca="false">IFERROR(VLOOKUP(A97,'company tracker'!$a:$s,MATCH("Category",'company tracker'!$1:$1,0),FALSE()),"")</f>
        <v/>
      </c>
      <c r="C97" s="1" t="str">
        <f aca="false">IFERROR(VLOOKUP(A97,'Pass 1 Archive'!$A:$AD,MATCH("LinkedIn Employee Count",'Pass 1 Archive'!$1:$1,0),FALSE()),"")</f>
        <v/>
      </c>
      <c r="D97" s="1" t="str">
        <f aca="false">IFERROR(VLOOKUP(A97,'company tracker'!$a:$s,MATCH("Jan 2025 Traffic",'company tracker'!$1:$1,0),FALSE()),"")</f>
        <v/>
      </c>
      <c r="E97" s="1" t="str">
        <f aca="false">IFERROR(VLOOKUP(A97,'company tracker'!$a:$s,MATCH("Jun 2026 Traffic",'company tracker'!$1:$1,0),FALSE()),"")</f>
        <v/>
      </c>
      <c r="F97" s="1" t="str">
        <f aca="false">IFERROR(VLOOKUP(A97,'company tracker'!$a:$s,MATCH("Traffic % Change",'company tracker'!$1:$1,0),FALSE()),"")</f>
        <v/>
      </c>
      <c r="G97" s="1" t="str">
        <f aca="false">IFERROR(VLOOKUP(A97,'company tracker'!$a:$s,MATCH("Jan 2025 Referring Domains",'company tracker'!$1:$1,0),FALSE()),"")</f>
        <v/>
      </c>
      <c r="H97" s="1" t="str">
        <f aca="false">IFERROR(VLOOKUP(A97,'company tracker'!$a:$s,MATCH("Jun 2026 Referring Domains",'company tracker'!$1:$1,0),FALSE()),"")</f>
        <v/>
      </c>
    </row>
    <row r="98" customFormat="false" ht="15" hidden="false" customHeight="true" outlineLevel="0" collapsed="false">
      <c r="B98" s="1" t="str">
        <f aca="false">IFERROR(VLOOKUP(A98,'company tracker'!$a:$s,MATCH("Category",'company tracker'!$1:$1,0),FALSE()),"")</f>
        <v/>
      </c>
      <c r="C98" s="1" t="str">
        <f aca="false">IFERROR(VLOOKUP(A98,'Pass 1 Archive'!$A:$AD,MATCH("LinkedIn Employee Count",'Pass 1 Archive'!$1:$1,0),FALSE()),"")</f>
        <v/>
      </c>
      <c r="D98" s="1" t="str">
        <f aca="false">IFERROR(VLOOKUP(A98,'company tracker'!$a:$s,MATCH("Jan 2025 Traffic",'company tracker'!$1:$1,0),FALSE()),"")</f>
        <v/>
      </c>
      <c r="E98" s="1" t="str">
        <f aca="false">IFERROR(VLOOKUP(A98,'company tracker'!$a:$s,MATCH("Jun 2026 Traffic",'company tracker'!$1:$1,0),FALSE()),"")</f>
        <v/>
      </c>
      <c r="F98" s="1" t="str">
        <f aca="false">IFERROR(VLOOKUP(A98,'company tracker'!$a:$s,MATCH("Traffic % Change",'company tracker'!$1:$1,0),FALSE()),"")</f>
        <v/>
      </c>
      <c r="G98" s="1" t="str">
        <f aca="false">IFERROR(VLOOKUP(A98,'company tracker'!$a:$s,MATCH("Jan 2025 Referring Domains",'company tracker'!$1:$1,0),FALSE()),"")</f>
        <v/>
      </c>
      <c r="H98" s="1" t="str">
        <f aca="false">IFERROR(VLOOKUP(A98,'company tracker'!$a:$s,MATCH("Jun 2026 Referring Domains",'company tracker'!$1:$1,0),FALSE()),"")</f>
        <v/>
      </c>
    </row>
    <row r="99" customFormat="false" ht="15" hidden="false" customHeight="true" outlineLevel="0" collapsed="false">
      <c r="B99" s="1" t="str">
        <f aca="false">IFERROR(VLOOKUP(A99,'company tracker'!$a:$s,MATCH("Category",'company tracker'!$1:$1,0),FALSE()),"")</f>
        <v/>
      </c>
      <c r="C99" s="1" t="str">
        <f aca="false">IFERROR(VLOOKUP(A99,'Pass 1 Archive'!$A:$AD,MATCH("LinkedIn Employee Count",'Pass 1 Archive'!$1:$1,0),FALSE()),"")</f>
        <v/>
      </c>
      <c r="D99" s="1" t="str">
        <f aca="false">IFERROR(VLOOKUP(A99,'company tracker'!$a:$s,MATCH("Jan 2025 Traffic",'company tracker'!$1:$1,0),FALSE()),"")</f>
        <v/>
      </c>
      <c r="E99" s="1" t="str">
        <f aca="false">IFERROR(VLOOKUP(A99,'company tracker'!$a:$s,MATCH("Jun 2026 Traffic",'company tracker'!$1:$1,0),FALSE()),"")</f>
        <v/>
      </c>
      <c r="F99" s="1" t="str">
        <f aca="false">IFERROR(VLOOKUP(A99,'company tracker'!$a:$s,MATCH("Traffic % Change",'company tracker'!$1:$1,0),FALSE()),"")</f>
        <v/>
      </c>
      <c r="G99" s="1" t="str">
        <f aca="false">IFERROR(VLOOKUP(A99,'company tracker'!$a:$s,MATCH("Jan 2025 Referring Domains",'company tracker'!$1:$1,0),FALSE()),"")</f>
        <v/>
      </c>
      <c r="H99" s="1" t="str">
        <f aca="false">IFERROR(VLOOKUP(A99,'company tracker'!$a:$s,MATCH("Jun 2026 Referring Domains",'company tracker'!$1:$1,0),FALSE()),"")</f>
        <v/>
      </c>
    </row>
    <row r="100" customFormat="false" ht="15" hidden="false" customHeight="true" outlineLevel="0" collapsed="false">
      <c r="B100" s="1" t="str">
        <f aca="false">IFERROR(VLOOKUP(A100,'company tracker'!$a:$s,MATCH("Category",'company tracker'!$1:$1,0),FALSE()),"")</f>
        <v/>
      </c>
      <c r="C100" s="1" t="str">
        <f aca="false">IFERROR(VLOOKUP(A100,'Pass 1 Archive'!$A:$AD,MATCH("LinkedIn Employee Count",'Pass 1 Archive'!$1:$1,0),FALSE()),"")</f>
        <v/>
      </c>
      <c r="D100" s="1" t="str">
        <f aca="false">IFERROR(VLOOKUP(A100,'company tracker'!$a:$s,MATCH("Jan 2025 Traffic",'company tracker'!$1:$1,0),FALSE()),"")</f>
        <v/>
      </c>
      <c r="E100" s="1" t="str">
        <f aca="false">IFERROR(VLOOKUP(A100,'company tracker'!$a:$s,MATCH("Jun 2026 Traffic",'company tracker'!$1:$1,0),FALSE()),"")</f>
        <v/>
      </c>
      <c r="F100" s="1" t="str">
        <f aca="false">IFERROR(VLOOKUP(A100,'company tracker'!$a:$s,MATCH("Traffic % Change",'company tracker'!$1:$1,0),FALSE()),"")</f>
        <v/>
      </c>
      <c r="G100" s="1" t="str">
        <f aca="false">IFERROR(VLOOKUP(A100,'company tracker'!$a:$s,MATCH("Jan 2025 Referring Domains",'company tracker'!$1:$1,0),FALSE()),"")</f>
        <v/>
      </c>
      <c r="H100" s="1" t="str">
        <f aca="false">IFERROR(VLOOKUP(A100,'company tracker'!$a:$s,MATCH("Jun 2026 Referring Domains",'company tracker'!$1:$1,0),FALSE()),"")</f>
        <v/>
      </c>
    </row>
    <row r="101" customFormat="false" ht="15" hidden="false" customHeight="true" outlineLevel="0" collapsed="false">
      <c r="B101" s="1" t="str">
        <f aca="false">IFERROR(VLOOKUP(A101,'company tracker'!$a:$s,MATCH("Category",'company tracker'!$1:$1,0),FALSE()),"")</f>
        <v/>
      </c>
      <c r="C101" s="1" t="str">
        <f aca="false">IFERROR(VLOOKUP(A101,'Pass 1 Archive'!$A:$AD,MATCH("LinkedIn Employee Count",'Pass 1 Archive'!$1:$1,0),FALSE()),"")</f>
        <v/>
      </c>
      <c r="D101" s="1" t="str">
        <f aca="false">IFERROR(VLOOKUP(A101,'company tracker'!$a:$s,MATCH("Jan 2025 Traffic",'company tracker'!$1:$1,0),FALSE()),"")</f>
        <v/>
      </c>
      <c r="E101" s="1" t="str">
        <f aca="false">IFERROR(VLOOKUP(A101,'company tracker'!$a:$s,MATCH("Jun 2026 Traffic",'company tracker'!$1:$1,0),FALSE()),"")</f>
        <v/>
      </c>
      <c r="F101" s="1" t="str">
        <f aca="false">IFERROR(VLOOKUP(A101,'company tracker'!$a:$s,MATCH("Traffic % Change",'company tracker'!$1:$1,0),FALSE()),"")</f>
        <v/>
      </c>
      <c r="G101" s="1" t="str">
        <f aca="false">IFERROR(VLOOKUP(A101,'company tracker'!$a:$s,MATCH("Jan 2025 Referring Domains",'company tracker'!$1:$1,0),FALSE()),"")</f>
        <v/>
      </c>
      <c r="H101" s="1" t="str">
        <f aca="false">IFERROR(VLOOKUP(A101,'company tracker'!$a:$s,MATCH("Jun 2026 Referring Domains",'company tracker'!$1:$1,0),FALSE()),"")</f>
        <v/>
      </c>
    </row>
    <row r="102" customFormat="false" ht="15" hidden="false" customHeight="true" outlineLevel="0" collapsed="false">
      <c r="B102" s="1" t="str">
        <f aca="false">IFERROR(VLOOKUP(A102,'company tracker'!$a:$s,MATCH("Category",'company tracker'!$1:$1,0),FALSE()),"")</f>
        <v/>
      </c>
      <c r="C102" s="1" t="str">
        <f aca="false">IFERROR(VLOOKUP(A102,'Pass 1 Archive'!$A:$AD,MATCH("LinkedIn Employee Count",'Pass 1 Archive'!$1:$1,0),FALSE()),"")</f>
        <v/>
      </c>
      <c r="D102" s="1" t="str">
        <f aca="false">IFERROR(VLOOKUP(A102,'company tracker'!$a:$s,MATCH("Jan 2025 Traffic",'company tracker'!$1:$1,0),FALSE()),"")</f>
        <v/>
      </c>
      <c r="E102" s="1" t="str">
        <f aca="false">IFERROR(VLOOKUP(A102,'company tracker'!$a:$s,MATCH("Jun 2026 Traffic",'company tracker'!$1:$1,0),FALSE()),"")</f>
        <v/>
      </c>
      <c r="F102" s="1" t="str">
        <f aca="false">IFERROR(VLOOKUP(A102,'company tracker'!$a:$s,MATCH("Traffic % Change",'company tracker'!$1:$1,0),FALSE()),"")</f>
        <v/>
      </c>
      <c r="G102" s="1" t="str">
        <f aca="false">IFERROR(VLOOKUP(A102,'company tracker'!$a:$s,MATCH("Jan 2025 Referring Domains",'company tracker'!$1:$1,0),FALSE()),"")</f>
        <v/>
      </c>
      <c r="H102" s="1" t="str">
        <f aca="false">IFERROR(VLOOKUP(A102,'company tracker'!$a:$s,MATCH("Jun 2026 Referring Domains",'company tracker'!$1:$1,0),FALSE()),"")</f>
        <v/>
      </c>
    </row>
    <row r="103" customFormat="false" ht="15" hidden="false" customHeight="true" outlineLevel="0" collapsed="false">
      <c r="B103" s="1" t="str">
        <f aca="false">IFERROR(VLOOKUP(A103,'company tracker'!$a:$s,MATCH("Category",'company tracker'!$1:$1,0),FALSE()),"")</f>
        <v/>
      </c>
      <c r="C103" s="1" t="str">
        <f aca="false">IFERROR(VLOOKUP(A103,'Pass 1 Archive'!$A:$AD,MATCH("LinkedIn Employee Count",'Pass 1 Archive'!$1:$1,0),FALSE()),"")</f>
        <v/>
      </c>
      <c r="D103" s="1" t="str">
        <f aca="false">IFERROR(VLOOKUP(A103,'company tracker'!$a:$s,MATCH("Jan 2025 Traffic",'company tracker'!$1:$1,0),FALSE()),"")</f>
        <v/>
      </c>
      <c r="E103" s="1" t="str">
        <f aca="false">IFERROR(VLOOKUP(A103,'company tracker'!$a:$s,MATCH("Jun 2026 Traffic",'company tracker'!$1:$1,0),FALSE()),"")</f>
        <v/>
      </c>
      <c r="F103" s="1" t="str">
        <f aca="false">IFERROR(VLOOKUP(A103,'company tracker'!$a:$s,MATCH("Traffic % Change",'company tracker'!$1:$1,0),FALSE()),"")</f>
        <v/>
      </c>
      <c r="G103" s="1" t="str">
        <f aca="false">IFERROR(VLOOKUP(A103,'company tracker'!$a:$s,MATCH("Jan 2025 Referring Domains",'company tracker'!$1:$1,0),FALSE()),"")</f>
        <v/>
      </c>
      <c r="H103" s="1" t="str">
        <f aca="false">IFERROR(VLOOKUP(A103,'company tracker'!$a:$s,MATCH("Jun 2026 Referring Domains",'company tracker'!$1:$1,0),FALSE()),"")</f>
        <v/>
      </c>
    </row>
    <row r="104" customFormat="false" ht="15" hidden="false" customHeight="true" outlineLevel="0" collapsed="false">
      <c r="B104" s="1" t="str">
        <f aca="false">IFERROR(VLOOKUP(A104,'company tracker'!$a:$s,MATCH("Category",'company tracker'!$1:$1,0),FALSE()),"")</f>
        <v/>
      </c>
      <c r="C104" s="1" t="str">
        <f aca="false">IFERROR(VLOOKUP(A104,'Pass 1 Archive'!$A:$AD,MATCH("LinkedIn Employee Count",'Pass 1 Archive'!$1:$1,0),FALSE()),"")</f>
        <v/>
      </c>
      <c r="D104" s="1" t="str">
        <f aca="false">IFERROR(VLOOKUP(A104,'company tracker'!$a:$s,MATCH("Jan 2025 Traffic",'company tracker'!$1:$1,0),FALSE()),"")</f>
        <v/>
      </c>
      <c r="E104" s="1" t="str">
        <f aca="false">IFERROR(VLOOKUP(A104,'company tracker'!$a:$s,MATCH("Jun 2026 Traffic",'company tracker'!$1:$1,0),FALSE()),"")</f>
        <v/>
      </c>
      <c r="F104" s="1" t="str">
        <f aca="false">IFERROR(VLOOKUP(A104,'company tracker'!$a:$s,MATCH("Traffic % Change",'company tracker'!$1:$1,0),FALSE()),"")</f>
        <v/>
      </c>
      <c r="G104" s="1" t="str">
        <f aca="false">IFERROR(VLOOKUP(A104,'company tracker'!$a:$s,MATCH("Jan 2025 Referring Domains",'company tracker'!$1:$1,0),FALSE()),"")</f>
        <v/>
      </c>
      <c r="H104" s="1" t="str">
        <f aca="false">IFERROR(VLOOKUP(A104,'company tracker'!$a:$s,MATCH("Jun 2026 Referring Domains",'company tracker'!$1:$1,0),FALSE()),"")</f>
        <v/>
      </c>
    </row>
    <row r="105" customFormat="false" ht="15" hidden="false" customHeight="true" outlineLevel="0" collapsed="false">
      <c r="B105" s="1" t="str">
        <f aca="false">IFERROR(VLOOKUP(A105,'company tracker'!$a:$s,MATCH("Category",'company tracker'!$1:$1,0),FALSE()),"")</f>
        <v/>
      </c>
      <c r="C105" s="1" t="str">
        <f aca="false">IFERROR(VLOOKUP(A105,'Pass 1 Archive'!$A:$AD,MATCH("LinkedIn Employee Count",'Pass 1 Archive'!$1:$1,0),FALSE()),"")</f>
        <v/>
      </c>
      <c r="D105" s="1" t="str">
        <f aca="false">IFERROR(VLOOKUP(A105,'company tracker'!$a:$s,MATCH("Jan 2025 Traffic",'company tracker'!$1:$1,0),FALSE()),"")</f>
        <v/>
      </c>
      <c r="E105" s="1" t="str">
        <f aca="false">IFERROR(VLOOKUP(A105,'company tracker'!$a:$s,MATCH("Jun 2026 Traffic",'company tracker'!$1:$1,0),FALSE()),"")</f>
        <v/>
      </c>
      <c r="F105" s="1" t="str">
        <f aca="false">IFERROR(VLOOKUP(A105,'company tracker'!$a:$s,MATCH("Traffic % Change",'company tracker'!$1:$1,0),FALSE()),"")</f>
        <v/>
      </c>
      <c r="G105" s="1" t="str">
        <f aca="false">IFERROR(VLOOKUP(A105,'company tracker'!$a:$s,MATCH("Jan 2025 Referring Domains",'company tracker'!$1:$1,0),FALSE()),"")</f>
        <v/>
      </c>
      <c r="H105" s="1" t="str">
        <f aca="false">IFERROR(VLOOKUP(A105,'company tracker'!$a:$s,MATCH("Jun 2026 Referring Domains",'company tracker'!$1:$1,0),FALSE()),"")</f>
        <v/>
      </c>
    </row>
    <row r="106" customFormat="false" ht="15" hidden="false" customHeight="true" outlineLevel="0" collapsed="false">
      <c r="B106" s="1" t="str">
        <f aca="false">IFERROR(VLOOKUP(A106,'company tracker'!$a:$s,MATCH("Category",'company tracker'!$1:$1,0),FALSE()),"")</f>
        <v/>
      </c>
      <c r="C106" s="1" t="str">
        <f aca="false">IFERROR(VLOOKUP(A106,'Pass 1 Archive'!$A:$AD,MATCH("LinkedIn Employee Count",'Pass 1 Archive'!$1:$1,0),FALSE()),"")</f>
        <v/>
      </c>
      <c r="D106" s="1" t="str">
        <f aca="false">IFERROR(VLOOKUP(A106,'company tracker'!$a:$s,MATCH("Jan 2025 Traffic",'company tracker'!$1:$1,0),FALSE()),"")</f>
        <v/>
      </c>
      <c r="E106" s="1" t="str">
        <f aca="false">IFERROR(VLOOKUP(A106,'company tracker'!$a:$s,MATCH("Jun 2026 Traffic",'company tracker'!$1:$1,0),FALSE()),"")</f>
        <v/>
      </c>
      <c r="F106" s="1" t="str">
        <f aca="false">IFERROR(VLOOKUP(A106,'company tracker'!$a:$s,MATCH("Traffic % Change",'company tracker'!$1:$1,0),FALSE()),"")</f>
        <v/>
      </c>
      <c r="G106" s="1" t="str">
        <f aca="false">IFERROR(VLOOKUP(A106,'company tracker'!$a:$s,MATCH("Jan 2025 Referring Domains",'company tracker'!$1:$1,0),FALSE()),"")</f>
        <v/>
      </c>
      <c r="H106" s="1" t="str">
        <f aca="false">IFERROR(VLOOKUP(A106,'company tracker'!$a:$s,MATCH("Jun 2026 Referring Domains",'company tracker'!$1:$1,0),FALSE()),"")</f>
        <v/>
      </c>
    </row>
    <row r="107" customFormat="false" ht="15" hidden="false" customHeight="true" outlineLevel="0" collapsed="false">
      <c r="B107" s="1" t="str">
        <f aca="false">IFERROR(VLOOKUP(A107,'company tracker'!$a:$s,MATCH("Category",'company tracker'!$1:$1,0),FALSE()),"")</f>
        <v/>
      </c>
      <c r="C107" s="1" t="str">
        <f aca="false">IFERROR(VLOOKUP(A107,'Pass 1 Archive'!$A:$AD,MATCH("LinkedIn Employee Count",'Pass 1 Archive'!$1:$1,0),FALSE()),"")</f>
        <v/>
      </c>
      <c r="D107" s="1" t="str">
        <f aca="false">IFERROR(VLOOKUP(A107,'company tracker'!$a:$s,MATCH("Jan 2025 Traffic",'company tracker'!$1:$1,0),FALSE()),"")</f>
        <v/>
      </c>
      <c r="E107" s="1" t="str">
        <f aca="false">IFERROR(VLOOKUP(A107,'company tracker'!$a:$s,MATCH("Jun 2026 Traffic",'company tracker'!$1:$1,0),FALSE()),"")</f>
        <v/>
      </c>
      <c r="F107" s="1" t="str">
        <f aca="false">IFERROR(VLOOKUP(A107,'company tracker'!$a:$s,MATCH("Traffic % Change",'company tracker'!$1:$1,0),FALSE()),"")</f>
        <v/>
      </c>
      <c r="G107" s="1" t="str">
        <f aca="false">IFERROR(VLOOKUP(A107,'company tracker'!$a:$s,MATCH("Jan 2025 Referring Domains",'company tracker'!$1:$1,0),FALSE()),"")</f>
        <v/>
      </c>
      <c r="H107" s="1" t="str">
        <f aca="false">IFERROR(VLOOKUP(A107,'company tracker'!$a:$s,MATCH("Jun 2026 Referring Domains",'company tracker'!$1:$1,0),FALSE()),"")</f>
        <v/>
      </c>
    </row>
    <row r="108" customFormat="false" ht="15" hidden="false" customHeight="true" outlineLevel="0" collapsed="false">
      <c r="B108" s="1" t="str">
        <f aca="false">IFERROR(VLOOKUP(A108,'company tracker'!$a:$s,MATCH("Category",'company tracker'!$1:$1,0),FALSE()),"")</f>
        <v/>
      </c>
      <c r="C108" s="1" t="str">
        <f aca="false">IFERROR(VLOOKUP(A108,'Pass 1 Archive'!$A:$AD,MATCH("LinkedIn Employee Count",'Pass 1 Archive'!$1:$1,0),FALSE()),"")</f>
        <v/>
      </c>
      <c r="D108" s="1" t="str">
        <f aca="false">IFERROR(VLOOKUP(A108,'company tracker'!$a:$s,MATCH("Jan 2025 Traffic",'company tracker'!$1:$1,0),FALSE()),"")</f>
        <v/>
      </c>
      <c r="E108" s="1" t="str">
        <f aca="false">IFERROR(VLOOKUP(A108,'company tracker'!$a:$s,MATCH("Jun 2026 Traffic",'company tracker'!$1:$1,0),FALSE()),"")</f>
        <v/>
      </c>
      <c r="F108" s="1" t="str">
        <f aca="false">IFERROR(VLOOKUP(A108,'company tracker'!$a:$s,MATCH("Traffic % Change",'company tracker'!$1:$1,0),FALSE()),"")</f>
        <v/>
      </c>
      <c r="G108" s="1" t="str">
        <f aca="false">IFERROR(VLOOKUP(A108,'company tracker'!$a:$s,MATCH("Jan 2025 Referring Domains",'company tracker'!$1:$1,0),FALSE()),"")</f>
        <v/>
      </c>
      <c r="H108" s="1" t="str">
        <f aca="false">IFERROR(VLOOKUP(A108,'company tracker'!$a:$s,MATCH("Jun 2026 Referring Domains",'company tracker'!$1:$1,0),FALSE()),"")</f>
        <v/>
      </c>
    </row>
    <row r="109" customFormat="false" ht="15" hidden="false" customHeight="true" outlineLevel="0" collapsed="false">
      <c r="B109" s="1" t="str">
        <f aca="false">IFERROR(VLOOKUP(A109,'company tracker'!$a:$s,MATCH("Category",'company tracker'!$1:$1,0),FALSE()),"")</f>
        <v/>
      </c>
      <c r="C109" s="1" t="str">
        <f aca="false">IFERROR(VLOOKUP(A109,'Pass 1 Archive'!$A:$AD,MATCH("LinkedIn Employee Count",'Pass 1 Archive'!$1:$1,0),FALSE()),"")</f>
        <v/>
      </c>
      <c r="D109" s="1" t="str">
        <f aca="false">IFERROR(VLOOKUP(A109,'company tracker'!$a:$s,MATCH("Jan 2025 Traffic",'company tracker'!$1:$1,0),FALSE()),"")</f>
        <v/>
      </c>
      <c r="E109" s="1" t="str">
        <f aca="false">IFERROR(VLOOKUP(A109,'company tracker'!$a:$s,MATCH("Jun 2026 Traffic",'company tracker'!$1:$1,0),FALSE()),"")</f>
        <v/>
      </c>
      <c r="F109" s="1" t="str">
        <f aca="false">IFERROR(VLOOKUP(A109,'company tracker'!$a:$s,MATCH("Traffic % Change",'company tracker'!$1:$1,0),FALSE()),"")</f>
        <v/>
      </c>
      <c r="G109" s="1" t="str">
        <f aca="false">IFERROR(VLOOKUP(A109,'company tracker'!$a:$s,MATCH("Jan 2025 Referring Domains",'company tracker'!$1:$1,0),FALSE()),"")</f>
        <v/>
      </c>
      <c r="H109" s="1" t="str">
        <f aca="false">IFERROR(VLOOKUP(A109,'company tracker'!$a:$s,MATCH("Jun 2026 Referring Domains",'company tracker'!$1:$1,0),FALSE()),"")</f>
        <v/>
      </c>
    </row>
    <row r="110" customFormat="false" ht="15" hidden="false" customHeight="true" outlineLevel="0" collapsed="false">
      <c r="B110" s="1" t="str">
        <f aca="false">IFERROR(VLOOKUP(A110,'company tracker'!$a:$s,MATCH("Category",'company tracker'!$1:$1,0),FALSE()),"")</f>
        <v/>
      </c>
      <c r="C110" s="1" t="str">
        <f aca="false">IFERROR(VLOOKUP(A110,'Pass 1 Archive'!$A:$AD,MATCH("LinkedIn Employee Count",'Pass 1 Archive'!$1:$1,0),FALSE()),"")</f>
        <v/>
      </c>
      <c r="D110" s="1" t="str">
        <f aca="false">IFERROR(VLOOKUP(A110,'company tracker'!$a:$s,MATCH("Jan 2025 Traffic",'company tracker'!$1:$1,0),FALSE()),"")</f>
        <v/>
      </c>
      <c r="E110" s="1" t="str">
        <f aca="false">IFERROR(VLOOKUP(A110,'company tracker'!$a:$s,MATCH("Jun 2026 Traffic",'company tracker'!$1:$1,0),FALSE()),"")</f>
        <v/>
      </c>
      <c r="F110" s="1" t="str">
        <f aca="false">IFERROR(VLOOKUP(A110,'company tracker'!$a:$s,MATCH("Traffic % Change",'company tracker'!$1:$1,0),FALSE()),"")</f>
        <v/>
      </c>
      <c r="G110" s="1" t="str">
        <f aca="false">IFERROR(VLOOKUP(A110,'company tracker'!$a:$s,MATCH("Jan 2025 Referring Domains",'company tracker'!$1:$1,0),FALSE()),"")</f>
        <v/>
      </c>
      <c r="H110" s="1" t="str">
        <f aca="false">IFERROR(VLOOKUP(A110,'company tracker'!$a:$s,MATCH("Jun 2026 Referring Domains",'company tracker'!$1:$1,0),FALSE()),"")</f>
        <v/>
      </c>
    </row>
    <row r="111" customFormat="false" ht="15" hidden="false" customHeight="true" outlineLevel="0" collapsed="false">
      <c r="B111" s="1" t="str">
        <f aca="false">IFERROR(VLOOKUP(A111,'company tracker'!$a:$s,MATCH("Category",'company tracker'!$1:$1,0),FALSE()),"")</f>
        <v/>
      </c>
      <c r="C111" s="1" t="str">
        <f aca="false">IFERROR(VLOOKUP(A111,'Pass 1 Archive'!$A:$AD,MATCH("LinkedIn Employee Count",'Pass 1 Archive'!$1:$1,0),FALSE()),"")</f>
        <v/>
      </c>
      <c r="D111" s="1" t="str">
        <f aca="false">IFERROR(VLOOKUP(A111,'company tracker'!$a:$s,MATCH("Jan 2025 Traffic",'company tracker'!$1:$1,0),FALSE()),"")</f>
        <v/>
      </c>
      <c r="E111" s="1" t="str">
        <f aca="false">IFERROR(VLOOKUP(A111,'company tracker'!$a:$s,MATCH("Jun 2026 Traffic",'company tracker'!$1:$1,0),FALSE()),"")</f>
        <v/>
      </c>
      <c r="F111" s="1" t="str">
        <f aca="false">IFERROR(VLOOKUP(A111,'company tracker'!$a:$s,MATCH("Traffic % Change",'company tracker'!$1:$1,0),FALSE()),"")</f>
        <v/>
      </c>
      <c r="G111" s="1" t="str">
        <f aca="false">IFERROR(VLOOKUP(A111,'company tracker'!$a:$s,MATCH("Jan 2025 Referring Domains",'company tracker'!$1:$1,0),FALSE()),"")</f>
        <v/>
      </c>
      <c r="H111" s="1" t="str">
        <f aca="false">IFERROR(VLOOKUP(A111,'company tracker'!$a:$s,MATCH("Jun 2026 Referring Domains",'company tracker'!$1:$1,0),FALSE()),"")</f>
        <v/>
      </c>
    </row>
    <row r="112" customFormat="false" ht="15" hidden="false" customHeight="true" outlineLevel="0" collapsed="false">
      <c r="B112" s="1" t="str">
        <f aca="false">IFERROR(VLOOKUP(A112,'company tracker'!$a:$s,MATCH("Category",'company tracker'!$1:$1,0),FALSE()),"")</f>
        <v/>
      </c>
      <c r="C112" s="1" t="str">
        <f aca="false">IFERROR(VLOOKUP(A112,'Pass 1 Archive'!$A:$AD,MATCH("LinkedIn Employee Count",'Pass 1 Archive'!$1:$1,0),FALSE()),"")</f>
        <v/>
      </c>
      <c r="D112" s="1" t="str">
        <f aca="false">IFERROR(VLOOKUP(A112,'company tracker'!$a:$s,MATCH("Jan 2025 Traffic",'company tracker'!$1:$1,0),FALSE()),"")</f>
        <v/>
      </c>
      <c r="E112" s="1" t="str">
        <f aca="false">IFERROR(VLOOKUP(A112,'company tracker'!$a:$s,MATCH("Jun 2026 Traffic",'company tracker'!$1:$1,0),FALSE()),"")</f>
        <v/>
      </c>
      <c r="F112" s="1" t="str">
        <f aca="false">IFERROR(VLOOKUP(A112,'company tracker'!$a:$s,MATCH("Traffic % Change",'company tracker'!$1:$1,0),FALSE()),"")</f>
        <v/>
      </c>
      <c r="G112" s="1" t="str">
        <f aca="false">IFERROR(VLOOKUP(A112,'company tracker'!$a:$s,MATCH("Jan 2025 Referring Domains",'company tracker'!$1:$1,0),FALSE()),"")</f>
        <v/>
      </c>
      <c r="H112" s="1" t="str">
        <f aca="false">IFERROR(VLOOKUP(A112,'company tracker'!$a:$s,MATCH("Jun 2026 Referring Domains",'company tracker'!$1:$1,0),FALSE()),"")</f>
        <v/>
      </c>
    </row>
    <row r="113" customFormat="false" ht="15" hidden="false" customHeight="true" outlineLevel="0" collapsed="false">
      <c r="B113" s="1" t="str">
        <f aca="false">IFERROR(VLOOKUP(A113,'company tracker'!$a:$s,MATCH("Category",'company tracker'!$1:$1,0),FALSE()),"")</f>
        <v/>
      </c>
      <c r="C113" s="1" t="str">
        <f aca="false">IFERROR(VLOOKUP(A113,'Pass 1 Archive'!$A:$AD,MATCH("LinkedIn Employee Count",'Pass 1 Archive'!$1:$1,0),FALSE()),"")</f>
        <v/>
      </c>
      <c r="D113" s="1" t="str">
        <f aca="false">IFERROR(VLOOKUP(A113,'company tracker'!$a:$s,MATCH("Jan 2025 Traffic",'company tracker'!$1:$1,0),FALSE()),"")</f>
        <v/>
      </c>
      <c r="E113" s="1" t="str">
        <f aca="false">IFERROR(VLOOKUP(A113,'company tracker'!$a:$s,MATCH("Jun 2026 Traffic",'company tracker'!$1:$1,0),FALSE()),"")</f>
        <v/>
      </c>
      <c r="F113" s="1" t="str">
        <f aca="false">IFERROR(VLOOKUP(A113,'company tracker'!$a:$s,MATCH("Traffic % Change",'company tracker'!$1:$1,0),FALSE()),"")</f>
        <v/>
      </c>
      <c r="G113" s="1" t="str">
        <f aca="false">IFERROR(VLOOKUP(A113,'company tracker'!$a:$s,MATCH("Jan 2025 Referring Domains",'company tracker'!$1:$1,0),FALSE()),"")</f>
        <v/>
      </c>
      <c r="H113" s="1" t="str">
        <f aca="false">IFERROR(VLOOKUP(A113,'company tracker'!$a:$s,MATCH("Jun 2026 Referring Domains",'company tracker'!$1:$1,0),FALSE()),"")</f>
        <v/>
      </c>
    </row>
    <row r="114" customFormat="false" ht="15" hidden="false" customHeight="true" outlineLevel="0" collapsed="false">
      <c r="B114" s="1" t="str">
        <f aca="false">IFERROR(VLOOKUP(A114,'company tracker'!$a:$s,MATCH("Category",'company tracker'!$1:$1,0),FALSE()),"")</f>
        <v/>
      </c>
      <c r="C114" s="1" t="str">
        <f aca="false">IFERROR(VLOOKUP(A114,'Pass 1 Archive'!$A:$AD,MATCH("LinkedIn Employee Count",'Pass 1 Archive'!$1:$1,0),FALSE()),"")</f>
        <v/>
      </c>
      <c r="D114" s="1" t="str">
        <f aca="false">IFERROR(VLOOKUP(A114,'company tracker'!$a:$s,MATCH("Jan 2025 Traffic",'company tracker'!$1:$1,0),FALSE()),"")</f>
        <v/>
      </c>
      <c r="E114" s="1" t="str">
        <f aca="false">IFERROR(VLOOKUP(A114,'company tracker'!$a:$s,MATCH("Jun 2026 Traffic",'company tracker'!$1:$1,0),FALSE()),"")</f>
        <v/>
      </c>
      <c r="F114" s="1" t="str">
        <f aca="false">IFERROR(VLOOKUP(A114,'company tracker'!$a:$s,MATCH("Traffic % Change",'company tracker'!$1:$1,0),FALSE()),"")</f>
        <v/>
      </c>
      <c r="G114" s="1" t="str">
        <f aca="false">IFERROR(VLOOKUP(A114,'company tracker'!$a:$s,MATCH("Jan 2025 Referring Domains",'company tracker'!$1:$1,0),FALSE()),"")</f>
        <v/>
      </c>
      <c r="H114" s="1" t="str">
        <f aca="false">IFERROR(VLOOKUP(A114,'company tracker'!$a:$s,MATCH("Jun 2026 Referring Domains",'company tracker'!$1:$1,0),FALSE()),"")</f>
        <v/>
      </c>
    </row>
    <row r="115" customFormat="false" ht="15" hidden="false" customHeight="true" outlineLevel="0" collapsed="false">
      <c r="B115" s="1" t="str">
        <f aca="false">IFERROR(VLOOKUP(A115,'company tracker'!$a:$s,MATCH("Category",'company tracker'!$1:$1,0),FALSE()),"")</f>
        <v/>
      </c>
      <c r="C115" s="1" t="str">
        <f aca="false">IFERROR(VLOOKUP(A115,'Pass 1 Archive'!$A:$AD,MATCH("LinkedIn Employee Count",'Pass 1 Archive'!$1:$1,0),FALSE()),"")</f>
        <v/>
      </c>
      <c r="D115" s="1" t="str">
        <f aca="false">IFERROR(VLOOKUP(A115,'company tracker'!$a:$s,MATCH("Jan 2025 Traffic",'company tracker'!$1:$1,0),FALSE()),"")</f>
        <v/>
      </c>
      <c r="E115" s="1" t="str">
        <f aca="false">IFERROR(VLOOKUP(A115,'company tracker'!$a:$s,MATCH("Jun 2026 Traffic",'company tracker'!$1:$1,0),FALSE()),"")</f>
        <v/>
      </c>
      <c r="F115" s="1" t="str">
        <f aca="false">IFERROR(VLOOKUP(A115,'company tracker'!$a:$s,MATCH("Traffic % Change",'company tracker'!$1:$1,0),FALSE()),"")</f>
        <v/>
      </c>
      <c r="G115" s="1" t="str">
        <f aca="false">IFERROR(VLOOKUP(A115,'company tracker'!$a:$s,MATCH("Jan 2025 Referring Domains",'company tracker'!$1:$1,0),FALSE()),"")</f>
        <v/>
      </c>
      <c r="H115" s="1" t="str">
        <f aca="false">IFERROR(VLOOKUP(A115,'company tracker'!$a:$s,MATCH("Jun 2026 Referring Domains",'company tracker'!$1:$1,0),FALSE()),"")</f>
        <v/>
      </c>
    </row>
    <row r="116" customFormat="false" ht="15" hidden="false" customHeight="true" outlineLevel="0" collapsed="false">
      <c r="B116" s="1" t="str">
        <f aca="false">IFERROR(VLOOKUP(A116,'company tracker'!$a:$s,MATCH("Category",'company tracker'!$1:$1,0),FALSE()),"")</f>
        <v/>
      </c>
      <c r="C116" s="1" t="str">
        <f aca="false">IFERROR(VLOOKUP(A116,'Pass 1 Archive'!$A:$AD,MATCH("LinkedIn Employee Count",'Pass 1 Archive'!$1:$1,0),FALSE()),"")</f>
        <v/>
      </c>
      <c r="D116" s="1" t="str">
        <f aca="false">IFERROR(VLOOKUP(A116,'company tracker'!$a:$s,MATCH("Jan 2025 Traffic",'company tracker'!$1:$1,0),FALSE()),"")</f>
        <v/>
      </c>
      <c r="E116" s="1" t="str">
        <f aca="false">IFERROR(VLOOKUP(A116,'company tracker'!$a:$s,MATCH("Jun 2026 Traffic",'company tracker'!$1:$1,0),FALSE()),"")</f>
        <v/>
      </c>
      <c r="F116" s="1" t="str">
        <f aca="false">IFERROR(VLOOKUP(A116,'company tracker'!$a:$s,MATCH("Traffic % Change",'company tracker'!$1:$1,0),FALSE()),"")</f>
        <v/>
      </c>
      <c r="G116" s="1" t="str">
        <f aca="false">IFERROR(VLOOKUP(A116,'company tracker'!$a:$s,MATCH("Jan 2025 Referring Domains",'company tracker'!$1:$1,0),FALSE()),"")</f>
        <v/>
      </c>
      <c r="H116" s="1" t="str">
        <f aca="false">IFERROR(VLOOKUP(A116,'company tracker'!$a:$s,MATCH("Jun 2026 Referring Domains",'company tracker'!$1:$1,0),FALSE()),"")</f>
        <v/>
      </c>
    </row>
    <row r="117" customFormat="false" ht="15" hidden="false" customHeight="true" outlineLevel="0" collapsed="false">
      <c r="B117" s="1" t="str">
        <f aca="false">IFERROR(VLOOKUP(A117,'company tracker'!$a:$s,MATCH("Category",'company tracker'!$1:$1,0),FALSE()),"")</f>
        <v/>
      </c>
      <c r="C117" s="1" t="str">
        <f aca="false">IFERROR(VLOOKUP(A117,'Pass 1 Archive'!$A:$AD,MATCH("LinkedIn Employee Count",'Pass 1 Archive'!$1:$1,0),FALSE()),"")</f>
        <v/>
      </c>
      <c r="D117" s="1" t="str">
        <f aca="false">IFERROR(VLOOKUP(A117,'company tracker'!$a:$s,MATCH("Jan 2025 Traffic",'company tracker'!$1:$1,0),FALSE()),"")</f>
        <v/>
      </c>
      <c r="E117" s="1" t="str">
        <f aca="false">IFERROR(VLOOKUP(A117,'company tracker'!$a:$s,MATCH("Jun 2026 Traffic",'company tracker'!$1:$1,0),FALSE()),"")</f>
        <v/>
      </c>
      <c r="F117" s="1" t="str">
        <f aca="false">IFERROR(VLOOKUP(A117,'company tracker'!$a:$s,MATCH("Traffic % Change",'company tracker'!$1:$1,0),FALSE()),"")</f>
        <v/>
      </c>
      <c r="G117" s="1" t="str">
        <f aca="false">IFERROR(VLOOKUP(A117,'company tracker'!$a:$s,MATCH("Jan 2025 Referring Domains",'company tracker'!$1:$1,0),FALSE()),"")</f>
        <v/>
      </c>
      <c r="H117" s="1" t="str">
        <f aca="false">IFERROR(VLOOKUP(A117,'company tracker'!$a:$s,MATCH("Jun 2026 Referring Domains",'company tracker'!$1:$1,0),FALSE()),"")</f>
        <v/>
      </c>
    </row>
    <row r="118" customFormat="false" ht="15" hidden="false" customHeight="true" outlineLevel="0" collapsed="false">
      <c r="B118" s="1" t="str">
        <f aca="false">IFERROR(VLOOKUP(A118,'company tracker'!$a:$s,MATCH("Category",'company tracker'!$1:$1,0),FALSE()),"")</f>
        <v/>
      </c>
      <c r="C118" s="1" t="str">
        <f aca="false">IFERROR(VLOOKUP(A118,'Pass 1 Archive'!$A:$AD,MATCH("LinkedIn Employee Count",'Pass 1 Archive'!$1:$1,0),FALSE()),"")</f>
        <v/>
      </c>
      <c r="D118" s="1" t="str">
        <f aca="false">IFERROR(VLOOKUP(A118,'company tracker'!$a:$s,MATCH("Jan 2025 Traffic",'company tracker'!$1:$1,0),FALSE()),"")</f>
        <v/>
      </c>
      <c r="E118" s="1" t="str">
        <f aca="false">IFERROR(VLOOKUP(A118,'company tracker'!$a:$s,MATCH("Jun 2026 Traffic",'company tracker'!$1:$1,0),FALSE()),"")</f>
        <v/>
      </c>
      <c r="F118" s="1" t="str">
        <f aca="false">IFERROR(VLOOKUP(A118,'company tracker'!$a:$s,MATCH("Traffic % Change",'company tracker'!$1:$1,0),FALSE()),"")</f>
        <v/>
      </c>
      <c r="G118" s="1" t="str">
        <f aca="false">IFERROR(VLOOKUP(A118,'company tracker'!$a:$s,MATCH("Jan 2025 Referring Domains",'company tracker'!$1:$1,0),FALSE()),"")</f>
        <v/>
      </c>
      <c r="H118" s="1" t="str">
        <f aca="false">IFERROR(VLOOKUP(A118,'company tracker'!$a:$s,MATCH("Jun 2026 Referring Domains",'company tracker'!$1:$1,0),FALSE()),"")</f>
        <v/>
      </c>
    </row>
    <row r="119" customFormat="false" ht="15" hidden="false" customHeight="true" outlineLevel="0" collapsed="false">
      <c r="B119" s="1" t="str">
        <f aca="false">IFERROR(VLOOKUP(A119,'company tracker'!$a:$s,MATCH("Category",'company tracker'!$1:$1,0),FALSE()),"")</f>
        <v/>
      </c>
      <c r="C119" s="1" t="str">
        <f aca="false">IFERROR(VLOOKUP(A119,'Pass 1 Archive'!$A:$AD,MATCH("LinkedIn Employee Count",'Pass 1 Archive'!$1:$1,0),FALSE()),"")</f>
        <v/>
      </c>
      <c r="D119" s="1" t="str">
        <f aca="false">IFERROR(VLOOKUP(A119,'company tracker'!$a:$s,MATCH("Jan 2025 Traffic",'company tracker'!$1:$1,0),FALSE()),"")</f>
        <v/>
      </c>
      <c r="E119" s="1" t="str">
        <f aca="false">IFERROR(VLOOKUP(A119,'company tracker'!$a:$s,MATCH("Jun 2026 Traffic",'company tracker'!$1:$1,0),FALSE()),"")</f>
        <v/>
      </c>
      <c r="F119" s="1" t="str">
        <f aca="false">IFERROR(VLOOKUP(A119,'company tracker'!$a:$s,MATCH("Traffic % Change",'company tracker'!$1:$1,0),FALSE()),"")</f>
        <v/>
      </c>
      <c r="G119" s="1" t="str">
        <f aca="false">IFERROR(VLOOKUP(A119,'company tracker'!$a:$s,MATCH("Jan 2025 Referring Domains",'company tracker'!$1:$1,0),FALSE()),"")</f>
        <v/>
      </c>
      <c r="H119" s="1" t="str">
        <f aca="false">IFERROR(VLOOKUP(A119,'company tracker'!$a:$s,MATCH("Jun 2026 Referring Domains",'company tracker'!$1:$1,0),FALSE()),"")</f>
        <v/>
      </c>
    </row>
    <row r="120" customFormat="false" ht="15" hidden="false" customHeight="true" outlineLevel="0" collapsed="false">
      <c r="B120" s="1" t="str">
        <f aca="false">IFERROR(VLOOKUP(A120,'company tracker'!$a:$s,MATCH("Category",'company tracker'!$1:$1,0),FALSE()),"")</f>
        <v/>
      </c>
      <c r="C120" s="1" t="str">
        <f aca="false">IFERROR(VLOOKUP(A120,'Pass 1 Archive'!$A:$AD,MATCH("LinkedIn Employee Count",'Pass 1 Archive'!$1:$1,0),FALSE()),"")</f>
        <v/>
      </c>
      <c r="D120" s="1" t="str">
        <f aca="false">IFERROR(VLOOKUP(A120,'company tracker'!$a:$s,MATCH("Jan 2025 Traffic",'company tracker'!$1:$1,0),FALSE()),"")</f>
        <v/>
      </c>
      <c r="E120" s="1" t="str">
        <f aca="false">IFERROR(VLOOKUP(A120,'company tracker'!$a:$s,MATCH("Jun 2026 Traffic",'company tracker'!$1:$1,0),FALSE()),"")</f>
        <v/>
      </c>
      <c r="F120" s="1" t="str">
        <f aca="false">IFERROR(VLOOKUP(A120,'company tracker'!$a:$s,MATCH("Traffic % Change",'company tracker'!$1:$1,0),FALSE()),"")</f>
        <v/>
      </c>
      <c r="G120" s="1" t="str">
        <f aca="false">IFERROR(VLOOKUP(A120,'company tracker'!$a:$s,MATCH("Jan 2025 Referring Domains",'company tracker'!$1:$1,0),FALSE()),"")</f>
        <v/>
      </c>
      <c r="H120" s="1" t="str">
        <f aca="false">IFERROR(VLOOKUP(A120,'company tracker'!$a:$s,MATCH("Jun 2026 Referring Domains",'company tracker'!$1:$1,0),FALSE()),"")</f>
        <v/>
      </c>
    </row>
    <row r="121" customFormat="false" ht="15" hidden="false" customHeight="true" outlineLevel="0" collapsed="false">
      <c r="B121" s="1" t="str">
        <f aca="false">IFERROR(VLOOKUP(A121,'company tracker'!$a:$s,MATCH("Category",'company tracker'!$1:$1,0),FALSE()),"")</f>
        <v/>
      </c>
      <c r="C121" s="1" t="str">
        <f aca="false">IFERROR(VLOOKUP(A121,'Pass 1 Archive'!$A:$AD,MATCH("LinkedIn Employee Count",'Pass 1 Archive'!$1:$1,0),FALSE()),"")</f>
        <v/>
      </c>
      <c r="D121" s="1" t="str">
        <f aca="false">IFERROR(VLOOKUP(A121,'company tracker'!$a:$s,MATCH("Jan 2025 Traffic",'company tracker'!$1:$1,0),FALSE()),"")</f>
        <v/>
      </c>
      <c r="E121" s="1" t="str">
        <f aca="false">IFERROR(VLOOKUP(A121,'company tracker'!$a:$s,MATCH("Jun 2026 Traffic",'company tracker'!$1:$1,0),FALSE()),"")</f>
        <v/>
      </c>
      <c r="F121" s="1" t="str">
        <f aca="false">IFERROR(VLOOKUP(A121,'company tracker'!$a:$s,MATCH("Traffic % Change",'company tracker'!$1:$1,0),FALSE()),"")</f>
        <v/>
      </c>
      <c r="G121" s="1" t="str">
        <f aca="false">IFERROR(VLOOKUP(A121,'company tracker'!$a:$s,MATCH("Jan 2025 Referring Domains",'company tracker'!$1:$1,0),FALSE()),"")</f>
        <v/>
      </c>
      <c r="H121" s="1" t="str">
        <f aca="false">IFERROR(VLOOKUP(A121,'company tracker'!$a:$s,MATCH("Jun 2026 Referring Domains",'company tracker'!$1:$1,0),FALSE()),"")</f>
        <v/>
      </c>
    </row>
    <row r="122" customFormat="false" ht="15" hidden="false" customHeight="true" outlineLevel="0" collapsed="false">
      <c r="B122" s="1" t="str">
        <f aca="false">IFERROR(VLOOKUP(A122,'company tracker'!$a:$s,MATCH("Category",'company tracker'!$1:$1,0),FALSE()),"")</f>
        <v/>
      </c>
      <c r="C122" s="1" t="str">
        <f aca="false">IFERROR(VLOOKUP(A122,'Pass 1 Archive'!$A:$AD,MATCH("LinkedIn Employee Count",'Pass 1 Archive'!$1:$1,0),FALSE()),"")</f>
        <v/>
      </c>
      <c r="D122" s="1" t="str">
        <f aca="false">IFERROR(VLOOKUP(A122,'company tracker'!$a:$s,MATCH("Jan 2025 Traffic",'company tracker'!$1:$1,0),FALSE()),"")</f>
        <v/>
      </c>
      <c r="E122" s="1" t="str">
        <f aca="false">IFERROR(VLOOKUP(A122,'company tracker'!$a:$s,MATCH("Jun 2026 Traffic",'company tracker'!$1:$1,0),FALSE()),"")</f>
        <v/>
      </c>
      <c r="F122" s="1" t="str">
        <f aca="false">IFERROR(VLOOKUP(A122,'company tracker'!$a:$s,MATCH("Traffic % Change",'company tracker'!$1:$1,0),FALSE()),"")</f>
        <v/>
      </c>
      <c r="G122" s="1" t="str">
        <f aca="false">IFERROR(VLOOKUP(A122,'company tracker'!$a:$s,MATCH("Jan 2025 Referring Domains",'company tracker'!$1:$1,0),FALSE()),"")</f>
        <v/>
      </c>
      <c r="H122" s="1" t="str">
        <f aca="false">IFERROR(VLOOKUP(A122,'company tracker'!$a:$s,MATCH("Jun 2026 Referring Domains",'company tracker'!$1:$1,0),FALSE()),"")</f>
        <v/>
      </c>
    </row>
    <row r="123" customFormat="false" ht="15" hidden="false" customHeight="true" outlineLevel="0" collapsed="false">
      <c r="B123" s="1" t="str">
        <f aca="false">IFERROR(VLOOKUP(A123,'company tracker'!$a:$s,MATCH("Category",'company tracker'!$1:$1,0),FALSE()),"")</f>
        <v/>
      </c>
      <c r="C123" s="1" t="str">
        <f aca="false">IFERROR(VLOOKUP(A123,'Pass 1 Archive'!$A:$AD,MATCH("LinkedIn Employee Count",'Pass 1 Archive'!$1:$1,0),FALSE()),"")</f>
        <v/>
      </c>
      <c r="D123" s="1" t="str">
        <f aca="false">IFERROR(VLOOKUP(A123,'company tracker'!$a:$s,MATCH("Jan 2025 Traffic",'company tracker'!$1:$1,0),FALSE()),"")</f>
        <v/>
      </c>
      <c r="E123" s="1" t="str">
        <f aca="false">IFERROR(VLOOKUP(A123,'company tracker'!$a:$s,MATCH("Jun 2026 Traffic",'company tracker'!$1:$1,0),FALSE()),"")</f>
        <v/>
      </c>
      <c r="F123" s="1" t="str">
        <f aca="false">IFERROR(VLOOKUP(A123,'company tracker'!$a:$s,MATCH("Traffic % Change",'company tracker'!$1:$1,0),FALSE()),"")</f>
        <v/>
      </c>
      <c r="G123" s="1" t="str">
        <f aca="false">IFERROR(VLOOKUP(A123,'company tracker'!$a:$s,MATCH("Jan 2025 Referring Domains",'company tracker'!$1:$1,0),FALSE()),"")</f>
        <v/>
      </c>
      <c r="H123" s="1" t="str">
        <f aca="false">IFERROR(VLOOKUP(A123,'company tracker'!$a:$s,MATCH("Jun 2026 Referring Domains",'company tracker'!$1:$1,0),FALSE()),"")</f>
        <v/>
      </c>
    </row>
    <row r="124" customFormat="false" ht="15" hidden="false" customHeight="true" outlineLevel="0" collapsed="false">
      <c r="B124" s="1" t="str">
        <f aca="false">IFERROR(VLOOKUP(A124,'company tracker'!$a:$s,MATCH("Category",'company tracker'!$1:$1,0),FALSE()),"")</f>
        <v/>
      </c>
      <c r="C124" s="1" t="str">
        <f aca="false">IFERROR(VLOOKUP(A124,'Pass 1 Archive'!$A:$AD,MATCH("LinkedIn Employee Count",'Pass 1 Archive'!$1:$1,0),FALSE()),"")</f>
        <v/>
      </c>
      <c r="D124" s="1" t="str">
        <f aca="false">IFERROR(VLOOKUP(A124,'company tracker'!$a:$s,MATCH("Jan 2025 Traffic",'company tracker'!$1:$1,0),FALSE()),"")</f>
        <v/>
      </c>
      <c r="E124" s="1" t="str">
        <f aca="false">IFERROR(VLOOKUP(A124,'company tracker'!$a:$s,MATCH("Jun 2026 Traffic",'company tracker'!$1:$1,0),FALSE()),"")</f>
        <v/>
      </c>
      <c r="F124" s="1" t="str">
        <f aca="false">IFERROR(VLOOKUP(A124,'company tracker'!$a:$s,MATCH("Traffic % Change",'company tracker'!$1:$1,0),FALSE()),"")</f>
        <v/>
      </c>
      <c r="G124" s="1" t="str">
        <f aca="false">IFERROR(VLOOKUP(A124,'company tracker'!$a:$s,MATCH("Jan 2025 Referring Domains",'company tracker'!$1:$1,0),FALSE()),"")</f>
        <v/>
      </c>
      <c r="H124" s="1" t="str">
        <f aca="false">IFERROR(VLOOKUP(A124,'company tracker'!$a:$s,MATCH("Jun 2026 Referring Domains",'company tracker'!$1:$1,0),FALSE()),"")</f>
        <v/>
      </c>
    </row>
    <row r="125" customFormat="false" ht="15" hidden="false" customHeight="true" outlineLevel="0" collapsed="false">
      <c r="B125" s="1" t="str">
        <f aca="false">IFERROR(VLOOKUP(A125,'company tracker'!$a:$s,MATCH("Category",'company tracker'!$1:$1,0),FALSE()),"")</f>
        <v/>
      </c>
      <c r="C125" s="1" t="str">
        <f aca="false">IFERROR(VLOOKUP(A125,'Pass 1 Archive'!$A:$AD,MATCH("LinkedIn Employee Count",'Pass 1 Archive'!$1:$1,0),FALSE()),"")</f>
        <v/>
      </c>
      <c r="D125" s="1" t="str">
        <f aca="false">IFERROR(VLOOKUP(A125,'company tracker'!$a:$s,MATCH("Jan 2025 Traffic",'company tracker'!$1:$1,0),FALSE()),"")</f>
        <v/>
      </c>
      <c r="E125" s="1" t="str">
        <f aca="false">IFERROR(VLOOKUP(A125,'company tracker'!$a:$s,MATCH("Jun 2026 Traffic",'company tracker'!$1:$1,0),FALSE()),"")</f>
        <v/>
      </c>
      <c r="F125" s="1" t="str">
        <f aca="false">IFERROR(VLOOKUP(A125,'company tracker'!$a:$s,MATCH("Traffic % Change",'company tracker'!$1:$1,0),FALSE()),"")</f>
        <v/>
      </c>
      <c r="G125" s="1" t="str">
        <f aca="false">IFERROR(VLOOKUP(A125,'company tracker'!$a:$s,MATCH("Jan 2025 Referring Domains",'company tracker'!$1:$1,0),FALSE()),"")</f>
        <v/>
      </c>
      <c r="H125" s="1" t="str">
        <f aca="false">IFERROR(VLOOKUP(A125,'company tracker'!$a:$s,MATCH("Jun 2026 Referring Domains",'company tracker'!$1:$1,0),FALSE()),"")</f>
        <v/>
      </c>
    </row>
    <row r="126" customFormat="false" ht="15" hidden="false" customHeight="true" outlineLevel="0" collapsed="false">
      <c r="B126" s="1" t="str">
        <f aca="false">IFERROR(VLOOKUP(A126,'company tracker'!$a:$s,MATCH("Category",'company tracker'!$1:$1,0),FALSE()),"")</f>
        <v/>
      </c>
      <c r="C126" s="1" t="str">
        <f aca="false">IFERROR(VLOOKUP(A126,'Pass 1 Archive'!$A:$AD,MATCH("LinkedIn Employee Count",'Pass 1 Archive'!$1:$1,0),FALSE()),"")</f>
        <v/>
      </c>
      <c r="D126" s="1" t="str">
        <f aca="false">IFERROR(VLOOKUP(A126,'company tracker'!$a:$s,MATCH("Jan 2025 Traffic",'company tracker'!$1:$1,0),FALSE()),"")</f>
        <v/>
      </c>
      <c r="E126" s="1" t="str">
        <f aca="false">IFERROR(VLOOKUP(A126,'company tracker'!$a:$s,MATCH("Jun 2026 Traffic",'company tracker'!$1:$1,0),FALSE()),"")</f>
        <v/>
      </c>
      <c r="F126" s="1" t="str">
        <f aca="false">IFERROR(VLOOKUP(A126,'company tracker'!$a:$s,MATCH("Traffic % Change",'company tracker'!$1:$1,0),FALSE()),"")</f>
        <v/>
      </c>
      <c r="G126" s="1" t="str">
        <f aca="false">IFERROR(VLOOKUP(A126,'company tracker'!$a:$s,MATCH("Jan 2025 Referring Domains",'company tracker'!$1:$1,0),FALSE()),"")</f>
        <v/>
      </c>
      <c r="H126" s="1" t="str">
        <f aca="false">IFERROR(VLOOKUP(A126,'company tracker'!$a:$s,MATCH("Jun 2026 Referring Domains",'company tracker'!$1:$1,0),FALSE()),"")</f>
        <v/>
      </c>
    </row>
    <row r="127" customFormat="false" ht="15" hidden="false" customHeight="true" outlineLevel="0" collapsed="false">
      <c r="B127" s="1" t="str">
        <f aca="false">IFERROR(VLOOKUP(A127,'company tracker'!$a:$s,MATCH("Category",'company tracker'!$1:$1,0),FALSE()),"")</f>
        <v/>
      </c>
      <c r="C127" s="1" t="str">
        <f aca="false">IFERROR(VLOOKUP(A127,'Pass 1 Archive'!$A:$AD,MATCH("LinkedIn Employee Count",'Pass 1 Archive'!$1:$1,0),FALSE()),"")</f>
        <v/>
      </c>
      <c r="D127" s="1" t="str">
        <f aca="false">IFERROR(VLOOKUP(A127,'company tracker'!$a:$s,MATCH("Jan 2025 Traffic",'company tracker'!$1:$1,0),FALSE()),"")</f>
        <v/>
      </c>
      <c r="E127" s="1" t="str">
        <f aca="false">IFERROR(VLOOKUP(A127,'company tracker'!$a:$s,MATCH("Jun 2026 Traffic",'company tracker'!$1:$1,0),FALSE()),"")</f>
        <v/>
      </c>
      <c r="F127" s="1" t="str">
        <f aca="false">IFERROR(VLOOKUP(A127,'company tracker'!$a:$s,MATCH("Traffic % Change",'company tracker'!$1:$1,0),FALSE()),"")</f>
        <v/>
      </c>
      <c r="G127" s="1" t="str">
        <f aca="false">IFERROR(VLOOKUP(A127,'company tracker'!$a:$s,MATCH("Jan 2025 Referring Domains",'company tracker'!$1:$1,0),FALSE()),"")</f>
        <v/>
      </c>
      <c r="H127" s="1" t="str">
        <f aca="false">IFERROR(VLOOKUP(A127,'company tracker'!$a:$s,MATCH("Jun 2026 Referring Domains",'company tracker'!$1:$1,0),FALSE()),"")</f>
        <v/>
      </c>
    </row>
    <row r="128" customFormat="false" ht="15" hidden="false" customHeight="true" outlineLevel="0" collapsed="false">
      <c r="B128" s="1" t="str">
        <f aca="false">IFERROR(VLOOKUP(A128,'company tracker'!$a:$s,MATCH("Category",'company tracker'!$1:$1,0),FALSE()),"")</f>
        <v/>
      </c>
      <c r="C128" s="1" t="str">
        <f aca="false">IFERROR(VLOOKUP(A128,'Pass 1 Archive'!$A:$AD,MATCH("LinkedIn Employee Count",'Pass 1 Archive'!$1:$1,0),FALSE()),"")</f>
        <v/>
      </c>
      <c r="D128" s="1" t="str">
        <f aca="false">IFERROR(VLOOKUP(A128,'company tracker'!$a:$s,MATCH("Jan 2025 Traffic",'company tracker'!$1:$1,0),FALSE()),"")</f>
        <v/>
      </c>
      <c r="E128" s="1" t="str">
        <f aca="false">IFERROR(VLOOKUP(A128,'company tracker'!$a:$s,MATCH("Jun 2026 Traffic",'company tracker'!$1:$1,0),FALSE()),"")</f>
        <v/>
      </c>
      <c r="F128" s="1" t="str">
        <f aca="false">IFERROR(VLOOKUP(A128,'company tracker'!$a:$s,MATCH("Traffic % Change",'company tracker'!$1:$1,0),FALSE()),"")</f>
        <v/>
      </c>
      <c r="G128" s="1" t="str">
        <f aca="false">IFERROR(VLOOKUP(A128,'company tracker'!$a:$s,MATCH("Jan 2025 Referring Domains",'company tracker'!$1:$1,0),FALSE()),"")</f>
        <v/>
      </c>
      <c r="H128" s="1" t="str">
        <f aca="false">IFERROR(VLOOKUP(A128,'company tracker'!$a:$s,MATCH("Jun 2026 Referring Domains",'company tracker'!$1:$1,0),FALSE()),"")</f>
        <v/>
      </c>
    </row>
    <row r="129" customFormat="false" ht="15" hidden="false" customHeight="true" outlineLevel="0" collapsed="false">
      <c r="B129" s="1" t="str">
        <f aca="false">IFERROR(VLOOKUP(A129,'company tracker'!$a:$s,MATCH("Category",'company tracker'!$1:$1,0),FALSE()),"")</f>
        <v/>
      </c>
      <c r="C129" s="1" t="str">
        <f aca="false">IFERROR(VLOOKUP(A129,'Pass 1 Archive'!$A:$AD,MATCH("LinkedIn Employee Count",'Pass 1 Archive'!$1:$1,0),FALSE()),"")</f>
        <v/>
      </c>
      <c r="D129" s="1" t="str">
        <f aca="false">IFERROR(VLOOKUP(A129,'company tracker'!$a:$s,MATCH("Jan 2025 Traffic",'company tracker'!$1:$1,0),FALSE()),"")</f>
        <v/>
      </c>
      <c r="E129" s="1" t="str">
        <f aca="false">IFERROR(VLOOKUP(A129,'company tracker'!$a:$s,MATCH("Jun 2026 Traffic",'company tracker'!$1:$1,0),FALSE()),"")</f>
        <v/>
      </c>
      <c r="F129" s="1" t="str">
        <f aca="false">IFERROR(VLOOKUP(A129,'company tracker'!$a:$s,MATCH("Traffic % Change",'company tracker'!$1:$1,0),FALSE()),"")</f>
        <v/>
      </c>
      <c r="G129" s="1" t="str">
        <f aca="false">IFERROR(VLOOKUP(A129,'company tracker'!$a:$s,MATCH("Jan 2025 Referring Domains",'company tracker'!$1:$1,0),FALSE()),"")</f>
        <v/>
      </c>
      <c r="H129" s="1" t="str">
        <f aca="false">IFERROR(VLOOKUP(A129,'company tracker'!$a:$s,MATCH("Jun 2026 Referring Domains",'company tracker'!$1:$1,0),FALSE()),"")</f>
        <v/>
      </c>
    </row>
    <row r="130" customFormat="false" ht="15" hidden="false" customHeight="true" outlineLevel="0" collapsed="false">
      <c r="B130" s="1" t="str">
        <f aca="false">IFERROR(VLOOKUP(A130,'company tracker'!$a:$s,MATCH("Category",'company tracker'!$1:$1,0),FALSE()),"")</f>
        <v/>
      </c>
      <c r="C130" s="1" t="str">
        <f aca="false">IFERROR(VLOOKUP(A130,'Pass 1 Archive'!$A:$AD,MATCH("LinkedIn Employee Count",'Pass 1 Archive'!$1:$1,0),FALSE()),"")</f>
        <v/>
      </c>
      <c r="D130" s="1" t="str">
        <f aca="false">IFERROR(VLOOKUP(A130,'company tracker'!$a:$s,MATCH("Jan 2025 Traffic",'company tracker'!$1:$1,0),FALSE()),"")</f>
        <v/>
      </c>
      <c r="E130" s="1" t="str">
        <f aca="false">IFERROR(VLOOKUP(A130,'company tracker'!$a:$s,MATCH("Jun 2026 Traffic",'company tracker'!$1:$1,0),FALSE()),"")</f>
        <v/>
      </c>
      <c r="F130" s="1" t="str">
        <f aca="false">IFERROR(VLOOKUP(A130,'company tracker'!$a:$s,MATCH("Traffic % Change",'company tracker'!$1:$1,0),FALSE()),"")</f>
        <v/>
      </c>
      <c r="G130" s="1" t="str">
        <f aca="false">IFERROR(VLOOKUP(A130,'company tracker'!$a:$s,MATCH("Jan 2025 Referring Domains",'company tracker'!$1:$1,0),FALSE()),"")</f>
        <v/>
      </c>
      <c r="H130" s="1" t="str">
        <f aca="false">IFERROR(VLOOKUP(A130,'company tracker'!$a:$s,MATCH("Jun 2026 Referring Domains",'company tracker'!$1:$1,0),FALSE()),"")</f>
        <v/>
      </c>
    </row>
    <row r="131" customFormat="false" ht="15" hidden="false" customHeight="true" outlineLevel="0" collapsed="false">
      <c r="B131" s="1" t="str">
        <f aca="false">IFERROR(VLOOKUP(A131,'company tracker'!$a:$s,MATCH("Category",'company tracker'!$1:$1,0),FALSE()),"")</f>
        <v/>
      </c>
      <c r="C131" s="1" t="str">
        <f aca="false">IFERROR(VLOOKUP(A131,'Pass 1 Archive'!$A:$AD,MATCH("LinkedIn Employee Count",'Pass 1 Archive'!$1:$1,0),FALSE()),"")</f>
        <v/>
      </c>
      <c r="D131" s="1" t="str">
        <f aca="false">IFERROR(VLOOKUP(A131,'company tracker'!$a:$s,MATCH("Jan 2025 Traffic",'company tracker'!$1:$1,0),FALSE()),"")</f>
        <v/>
      </c>
      <c r="E131" s="1" t="str">
        <f aca="false">IFERROR(VLOOKUP(A131,'company tracker'!$a:$s,MATCH("Jun 2026 Traffic",'company tracker'!$1:$1,0),FALSE()),"")</f>
        <v/>
      </c>
      <c r="F131" s="1" t="str">
        <f aca="false">IFERROR(VLOOKUP(A131,'company tracker'!$a:$s,MATCH("Traffic % Change",'company tracker'!$1:$1,0),FALSE()),"")</f>
        <v/>
      </c>
      <c r="G131" s="1" t="str">
        <f aca="false">IFERROR(VLOOKUP(A131,'company tracker'!$a:$s,MATCH("Jan 2025 Referring Domains",'company tracker'!$1:$1,0),FALSE()),"")</f>
        <v/>
      </c>
      <c r="H131" s="1" t="str">
        <f aca="false">IFERROR(VLOOKUP(A131,'company tracker'!$a:$s,MATCH("Jun 2026 Referring Domains",'company tracker'!$1:$1,0),FALSE()),"")</f>
        <v/>
      </c>
    </row>
    <row r="132" customFormat="false" ht="15" hidden="false" customHeight="true" outlineLevel="0" collapsed="false">
      <c r="B132" s="1" t="str">
        <f aca="false">IFERROR(VLOOKUP(A132,'company tracker'!$a:$s,MATCH("Category",'company tracker'!$1:$1,0),FALSE()),"")</f>
        <v/>
      </c>
      <c r="C132" s="1" t="str">
        <f aca="false">IFERROR(VLOOKUP(A132,'Pass 1 Archive'!$A:$AD,MATCH("LinkedIn Employee Count",'Pass 1 Archive'!$1:$1,0),FALSE()),"")</f>
        <v/>
      </c>
      <c r="D132" s="1" t="str">
        <f aca="false">IFERROR(VLOOKUP(A132,'company tracker'!$a:$s,MATCH("Jan 2025 Traffic",'company tracker'!$1:$1,0),FALSE()),"")</f>
        <v/>
      </c>
      <c r="E132" s="1" t="str">
        <f aca="false">IFERROR(VLOOKUP(A132,'company tracker'!$a:$s,MATCH("Jun 2026 Traffic",'company tracker'!$1:$1,0),FALSE()),"")</f>
        <v/>
      </c>
      <c r="F132" s="1" t="str">
        <f aca="false">IFERROR(VLOOKUP(A132,'company tracker'!$a:$s,MATCH("Traffic % Change",'company tracker'!$1:$1,0),FALSE()),"")</f>
        <v/>
      </c>
      <c r="G132" s="1" t="str">
        <f aca="false">IFERROR(VLOOKUP(A132,'company tracker'!$a:$s,MATCH("Jan 2025 Referring Domains",'company tracker'!$1:$1,0),FALSE()),"")</f>
        <v/>
      </c>
      <c r="H132" s="1" t="str">
        <f aca="false">IFERROR(VLOOKUP(A132,'company tracker'!$a:$s,MATCH("Jun 2026 Referring Domains",'company tracker'!$1:$1,0),FALSE()),"")</f>
        <v/>
      </c>
    </row>
    <row r="133" customFormat="false" ht="15" hidden="false" customHeight="true" outlineLevel="0" collapsed="false">
      <c r="B133" s="1" t="str">
        <f aca="false">IFERROR(VLOOKUP(A133,'company tracker'!$a:$s,MATCH("Category",'company tracker'!$1:$1,0),FALSE()),"")</f>
        <v/>
      </c>
      <c r="C133" s="1" t="str">
        <f aca="false">IFERROR(VLOOKUP(A133,'Pass 1 Archive'!$A:$AD,MATCH("LinkedIn Employee Count",'Pass 1 Archive'!$1:$1,0),FALSE()),"")</f>
        <v/>
      </c>
      <c r="D133" s="1" t="str">
        <f aca="false">IFERROR(VLOOKUP(A133,'company tracker'!$a:$s,MATCH("Jan 2025 Traffic",'company tracker'!$1:$1,0),FALSE()),"")</f>
        <v/>
      </c>
      <c r="E133" s="1" t="str">
        <f aca="false">IFERROR(VLOOKUP(A133,'company tracker'!$a:$s,MATCH("Jun 2026 Traffic",'company tracker'!$1:$1,0),FALSE()),"")</f>
        <v/>
      </c>
      <c r="F133" s="1" t="str">
        <f aca="false">IFERROR(VLOOKUP(A133,'company tracker'!$a:$s,MATCH("Traffic % Change",'company tracker'!$1:$1,0),FALSE()),"")</f>
        <v/>
      </c>
      <c r="G133" s="1" t="str">
        <f aca="false">IFERROR(VLOOKUP(A133,'company tracker'!$a:$s,MATCH("Jan 2025 Referring Domains",'company tracker'!$1:$1,0),FALSE()),"")</f>
        <v/>
      </c>
      <c r="H133" s="1" t="str">
        <f aca="false">IFERROR(VLOOKUP(A133,'company tracker'!$a:$s,MATCH("Jun 2026 Referring Domains",'company tracker'!$1:$1,0),FALSE()),"")</f>
        <v/>
      </c>
    </row>
    <row r="134" customFormat="false" ht="15" hidden="false" customHeight="true" outlineLevel="0" collapsed="false">
      <c r="B134" s="1" t="str">
        <f aca="false">IFERROR(VLOOKUP(A134,'company tracker'!$a:$s,MATCH("Category",'company tracker'!$1:$1,0),FALSE()),"")</f>
        <v/>
      </c>
      <c r="C134" s="1" t="str">
        <f aca="false">IFERROR(VLOOKUP(A134,'Pass 1 Archive'!$A:$AD,MATCH("LinkedIn Employee Count",'Pass 1 Archive'!$1:$1,0),FALSE()),"")</f>
        <v/>
      </c>
      <c r="D134" s="1" t="str">
        <f aca="false">IFERROR(VLOOKUP(A134,'company tracker'!$a:$s,MATCH("Jan 2025 Traffic",'company tracker'!$1:$1,0),FALSE()),"")</f>
        <v/>
      </c>
      <c r="E134" s="1" t="str">
        <f aca="false">IFERROR(VLOOKUP(A134,'company tracker'!$a:$s,MATCH("Jun 2026 Traffic",'company tracker'!$1:$1,0),FALSE()),"")</f>
        <v/>
      </c>
      <c r="F134" s="1" t="str">
        <f aca="false">IFERROR(VLOOKUP(A134,'company tracker'!$a:$s,MATCH("Traffic % Change",'company tracker'!$1:$1,0),FALSE()),"")</f>
        <v/>
      </c>
      <c r="G134" s="1" t="str">
        <f aca="false">IFERROR(VLOOKUP(A134,'company tracker'!$a:$s,MATCH("Jan 2025 Referring Domains",'company tracker'!$1:$1,0),FALSE()),"")</f>
        <v/>
      </c>
      <c r="H134" s="1" t="str">
        <f aca="false">IFERROR(VLOOKUP(A134,'company tracker'!$a:$s,MATCH("Jun 2026 Referring Domains",'company tracker'!$1:$1,0),FALSE()),"")</f>
        <v/>
      </c>
    </row>
    <row r="135" customFormat="false" ht="15" hidden="false" customHeight="true" outlineLevel="0" collapsed="false">
      <c r="B135" s="1" t="str">
        <f aca="false">IFERROR(VLOOKUP(A135,'company tracker'!$a:$s,MATCH("Category",'company tracker'!$1:$1,0),FALSE()),"")</f>
        <v/>
      </c>
      <c r="C135" s="1" t="str">
        <f aca="false">IFERROR(VLOOKUP(A135,'Pass 1 Archive'!$A:$AD,MATCH("LinkedIn Employee Count",'Pass 1 Archive'!$1:$1,0),FALSE()),"")</f>
        <v/>
      </c>
      <c r="D135" s="1" t="str">
        <f aca="false">IFERROR(VLOOKUP(A135,'company tracker'!$a:$s,MATCH("Jan 2025 Traffic",'company tracker'!$1:$1,0),FALSE()),"")</f>
        <v/>
      </c>
      <c r="E135" s="1" t="str">
        <f aca="false">IFERROR(VLOOKUP(A135,'company tracker'!$a:$s,MATCH("Jun 2026 Traffic",'company tracker'!$1:$1,0),FALSE()),"")</f>
        <v/>
      </c>
      <c r="F135" s="1" t="str">
        <f aca="false">IFERROR(VLOOKUP(A135,'company tracker'!$a:$s,MATCH("Traffic % Change",'company tracker'!$1:$1,0),FALSE()),"")</f>
        <v/>
      </c>
      <c r="G135" s="1" t="str">
        <f aca="false">IFERROR(VLOOKUP(A135,'company tracker'!$a:$s,MATCH("Jan 2025 Referring Domains",'company tracker'!$1:$1,0),FALSE()),"")</f>
        <v/>
      </c>
      <c r="H135" s="1" t="str">
        <f aca="false">IFERROR(VLOOKUP(A135,'company tracker'!$a:$s,MATCH("Jun 2026 Referring Domains",'company tracker'!$1:$1,0),FALSE()),"")</f>
        <v/>
      </c>
    </row>
    <row r="136" customFormat="false" ht="15" hidden="false" customHeight="true" outlineLevel="0" collapsed="false">
      <c r="B136" s="1" t="str">
        <f aca="false">IFERROR(VLOOKUP(A136,'company tracker'!$a:$s,MATCH("Category",'company tracker'!$1:$1,0),FALSE()),"")</f>
        <v/>
      </c>
      <c r="C136" s="1" t="str">
        <f aca="false">IFERROR(VLOOKUP(A136,'Pass 1 Archive'!$A:$AD,MATCH("LinkedIn Employee Count",'Pass 1 Archive'!$1:$1,0),FALSE()),"")</f>
        <v/>
      </c>
      <c r="D136" s="1" t="str">
        <f aca="false">IFERROR(VLOOKUP(A136,'company tracker'!$a:$s,MATCH("Jan 2025 Traffic",'company tracker'!$1:$1,0),FALSE()),"")</f>
        <v/>
      </c>
      <c r="E136" s="1" t="str">
        <f aca="false">IFERROR(VLOOKUP(A136,'company tracker'!$a:$s,MATCH("Jun 2026 Traffic",'company tracker'!$1:$1,0),FALSE()),"")</f>
        <v/>
      </c>
      <c r="F136" s="1" t="str">
        <f aca="false">IFERROR(VLOOKUP(A136,'company tracker'!$a:$s,MATCH("Traffic % Change",'company tracker'!$1:$1,0),FALSE()),"")</f>
        <v/>
      </c>
      <c r="G136" s="1" t="str">
        <f aca="false">IFERROR(VLOOKUP(A136,'company tracker'!$a:$s,MATCH("Jan 2025 Referring Domains",'company tracker'!$1:$1,0),FALSE()),"")</f>
        <v/>
      </c>
      <c r="H136" s="1" t="str">
        <f aca="false">IFERROR(VLOOKUP(A136,'company tracker'!$a:$s,MATCH("Jun 2026 Referring Domains",'company tracker'!$1:$1,0),FALSE()),"")</f>
        <v/>
      </c>
    </row>
    <row r="137" customFormat="false" ht="15" hidden="false" customHeight="true" outlineLevel="0" collapsed="false">
      <c r="B137" s="1" t="str">
        <f aca="false">IFERROR(VLOOKUP(A137,'company tracker'!$a:$s,MATCH("Category",'company tracker'!$1:$1,0),FALSE()),"")</f>
        <v/>
      </c>
      <c r="C137" s="1" t="str">
        <f aca="false">IFERROR(VLOOKUP(A137,'Pass 1 Archive'!$A:$AD,MATCH("LinkedIn Employee Count",'Pass 1 Archive'!$1:$1,0),FALSE()),"")</f>
        <v/>
      </c>
      <c r="D137" s="1" t="str">
        <f aca="false">IFERROR(VLOOKUP(A137,'company tracker'!$a:$s,MATCH("Jan 2025 Traffic",'company tracker'!$1:$1,0),FALSE()),"")</f>
        <v/>
      </c>
      <c r="E137" s="1" t="str">
        <f aca="false">IFERROR(VLOOKUP(A137,'company tracker'!$a:$s,MATCH("Jun 2026 Traffic",'company tracker'!$1:$1,0),FALSE()),"")</f>
        <v/>
      </c>
      <c r="F137" s="1" t="str">
        <f aca="false">IFERROR(VLOOKUP(A137,'company tracker'!$a:$s,MATCH("Traffic % Change",'company tracker'!$1:$1,0),FALSE()),"")</f>
        <v/>
      </c>
      <c r="G137" s="1" t="str">
        <f aca="false">IFERROR(VLOOKUP(A137,'company tracker'!$a:$s,MATCH("Jan 2025 Referring Domains",'company tracker'!$1:$1,0),FALSE()),"")</f>
        <v/>
      </c>
      <c r="H137" s="1" t="str">
        <f aca="false">IFERROR(VLOOKUP(A137,'company tracker'!$a:$s,MATCH("Jun 2026 Referring Domains",'company tracker'!$1:$1,0),FALSE()),"")</f>
        <v/>
      </c>
    </row>
    <row r="138" customFormat="false" ht="15" hidden="false" customHeight="true" outlineLevel="0" collapsed="false">
      <c r="B138" s="1" t="str">
        <f aca="false">IFERROR(VLOOKUP(A138,'company tracker'!$a:$s,MATCH("Category",'company tracker'!$1:$1,0),FALSE()),"")</f>
        <v/>
      </c>
      <c r="C138" s="1" t="str">
        <f aca="false">IFERROR(VLOOKUP(A138,'Pass 1 Archive'!$A:$AD,MATCH("LinkedIn Employee Count",'Pass 1 Archive'!$1:$1,0),FALSE()),"")</f>
        <v/>
      </c>
      <c r="D138" s="1" t="str">
        <f aca="false">IFERROR(VLOOKUP(A138,'company tracker'!$a:$s,MATCH("Jan 2025 Traffic",'company tracker'!$1:$1,0),FALSE()),"")</f>
        <v/>
      </c>
      <c r="E138" s="1" t="str">
        <f aca="false">IFERROR(VLOOKUP(A138,'company tracker'!$a:$s,MATCH("Jun 2026 Traffic",'company tracker'!$1:$1,0),FALSE()),"")</f>
        <v/>
      </c>
      <c r="F138" s="1" t="str">
        <f aca="false">IFERROR(VLOOKUP(A138,'company tracker'!$a:$s,MATCH("Traffic % Change",'company tracker'!$1:$1,0),FALSE()),"")</f>
        <v/>
      </c>
      <c r="G138" s="1" t="str">
        <f aca="false">IFERROR(VLOOKUP(A138,'company tracker'!$a:$s,MATCH("Jan 2025 Referring Domains",'company tracker'!$1:$1,0),FALSE()),"")</f>
        <v/>
      </c>
      <c r="H138" s="1" t="str">
        <f aca="false">IFERROR(VLOOKUP(A138,'company tracker'!$a:$s,MATCH("Jun 2026 Referring Domains",'company tracker'!$1:$1,0),FALSE()),"")</f>
        <v/>
      </c>
    </row>
    <row r="139" customFormat="false" ht="15" hidden="false" customHeight="true" outlineLevel="0" collapsed="false">
      <c r="B139" s="1" t="str">
        <f aca="false">IFERROR(VLOOKUP(A139,'company tracker'!$a:$s,MATCH("Category",'company tracker'!$1:$1,0),FALSE()),"")</f>
        <v/>
      </c>
      <c r="C139" s="1" t="str">
        <f aca="false">IFERROR(VLOOKUP(A139,'Pass 1 Archive'!$A:$AD,MATCH("LinkedIn Employee Count",'Pass 1 Archive'!$1:$1,0),FALSE()),"")</f>
        <v/>
      </c>
      <c r="D139" s="1" t="str">
        <f aca="false">IFERROR(VLOOKUP(A139,'company tracker'!$a:$s,MATCH("Jan 2025 Traffic",'company tracker'!$1:$1,0),FALSE()),"")</f>
        <v/>
      </c>
      <c r="E139" s="1" t="str">
        <f aca="false">IFERROR(VLOOKUP(A139,'company tracker'!$a:$s,MATCH("Jun 2026 Traffic",'company tracker'!$1:$1,0),FALSE()),"")</f>
        <v/>
      </c>
      <c r="F139" s="1" t="str">
        <f aca="false">IFERROR(VLOOKUP(A139,'company tracker'!$a:$s,MATCH("Traffic % Change",'company tracker'!$1:$1,0),FALSE()),"")</f>
        <v/>
      </c>
      <c r="G139" s="1" t="str">
        <f aca="false">IFERROR(VLOOKUP(A139,'company tracker'!$a:$s,MATCH("Jan 2025 Referring Domains",'company tracker'!$1:$1,0),FALSE()),"")</f>
        <v/>
      </c>
      <c r="H139" s="1" t="str">
        <f aca="false">IFERROR(VLOOKUP(A139,'company tracker'!$a:$s,MATCH("Jun 2026 Referring Domains",'company tracker'!$1:$1,0),FALSE()),"")</f>
        <v/>
      </c>
    </row>
    <row r="140" customFormat="false" ht="15" hidden="false" customHeight="true" outlineLevel="0" collapsed="false">
      <c r="B140" s="1" t="str">
        <f aca="false">IFERROR(VLOOKUP(A140,'company tracker'!$a:$s,MATCH("Category",'company tracker'!$1:$1,0),FALSE()),"")</f>
        <v/>
      </c>
      <c r="C140" s="1" t="str">
        <f aca="false">IFERROR(VLOOKUP(A140,'Pass 1 Archive'!$A:$AD,MATCH("LinkedIn Employee Count",'Pass 1 Archive'!$1:$1,0),FALSE()),"")</f>
        <v/>
      </c>
      <c r="D140" s="1" t="str">
        <f aca="false">IFERROR(VLOOKUP(A140,'company tracker'!$a:$s,MATCH("Jan 2025 Traffic",'company tracker'!$1:$1,0),FALSE()),"")</f>
        <v/>
      </c>
      <c r="E140" s="1" t="str">
        <f aca="false">IFERROR(VLOOKUP(A140,'company tracker'!$a:$s,MATCH("Jun 2026 Traffic",'company tracker'!$1:$1,0),FALSE()),"")</f>
        <v/>
      </c>
      <c r="F140" s="1" t="str">
        <f aca="false">IFERROR(VLOOKUP(A140,'company tracker'!$a:$s,MATCH("Traffic % Change",'company tracker'!$1:$1,0),FALSE()),"")</f>
        <v/>
      </c>
      <c r="G140" s="1" t="str">
        <f aca="false">IFERROR(VLOOKUP(A140,'company tracker'!$a:$s,MATCH("Jan 2025 Referring Domains",'company tracker'!$1:$1,0),FALSE()),"")</f>
        <v/>
      </c>
      <c r="H140" s="1" t="str">
        <f aca="false">IFERROR(VLOOKUP(A140,'company tracker'!$a:$s,MATCH("Jun 2026 Referring Domains",'company tracker'!$1:$1,0),FALSE()),"")</f>
        <v/>
      </c>
    </row>
    <row r="141" customFormat="false" ht="15" hidden="false" customHeight="true" outlineLevel="0" collapsed="false">
      <c r="B141" s="1" t="str">
        <f aca="false">IFERROR(VLOOKUP(A141,'company tracker'!$a:$s,MATCH("Category",'company tracker'!$1:$1,0),FALSE()),"")</f>
        <v/>
      </c>
      <c r="C141" s="1" t="str">
        <f aca="false">IFERROR(VLOOKUP(A141,'Pass 1 Archive'!$A:$AD,MATCH("LinkedIn Employee Count",'Pass 1 Archive'!$1:$1,0),FALSE()),"")</f>
        <v/>
      </c>
      <c r="D141" s="1" t="str">
        <f aca="false">IFERROR(VLOOKUP(A141,'company tracker'!$a:$s,MATCH("Jan 2025 Traffic",'company tracker'!$1:$1,0),FALSE()),"")</f>
        <v/>
      </c>
      <c r="E141" s="1" t="str">
        <f aca="false">IFERROR(VLOOKUP(A141,'company tracker'!$a:$s,MATCH("Jun 2026 Traffic",'company tracker'!$1:$1,0),FALSE()),"")</f>
        <v/>
      </c>
      <c r="F141" s="1" t="str">
        <f aca="false">IFERROR(VLOOKUP(A141,'company tracker'!$a:$s,MATCH("Traffic % Change",'company tracker'!$1:$1,0),FALSE()),"")</f>
        <v/>
      </c>
      <c r="G141" s="1" t="str">
        <f aca="false">IFERROR(VLOOKUP(A141,'company tracker'!$a:$s,MATCH("Jan 2025 Referring Domains",'company tracker'!$1:$1,0),FALSE()),"")</f>
        <v/>
      </c>
      <c r="H141" s="1" t="str">
        <f aca="false">IFERROR(VLOOKUP(A141,'company tracker'!$a:$s,MATCH("Jun 2026 Referring Domains",'company tracker'!$1:$1,0),FALSE()),"")</f>
        <v/>
      </c>
    </row>
    <row r="142" customFormat="false" ht="15" hidden="false" customHeight="true" outlineLevel="0" collapsed="false">
      <c r="B142" s="1" t="str">
        <f aca="false">IFERROR(VLOOKUP(A142,'company tracker'!$a:$s,MATCH("Category",'company tracker'!$1:$1,0),FALSE()),"")</f>
        <v/>
      </c>
      <c r="C142" s="1" t="str">
        <f aca="false">IFERROR(VLOOKUP(A142,'Pass 1 Archive'!$A:$AD,MATCH("LinkedIn Employee Count",'Pass 1 Archive'!$1:$1,0),FALSE()),"")</f>
        <v/>
      </c>
      <c r="D142" s="1" t="str">
        <f aca="false">IFERROR(VLOOKUP(A142,'company tracker'!$a:$s,MATCH("Jan 2025 Traffic",'company tracker'!$1:$1,0),FALSE()),"")</f>
        <v/>
      </c>
      <c r="E142" s="1" t="str">
        <f aca="false">IFERROR(VLOOKUP(A142,'company tracker'!$a:$s,MATCH("Jun 2026 Traffic",'company tracker'!$1:$1,0),FALSE()),"")</f>
        <v/>
      </c>
      <c r="F142" s="1" t="str">
        <f aca="false">IFERROR(VLOOKUP(A142,'company tracker'!$a:$s,MATCH("Traffic % Change",'company tracker'!$1:$1,0),FALSE()),"")</f>
        <v/>
      </c>
      <c r="G142" s="1" t="str">
        <f aca="false">IFERROR(VLOOKUP(A142,'company tracker'!$a:$s,MATCH("Jan 2025 Referring Domains",'company tracker'!$1:$1,0),FALSE()),"")</f>
        <v/>
      </c>
      <c r="H142" s="1" t="str">
        <f aca="false">IFERROR(VLOOKUP(A142,'company tracker'!$a:$s,MATCH("Jun 2026 Referring Domains",'company tracker'!$1:$1,0),FALSE()),"")</f>
        <v/>
      </c>
    </row>
    <row r="143" customFormat="false" ht="15" hidden="false" customHeight="true" outlineLevel="0" collapsed="false">
      <c r="B143" s="1" t="str">
        <f aca="false">IFERROR(VLOOKUP(A143,'company tracker'!$a:$s,MATCH("Category",'company tracker'!$1:$1,0),FALSE()),"")</f>
        <v/>
      </c>
      <c r="C143" s="1" t="str">
        <f aca="false">IFERROR(VLOOKUP(A143,'Pass 1 Archive'!$A:$AD,MATCH("LinkedIn Employee Count",'Pass 1 Archive'!$1:$1,0),FALSE()),"")</f>
        <v/>
      </c>
      <c r="D143" s="1" t="str">
        <f aca="false">IFERROR(VLOOKUP(A143,'company tracker'!$a:$s,MATCH("Jan 2025 Traffic",'company tracker'!$1:$1,0),FALSE()),"")</f>
        <v/>
      </c>
      <c r="E143" s="1" t="str">
        <f aca="false">IFERROR(VLOOKUP(A143,'company tracker'!$a:$s,MATCH("Jun 2026 Traffic",'company tracker'!$1:$1,0),FALSE()),"")</f>
        <v/>
      </c>
      <c r="F143" s="1" t="str">
        <f aca="false">IFERROR(VLOOKUP(A143,'company tracker'!$a:$s,MATCH("Traffic % Change",'company tracker'!$1:$1,0),FALSE()),"")</f>
        <v/>
      </c>
      <c r="G143" s="1" t="str">
        <f aca="false">IFERROR(VLOOKUP(A143,'company tracker'!$a:$s,MATCH("Jan 2025 Referring Domains",'company tracker'!$1:$1,0),FALSE()),"")</f>
        <v/>
      </c>
      <c r="H143" s="1" t="str">
        <f aca="false">IFERROR(VLOOKUP(A143,'company tracker'!$a:$s,MATCH("Jun 2026 Referring Domains",'company tracker'!$1:$1,0),FALSE()),"")</f>
        <v/>
      </c>
    </row>
    <row r="144" customFormat="false" ht="15" hidden="false" customHeight="true" outlineLevel="0" collapsed="false">
      <c r="B144" s="1" t="str">
        <f aca="false">IFERROR(VLOOKUP(A144,'company tracker'!$a:$s,MATCH("Category",'company tracker'!$1:$1,0),FALSE()),"")</f>
        <v/>
      </c>
      <c r="C144" s="1" t="str">
        <f aca="false">IFERROR(VLOOKUP(A144,'Pass 1 Archive'!$A:$AD,MATCH("LinkedIn Employee Count",'Pass 1 Archive'!$1:$1,0),FALSE()),"")</f>
        <v/>
      </c>
      <c r="D144" s="1" t="str">
        <f aca="false">IFERROR(VLOOKUP(A144,'company tracker'!$a:$s,MATCH("Jan 2025 Traffic",'company tracker'!$1:$1,0),FALSE()),"")</f>
        <v/>
      </c>
      <c r="E144" s="1" t="str">
        <f aca="false">IFERROR(VLOOKUP(A144,'company tracker'!$a:$s,MATCH("Jun 2026 Traffic",'company tracker'!$1:$1,0),FALSE()),"")</f>
        <v/>
      </c>
      <c r="F144" s="1" t="str">
        <f aca="false">IFERROR(VLOOKUP(A144,'company tracker'!$a:$s,MATCH("Traffic % Change",'company tracker'!$1:$1,0),FALSE()),"")</f>
        <v/>
      </c>
      <c r="G144" s="1" t="str">
        <f aca="false">IFERROR(VLOOKUP(A144,'company tracker'!$a:$s,MATCH("Jan 2025 Referring Domains",'company tracker'!$1:$1,0),FALSE()),"")</f>
        <v/>
      </c>
      <c r="H144" s="1" t="str">
        <f aca="false">IFERROR(VLOOKUP(A144,'company tracker'!$a:$s,MATCH("Jun 2026 Referring Domains",'company tracker'!$1:$1,0),FALSE()),"")</f>
        <v/>
      </c>
    </row>
    <row r="145" customFormat="false" ht="15" hidden="false" customHeight="true" outlineLevel="0" collapsed="false">
      <c r="B145" s="1" t="str">
        <f aca="false">IFERROR(VLOOKUP(A145,'company tracker'!$a:$s,MATCH("Category",'company tracker'!$1:$1,0),FALSE()),"")</f>
        <v/>
      </c>
      <c r="C145" s="1" t="str">
        <f aca="false">IFERROR(VLOOKUP(A145,'Pass 1 Archive'!$A:$AD,MATCH("LinkedIn Employee Count",'Pass 1 Archive'!$1:$1,0),FALSE()),"")</f>
        <v/>
      </c>
      <c r="D145" s="1" t="str">
        <f aca="false">IFERROR(VLOOKUP(A145,'company tracker'!$a:$s,MATCH("Jan 2025 Traffic",'company tracker'!$1:$1,0),FALSE()),"")</f>
        <v/>
      </c>
      <c r="E145" s="1" t="str">
        <f aca="false">IFERROR(VLOOKUP(A145,'company tracker'!$a:$s,MATCH("Jun 2026 Traffic",'company tracker'!$1:$1,0),FALSE()),"")</f>
        <v/>
      </c>
      <c r="F145" s="1" t="str">
        <f aca="false">IFERROR(VLOOKUP(A145,'company tracker'!$a:$s,MATCH("Traffic % Change",'company tracker'!$1:$1,0),FALSE()),"")</f>
        <v/>
      </c>
      <c r="G145" s="1" t="str">
        <f aca="false">IFERROR(VLOOKUP(A145,'company tracker'!$a:$s,MATCH("Jan 2025 Referring Domains",'company tracker'!$1:$1,0),FALSE()),"")</f>
        <v/>
      </c>
      <c r="H145" s="1" t="str">
        <f aca="false">IFERROR(VLOOKUP(A145,'company tracker'!$a:$s,MATCH("Jun 2026 Referring Domains",'company tracker'!$1:$1,0),FALSE()),"")</f>
        <v/>
      </c>
    </row>
    <row r="146" customFormat="false" ht="15" hidden="false" customHeight="true" outlineLevel="0" collapsed="false">
      <c r="B146" s="1" t="str">
        <f aca="false">IFERROR(VLOOKUP(A146,'company tracker'!$a:$s,MATCH("Category",'company tracker'!$1:$1,0),FALSE()),"")</f>
        <v/>
      </c>
      <c r="C146" s="1" t="str">
        <f aca="false">IFERROR(VLOOKUP(A146,'Pass 1 Archive'!$A:$AD,MATCH("LinkedIn Employee Count",'Pass 1 Archive'!$1:$1,0),FALSE()),"")</f>
        <v/>
      </c>
      <c r="D146" s="1" t="str">
        <f aca="false">IFERROR(VLOOKUP(A146,'company tracker'!$a:$s,MATCH("Jan 2025 Traffic",'company tracker'!$1:$1,0),FALSE()),"")</f>
        <v/>
      </c>
      <c r="E146" s="1" t="str">
        <f aca="false">IFERROR(VLOOKUP(A146,'company tracker'!$a:$s,MATCH("Jun 2026 Traffic",'company tracker'!$1:$1,0),FALSE()),"")</f>
        <v/>
      </c>
      <c r="F146" s="1" t="str">
        <f aca="false">IFERROR(VLOOKUP(A146,'company tracker'!$a:$s,MATCH("Traffic % Change",'company tracker'!$1:$1,0),FALSE()),"")</f>
        <v/>
      </c>
      <c r="G146" s="1" t="str">
        <f aca="false">IFERROR(VLOOKUP(A146,'company tracker'!$a:$s,MATCH("Jan 2025 Referring Domains",'company tracker'!$1:$1,0),FALSE()),"")</f>
        <v/>
      </c>
      <c r="H146" s="1" t="str">
        <f aca="false">IFERROR(VLOOKUP(A146,'company tracker'!$a:$s,MATCH("Jun 2026 Referring Domains",'company tracker'!$1:$1,0),FALSE()),"")</f>
        <v/>
      </c>
    </row>
    <row r="147" customFormat="false" ht="15" hidden="false" customHeight="true" outlineLevel="0" collapsed="false">
      <c r="B147" s="1" t="str">
        <f aca="false">IFERROR(VLOOKUP(A147,'company tracker'!$a:$s,MATCH("Category",'company tracker'!$1:$1,0),FALSE()),"")</f>
        <v/>
      </c>
      <c r="C147" s="1" t="str">
        <f aca="false">IFERROR(VLOOKUP(A147,'Pass 1 Archive'!$A:$AD,MATCH("LinkedIn Employee Count",'Pass 1 Archive'!$1:$1,0),FALSE()),"")</f>
        <v/>
      </c>
      <c r="D147" s="1" t="str">
        <f aca="false">IFERROR(VLOOKUP(A147,'company tracker'!$a:$s,MATCH("Jan 2025 Traffic",'company tracker'!$1:$1,0),FALSE()),"")</f>
        <v/>
      </c>
      <c r="E147" s="1" t="str">
        <f aca="false">IFERROR(VLOOKUP(A147,'company tracker'!$a:$s,MATCH("Jun 2026 Traffic",'company tracker'!$1:$1,0),FALSE()),"")</f>
        <v/>
      </c>
      <c r="F147" s="1" t="str">
        <f aca="false">IFERROR(VLOOKUP(A147,'company tracker'!$a:$s,MATCH("Traffic % Change",'company tracker'!$1:$1,0),FALSE()),"")</f>
        <v/>
      </c>
      <c r="G147" s="1" t="str">
        <f aca="false">IFERROR(VLOOKUP(A147,'company tracker'!$a:$s,MATCH("Jan 2025 Referring Domains",'company tracker'!$1:$1,0),FALSE()),"")</f>
        <v/>
      </c>
      <c r="H147" s="1" t="str">
        <f aca="false">IFERROR(VLOOKUP(A147,'company tracker'!$a:$s,MATCH("Jun 2026 Referring Domains",'company tracker'!$1:$1,0),FALSE()),"")</f>
        <v/>
      </c>
    </row>
    <row r="148" customFormat="false" ht="15" hidden="false" customHeight="true" outlineLevel="0" collapsed="false">
      <c r="B148" s="1" t="str">
        <f aca="false">IFERROR(VLOOKUP(A148,'company tracker'!$a:$s,MATCH("Category",'company tracker'!$1:$1,0),FALSE()),"")</f>
        <v/>
      </c>
      <c r="C148" s="1" t="str">
        <f aca="false">IFERROR(VLOOKUP(A148,'Pass 1 Archive'!$A:$AD,MATCH("LinkedIn Employee Count",'Pass 1 Archive'!$1:$1,0),FALSE()),"")</f>
        <v/>
      </c>
      <c r="D148" s="1" t="str">
        <f aca="false">IFERROR(VLOOKUP(A148,'company tracker'!$a:$s,MATCH("Jan 2025 Traffic",'company tracker'!$1:$1,0),FALSE()),"")</f>
        <v/>
      </c>
      <c r="E148" s="1" t="str">
        <f aca="false">IFERROR(VLOOKUP(A148,'company tracker'!$a:$s,MATCH("Jun 2026 Traffic",'company tracker'!$1:$1,0),FALSE()),"")</f>
        <v/>
      </c>
      <c r="F148" s="1" t="str">
        <f aca="false">IFERROR(VLOOKUP(A148,'company tracker'!$a:$s,MATCH("Traffic % Change",'company tracker'!$1:$1,0),FALSE()),"")</f>
        <v/>
      </c>
      <c r="G148" s="1" t="str">
        <f aca="false">IFERROR(VLOOKUP(A148,'company tracker'!$a:$s,MATCH("Jan 2025 Referring Domains",'company tracker'!$1:$1,0),FALSE()),"")</f>
        <v/>
      </c>
      <c r="H148" s="1" t="str">
        <f aca="false">IFERROR(VLOOKUP(A148,'company tracker'!$a:$s,MATCH("Jun 2026 Referring Domains",'company tracker'!$1:$1,0),FALSE()),"")</f>
        <v/>
      </c>
    </row>
    <row r="149" customFormat="false" ht="15" hidden="false" customHeight="true" outlineLevel="0" collapsed="false">
      <c r="B149" s="1" t="str">
        <f aca="false">IFERROR(VLOOKUP(A149,'company tracker'!$a:$s,MATCH("Category",'company tracker'!$1:$1,0),FALSE()),"")</f>
        <v/>
      </c>
      <c r="C149" s="1" t="str">
        <f aca="false">IFERROR(VLOOKUP(A149,'Pass 1 Archive'!$A:$AD,MATCH("LinkedIn Employee Count",'Pass 1 Archive'!$1:$1,0),FALSE()),"")</f>
        <v/>
      </c>
      <c r="D149" s="1" t="str">
        <f aca="false">IFERROR(VLOOKUP(A149,'company tracker'!$a:$s,MATCH("Jan 2025 Traffic",'company tracker'!$1:$1,0),FALSE()),"")</f>
        <v/>
      </c>
      <c r="E149" s="1" t="str">
        <f aca="false">IFERROR(VLOOKUP(A149,'company tracker'!$a:$s,MATCH("Jun 2026 Traffic",'company tracker'!$1:$1,0),FALSE()),"")</f>
        <v/>
      </c>
      <c r="F149" s="1" t="str">
        <f aca="false">IFERROR(VLOOKUP(A149,'company tracker'!$a:$s,MATCH("Traffic % Change",'company tracker'!$1:$1,0),FALSE()),"")</f>
        <v/>
      </c>
      <c r="G149" s="1" t="str">
        <f aca="false">IFERROR(VLOOKUP(A149,'company tracker'!$a:$s,MATCH("Jan 2025 Referring Domains",'company tracker'!$1:$1,0),FALSE()),"")</f>
        <v/>
      </c>
      <c r="H149" s="1" t="str">
        <f aca="false">IFERROR(VLOOKUP(A149,'company tracker'!$a:$s,MATCH("Jun 2026 Referring Domains",'company tracker'!$1:$1,0),FALSE()),"")</f>
        <v/>
      </c>
    </row>
    <row r="150" customFormat="false" ht="15" hidden="false" customHeight="true" outlineLevel="0" collapsed="false">
      <c r="B150" s="1" t="str">
        <f aca="false">IFERROR(VLOOKUP(A150,'company tracker'!$a:$s,MATCH("Category",'company tracker'!$1:$1,0),FALSE()),"")</f>
        <v/>
      </c>
      <c r="C150" s="1" t="str">
        <f aca="false">IFERROR(VLOOKUP(A150,'Pass 1 Archive'!$A:$AD,MATCH("LinkedIn Employee Count",'Pass 1 Archive'!$1:$1,0),FALSE()),"")</f>
        <v/>
      </c>
      <c r="D150" s="1" t="str">
        <f aca="false">IFERROR(VLOOKUP(A150,'company tracker'!$a:$s,MATCH("Jan 2025 Traffic",'company tracker'!$1:$1,0),FALSE()),"")</f>
        <v/>
      </c>
      <c r="E150" s="1" t="str">
        <f aca="false">IFERROR(VLOOKUP(A150,'company tracker'!$a:$s,MATCH("Jun 2026 Traffic",'company tracker'!$1:$1,0),FALSE()),"")</f>
        <v/>
      </c>
      <c r="F150" s="1" t="str">
        <f aca="false">IFERROR(VLOOKUP(A150,'company tracker'!$a:$s,MATCH("Traffic % Change",'company tracker'!$1:$1,0),FALSE()),"")</f>
        <v/>
      </c>
      <c r="G150" s="1" t="str">
        <f aca="false">IFERROR(VLOOKUP(A150,'company tracker'!$a:$s,MATCH("Jan 2025 Referring Domains",'company tracker'!$1:$1,0),FALSE()),"")</f>
        <v/>
      </c>
      <c r="H150" s="1" t="str">
        <f aca="false">IFERROR(VLOOKUP(A150,'company tracker'!$a:$s,MATCH("Jun 2026 Referring Domains",'company tracker'!$1:$1,0),FALSE()),"")</f>
        <v/>
      </c>
    </row>
    <row r="151" customFormat="false" ht="15" hidden="false" customHeight="true" outlineLevel="0" collapsed="false">
      <c r="B151" s="1" t="str">
        <f aca="false">IFERROR(VLOOKUP(A151,'company tracker'!$a:$s,MATCH("Category",'company tracker'!$1:$1,0),FALSE()),"")</f>
        <v/>
      </c>
      <c r="C151" s="1" t="str">
        <f aca="false">IFERROR(VLOOKUP(A151,'Pass 1 Archive'!$A:$AD,MATCH("LinkedIn Employee Count",'Pass 1 Archive'!$1:$1,0),FALSE()),"")</f>
        <v/>
      </c>
      <c r="D151" s="1" t="str">
        <f aca="false">IFERROR(VLOOKUP(A151,'company tracker'!$a:$s,MATCH("Jan 2025 Traffic",'company tracker'!$1:$1,0),FALSE()),"")</f>
        <v/>
      </c>
      <c r="E151" s="1" t="str">
        <f aca="false">IFERROR(VLOOKUP(A151,'company tracker'!$a:$s,MATCH("Jun 2026 Traffic",'company tracker'!$1:$1,0),FALSE()),"")</f>
        <v/>
      </c>
      <c r="F151" s="1" t="str">
        <f aca="false">IFERROR(VLOOKUP(A151,'company tracker'!$a:$s,MATCH("Traffic % Change",'company tracker'!$1:$1,0),FALSE()),"")</f>
        <v/>
      </c>
      <c r="G151" s="1" t="str">
        <f aca="false">IFERROR(VLOOKUP(A151,'company tracker'!$a:$s,MATCH("Jan 2025 Referring Domains",'company tracker'!$1:$1,0),FALSE()),"")</f>
        <v/>
      </c>
      <c r="H151" s="1" t="str">
        <f aca="false">IFERROR(VLOOKUP(A151,'company tracker'!$a:$s,MATCH("Jun 2026 Referring Domains",'company tracker'!$1:$1,0),FALSE()),"")</f>
        <v/>
      </c>
    </row>
    <row r="152" customFormat="false" ht="15" hidden="false" customHeight="true" outlineLevel="0" collapsed="false">
      <c r="B152" s="1" t="str">
        <f aca="false">IFERROR(VLOOKUP(A152,'company tracker'!$a:$s,MATCH("Category",'company tracker'!$1:$1,0),FALSE()),"")</f>
        <v/>
      </c>
      <c r="C152" s="1" t="str">
        <f aca="false">IFERROR(VLOOKUP(A152,'Pass 1 Archive'!$A:$AD,MATCH("LinkedIn Employee Count",'Pass 1 Archive'!$1:$1,0),FALSE()),"")</f>
        <v/>
      </c>
      <c r="D152" s="1" t="str">
        <f aca="false">IFERROR(VLOOKUP(A152,'company tracker'!$a:$s,MATCH("Jan 2025 Traffic",'company tracker'!$1:$1,0),FALSE()),"")</f>
        <v/>
      </c>
      <c r="E152" s="1" t="str">
        <f aca="false">IFERROR(VLOOKUP(A152,'company tracker'!$a:$s,MATCH("Jun 2026 Traffic",'company tracker'!$1:$1,0),FALSE()),"")</f>
        <v/>
      </c>
      <c r="F152" s="1" t="str">
        <f aca="false">IFERROR(VLOOKUP(A152,'company tracker'!$a:$s,MATCH("Traffic % Change",'company tracker'!$1:$1,0),FALSE()),"")</f>
        <v/>
      </c>
      <c r="G152" s="1" t="str">
        <f aca="false">IFERROR(VLOOKUP(A152,'company tracker'!$a:$s,MATCH("Jan 2025 Referring Domains",'company tracker'!$1:$1,0),FALSE()),"")</f>
        <v/>
      </c>
      <c r="H152" s="1" t="str">
        <f aca="false">IFERROR(VLOOKUP(A152,'company tracker'!$a:$s,MATCH("Jun 2026 Referring Domains",'company tracker'!$1:$1,0),FALSE()),"")</f>
        <v/>
      </c>
    </row>
    <row r="153" customFormat="false" ht="15" hidden="false" customHeight="true" outlineLevel="0" collapsed="false">
      <c r="B153" s="1" t="str">
        <f aca="false">IFERROR(VLOOKUP(A153,'company tracker'!$a:$s,MATCH("Category",'company tracker'!$1:$1,0),FALSE()),"")</f>
        <v/>
      </c>
      <c r="C153" s="1" t="str">
        <f aca="false">IFERROR(VLOOKUP(A153,'Pass 1 Archive'!$A:$AD,MATCH("LinkedIn Employee Count",'Pass 1 Archive'!$1:$1,0),FALSE()),"")</f>
        <v/>
      </c>
      <c r="D153" s="1" t="str">
        <f aca="false">IFERROR(VLOOKUP(A153,'company tracker'!$a:$s,MATCH("Jan 2025 Traffic",'company tracker'!$1:$1,0),FALSE()),"")</f>
        <v/>
      </c>
      <c r="E153" s="1" t="str">
        <f aca="false">IFERROR(VLOOKUP(A153,'company tracker'!$a:$s,MATCH("Jun 2026 Traffic",'company tracker'!$1:$1,0),FALSE()),"")</f>
        <v/>
      </c>
      <c r="F153" s="1" t="str">
        <f aca="false">IFERROR(VLOOKUP(A153,'company tracker'!$a:$s,MATCH("Traffic % Change",'company tracker'!$1:$1,0),FALSE()),"")</f>
        <v/>
      </c>
      <c r="G153" s="1" t="str">
        <f aca="false">IFERROR(VLOOKUP(A153,'company tracker'!$a:$s,MATCH("Jan 2025 Referring Domains",'company tracker'!$1:$1,0),FALSE()),"")</f>
        <v/>
      </c>
      <c r="H153" s="1" t="str">
        <f aca="false">IFERROR(VLOOKUP(A153,'company tracker'!$a:$s,MATCH("Jun 2026 Referring Domains",'company tracker'!$1:$1,0),FALSE()),"")</f>
        <v/>
      </c>
    </row>
    <row r="154" customFormat="false" ht="15" hidden="false" customHeight="true" outlineLevel="0" collapsed="false">
      <c r="B154" s="1" t="str">
        <f aca="false">IFERROR(VLOOKUP(A154,'company tracker'!$a:$s,MATCH("Category",'company tracker'!$1:$1,0),FALSE()),"")</f>
        <v/>
      </c>
      <c r="C154" s="1" t="str">
        <f aca="false">IFERROR(VLOOKUP(A154,'Pass 1 Archive'!$A:$AD,MATCH("LinkedIn Employee Count",'Pass 1 Archive'!$1:$1,0),FALSE()),"")</f>
        <v/>
      </c>
      <c r="D154" s="1" t="str">
        <f aca="false">IFERROR(VLOOKUP(A154,'company tracker'!$a:$s,MATCH("Jan 2025 Traffic",'company tracker'!$1:$1,0),FALSE()),"")</f>
        <v/>
      </c>
      <c r="E154" s="1" t="str">
        <f aca="false">IFERROR(VLOOKUP(A154,'company tracker'!$a:$s,MATCH("Jun 2026 Traffic",'company tracker'!$1:$1,0),FALSE()),"")</f>
        <v/>
      </c>
      <c r="F154" s="1" t="str">
        <f aca="false">IFERROR(VLOOKUP(A154,'company tracker'!$a:$s,MATCH("Traffic % Change",'company tracker'!$1:$1,0),FALSE()),"")</f>
        <v/>
      </c>
      <c r="G154" s="1" t="str">
        <f aca="false">IFERROR(VLOOKUP(A154,'company tracker'!$a:$s,MATCH("Jan 2025 Referring Domains",'company tracker'!$1:$1,0),FALSE()),"")</f>
        <v/>
      </c>
      <c r="H154" s="1" t="str">
        <f aca="false">IFERROR(VLOOKUP(A154,'company tracker'!$a:$s,MATCH("Jun 2026 Referring Domains",'company tracker'!$1:$1,0),FALSE()),"")</f>
        <v/>
      </c>
    </row>
    <row r="155" customFormat="false" ht="15" hidden="false" customHeight="true" outlineLevel="0" collapsed="false">
      <c r="B155" s="1" t="str">
        <f aca="false">IFERROR(VLOOKUP(A155,'company tracker'!$a:$s,MATCH("Category",'company tracker'!$1:$1,0),FALSE()),"")</f>
        <v/>
      </c>
      <c r="C155" s="1" t="str">
        <f aca="false">IFERROR(VLOOKUP(A155,'Pass 1 Archive'!$A:$AD,MATCH("LinkedIn Employee Count",'Pass 1 Archive'!$1:$1,0),FALSE()),"")</f>
        <v/>
      </c>
      <c r="D155" s="1" t="str">
        <f aca="false">IFERROR(VLOOKUP(A155,'company tracker'!$a:$s,MATCH("Jan 2025 Traffic",'company tracker'!$1:$1,0),FALSE()),"")</f>
        <v/>
      </c>
      <c r="E155" s="1" t="str">
        <f aca="false">IFERROR(VLOOKUP(A155,'company tracker'!$a:$s,MATCH("Jun 2026 Traffic",'company tracker'!$1:$1,0),FALSE()),"")</f>
        <v/>
      </c>
      <c r="F155" s="1" t="str">
        <f aca="false">IFERROR(VLOOKUP(A155,'company tracker'!$a:$s,MATCH("Traffic % Change",'company tracker'!$1:$1,0),FALSE()),"")</f>
        <v/>
      </c>
      <c r="G155" s="1" t="str">
        <f aca="false">IFERROR(VLOOKUP(A155,'company tracker'!$a:$s,MATCH("Jan 2025 Referring Domains",'company tracker'!$1:$1,0),FALSE()),"")</f>
        <v/>
      </c>
      <c r="H155" s="1" t="str">
        <f aca="false">IFERROR(VLOOKUP(A155,'company tracker'!$a:$s,MATCH("Jun 2026 Referring Domains",'company tracker'!$1:$1,0),FALSE()),"")</f>
        <v/>
      </c>
    </row>
    <row r="156" customFormat="false" ht="15" hidden="false" customHeight="true" outlineLevel="0" collapsed="false">
      <c r="B156" s="1" t="str">
        <f aca="false">IFERROR(VLOOKUP(A156,'company tracker'!$a:$s,MATCH("Category",'company tracker'!$1:$1,0),FALSE()),"")</f>
        <v/>
      </c>
      <c r="C156" s="1" t="str">
        <f aca="false">IFERROR(VLOOKUP(A156,'Pass 1 Archive'!$A:$AD,MATCH("LinkedIn Employee Count",'Pass 1 Archive'!$1:$1,0),FALSE()),"")</f>
        <v/>
      </c>
      <c r="D156" s="1" t="str">
        <f aca="false">IFERROR(VLOOKUP(A156,'company tracker'!$a:$s,MATCH("Jan 2025 Traffic",'company tracker'!$1:$1,0),FALSE()),"")</f>
        <v/>
      </c>
      <c r="E156" s="1" t="str">
        <f aca="false">IFERROR(VLOOKUP(A156,'company tracker'!$a:$s,MATCH("Jun 2026 Traffic",'company tracker'!$1:$1,0),FALSE()),"")</f>
        <v/>
      </c>
      <c r="F156" s="1" t="str">
        <f aca="false">IFERROR(VLOOKUP(A156,'company tracker'!$a:$s,MATCH("Traffic % Change",'company tracker'!$1:$1,0),FALSE()),"")</f>
        <v/>
      </c>
      <c r="G156" s="1" t="str">
        <f aca="false">IFERROR(VLOOKUP(A156,'company tracker'!$a:$s,MATCH("Jan 2025 Referring Domains",'company tracker'!$1:$1,0),FALSE()),"")</f>
        <v/>
      </c>
      <c r="H156" s="1" t="str">
        <f aca="false">IFERROR(VLOOKUP(A156,'company tracker'!$a:$s,MATCH("Jun 2026 Referring Domains",'company tracker'!$1:$1,0),FALSE()),"")</f>
        <v/>
      </c>
    </row>
    <row r="157" customFormat="false" ht="15" hidden="false" customHeight="true" outlineLevel="0" collapsed="false">
      <c r="B157" s="1" t="str">
        <f aca="false">IFERROR(VLOOKUP(A157,'company tracker'!$a:$s,MATCH("Category",'company tracker'!$1:$1,0),FALSE()),"")</f>
        <v/>
      </c>
      <c r="C157" s="1" t="str">
        <f aca="false">IFERROR(VLOOKUP(A157,'Pass 1 Archive'!$A:$AD,MATCH("LinkedIn Employee Count",'Pass 1 Archive'!$1:$1,0),FALSE()),"")</f>
        <v/>
      </c>
      <c r="D157" s="1" t="str">
        <f aca="false">IFERROR(VLOOKUP(A157,'company tracker'!$a:$s,MATCH("Jan 2025 Traffic",'company tracker'!$1:$1,0),FALSE()),"")</f>
        <v/>
      </c>
      <c r="E157" s="1" t="str">
        <f aca="false">IFERROR(VLOOKUP(A157,'company tracker'!$a:$s,MATCH("Jun 2026 Traffic",'company tracker'!$1:$1,0),FALSE()),"")</f>
        <v/>
      </c>
      <c r="F157" s="1" t="str">
        <f aca="false">IFERROR(VLOOKUP(A157,'company tracker'!$a:$s,MATCH("Traffic % Change",'company tracker'!$1:$1,0),FALSE()),"")</f>
        <v/>
      </c>
      <c r="G157" s="1" t="str">
        <f aca="false">IFERROR(VLOOKUP(A157,'company tracker'!$a:$s,MATCH("Jan 2025 Referring Domains",'company tracker'!$1:$1,0),FALSE()),"")</f>
        <v/>
      </c>
      <c r="H157" s="1" t="str">
        <f aca="false">IFERROR(VLOOKUP(A157,'company tracker'!$a:$s,MATCH("Jun 2026 Referring Domains",'company tracker'!$1:$1,0),FALSE()),"")</f>
        <v/>
      </c>
    </row>
    <row r="158" customFormat="false" ht="15" hidden="false" customHeight="true" outlineLevel="0" collapsed="false">
      <c r="B158" s="1" t="str">
        <f aca="false">IFERROR(VLOOKUP(A158,'company tracker'!$a:$s,MATCH("Category",'company tracker'!$1:$1,0),FALSE()),"")</f>
        <v/>
      </c>
      <c r="C158" s="1" t="str">
        <f aca="false">IFERROR(VLOOKUP(A158,'Pass 1 Archive'!$A:$AD,MATCH("LinkedIn Employee Count",'Pass 1 Archive'!$1:$1,0),FALSE()),"")</f>
        <v/>
      </c>
      <c r="D158" s="1" t="str">
        <f aca="false">IFERROR(VLOOKUP(A158,'company tracker'!$a:$s,MATCH("Jan 2025 Traffic",'company tracker'!$1:$1,0),FALSE()),"")</f>
        <v/>
      </c>
      <c r="E158" s="1" t="str">
        <f aca="false">IFERROR(VLOOKUP(A158,'company tracker'!$a:$s,MATCH("Jun 2026 Traffic",'company tracker'!$1:$1,0),FALSE()),"")</f>
        <v/>
      </c>
      <c r="F158" s="1" t="str">
        <f aca="false">IFERROR(VLOOKUP(A158,'company tracker'!$a:$s,MATCH("Traffic % Change",'company tracker'!$1:$1,0),FALSE()),"")</f>
        <v/>
      </c>
      <c r="G158" s="1" t="str">
        <f aca="false">IFERROR(VLOOKUP(A158,'company tracker'!$a:$s,MATCH("Jan 2025 Referring Domains",'company tracker'!$1:$1,0),FALSE()),"")</f>
        <v/>
      </c>
      <c r="H158" s="1" t="str">
        <f aca="false">IFERROR(VLOOKUP(A158,'company tracker'!$a:$s,MATCH("Jun 2026 Referring Domains",'company tracker'!$1:$1,0),FALSE()),"")</f>
        <v/>
      </c>
    </row>
    <row r="159" customFormat="false" ht="15" hidden="false" customHeight="true" outlineLevel="0" collapsed="false">
      <c r="B159" s="1" t="str">
        <f aca="false">IFERROR(VLOOKUP(A159,'company tracker'!$a:$s,MATCH("Category",'company tracker'!$1:$1,0),FALSE()),"")</f>
        <v/>
      </c>
      <c r="C159" s="1" t="str">
        <f aca="false">IFERROR(VLOOKUP(A159,'Pass 1 Archive'!$A:$AD,MATCH("LinkedIn Employee Count",'Pass 1 Archive'!$1:$1,0),FALSE()),"")</f>
        <v/>
      </c>
      <c r="D159" s="1" t="str">
        <f aca="false">IFERROR(VLOOKUP(A159,'company tracker'!$a:$s,MATCH("Jan 2025 Traffic",'company tracker'!$1:$1,0),FALSE()),"")</f>
        <v/>
      </c>
      <c r="E159" s="1" t="str">
        <f aca="false">IFERROR(VLOOKUP(A159,'company tracker'!$a:$s,MATCH("Jun 2026 Traffic",'company tracker'!$1:$1,0),FALSE()),"")</f>
        <v/>
      </c>
      <c r="F159" s="1" t="str">
        <f aca="false">IFERROR(VLOOKUP(A159,'company tracker'!$a:$s,MATCH("Traffic % Change",'company tracker'!$1:$1,0),FALSE()),"")</f>
        <v/>
      </c>
      <c r="G159" s="1" t="str">
        <f aca="false">IFERROR(VLOOKUP(A159,'company tracker'!$a:$s,MATCH("Jan 2025 Referring Domains",'company tracker'!$1:$1,0),FALSE()),"")</f>
        <v/>
      </c>
      <c r="H159" s="1" t="str">
        <f aca="false">IFERROR(VLOOKUP(A159,'company tracker'!$a:$s,MATCH("Jun 2026 Referring Domains",'company tracker'!$1:$1,0),FALSE()),"")</f>
        <v/>
      </c>
    </row>
    <row r="160" customFormat="false" ht="15" hidden="false" customHeight="true" outlineLevel="0" collapsed="false">
      <c r="B160" s="1" t="str">
        <f aca="false">IFERROR(VLOOKUP(A160,'company tracker'!$a:$s,MATCH("Category",'company tracker'!$1:$1,0),FALSE()),"")</f>
        <v/>
      </c>
      <c r="C160" s="1" t="str">
        <f aca="false">IFERROR(VLOOKUP(A160,'Pass 1 Archive'!$A:$AD,MATCH("LinkedIn Employee Count",'Pass 1 Archive'!$1:$1,0),FALSE()),"")</f>
        <v/>
      </c>
      <c r="D160" s="1" t="str">
        <f aca="false">IFERROR(VLOOKUP(A160,'company tracker'!$a:$s,MATCH("Jan 2025 Traffic",'company tracker'!$1:$1,0),FALSE()),"")</f>
        <v/>
      </c>
      <c r="E160" s="1" t="str">
        <f aca="false">IFERROR(VLOOKUP(A160,'company tracker'!$a:$s,MATCH("Jun 2026 Traffic",'company tracker'!$1:$1,0),FALSE()),"")</f>
        <v/>
      </c>
      <c r="F160" s="1" t="str">
        <f aca="false">IFERROR(VLOOKUP(A160,'company tracker'!$a:$s,MATCH("Traffic % Change",'company tracker'!$1:$1,0),FALSE()),"")</f>
        <v/>
      </c>
      <c r="G160" s="1" t="str">
        <f aca="false">IFERROR(VLOOKUP(A160,'company tracker'!$a:$s,MATCH("Jan 2025 Referring Domains",'company tracker'!$1:$1,0),FALSE()),"")</f>
        <v/>
      </c>
      <c r="H160" s="1" t="str">
        <f aca="false">IFERROR(VLOOKUP(A160,'company tracker'!$a:$s,MATCH("Jun 2026 Referring Domains",'company tracker'!$1:$1,0),FALSE()),"")</f>
        <v/>
      </c>
    </row>
    <row r="161" customFormat="false" ht="15" hidden="false" customHeight="true" outlineLevel="0" collapsed="false">
      <c r="B161" s="1" t="str">
        <f aca="false">IFERROR(VLOOKUP(A161,'company tracker'!$a:$s,MATCH("Category",'company tracker'!$1:$1,0),FALSE()),"")</f>
        <v/>
      </c>
      <c r="C161" s="1" t="str">
        <f aca="false">IFERROR(VLOOKUP(A161,'Pass 1 Archive'!$A:$AD,MATCH("LinkedIn Employee Count",'Pass 1 Archive'!$1:$1,0),FALSE()),"")</f>
        <v/>
      </c>
      <c r="D161" s="1" t="str">
        <f aca="false">IFERROR(VLOOKUP(A161,'company tracker'!$a:$s,MATCH("Jan 2025 Traffic",'company tracker'!$1:$1,0),FALSE()),"")</f>
        <v/>
      </c>
      <c r="E161" s="1" t="str">
        <f aca="false">IFERROR(VLOOKUP(A161,'company tracker'!$a:$s,MATCH("Jun 2026 Traffic",'company tracker'!$1:$1,0),FALSE()),"")</f>
        <v/>
      </c>
      <c r="F161" s="1" t="str">
        <f aca="false">IFERROR(VLOOKUP(A161,'company tracker'!$a:$s,MATCH("Traffic % Change",'company tracker'!$1:$1,0),FALSE()),"")</f>
        <v/>
      </c>
      <c r="G161" s="1" t="str">
        <f aca="false">IFERROR(VLOOKUP(A161,'company tracker'!$a:$s,MATCH("Jan 2025 Referring Domains",'company tracker'!$1:$1,0),FALSE()),"")</f>
        <v/>
      </c>
      <c r="H161" s="1" t="str">
        <f aca="false">IFERROR(VLOOKUP(A161,'company tracker'!$a:$s,MATCH("Jun 2026 Referring Domains",'company tracker'!$1:$1,0),FALSE()),"")</f>
        <v/>
      </c>
    </row>
    <row r="162" customFormat="false" ht="15" hidden="false" customHeight="true" outlineLevel="0" collapsed="false">
      <c r="B162" s="1" t="str">
        <f aca="false">IFERROR(VLOOKUP(A162,'company tracker'!$a:$s,MATCH("Category",'company tracker'!$1:$1,0),FALSE()),"")</f>
        <v/>
      </c>
      <c r="C162" s="1" t="str">
        <f aca="false">IFERROR(VLOOKUP(A162,'Pass 1 Archive'!$A:$AD,MATCH("LinkedIn Employee Count",'Pass 1 Archive'!$1:$1,0),FALSE()),"")</f>
        <v/>
      </c>
      <c r="D162" s="1" t="str">
        <f aca="false">IFERROR(VLOOKUP(A162,'company tracker'!$a:$s,MATCH("Jan 2025 Traffic",'company tracker'!$1:$1,0),FALSE()),"")</f>
        <v/>
      </c>
      <c r="E162" s="1" t="str">
        <f aca="false">IFERROR(VLOOKUP(A162,'company tracker'!$a:$s,MATCH("Jun 2026 Traffic",'company tracker'!$1:$1,0),FALSE()),"")</f>
        <v/>
      </c>
      <c r="F162" s="1" t="str">
        <f aca="false">IFERROR(VLOOKUP(A162,'company tracker'!$a:$s,MATCH("Traffic % Change",'company tracker'!$1:$1,0),FALSE()),"")</f>
        <v/>
      </c>
      <c r="G162" s="1" t="str">
        <f aca="false">IFERROR(VLOOKUP(A162,'company tracker'!$a:$s,MATCH("Jan 2025 Referring Domains",'company tracker'!$1:$1,0),FALSE()),"")</f>
        <v/>
      </c>
      <c r="H162" s="1" t="str">
        <f aca="false">IFERROR(VLOOKUP(A162,'company tracker'!$a:$s,MATCH("Jun 2026 Referring Domains",'company tracker'!$1:$1,0),FALSE()),"")</f>
        <v/>
      </c>
    </row>
    <row r="163" customFormat="false" ht="15" hidden="false" customHeight="true" outlineLevel="0" collapsed="false">
      <c r="B163" s="1" t="str">
        <f aca="false">IFERROR(VLOOKUP(A163,'company tracker'!$a:$s,MATCH("Category",'company tracker'!$1:$1,0),FALSE()),"")</f>
        <v/>
      </c>
      <c r="C163" s="1" t="str">
        <f aca="false">IFERROR(VLOOKUP(A163,'Pass 1 Archive'!$A:$AD,MATCH("LinkedIn Employee Count",'Pass 1 Archive'!$1:$1,0),FALSE()),"")</f>
        <v/>
      </c>
      <c r="D163" s="1" t="str">
        <f aca="false">IFERROR(VLOOKUP(A163,'company tracker'!$a:$s,MATCH("Jan 2025 Traffic",'company tracker'!$1:$1,0),FALSE()),"")</f>
        <v/>
      </c>
      <c r="E163" s="1" t="str">
        <f aca="false">IFERROR(VLOOKUP(A163,'company tracker'!$a:$s,MATCH("Jun 2026 Traffic",'company tracker'!$1:$1,0),FALSE()),"")</f>
        <v/>
      </c>
      <c r="F163" s="1" t="str">
        <f aca="false">IFERROR(VLOOKUP(A163,'company tracker'!$a:$s,MATCH("Traffic % Change",'company tracker'!$1:$1,0),FALSE()),"")</f>
        <v/>
      </c>
      <c r="G163" s="1" t="str">
        <f aca="false">IFERROR(VLOOKUP(A163,'company tracker'!$a:$s,MATCH("Jan 2025 Referring Domains",'company tracker'!$1:$1,0),FALSE()),"")</f>
        <v/>
      </c>
      <c r="H163" s="1" t="str">
        <f aca="false">IFERROR(VLOOKUP(A163,'company tracker'!$a:$s,MATCH("Jun 2026 Referring Domains",'company tracker'!$1:$1,0),FALSE()),"")</f>
        <v/>
      </c>
    </row>
    <row r="164" customFormat="false" ht="15" hidden="false" customHeight="true" outlineLevel="0" collapsed="false">
      <c r="B164" s="1" t="str">
        <f aca="false">IFERROR(VLOOKUP(A164,'company tracker'!$a:$s,MATCH("Category",'company tracker'!$1:$1,0),FALSE()),"")</f>
        <v/>
      </c>
      <c r="C164" s="1" t="str">
        <f aca="false">IFERROR(VLOOKUP(A164,'Pass 1 Archive'!$A:$AD,MATCH("LinkedIn Employee Count",'Pass 1 Archive'!$1:$1,0),FALSE()),"")</f>
        <v/>
      </c>
      <c r="D164" s="1" t="str">
        <f aca="false">IFERROR(VLOOKUP(A164,'company tracker'!$a:$s,MATCH("Jan 2025 Traffic",'company tracker'!$1:$1,0),FALSE()),"")</f>
        <v/>
      </c>
      <c r="E164" s="1" t="str">
        <f aca="false">IFERROR(VLOOKUP(A164,'company tracker'!$a:$s,MATCH("Jun 2026 Traffic",'company tracker'!$1:$1,0),FALSE()),"")</f>
        <v/>
      </c>
      <c r="F164" s="1" t="str">
        <f aca="false">IFERROR(VLOOKUP(A164,'company tracker'!$a:$s,MATCH("Traffic % Change",'company tracker'!$1:$1,0),FALSE()),"")</f>
        <v/>
      </c>
      <c r="G164" s="1" t="str">
        <f aca="false">IFERROR(VLOOKUP(A164,'company tracker'!$a:$s,MATCH("Jan 2025 Referring Domains",'company tracker'!$1:$1,0),FALSE()),"")</f>
        <v/>
      </c>
      <c r="H164" s="1" t="str">
        <f aca="false">IFERROR(VLOOKUP(A164,'company tracker'!$a:$s,MATCH("Jun 2026 Referring Domains",'company tracker'!$1:$1,0),FALSE()),"")</f>
        <v/>
      </c>
    </row>
    <row r="165" customFormat="false" ht="15" hidden="false" customHeight="true" outlineLevel="0" collapsed="false">
      <c r="B165" s="1" t="str">
        <f aca="false">IFERROR(VLOOKUP(A165,'company tracker'!$a:$s,MATCH("Category",'company tracker'!$1:$1,0),FALSE()),"")</f>
        <v/>
      </c>
      <c r="C165" s="1" t="str">
        <f aca="false">IFERROR(VLOOKUP(A165,'Pass 1 Archive'!$A:$AD,MATCH("LinkedIn Employee Count",'Pass 1 Archive'!$1:$1,0),FALSE()),"")</f>
        <v/>
      </c>
      <c r="D165" s="1" t="str">
        <f aca="false">IFERROR(VLOOKUP(A165,'company tracker'!$a:$s,MATCH("Jan 2025 Traffic",'company tracker'!$1:$1,0),FALSE()),"")</f>
        <v/>
      </c>
      <c r="E165" s="1" t="str">
        <f aca="false">IFERROR(VLOOKUP(A165,'company tracker'!$a:$s,MATCH("Jun 2026 Traffic",'company tracker'!$1:$1,0),FALSE()),"")</f>
        <v/>
      </c>
      <c r="F165" s="1" t="str">
        <f aca="false">IFERROR(VLOOKUP(A165,'company tracker'!$a:$s,MATCH("Traffic % Change",'company tracker'!$1:$1,0),FALSE()),"")</f>
        <v/>
      </c>
      <c r="G165" s="1" t="str">
        <f aca="false">IFERROR(VLOOKUP(A165,'company tracker'!$a:$s,MATCH("Jan 2025 Referring Domains",'company tracker'!$1:$1,0),FALSE()),"")</f>
        <v/>
      </c>
      <c r="H165" s="1" t="str">
        <f aca="false">IFERROR(VLOOKUP(A165,'company tracker'!$a:$s,MATCH("Jun 2026 Referring Domains",'company tracker'!$1:$1,0),FALSE()),"")</f>
        <v/>
      </c>
    </row>
    <row r="166" customFormat="false" ht="15" hidden="false" customHeight="true" outlineLevel="0" collapsed="false">
      <c r="B166" s="1" t="str">
        <f aca="false">IFERROR(VLOOKUP(A166,'company tracker'!$a:$s,MATCH("Category",'company tracker'!$1:$1,0),FALSE()),"")</f>
        <v/>
      </c>
      <c r="C166" s="1" t="str">
        <f aca="false">IFERROR(VLOOKUP(A166,'Pass 1 Archive'!$A:$AD,MATCH("LinkedIn Employee Count",'Pass 1 Archive'!$1:$1,0),FALSE()),"")</f>
        <v/>
      </c>
      <c r="D166" s="1" t="str">
        <f aca="false">IFERROR(VLOOKUP(A166,'company tracker'!$a:$s,MATCH("Jan 2025 Traffic",'company tracker'!$1:$1,0),FALSE()),"")</f>
        <v/>
      </c>
      <c r="E166" s="1" t="str">
        <f aca="false">IFERROR(VLOOKUP(A166,'company tracker'!$a:$s,MATCH("Jun 2026 Traffic",'company tracker'!$1:$1,0),FALSE()),"")</f>
        <v/>
      </c>
      <c r="F166" s="1" t="str">
        <f aca="false">IFERROR(VLOOKUP(A166,'company tracker'!$a:$s,MATCH("Traffic % Change",'company tracker'!$1:$1,0),FALSE()),"")</f>
        <v/>
      </c>
      <c r="G166" s="1" t="str">
        <f aca="false">IFERROR(VLOOKUP(A166,'company tracker'!$a:$s,MATCH("Jan 2025 Referring Domains",'company tracker'!$1:$1,0),FALSE()),"")</f>
        <v/>
      </c>
      <c r="H166" s="1" t="str">
        <f aca="false">IFERROR(VLOOKUP(A166,'company tracker'!$a:$s,MATCH("Jun 2026 Referring Domains",'company tracker'!$1:$1,0),FALSE()),"")</f>
        <v/>
      </c>
    </row>
    <row r="167" customFormat="false" ht="15" hidden="false" customHeight="true" outlineLevel="0" collapsed="false">
      <c r="B167" s="1" t="str">
        <f aca="false">IFERROR(VLOOKUP(A167,'company tracker'!$a:$s,MATCH("Category",'company tracker'!$1:$1,0),FALSE()),"")</f>
        <v/>
      </c>
      <c r="C167" s="1" t="str">
        <f aca="false">IFERROR(VLOOKUP(A167,'Pass 1 Archive'!$A:$AD,MATCH("LinkedIn Employee Count",'Pass 1 Archive'!$1:$1,0),FALSE()),"")</f>
        <v/>
      </c>
      <c r="D167" s="1" t="str">
        <f aca="false">IFERROR(VLOOKUP(A167,'company tracker'!$a:$s,MATCH("Jan 2025 Traffic",'company tracker'!$1:$1,0),FALSE()),"")</f>
        <v/>
      </c>
      <c r="E167" s="1" t="str">
        <f aca="false">IFERROR(VLOOKUP(A167,'company tracker'!$a:$s,MATCH("Jun 2026 Traffic",'company tracker'!$1:$1,0),FALSE()),"")</f>
        <v/>
      </c>
      <c r="F167" s="1" t="str">
        <f aca="false">IFERROR(VLOOKUP(A167,'company tracker'!$a:$s,MATCH("Traffic % Change",'company tracker'!$1:$1,0),FALSE()),"")</f>
        <v/>
      </c>
      <c r="G167" s="1" t="str">
        <f aca="false">IFERROR(VLOOKUP(A167,'company tracker'!$a:$s,MATCH("Jan 2025 Referring Domains",'company tracker'!$1:$1,0),FALSE()),"")</f>
        <v/>
      </c>
      <c r="H167" s="1" t="str">
        <f aca="false">IFERROR(VLOOKUP(A167,'company tracker'!$a:$s,MATCH("Jun 2026 Referring Domains",'company tracker'!$1:$1,0),FALSE()),"")</f>
        <v/>
      </c>
    </row>
    <row r="168" customFormat="false" ht="15" hidden="false" customHeight="true" outlineLevel="0" collapsed="false">
      <c r="B168" s="1" t="str">
        <f aca="false">IFERROR(VLOOKUP(A168,'company tracker'!$a:$s,MATCH("Category",'company tracker'!$1:$1,0),FALSE()),"")</f>
        <v/>
      </c>
      <c r="C168" s="1" t="str">
        <f aca="false">IFERROR(VLOOKUP(A168,'Pass 1 Archive'!$A:$AD,MATCH("LinkedIn Employee Count",'Pass 1 Archive'!$1:$1,0),FALSE()),"")</f>
        <v/>
      </c>
      <c r="D168" s="1" t="str">
        <f aca="false">IFERROR(VLOOKUP(A168,'company tracker'!$a:$s,MATCH("Jan 2025 Traffic",'company tracker'!$1:$1,0),FALSE()),"")</f>
        <v/>
      </c>
      <c r="E168" s="1" t="str">
        <f aca="false">IFERROR(VLOOKUP(A168,'company tracker'!$a:$s,MATCH("Jun 2026 Traffic",'company tracker'!$1:$1,0),FALSE()),"")</f>
        <v/>
      </c>
      <c r="F168" s="1" t="str">
        <f aca="false">IFERROR(VLOOKUP(A168,'company tracker'!$a:$s,MATCH("Traffic % Change",'company tracker'!$1:$1,0),FALSE()),"")</f>
        <v/>
      </c>
      <c r="G168" s="1" t="str">
        <f aca="false">IFERROR(VLOOKUP(A168,'company tracker'!$a:$s,MATCH("Jan 2025 Referring Domains",'company tracker'!$1:$1,0),FALSE()),"")</f>
        <v/>
      </c>
      <c r="H168" s="1" t="str">
        <f aca="false">IFERROR(VLOOKUP(A168,'company tracker'!$a:$s,MATCH("Jun 2026 Referring Domains",'company tracker'!$1:$1,0),FALSE()),"")</f>
        <v/>
      </c>
    </row>
    <row r="169" customFormat="false" ht="15" hidden="false" customHeight="true" outlineLevel="0" collapsed="false">
      <c r="B169" s="1" t="str">
        <f aca="false">IFERROR(VLOOKUP(A169,'company tracker'!$a:$s,MATCH("Category",'company tracker'!$1:$1,0),FALSE()),"")</f>
        <v/>
      </c>
      <c r="C169" s="1" t="str">
        <f aca="false">IFERROR(VLOOKUP(A169,'Pass 1 Archive'!$A:$AD,MATCH("LinkedIn Employee Count",'Pass 1 Archive'!$1:$1,0),FALSE()),"")</f>
        <v/>
      </c>
      <c r="D169" s="1" t="str">
        <f aca="false">IFERROR(VLOOKUP(A169,'company tracker'!$a:$s,MATCH("Jan 2025 Traffic",'company tracker'!$1:$1,0),FALSE()),"")</f>
        <v/>
      </c>
      <c r="E169" s="1" t="str">
        <f aca="false">IFERROR(VLOOKUP(A169,'company tracker'!$a:$s,MATCH("Jun 2026 Traffic",'company tracker'!$1:$1,0),FALSE()),"")</f>
        <v/>
      </c>
      <c r="F169" s="1" t="str">
        <f aca="false">IFERROR(VLOOKUP(A169,'company tracker'!$a:$s,MATCH("Traffic % Change",'company tracker'!$1:$1,0),FALSE()),"")</f>
        <v/>
      </c>
      <c r="G169" s="1" t="str">
        <f aca="false">IFERROR(VLOOKUP(A169,'company tracker'!$a:$s,MATCH("Jan 2025 Referring Domains",'company tracker'!$1:$1,0),FALSE()),"")</f>
        <v/>
      </c>
      <c r="H169" s="1" t="str">
        <f aca="false">IFERROR(VLOOKUP(A169,'company tracker'!$a:$s,MATCH("Jun 2026 Referring Domains",'company tracker'!$1:$1,0),FALSE()),"")</f>
        <v/>
      </c>
    </row>
    <row r="170" customFormat="false" ht="15" hidden="false" customHeight="true" outlineLevel="0" collapsed="false">
      <c r="B170" s="1" t="str">
        <f aca="false">IFERROR(VLOOKUP(A170,'company tracker'!$a:$s,MATCH("Category",'company tracker'!$1:$1,0),FALSE()),"")</f>
        <v/>
      </c>
      <c r="C170" s="1" t="str">
        <f aca="false">IFERROR(VLOOKUP(A170,'Pass 1 Archive'!$A:$AD,MATCH("LinkedIn Employee Count",'Pass 1 Archive'!$1:$1,0),FALSE()),"")</f>
        <v/>
      </c>
      <c r="D170" s="1" t="str">
        <f aca="false">IFERROR(VLOOKUP(A170,'company tracker'!$a:$s,MATCH("Jan 2025 Traffic",'company tracker'!$1:$1,0),FALSE()),"")</f>
        <v/>
      </c>
      <c r="E170" s="1" t="str">
        <f aca="false">IFERROR(VLOOKUP(A170,'company tracker'!$a:$s,MATCH("Jun 2026 Traffic",'company tracker'!$1:$1,0),FALSE()),"")</f>
        <v/>
      </c>
      <c r="F170" s="1" t="str">
        <f aca="false">IFERROR(VLOOKUP(A170,'company tracker'!$a:$s,MATCH("Traffic % Change",'company tracker'!$1:$1,0),FALSE()),"")</f>
        <v/>
      </c>
      <c r="G170" s="1" t="str">
        <f aca="false">IFERROR(VLOOKUP(A170,'company tracker'!$a:$s,MATCH("Jan 2025 Referring Domains",'company tracker'!$1:$1,0),FALSE()),"")</f>
        <v/>
      </c>
      <c r="H170" s="1" t="str">
        <f aca="false">IFERROR(VLOOKUP(A170,'company tracker'!$a:$s,MATCH("Jun 2026 Referring Domains",'company tracker'!$1:$1,0),FALSE()),"")</f>
        <v/>
      </c>
    </row>
    <row r="171" customFormat="false" ht="15" hidden="false" customHeight="true" outlineLevel="0" collapsed="false">
      <c r="B171" s="1" t="str">
        <f aca="false">IFERROR(VLOOKUP(A171,'company tracker'!$a:$s,MATCH("Category",'company tracker'!$1:$1,0),FALSE()),"")</f>
        <v/>
      </c>
      <c r="C171" s="1" t="str">
        <f aca="false">IFERROR(VLOOKUP(A171,'Pass 1 Archive'!$A:$AD,MATCH("LinkedIn Employee Count",'Pass 1 Archive'!$1:$1,0),FALSE()),"")</f>
        <v/>
      </c>
      <c r="D171" s="1" t="str">
        <f aca="false">IFERROR(VLOOKUP(A171,'company tracker'!$a:$s,MATCH("Jan 2025 Traffic",'company tracker'!$1:$1,0),FALSE()),"")</f>
        <v/>
      </c>
      <c r="E171" s="1" t="str">
        <f aca="false">IFERROR(VLOOKUP(A171,'company tracker'!$a:$s,MATCH("Jun 2026 Traffic",'company tracker'!$1:$1,0),FALSE()),"")</f>
        <v/>
      </c>
      <c r="F171" s="1" t="str">
        <f aca="false">IFERROR(VLOOKUP(A171,'company tracker'!$a:$s,MATCH("Traffic % Change",'company tracker'!$1:$1,0),FALSE()),"")</f>
        <v/>
      </c>
      <c r="G171" s="1" t="str">
        <f aca="false">IFERROR(VLOOKUP(A171,'company tracker'!$a:$s,MATCH("Jan 2025 Referring Domains",'company tracker'!$1:$1,0),FALSE()),"")</f>
        <v/>
      </c>
      <c r="H171" s="1" t="str">
        <f aca="false">IFERROR(VLOOKUP(A171,'company tracker'!$a:$s,MATCH("Jun 2026 Referring Domains",'company tracker'!$1:$1,0),FALSE()),"")</f>
        <v/>
      </c>
    </row>
    <row r="172" customFormat="false" ht="15" hidden="false" customHeight="true" outlineLevel="0" collapsed="false">
      <c r="B172" s="1" t="str">
        <f aca="false">IFERROR(VLOOKUP(A172,'company tracker'!$a:$s,MATCH("Category",'company tracker'!$1:$1,0),FALSE()),"")</f>
        <v/>
      </c>
      <c r="C172" s="1" t="str">
        <f aca="false">IFERROR(VLOOKUP(A172,'Pass 1 Archive'!$A:$AD,MATCH("LinkedIn Employee Count",'Pass 1 Archive'!$1:$1,0),FALSE()),"")</f>
        <v/>
      </c>
      <c r="D172" s="1" t="str">
        <f aca="false">IFERROR(VLOOKUP(A172,'company tracker'!$a:$s,MATCH("Jan 2025 Traffic",'company tracker'!$1:$1,0),FALSE()),"")</f>
        <v/>
      </c>
      <c r="E172" s="1" t="str">
        <f aca="false">IFERROR(VLOOKUP(A172,'company tracker'!$a:$s,MATCH("Jun 2026 Traffic",'company tracker'!$1:$1,0),FALSE()),"")</f>
        <v/>
      </c>
      <c r="F172" s="1" t="str">
        <f aca="false">IFERROR(VLOOKUP(A172,'company tracker'!$a:$s,MATCH("Traffic % Change",'company tracker'!$1:$1,0),FALSE()),"")</f>
        <v/>
      </c>
      <c r="G172" s="1" t="str">
        <f aca="false">IFERROR(VLOOKUP(A172,'company tracker'!$a:$s,MATCH("Jan 2025 Referring Domains",'company tracker'!$1:$1,0),FALSE()),"")</f>
        <v/>
      </c>
      <c r="H172" s="1" t="str">
        <f aca="false">IFERROR(VLOOKUP(A172,'company tracker'!$a:$s,MATCH("Jun 2026 Referring Domains",'company tracker'!$1:$1,0),FALSE()),"")</f>
        <v/>
      </c>
    </row>
    <row r="173" customFormat="false" ht="15" hidden="false" customHeight="true" outlineLevel="0" collapsed="false">
      <c r="B173" s="1" t="str">
        <f aca="false">IFERROR(VLOOKUP(A173,'company tracker'!$a:$s,MATCH("Category",'company tracker'!$1:$1,0),FALSE()),"")</f>
        <v/>
      </c>
      <c r="C173" s="1" t="str">
        <f aca="false">IFERROR(VLOOKUP(A173,'Pass 1 Archive'!$A:$AD,MATCH("LinkedIn Employee Count",'Pass 1 Archive'!$1:$1,0),FALSE()),"")</f>
        <v/>
      </c>
      <c r="D173" s="1" t="str">
        <f aca="false">IFERROR(VLOOKUP(A173,'company tracker'!$a:$s,MATCH("Jan 2025 Traffic",'company tracker'!$1:$1,0),FALSE()),"")</f>
        <v/>
      </c>
      <c r="E173" s="1" t="str">
        <f aca="false">IFERROR(VLOOKUP(A173,'company tracker'!$a:$s,MATCH("Jun 2026 Traffic",'company tracker'!$1:$1,0),FALSE()),"")</f>
        <v/>
      </c>
      <c r="F173" s="1" t="str">
        <f aca="false">IFERROR(VLOOKUP(A173,'company tracker'!$a:$s,MATCH("Traffic % Change",'company tracker'!$1:$1,0),FALSE()),"")</f>
        <v/>
      </c>
      <c r="G173" s="1" t="str">
        <f aca="false">IFERROR(VLOOKUP(A173,'company tracker'!$a:$s,MATCH("Jan 2025 Referring Domains",'company tracker'!$1:$1,0),FALSE()),"")</f>
        <v/>
      </c>
      <c r="H173" s="1" t="str">
        <f aca="false">IFERROR(VLOOKUP(A173,'company tracker'!$a:$s,MATCH("Jun 2026 Referring Domains",'company tracker'!$1:$1,0),FALSE()),"")</f>
        <v/>
      </c>
    </row>
    <row r="174" customFormat="false" ht="15" hidden="false" customHeight="true" outlineLevel="0" collapsed="false">
      <c r="B174" s="1" t="str">
        <f aca="false">IFERROR(VLOOKUP(A174,'company tracker'!$a:$s,MATCH("Category",'company tracker'!$1:$1,0),FALSE()),"")</f>
        <v/>
      </c>
      <c r="C174" s="1" t="str">
        <f aca="false">IFERROR(VLOOKUP(A174,'Pass 1 Archive'!$A:$AD,MATCH("LinkedIn Employee Count",'Pass 1 Archive'!$1:$1,0),FALSE()),"")</f>
        <v/>
      </c>
      <c r="D174" s="1" t="str">
        <f aca="false">IFERROR(VLOOKUP(A174,'company tracker'!$a:$s,MATCH("Jan 2025 Traffic",'company tracker'!$1:$1,0),FALSE()),"")</f>
        <v/>
      </c>
      <c r="E174" s="1" t="str">
        <f aca="false">IFERROR(VLOOKUP(A174,'company tracker'!$a:$s,MATCH("Jun 2026 Traffic",'company tracker'!$1:$1,0),FALSE()),"")</f>
        <v/>
      </c>
      <c r="F174" s="1" t="str">
        <f aca="false">IFERROR(VLOOKUP(A174,'company tracker'!$a:$s,MATCH("Traffic % Change",'company tracker'!$1:$1,0),FALSE()),"")</f>
        <v/>
      </c>
      <c r="G174" s="1" t="str">
        <f aca="false">IFERROR(VLOOKUP(A174,'company tracker'!$a:$s,MATCH("Jan 2025 Referring Domains",'company tracker'!$1:$1,0),FALSE()),"")</f>
        <v/>
      </c>
      <c r="H174" s="1" t="str">
        <f aca="false">IFERROR(VLOOKUP(A174,'company tracker'!$a:$s,MATCH("Jun 2026 Referring Domains",'company tracker'!$1:$1,0),FALSE()),"")</f>
        <v/>
      </c>
    </row>
    <row r="175" customFormat="false" ht="15" hidden="false" customHeight="true" outlineLevel="0" collapsed="false">
      <c r="B175" s="1" t="str">
        <f aca="false">IFERROR(VLOOKUP(A175,'company tracker'!$a:$s,MATCH("Category",'company tracker'!$1:$1,0),FALSE()),"")</f>
        <v/>
      </c>
      <c r="C175" s="1" t="str">
        <f aca="false">IFERROR(VLOOKUP(A175,'Pass 1 Archive'!$A:$AD,MATCH("LinkedIn Employee Count",'Pass 1 Archive'!$1:$1,0),FALSE()),"")</f>
        <v/>
      </c>
      <c r="D175" s="1" t="str">
        <f aca="false">IFERROR(VLOOKUP(A175,'company tracker'!$a:$s,MATCH("Jan 2025 Traffic",'company tracker'!$1:$1,0),FALSE()),"")</f>
        <v/>
      </c>
      <c r="E175" s="1" t="str">
        <f aca="false">IFERROR(VLOOKUP(A175,'company tracker'!$a:$s,MATCH("Jun 2026 Traffic",'company tracker'!$1:$1,0),FALSE()),"")</f>
        <v/>
      </c>
      <c r="F175" s="1" t="str">
        <f aca="false">IFERROR(VLOOKUP(A175,'company tracker'!$a:$s,MATCH("Traffic % Change",'company tracker'!$1:$1,0),FALSE()),"")</f>
        <v/>
      </c>
      <c r="G175" s="1" t="str">
        <f aca="false">IFERROR(VLOOKUP(A175,'company tracker'!$a:$s,MATCH("Jan 2025 Referring Domains",'company tracker'!$1:$1,0),FALSE()),"")</f>
        <v/>
      </c>
      <c r="H175" s="1" t="str">
        <f aca="false">IFERROR(VLOOKUP(A175,'company tracker'!$a:$s,MATCH("Jun 2026 Referring Domains",'company tracker'!$1:$1,0),FALSE()),"")</f>
        <v/>
      </c>
    </row>
    <row r="176" customFormat="false" ht="15" hidden="false" customHeight="true" outlineLevel="0" collapsed="false">
      <c r="B176" s="1" t="str">
        <f aca="false">IFERROR(VLOOKUP(A176,'company tracker'!$a:$s,MATCH("Category",'company tracker'!$1:$1,0),FALSE()),"")</f>
        <v/>
      </c>
      <c r="C176" s="1" t="str">
        <f aca="false">IFERROR(VLOOKUP(A176,'Pass 1 Archive'!$A:$AD,MATCH("LinkedIn Employee Count",'Pass 1 Archive'!$1:$1,0),FALSE()),"")</f>
        <v/>
      </c>
      <c r="D176" s="1" t="str">
        <f aca="false">IFERROR(VLOOKUP(A176,'company tracker'!$a:$s,MATCH("Jan 2025 Traffic",'company tracker'!$1:$1,0),FALSE()),"")</f>
        <v/>
      </c>
      <c r="E176" s="1" t="str">
        <f aca="false">IFERROR(VLOOKUP(A176,'company tracker'!$a:$s,MATCH("Jun 2026 Traffic",'company tracker'!$1:$1,0),FALSE()),"")</f>
        <v/>
      </c>
      <c r="F176" s="1" t="str">
        <f aca="false">IFERROR(VLOOKUP(A176,'company tracker'!$a:$s,MATCH("Traffic % Change",'company tracker'!$1:$1,0),FALSE()),"")</f>
        <v/>
      </c>
      <c r="G176" s="1" t="str">
        <f aca="false">IFERROR(VLOOKUP(A176,'company tracker'!$a:$s,MATCH("Jan 2025 Referring Domains",'company tracker'!$1:$1,0),FALSE()),"")</f>
        <v/>
      </c>
      <c r="H176" s="1" t="str">
        <f aca="false">IFERROR(VLOOKUP(A176,'company tracker'!$a:$s,MATCH("Jun 2026 Referring Domains",'company tracker'!$1:$1,0),FALSE()),"")</f>
        <v/>
      </c>
    </row>
    <row r="177" customFormat="false" ht="15" hidden="false" customHeight="true" outlineLevel="0" collapsed="false">
      <c r="B177" s="1" t="str">
        <f aca="false">IFERROR(VLOOKUP(A177,'company tracker'!$a:$s,MATCH("Category",'company tracker'!$1:$1,0),FALSE()),"")</f>
        <v/>
      </c>
      <c r="C177" s="1" t="str">
        <f aca="false">IFERROR(VLOOKUP(A177,'Pass 1 Archive'!$A:$AD,MATCH("LinkedIn Employee Count",'Pass 1 Archive'!$1:$1,0),FALSE()),"")</f>
        <v/>
      </c>
      <c r="D177" s="1" t="str">
        <f aca="false">IFERROR(VLOOKUP(A177,'company tracker'!$a:$s,MATCH("Jan 2025 Traffic",'company tracker'!$1:$1,0),FALSE()),"")</f>
        <v/>
      </c>
      <c r="E177" s="1" t="str">
        <f aca="false">IFERROR(VLOOKUP(A177,'company tracker'!$a:$s,MATCH("Jun 2026 Traffic",'company tracker'!$1:$1,0),FALSE()),"")</f>
        <v/>
      </c>
      <c r="F177" s="1" t="str">
        <f aca="false">IFERROR(VLOOKUP(A177,'company tracker'!$a:$s,MATCH("Traffic % Change",'company tracker'!$1:$1,0),FALSE()),"")</f>
        <v/>
      </c>
      <c r="G177" s="1" t="str">
        <f aca="false">IFERROR(VLOOKUP(A177,'company tracker'!$a:$s,MATCH("Jan 2025 Referring Domains",'company tracker'!$1:$1,0),FALSE()),"")</f>
        <v/>
      </c>
      <c r="H177" s="1" t="str">
        <f aca="false">IFERROR(VLOOKUP(A177,'company tracker'!$a:$s,MATCH("Jun 2026 Referring Domains",'company tracker'!$1:$1,0),FALSE()),"")</f>
        <v/>
      </c>
    </row>
    <row r="178" customFormat="false" ht="15" hidden="false" customHeight="true" outlineLevel="0" collapsed="false">
      <c r="B178" s="1" t="str">
        <f aca="false">IFERROR(VLOOKUP(A178,'company tracker'!$a:$s,MATCH("Category",'company tracker'!$1:$1,0),FALSE()),"")</f>
        <v/>
      </c>
      <c r="C178" s="1" t="str">
        <f aca="false">IFERROR(VLOOKUP(A178,'Pass 1 Archive'!$A:$AD,MATCH("LinkedIn Employee Count",'Pass 1 Archive'!$1:$1,0),FALSE()),"")</f>
        <v/>
      </c>
      <c r="D178" s="1" t="str">
        <f aca="false">IFERROR(VLOOKUP(A178,'company tracker'!$a:$s,MATCH("Jan 2025 Traffic",'company tracker'!$1:$1,0),FALSE()),"")</f>
        <v/>
      </c>
      <c r="E178" s="1" t="str">
        <f aca="false">IFERROR(VLOOKUP(A178,'company tracker'!$a:$s,MATCH("Jun 2026 Traffic",'company tracker'!$1:$1,0),FALSE()),"")</f>
        <v/>
      </c>
      <c r="F178" s="1" t="str">
        <f aca="false">IFERROR(VLOOKUP(A178,'company tracker'!$a:$s,MATCH("Traffic % Change",'company tracker'!$1:$1,0),FALSE()),"")</f>
        <v/>
      </c>
      <c r="G178" s="1" t="str">
        <f aca="false">IFERROR(VLOOKUP(A178,'company tracker'!$a:$s,MATCH("Jan 2025 Referring Domains",'company tracker'!$1:$1,0),FALSE()),"")</f>
        <v/>
      </c>
      <c r="H178" s="1" t="str">
        <f aca="false">IFERROR(VLOOKUP(A178,'company tracker'!$a:$s,MATCH("Jun 2026 Referring Domains",'company tracker'!$1:$1,0),FALSE()),"")</f>
        <v/>
      </c>
    </row>
    <row r="179" customFormat="false" ht="15" hidden="false" customHeight="true" outlineLevel="0" collapsed="false">
      <c r="B179" s="1" t="str">
        <f aca="false">IFERROR(VLOOKUP(A179,'company tracker'!$a:$s,MATCH("Category",'company tracker'!$1:$1,0),FALSE()),"")</f>
        <v/>
      </c>
      <c r="C179" s="1" t="str">
        <f aca="false">IFERROR(VLOOKUP(A179,'Pass 1 Archive'!$A:$AD,MATCH("LinkedIn Employee Count",'Pass 1 Archive'!$1:$1,0),FALSE()),"")</f>
        <v/>
      </c>
      <c r="D179" s="1" t="str">
        <f aca="false">IFERROR(VLOOKUP(A179,'company tracker'!$a:$s,MATCH("Jan 2025 Traffic",'company tracker'!$1:$1,0),FALSE()),"")</f>
        <v/>
      </c>
      <c r="E179" s="1" t="str">
        <f aca="false">IFERROR(VLOOKUP(A179,'company tracker'!$a:$s,MATCH("Jun 2026 Traffic",'company tracker'!$1:$1,0),FALSE()),"")</f>
        <v/>
      </c>
      <c r="F179" s="1" t="str">
        <f aca="false">IFERROR(VLOOKUP(A179,'company tracker'!$a:$s,MATCH("Traffic % Change",'company tracker'!$1:$1,0),FALSE()),"")</f>
        <v/>
      </c>
      <c r="G179" s="1" t="str">
        <f aca="false">IFERROR(VLOOKUP(A179,'company tracker'!$a:$s,MATCH("Jan 2025 Referring Domains",'company tracker'!$1:$1,0),FALSE()),"")</f>
        <v/>
      </c>
      <c r="H179" s="1" t="str">
        <f aca="false">IFERROR(VLOOKUP(A179,'company tracker'!$a:$s,MATCH("Jun 2026 Referring Domains",'company tracker'!$1:$1,0),FALSE()),"")</f>
        <v/>
      </c>
    </row>
    <row r="180" customFormat="false" ht="15" hidden="false" customHeight="true" outlineLevel="0" collapsed="false">
      <c r="B180" s="1" t="str">
        <f aca="false">IFERROR(VLOOKUP(A180,'company tracker'!$a:$s,MATCH("Category",'company tracker'!$1:$1,0),FALSE()),"")</f>
        <v/>
      </c>
      <c r="C180" s="1" t="str">
        <f aca="false">IFERROR(VLOOKUP(A180,'Pass 1 Archive'!$A:$AD,MATCH("LinkedIn Employee Count",'Pass 1 Archive'!$1:$1,0),FALSE()),"")</f>
        <v/>
      </c>
      <c r="D180" s="1" t="str">
        <f aca="false">IFERROR(VLOOKUP(A180,'company tracker'!$a:$s,MATCH("Jan 2025 Traffic",'company tracker'!$1:$1,0),FALSE()),"")</f>
        <v/>
      </c>
      <c r="E180" s="1" t="str">
        <f aca="false">IFERROR(VLOOKUP(A180,'company tracker'!$a:$s,MATCH("Jun 2026 Traffic",'company tracker'!$1:$1,0),FALSE()),"")</f>
        <v/>
      </c>
      <c r="F180" s="1" t="str">
        <f aca="false">IFERROR(VLOOKUP(A180,'company tracker'!$a:$s,MATCH("Traffic % Change",'company tracker'!$1:$1,0),FALSE()),"")</f>
        <v/>
      </c>
      <c r="G180" s="1" t="str">
        <f aca="false">IFERROR(VLOOKUP(A180,'company tracker'!$a:$s,MATCH("Jan 2025 Referring Domains",'company tracker'!$1:$1,0),FALSE()),"")</f>
        <v/>
      </c>
      <c r="H180" s="1" t="str">
        <f aca="false">IFERROR(VLOOKUP(A180,'company tracker'!$a:$s,MATCH("Jun 2026 Referring Domains",'company tracker'!$1:$1,0),FALSE()),"")</f>
        <v/>
      </c>
    </row>
    <row r="181" customFormat="false" ht="15" hidden="false" customHeight="true" outlineLevel="0" collapsed="false">
      <c r="B181" s="1" t="str">
        <f aca="false">IFERROR(VLOOKUP(A181,'company tracker'!$a:$s,MATCH("Category",'company tracker'!$1:$1,0),FALSE()),"")</f>
        <v/>
      </c>
      <c r="C181" s="1" t="str">
        <f aca="false">IFERROR(VLOOKUP(A181,'Pass 1 Archive'!$A:$AD,MATCH("LinkedIn Employee Count",'Pass 1 Archive'!$1:$1,0),FALSE()),"")</f>
        <v/>
      </c>
      <c r="D181" s="1" t="str">
        <f aca="false">IFERROR(VLOOKUP(A181,'company tracker'!$a:$s,MATCH("Jan 2025 Traffic",'company tracker'!$1:$1,0),FALSE()),"")</f>
        <v/>
      </c>
      <c r="E181" s="1" t="str">
        <f aca="false">IFERROR(VLOOKUP(A181,'company tracker'!$a:$s,MATCH("Jun 2026 Traffic",'company tracker'!$1:$1,0),FALSE()),"")</f>
        <v/>
      </c>
      <c r="F181" s="1" t="str">
        <f aca="false">IFERROR(VLOOKUP(A181,'company tracker'!$a:$s,MATCH("Traffic % Change",'company tracker'!$1:$1,0),FALSE()),"")</f>
        <v/>
      </c>
      <c r="G181" s="1" t="str">
        <f aca="false">IFERROR(VLOOKUP(A181,'company tracker'!$a:$s,MATCH("Jan 2025 Referring Domains",'company tracker'!$1:$1,0),FALSE()),"")</f>
        <v/>
      </c>
      <c r="H181" s="1" t="str">
        <f aca="false">IFERROR(VLOOKUP(A181,'company tracker'!$a:$s,MATCH("Jun 2026 Referring Domains",'company tracker'!$1:$1,0),FALSE()),"")</f>
        <v/>
      </c>
    </row>
    <row r="182" customFormat="false" ht="15" hidden="false" customHeight="true" outlineLevel="0" collapsed="false">
      <c r="B182" s="1" t="str">
        <f aca="false">IFERROR(VLOOKUP(A182,'company tracker'!$a:$s,MATCH("Category",'company tracker'!$1:$1,0),FALSE()),"")</f>
        <v/>
      </c>
      <c r="C182" s="1" t="str">
        <f aca="false">IFERROR(VLOOKUP(A182,'Pass 1 Archive'!$A:$AD,MATCH("LinkedIn Employee Count",'Pass 1 Archive'!$1:$1,0),FALSE()),"")</f>
        <v/>
      </c>
      <c r="D182" s="1" t="str">
        <f aca="false">IFERROR(VLOOKUP(A182,'company tracker'!$a:$s,MATCH("Jan 2025 Traffic",'company tracker'!$1:$1,0),FALSE()),"")</f>
        <v/>
      </c>
      <c r="E182" s="1" t="str">
        <f aca="false">IFERROR(VLOOKUP(A182,'company tracker'!$a:$s,MATCH("Jun 2026 Traffic",'company tracker'!$1:$1,0),FALSE()),"")</f>
        <v/>
      </c>
      <c r="F182" s="1" t="str">
        <f aca="false">IFERROR(VLOOKUP(A182,'company tracker'!$a:$s,MATCH("Traffic % Change",'company tracker'!$1:$1,0),FALSE()),"")</f>
        <v/>
      </c>
      <c r="G182" s="1" t="str">
        <f aca="false">IFERROR(VLOOKUP(A182,'company tracker'!$a:$s,MATCH("Jan 2025 Referring Domains",'company tracker'!$1:$1,0),FALSE()),"")</f>
        <v/>
      </c>
      <c r="H182" s="1" t="str">
        <f aca="false">IFERROR(VLOOKUP(A182,'company tracker'!$a:$s,MATCH("Jun 2026 Referring Domains",'company tracker'!$1:$1,0),FALSE()),"")</f>
        <v/>
      </c>
    </row>
    <row r="183" customFormat="false" ht="15" hidden="false" customHeight="true" outlineLevel="0" collapsed="false">
      <c r="B183" s="1" t="str">
        <f aca="false">IFERROR(VLOOKUP(A183,'company tracker'!$a:$s,MATCH("Category",'company tracker'!$1:$1,0),FALSE()),"")</f>
        <v/>
      </c>
      <c r="C183" s="1" t="str">
        <f aca="false">IFERROR(VLOOKUP(A183,'Pass 1 Archive'!$A:$AD,MATCH("LinkedIn Employee Count",'Pass 1 Archive'!$1:$1,0),FALSE()),"")</f>
        <v/>
      </c>
      <c r="D183" s="1" t="str">
        <f aca="false">IFERROR(VLOOKUP(A183,'company tracker'!$a:$s,MATCH("Jan 2025 Traffic",'company tracker'!$1:$1,0),FALSE()),"")</f>
        <v/>
      </c>
      <c r="E183" s="1" t="str">
        <f aca="false">IFERROR(VLOOKUP(A183,'company tracker'!$a:$s,MATCH("Jun 2026 Traffic",'company tracker'!$1:$1,0),FALSE()),"")</f>
        <v/>
      </c>
      <c r="F183" s="1" t="str">
        <f aca="false">IFERROR(VLOOKUP(A183,'company tracker'!$a:$s,MATCH("Traffic % Change",'company tracker'!$1:$1,0),FALSE()),"")</f>
        <v/>
      </c>
      <c r="G183" s="1" t="str">
        <f aca="false">IFERROR(VLOOKUP(A183,'company tracker'!$a:$s,MATCH("Jan 2025 Referring Domains",'company tracker'!$1:$1,0),FALSE()),"")</f>
        <v/>
      </c>
      <c r="H183" s="1" t="str">
        <f aca="false">IFERROR(VLOOKUP(A183,'company tracker'!$a:$s,MATCH("Jun 2026 Referring Domains",'company tracker'!$1:$1,0),FALSE()),"")</f>
        <v/>
      </c>
    </row>
    <row r="184" customFormat="false" ht="15" hidden="false" customHeight="true" outlineLevel="0" collapsed="false">
      <c r="B184" s="1" t="str">
        <f aca="false">IFERROR(VLOOKUP(A184,'company tracker'!$a:$s,MATCH("Category",'company tracker'!$1:$1,0),FALSE()),"")</f>
        <v/>
      </c>
      <c r="C184" s="1" t="str">
        <f aca="false">IFERROR(VLOOKUP(A184,'Pass 1 Archive'!$A:$AD,MATCH("LinkedIn Employee Count",'Pass 1 Archive'!$1:$1,0),FALSE()),"")</f>
        <v/>
      </c>
      <c r="D184" s="1" t="str">
        <f aca="false">IFERROR(VLOOKUP(A184,'company tracker'!$a:$s,MATCH("Jan 2025 Traffic",'company tracker'!$1:$1,0),FALSE()),"")</f>
        <v/>
      </c>
      <c r="E184" s="1" t="str">
        <f aca="false">IFERROR(VLOOKUP(A184,'company tracker'!$a:$s,MATCH("Jun 2026 Traffic",'company tracker'!$1:$1,0),FALSE()),"")</f>
        <v/>
      </c>
      <c r="F184" s="1" t="str">
        <f aca="false">IFERROR(VLOOKUP(A184,'company tracker'!$a:$s,MATCH("Traffic % Change",'company tracker'!$1:$1,0),FALSE()),"")</f>
        <v/>
      </c>
      <c r="G184" s="1" t="str">
        <f aca="false">IFERROR(VLOOKUP(A184,'company tracker'!$a:$s,MATCH("Jan 2025 Referring Domains",'company tracker'!$1:$1,0),FALSE()),"")</f>
        <v/>
      </c>
      <c r="H184" s="1" t="str">
        <f aca="false">IFERROR(VLOOKUP(A184,'company tracker'!$a:$s,MATCH("Jun 2026 Referring Domains",'company tracker'!$1:$1,0),FALSE()),"")</f>
        <v/>
      </c>
    </row>
    <row r="185" customFormat="false" ht="15" hidden="false" customHeight="true" outlineLevel="0" collapsed="false">
      <c r="B185" s="1" t="str">
        <f aca="false">IFERROR(VLOOKUP(A185,'company tracker'!$a:$s,MATCH("Category",'company tracker'!$1:$1,0),FALSE()),"")</f>
        <v/>
      </c>
      <c r="C185" s="1" t="str">
        <f aca="false">IFERROR(VLOOKUP(A185,'Pass 1 Archive'!$A:$AD,MATCH("LinkedIn Employee Count",'Pass 1 Archive'!$1:$1,0),FALSE()),"")</f>
        <v/>
      </c>
      <c r="D185" s="1" t="str">
        <f aca="false">IFERROR(VLOOKUP(A185,'company tracker'!$a:$s,MATCH("Jan 2025 Traffic",'company tracker'!$1:$1,0),FALSE()),"")</f>
        <v/>
      </c>
      <c r="E185" s="1" t="str">
        <f aca="false">IFERROR(VLOOKUP(A185,'company tracker'!$a:$s,MATCH("Jun 2026 Traffic",'company tracker'!$1:$1,0),FALSE()),"")</f>
        <v/>
      </c>
      <c r="F185" s="1" t="str">
        <f aca="false">IFERROR(VLOOKUP(A185,'company tracker'!$a:$s,MATCH("Traffic % Change",'company tracker'!$1:$1,0),FALSE()),"")</f>
        <v/>
      </c>
      <c r="G185" s="1" t="str">
        <f aca="false">IFERROR(VLOOKUP(A185,'company tracker'!$a:$s,MATCH("Jan 2025 Referring Domains",'company tracker'!$1:$1,0),FALSE()),"")</f>
        <v/>
      </c>
      <c r="H185" s="1" t="str">
        <f aca="false">IFERROR(VLOOKUP(A185,'company tracker'!$a:$s,MATCH("Jun 2026 Referring Domains",'company tracker'!$1:$1,0),FALSE()),"")</f>
        <v/>
      </c>
    </row>
    <row r="186" customFormat="false" ht="15" hidden="false" customHeight="true" outlineLevel="0" collapsed="false">
      <c r="B186" s="1" t="str">
        <f aca="false">IFERROR(VLOOKUP(A186,'company tracker'!$a:$s,MATCH("Category",'company tracker'!$1:$1,0),FALSE()),"")</f>
        <v/>
      </c>
      <c r="C186" s="1" t="str">
        <f aca="false">IFERROR(VLOOKUP(A186,'Pass 1 Archive'!$A:$AD,MATCH("LinkedIn Employee Count",'Pass 1 Archive'!$1:$1,0),FALSE()),"")</f>
        <v/>
      </c>
      <c r="D186" s="1" t="str">
        <f aca="false">IFERROR(VLOOKUP(A186,'company tracker'!$a:$s,MATCH("Jan 2025 Traffic",'company tracker'!$1:$1,0),FALSE()),"")</f>
        <v/>
      </c>
      <c r="E186" s="1" t="str">
        <f aca="false">IFERROR(VLOOKUP(A186,'company tracker'!$a:$s,MATCH("Jun 2026 Traffic",'company tracker'!$1:$1,0),FALSE()),"")</f>
        <v/>
      </c>
      <c r="F186" s="1" t="str">
        <f aca="false">IFERROR(VLOOKUP(A186,'company tracker'!$a:$s,MATCH("Traffic % Change",'company tracker'!$1:$1,0),FALSE()),"")</f>
        <v/>
      </c>
      <c r="G186" s="1" t="str">
        <f aca="false">IFERROR(VLOOKUP(A186,'company tracker'!$a:$s,MATCH("Jan 2025 Referring Domains",'company tracker'!$1:$1,0),FALSE()),"")</f>
        <v/>
      </c>
      <c r="H186" s="1" t="str">
        <f aca="false">IFERROR(VLOOKUP(A186,'company tracker'!$a:$s,MATCH("Jun 2026 Referring Domains",'company tracker'!$1:$1,0),FALSE()),"")</f>
        <v/>
      </c>
    </row>
    <row r="187" customFormat="false" ht="15" hidden="false" customHeight="true" outlineLevel="0" collapsed="false">
      <c r="B187" s="1" t="str">
        <f aca="false">IFERROR(VLOOKUP(A187,'company tracker'!$a:$s,MATCH("Category",'company tracker'!$1:$1,0),FALSE()),"")</f>
        <v/>
      </c>
      <c r="C187" s="1" t="str">
        <f aca="false">IFERROR(VLOOKUP(A187,'Pass 1 Archive'!$A:$AD,MATCH("LinkedIn Employee Count",'Pass 1 Archive'!$1:$1,0),FALSE()),"")</f>
        <v/>
      </c>
      <c r="D187" s="1" t="str">
        <f aca="false">IFERROR(VLOOKUP(A187,'company tracker'!$a:$s,MATCH("Jan 2025 Traffic",'company tracker'!$1:$1,0),FALSE()),"")</f>
        <v/>
      </c>
      <c r="E187" s="1" t="str">
        <f aca="false">IFERROR(VLOOKUP(A187,'company tracker'!$a:$s,MATCH("Jun 2026 Traffic",'company tracker'!$1:$1,0),FALSE()),"")</f>
        <v/>
      </c>
      <c r="F187" s="1" t="str">
        <f aca="false">IFERROR(VLOOKUP(A187,'company tracker'!$a:$s,MATCH("Traffic % Change",'company tracker'!$1:$1,0),FALSE()),"")</f>
        <v/>
      </c>
      <c r="G187" s="1" t="str">
        <f aca="false">IFERROR(VLOOKUP(A187,'company tracker'!$a:$s,MATCH("Jan 2025 Referring Domains",'company tracker'!$1:$1,0),FALSE()),"")</f>
        <v/>
      </c>
      <c r="H187" s="1" t="str">
        <f aca="false">IFERROR(VLOOKUP(A187,'company tracker'!$a:$s,MATCH("Jun 2026 Referring Domains",'company tracker'!$1:$1,0),FALSE()),"")</f>
        <v/>
      </c>
    </row>
    <row r="188" customFormat="false" ht="15" hidden="false" customHeight="true" outlineLevel="0" collapsed="false">
      <c r="B188" s="1" t="str">
        <f aca="false">IFERROR(VLOOKUP(A188,'company tracker'!$a:$s,MATCH("Category",'company tracker'!$1:$1,0),FALSE()),"")</f>
        <v/>
      </c>
      <c r="C188" s="1" t="str">
        <f aca="false">IFERROR(VLOOKUP(A188,'Pass 1 Archive'!$A:$AD,MATCH("LinkedIn Employee Count",'Pass 1 Archive'!$1:$1,0),FALSE()),"")</f>
        <v/>
      </c>
      <c r="D188" s="1" t="str">
        <f aca="false">IFERROR(VLOOKUP(A188,'company tracker'!$a:$s,MATCH("Jan 2025 Traffic",'company tracker'!$1:$1,0),FALSE()),"")</f>
        <v/>
      </c>
      <c r="E188" s="1" t="str">
        <f aca="false">IFERROR(VLOOKUP(A188,'company tracker'!$a:$s,MATCH("Jun 2026 Traffic",'company tracker'!$1:$1,0),FALSE()),"")</f>
        <v/>
      </c>
      <c r="F188" s="1" t="str">
        <f aca="false">IFERROR(VLOOKUP(A188,'company tracker'!$a:$s,MATCH("Traffic % Change",'company tracker'!$1:$1,0),FALSE()),"")</f>
        <v/>
      </c>
      <c r="G188" s="1" t="str">
        <f aca="false">IFERROR(VLOOKUP(A188,'company tracker'!$a:$s,MATCH("Jan 2025 Referring Domains",'company tracker'!$1:$1,0),FALSE()),"")</f>
        <v/>
      </c>
      <c r="H188" s="1" t="str">
        <f aca="false">IFERROR(VLOOKUP(A188,'company tracker'!$a:$s,MATCH("Jun 2026 Referring Domains",'company tracker'!$1:$1,0),FALSE()),"")</f>
        <v/>
      </c>
    </row>
    <row r="189" customFormat="false" ht="15" hidden="false" customHeight="true" outlineLevel="0" collapsed="false">
      <c r="B189" s="1" t="str">
        <f aca="false">IFERROR(VLOOKUP(A189,'company tracker'!$a:$s,MATCH("Category",'company tracker'!$1:$1,0),FALSE()),"")</f>
        <v/>
      </c>
      <c r="C189" s="1" t="str">
        <f aca="false">IFERROR(VLOOKUP(A189,'Pass 1 Archive'!$A:$AD,MATCH("LinkedIn Employee Count",'Pass 1 Archive'!$1:$1,0),FALSE()),"")</f>
        <v/>
      </c>
      <c r="D189" s="1" t="str">
        <f aca="false">IFERROR(VLOOKUP(A189,'company tracker'!$a:$s,MATCH("Jan 2025 Traffic",'company tracker'!$1:$1,0),FALSE()),"")</f>
        <v/>
      </c>
      <c r="E189" s="1" t="str">
        <f aca="false">IFERROR(VLOOKUP(A189,'company tracker'!$a:$s,MATCH("Jun 2026 Traffic",'company tracker'!$1:$1,0),FALSE()),"")</f>
        <v/>
      </c>
      <c r="F189" s="1" t="str">
        <f aca="false">IFERROR(VLOOKUP(A189,'company tracker'!$a:$s,MATCH("Traffic % Change",'company tracker'!$1:$1,0),FALSE()),"")</f>
        <v/>
      </c>
      <c r="G189" s="1" t="str">
        <f aca="false">IFERROR(VLOOKUP(A189,'company tracker'!$a:$s,MATCH("Jan 2025 Referring Domains",'company tracker'!$1:$1,0),FALSE()),"")</f>
        <v/>
      </c>
      <c r="H189" s="1" t="str">
        <f aca="false">IFERROR(VLOOKUP(A189,'company tracker'!$a:$s,MATCH("Jun 2026 Referring Domains",'company tracker'!$1:$1,0),FALSE()),"")</f>
        <v/>
      </c>
    </row>
    <row r="190" customFormat="false" ht="15" hidden="false" customHeight="true" outlineLevel="0" collapsed="false">
      <c r="B190" s="1" t="str">
        <f aca="false">IFERROR(VLOOKUP(A190,'company tracker'!$a:$s,MATCH("Category",'company tracker'!$1:$1,0),FALSE()),"")</f>
        <v/>
      </c>
      <c r="C190" s="1" t="str">
        <f aca="false">IFERROR(VLOOKUP(A190,'Pass 1 Archive'!$A:$AD,MATCH("LinkedIn Employee Count",'Pass 1 Archive'!$1:$1,0),FALSE()),"")</f>
        <v/>
      </c>
      <c r="D190" s="1" t="str">
        <f aca="false">IFERROR(VLOOKUP(A190,'company tracker'!$a:$s,MATCH("Jan 2025 Traffic",'company tracker'!$1:$1,0),FALSE()),"")</f>
        <v/>
      </c>
      <c r="E190" s="1" t="str">
        <f aca="false">IFERROR(VLOOKUP(A190,'company tracker'!$a:$s,MATCH("Jun 2026 Traffic",'company tracker'!$1:$1,0),FALSE()),"")</f>
        <v/>
      </c>
      <c r="F190" s="1" t="str">
        <f aca="false">IFERROR(VLOOKUP(A190,'company tracker'!$a:$s,MATCH("Traffic % Change",'company tracker'!$1:$1,0),FALSE()),"")</f>
        <v/>
      </c>
      <c r="G190" s="1" t="str">
        <f aca="false">IFERROR(VLOOKUP(A190,'company tracker'!$a:$s,MATCH("Jan 2025 Referring Domains",'company tracker'!$1:$1,0),FALSE()),"")</f>
        <v/>
      </c>
      <c r="H190" s="1" t="str">
        <f aca="false">IFERROR(VLOOKUP(A190,'company tracker'!$a:$s,MATCH("Jun 2026 Referring Domains",'company tracker'!$1:$1,0),FALSE()),"")</f>
        <v/>
      </c>
    </row>
    <row r="191" customFormat="false" ht="15" hidden="false" customHeight="true" outlineLevel="0" collapsed="false">
      <c r="B191" s="1" t="str">
        <f aca="false">IFERROR(VLOOKUP(A191,'company tracker'!$a:$s,MATCH("Category",'company tracker'!$1:$1,0),FALSE()),"")</f>
        <v/>
      </c>
      <c r="C191" s="1" t="str">
        <f aca="false">IFERROR(VLOOKUP(A191,'Pass 1 Archive'!$A:$AD,MATCH("LinkedIn Employee Count",'Pass 1 Archive'!$1:$1,0),FALSE()),"")</f>
        <v/>
      </c>
      <c r="D191" s="1" t="str">
        <f aca="false">IFERROR(VLOOKUP(A191,'company tracker'!$a:$s,MATCH("Jan 2025 Traffic",'company tracker'!$1:$1,0),FALSE()),"")</f>
        <v/>
      </c>
      <c r="E191" s="1" t="str">
        <f aca="false">IFERROR(VLOOKUP(A191,'company tracker'!$a:$s,MATCH("Jun 2026 Traffic",'company tracker'!$1:$1,0),FALSE()),"")</f>
        <v/>
      </c>
      <c r="F191" s="1" t="str">
        <f aca="false">IFERROR(VLOOKUP(A191,'company tracker'!$a:$s,MATCH("Traffic % Change",'company tracker'!$1:$1,0),FALSE()),"")</f>
        <v/>
      </c>
      <c r="G191" s="1" t="str">
        <f aca="false">IFERROR(VLOOKUP(A191,'company tracker'!$a:$s,MATCH("Jan 2025 Referring Domains",'company tracker'!$1:$1,0),FALSE()),"")</f>
        <v/>
      </c>
      <c r="H191" s="1" t="str">
        <f aca="false">IFERROR(VLOOKUP(A191,'company tracker'!$a:$s,MATCH("Jun 2026 Referring Domains",'company tracker'!$1:$1,0),FALSE()),"")</f>
        <v/>
      </c>
    </row>
    <row r="192" customFormat="false" ht="15" hidden="false" customHeight="true" outlineLevel="0" collapsed="false">
      <c r="B192" s="1" t="str">
        <f aca="false">IFERROR(VLOOKUP(A192,'company tracker'!$a:$s,MATCH("Category",'company tracker'!$1:$1,0),FALSE()),"")</f>
        <v/>
      </c>
      <c r="C192" s="1" t="str">
        <f aca="false">IFERROR(VLOOKUP(A192,'Pass 1 Archive'!$A:$AD,MATCH("LinkedIn Employee Count",'Pass 1 Archive'!$1:$1,0),FALSE()),"")</f>
        <v/>
      </c>
      <c r="D192" s="1" t="str">
        <f aca="false">IFERROR(VLOOKUP(A192,'company tracker'!$a:$s,MATCH("Jan 2025 Traffic",'company tracker'!$1:$1,0),FALSE()),"")</f>
        <v/>
      </c>
      <c r="E192" s="1" t="str">
        <f aca="false">IFERROR(VLOOKUP(A192,'company tracker'!$a:$s,MATCH("Jun 2026 Traffic",'company tracker'!$1:$1,0),FALSE()),"")</f>
        <v/>
      </c>
      <c r="F192" s="1" t="str">
        <f aca="false">IFERROR(VLOOKUP(A192,'company tracker'!$a:$s,MATCH("Traffic % Change",'company tracker'!$1:$1,0),FALSE()),"")</f>
        <v/>
      </c>
      <c r="G192" s="1" t="str">
        <f aca="false">IFERROR(VLOOKUP(A192,'company tracker'!$a:$s,MATCH("Jan 2025 Referring Domains",'company tracker'!$1:$1,0),FALSE()),"")</f>
        <v/>
      </c>
      <c r="H192" s="1" t="str">
        <f aca="false">IFERROR(VLOOKUP(A192,'company tracker'!$a:$s,MATCH("Jun 2026 Referring Domains",'company tracker'!$1:$1,0),FALSE()),"")</f>
        <v/>
      </c>
    </row>
    <row r="193" customFormat="false" ht="15" hidden="false" customHeight="true" outlineLevel="0" collapsed="false">
      <c r="B193" s="1" t="str">
        <f aca="false">IFERROR(VLOOKUP(A193,'company tracker'!$a:$s,MATCH("Category",'company tracker'!$1:$1,0),FALSE()),"")</f>
        <v/>
      </c>
      <c r="C193" s="1" t="str">
        <f aca="false">IFERROR(VLOOKUP(A193,'Pass 1 Archive'!$A:$AD,MATCH("LinkedIn Employee Count",'Pass 1 Archive'!$1:$1,0),FALSE()),"")</f>
        <v/>
      </c>
      <c r="D193" s="1" t="str">
        <f aca="false">IFERROR(VLOOKUP(A193,'company tracker'!$a:$s,MATCH("Jan 2025 Traffic",'company tracker'!$1:$1,0),FALSE()),"")</f>
        <v/>
      </c>
      <c r="E193" s="1" t="str">
        <f aca="false">IFERROR(VLOOKUP(A193,'company tracker'!$a:$s,MATCH("Jun 2026 Traffic",'company tracker'!$1:$1,0),FALSE()),"")</f>
        <v/>
      </c>
      <c r="F193" s="1" t="str">
        <f aca="false">IFERROR(VLOOKUP(A193,'company tracker'!$a:$s,MATCH("Traffic % Change",'company tracker'!$1:$1,0),FALSE()),"")</f>
        <v/>
      </c>
      <c r="G193" s="1" t="str">
        <f aca="false">IFERROR(VLOOKUP(A193,'company tracker'!$a:$s,MATCH("Jan 2025 Referring Domains",'company tracker'!$1:$1,0),FALSE()),"")</f>
        <v/>
      </c>
      <c r="H193" s="1" t="str">
        <f aca="false">IFERROR(VLOOKUP(A193,'company tracker'!$a:$s,MATCH("Jun 2026 Referring Domains",'company tracker'!$1:$1,0),FALSE()),"")</f>
        <v/>
      </c>
    </row>
    <row r="194" customFormat="false" ht="15" hidden="false" customHeight="true" outlineLevel="0" collapsed="false">
      <c r="B194" s="1" t="str">
        <f aca="false">IFERROR(VLOOKUP(A194,'company tracker'!$a:$s,MATCH("Category",'company tracker'!$1:$1,0),FALSE()),"")</f>
        <v/>
      </c>
      <c r="C194" s="1" t="str">
        <f aca="false">IFERROR(VLOOKUP(A194,'Pass 1 Archive'!$A:$AD,MATCH("LinkedIn Employee Count",'Pass 1 Archive'!$1:$1,0),FALSE()),"")</f>
        <v/>
      </c>
      <c r="D194" s="1" t="str">
        <f aca="false">IFERROR(VLOOKUP(A194,'company tracker'!$a:$s,MATCH("Jan 2025 Traffic",'company tracker'!$1:$1,0),FALSE()),"")</f>
        <v/>
      </c>
      <c r="E194" s="1" t="str">
        <f aca="false">IFERROR(VLOOKUP(A194,'company tracker'!$a:$s,MATCH("Jun 2026 Traffic",'company tracker'!$1:$1,0),FALSE()),"")</f>
        <v/>
      </c>
      <c r="F194" s="1" t="str">
        <f aca="false">IFERROR(VLOOKUP(A194,'company tracker'!$a:$s,MATCH("Traffic % Change",'company tracker'!$1:$1,0),FALSE()),"")</f>
        <v/>
      </c>
      <c r="G194" s="1" t="str">
        <f aca="false">IFERROR(VLOOKUP(A194,'company tracker'!$a:$s,MATCH("Jan 2025 Referring Domains",'company tracker'!$1:$1,0),FALSE()),"")</f>
        <v/>
      </c>
      <c r="H194" s="1" t="str">
        <f aca="false">IFERROR(VLOOKUP(A194,'company tracker'!$a:$s,MATCH("Jun 2026 Referring Domains",'company tracker'!$1:$1,0),FALSE()),"")</f>
        <v/>
      </c>
    </row>
    <row r="195" customFormat="false" ht="15" hidden="false" customHeight="true" outlineLevel="0" collapsed="false">
      <c r="B195" s="1" t="str">
        <f aca="false">IFERROR(VLOOKUP(A195,'company tracker'!$a:$s,MATCH("Category",'company tracker'!$1:$1,0),FALSE()),"")</f>
        <v/>
      </c>
      <c r="C195" s="1" t="str">
        <f aca="false">IFERROR(VLOOKUP(A195,'Pass 1 Archive'!$A:$AD,MATCH("LinkedIn Employee Count",'Pass 1 Archive'!$1:$1,0),FALSE()),"")</f>
        <v/>
      </c>
      <c r="D195" s="1" t="str">
        <f aca="false">IFERROR(VLOOKUP(A195,'company tracker'!$a:$s,MATCH("Jan 2025 Traffic",'company tracker'!$1:$1,0),FALSE()),"")</f>
        <v/>
      </c>
      <c r="E195" s="1" t="str">
        <f aca="false">IFERROR(VLOOKUP(A195,'company tracker'!$a:$s,MATCH("Jun 2026 Traffic",'company tracker'!$1:$1,0),FALSE()),"")</f>
        <v/>
      </c>
      <c r="F195" s="1" t="str">
        <f aca="false">IFERROR(VLOOKUP(A195,'company tracker'!$a:$s,MATCH("Traffic % Change",'company tracker'!$1:$1,0),FALSE()),"")</f>
        <v/>
      </c>
      <c r="G195" s="1" t="str">
        <f aca="false">IFERROR(VLOOKUP(A195,'company tracker'!$a:$s,MATCH("Jan 2025 Referring Domains",'company tracker'!$1:$1,0),FALSE()),"")</f>
        <v/>
      </c>
      <c r="H195" s="1" t="str">
        <f aca="false">IFERROR(VLOOKUP(A195,'company tracker'!$a:$s,MATCH("Jun 2026 Referring Domains",'company tracker'!$1:$1,0),FALSE()),"")</f>
        <v/>
      </c>
    </row>
    <row r="196" customFormat="false" ht="15" hidden="false" customHeight="true" outlineLevel="0" collapsed="false">
      <c r="B196" s="1" t="str">
        <f aca="false">IFERROR(VLOOKUP(A196,'company tracker'!$a:$s,MATCH("Category",'company tracker'!$1:$1,0),FALSE()),"")</f>
        <v/>
      </c>
      <c r="C196" s="1" t="str">
        <f aca="false">IFERROR(VLOOKUP(A196,'Pass 1 Archive'!$A:$AD,MATCH("LinkedIn Employee Count",'Pass 1 Archive'!$1:$1,0),FALSE()),"")</f>
        <v/>
      </c>
      <c r="D196" s="1" t="str">
        <f aca="false">IFERROR(VLOOKUP(A196,'company tracker'!$a:$s,MATCH("Jan 2025 Traffic",'company tracker'!$1:$1,0),FALSE()),"")</f>
        <v/>
      </c>
      <c r="E196" s="1" t="str">
        <f aca="false">IFERROR(VLOOKUP(A196,'company tracker'!$a:$s,MATCH("Jun 2026 Traffic",'company tracker'!$1:$1,0),FALSE()),"")</f>
        <v/>
      </c>
      <c r="F196" s="1" t="str">
        <f aca="false">IFERROR(VLOOKUP(A196,'company tracker'!$a:$s,MATCH("Traffic % Change",'company tracker'!$1:$1,0),FALSE()),"")</f>
        <v/>
      </c>
      <c r="G196" s="1" t="str">
        <f aca="false">IFERROR(VLOOKUP(A196,'company tracker'!$a:$s,MATCH("Jan 2025 Referring Domains",'company tracker'!$1:$1,0),FALSE()),"")</f>
        <v/>
      </c>
      <c r="H196" s="1" t="str">
        <f aca="false">IFERROR(VLOOKUP(A196,'company tracker'!$a:$s,MATCH("Jun 2026 Referring Domains",'company tracker'!$1:$1,0),FALSE()),"")</f>
        <v/>
      </c>
    </row>
    <row r="197" customFormat="false" ht="15" hidden="false" customHeight="true" outlineLevel="0" collapsed="false">
      <c r="B197" s="1" t="str">
        <f aca="false">IFERROR(VLOOKUP(A197,'company tracker'!$a:$s,MATCH("Category",'company tracker'!$1:$1,0),FALSE()),"")</f>
        <v/>
      </c>
      <c r="C197" s="1" t="str">
        <f aca="false">IFERROR(VLOOKUP(A197,'Pass 1 Archive'!$A:$AD,MATCH("LinkedIn Employee Count",'Pass 1 Archive'!$1:$1,0),FALSE()),"")</f>
        <v/>
      </c>
      <c r="D197" s="1" t="str">
        <f aca="false">IFERROR(VLOOKUP(A197,'company tracker'!$a:$s,MATCH("Jan 2025 Traffic",'company tracker'!$1:$1,0),FALSE()),"")</f>
        <v/>
      </c>
      <c r="E197" s="1" t="str">
        <f aca="false">IFERROR(VLOOKUP(A197,'company tracker'!$a:$s,MATCH("Jun 2026 Traffic",'company tracker'!$1:$1,0),FALSE()),"")</f>
        <v/>
      </c>
      <c r="F197" s="1" t="str">
        <f aca="false">IFERROR(VLOOKUP(A197,'company tracker'!$a:$s,MATCH("Traffic % Change",'company tracker'!$1:$1,0),FALSE()),"")</f>
        <v/>
      </c>
      <c r="G197" s="1" t="str">
        <f aca="false">IFERROR(VLOOKUP(A197,'company tracker'!$a:$s,MATCH("Jan 2025 Referring Domains",'company tracker'!$1:$1,0),FALSE()),"")</f>
        <v/>
      </c>
      <c r="H197" s="1" t="str">
        <f aca="false">IFERROR(VLOOKUP(A197,'company tracker'!$a:$s,MATCH("Jun 2026 Referring Domains",'company tracker'!$1:$1,0),FALSE()),"")</f>
        <v/>
      </c>
    </row>
    <row r="198" customFormat="false" ht="15" hidden="false" customHeight="true" outlineLevel="0" collapsed="false">
      <c r="B198" s="1" t="str">
        <f aca="false">IFERROR(VLOOKUP(A198,'company tracker'!$a:$s,MATCH("Category",'company tracker'!$1:$1,0),FALSE()),"")</f>
        <v/>
      </c>
      <c r="C198" s="1" t="str">
        <f aca="false">IFERROR(VLOOKUP(A198,'Pass 1 Archive'!$A:$AD,MATCH("LinkedIn Employee Count",'Pass 1 Archive'!$1:$1,0),FALSE()),"")</f>
        <v/>
      </c>
      <c r="D198" s="1" t="str">
        <f aca="false">IFERROR(VLOOKUP(A198,'company tracker'!$a:$s,MATCH("Jan 2025 Traffic",'company tracker'!$1:$1,0),FALSE()),"")</f>
        <v/>
      </c>
      <c r="E198" s="1" t="str">
        <f aca="false">IFERROR(VLOOKUP(A198,'company tracker'!$a:$s,MATCH("Jun 2026 Traffic",'company tracker'!$1:$1,0),FALSE()),"")</f>
        <v/>
      </c>
      <c r="F198" s="1" t="str">
        <f aca="false">IFERROR(VLOOKUP(A198,'company tracker'!$a:$s,MATCH("Traffic % Change",'company tracker'!$1:$1,0),FALSE()),"")</f>
        <v/>
      </c>
      <c r="G198" s="1" t="str">
        <f aca="false">IFERROR(VLOOKUP(A198,'company tracker'!$a:$s,MATCH("Jan 2025 Referring Domains",'company tracker'!$1:$1,0),FALSE()),"")</f>
        <v/>
      </c>
      <c r="H198" s="1" t="str">
        <f aca="false">IFERROR(VLOOKUP(A198,'company tracker'!$a:$s,MATCH("Jun 2026 Referring Domains",'company tracker'!$1:$1,0),FALSE()),"")</f>
        <v/>
      </c>
    </row>
    <row r="199" customFormat="false" ht="15" hidden="false" customHeight="true" outlineLevel="0" collapsed="false">
      <c r="B199" s="1" t="str">
        <f aca="false">IFERROR(VLOOKUP(A199,'company tracker'!$a:$s,MATCH("Category",'company tracker'!$1:$1,0),FALSE()),"")</f>
        <v/>
      </c>
      <c r="C199" s="1" t="str">
        <f aca="false">IFERROR(VLOOKUP(A199,'Pass 1 Archive'!$A:$AD,MATCH("LinkedIn Employee Count",'Pass 1 Archive'!$1:$1,0),FALSE()),"")</f>
        <v/>
      </c>
      <c r="D199" s="1" t="str">
        <f aca="false">IFERROR(VLOOKUP(A199,'company tracker'!$a:$s,MATCH("Jan 2025 Traffic",'company tracker'!$1:$1,0),FALSE()),"")</f>
        <v/>
      </c>
      <c r="E199" s="1" t="str">
        <f aca="false">IFERROR(VLOOKUP(A199,'company tracker'!$a:$s,MATCH("Jun 2026 Traffic",'company tracker'!$1:$1,0),FALSE()),"")</f>
        <v/>
      </c>
      <c r="F199" s="1" t="str">
        <f aca="false">IFERROR(VLOOKUP(A199,'company tracker'!$a:$s,MATCH("Traffic % Change",'company tracker'!$1:$1,0),FALSE()),"")</f>
        <v/>
      </c>
      <c r="G199" s="1" t="str">
        <f aca="false">IFERROR(VLOOKUP(A199,'company tracker'!$a:$s,MATCH("Jan 2025 Referring Domains",'company tracker'!$1:$1,0),FALSE()),"")</f>
        <v/>
      </c>
      <c r="H199" s="1" t="str">
        <f aca="false">IFERROR(VLOOKUP(A199,'company tracker'!$a:$s,MATCH("Jun 2026 Referring Domains",'company tracker'!$1:$1,0),FALSE()),"")</f>
        <v/>
      </c>
    </row>
    <row r="200" customFormat="false" ht="15" hidden="false" customHeight="true" outlineLevel="0" collapsed="false">
      <c r="B200" s="1" t="str">
        <f aca="false">IFERROR(VLOOKUP(A200,'company tracker'!$a:$s,MATCH("Category",'company tracker'!$1:$1,0),FALSE()),"")</f>
        <v/>
      </c>
      <c r="C200" s="1" t="str">
        <f aca="false">IFERROR(VLOOKUP(A200,'Pass 1 Archive'!$A:$AD,MATCH("LinkedIn Employee Count",'Pass 1 Archive'!$1:$1,0),FALSE()),"")</f>
        <v/>
      </c>
      <c r="D200" s="1" t="str">
        <f aca="false">IFERROR(VLOOKUP(A200,'company tracker'!$a:$s,MATCH("Jan 2025 Traffic",'company tracker'!$1:$1,0),FALSE()),"")</f>
        <v/>
      </c>
      <c r="E200" s="1" t="str">
        <f aca="false">IFERROR(VLOOKUP(A200,'company tracker'!$a:$s,MATCH("Jun 2026 Traffic",'company tracker'!$1:$1,0),FALSE()),"")</f>
        <v/>
      </c>
      <c r="F200" s="1" t="str">
        <f aca="false">IFERROR(VLOOKUP(A200,'company tracker'!$a:$s,MATCH("Traffic % Change",'company tracker'!$1:$1,0),FALSE()),"")</f>
        <v/>
      </c>
      <c r="G200" s="1" t="str">
        <f aca="false">IFERROR(VLOOKUP(A200,'company tracker'!$a:$s,MATCH("Jan 2025 Referring Domains",'company tracker'!$1:$1,0),FALSE()),"")</f>
        <v/>
      </c>
      <c r="H200" s="1" t="str">
        <f aca="false">IFERROR(VLOOKUP(A200,'company tracker'!$a:$s,MATCH("Jun 2026 Referring Domains",'company tracker'!$1:$1,0),FALSE()),"")</f>
        <v/>
      </c>
    </row>
    <row r="201" customFormat="false" ht="15" hidden="false" customHeight="true" outlineLevel="0" collapsed="false">
      <c r="B201" s="1" t="str">
        <f aca="false">IFERROR(VLOOKUP(A201,'company tracker'!$a:$s,MATCH("Category",'company tracker'!$1:$1,0),FALSE()),"")</f>
        <v/>
      </c>
      <c r="C201" s="1" t="str">
        <f aca="false">IFERROR(VLOOKUP(A201,'Pass 1 Archive'!$A:$AD,MATCH("LinkedIn Employee Count",'Pass 1 Archive'!$1:$1,0),FALSE()),"")</f>
        <v/>
      </c>
      <c r="D201" s="1" t="str">
        <f aca="false">IFERROR(VLOOKUP(A201,'company tracker'!$a:$s,MATCH("Jan 2025 Traffic",'company tracker'!$1:$1,0),FALSE()),"")</f>
        <v/>
      </c>
      <c r="E201" s="1" t="str">
        <f aca="false">IFERROR(VLOOKUP(A201,'company tracker'!$a:$s,MATCH("Jun 2026 Traffic",'company tracker'!$1:$1,0),FALSE()),"")</f>
        <v/>
      </c>
      <c r="F201" s="1" t="str">
        <f aca="false">IFERROR(VLOOKUP(A201,'company tracker'!$a:$s,MATCH("Traffic % Change",'company tracker'!$1:$1,0),FALSE()),"")</f>
        <v/>
      </c>
      <c r="G201" s="1" t="str">
        <f aca="false">IFERROR(VLOOKUP(A201,'company tracker'!$a:$s,MATCH("Jan 2025 Referring Domains",'company tracker'!$1:$1,0),FALSE()),"")</f>
        <v/>
      </c>
      <c r="H201" s="1" t="str">
        <f aca="false">IFERROR(VLOOKUP(A201,'company tracker'!$a:$s,MATCH("Jun 2026 Referring Domains",'company tracker'!$1:$1,0),FALSE()),"")</f>
        <v/>
      </c>
    </row>
    <row r="202" customFormat="false" ht="15" hidden="false" customHeight="true" outlineLevel="0" collapsed="false">
      <c r="B202" s="1" t="str">
        <f aca="false">IFERROR(VLOOKUP(A202,'company tracker'!$a:$s,MATCH("Category",'company tracker'!$1:$1,0),FALSE()),"")</f>
        <v/>
      </c>
      <c r="C202" s="1" t="str">
        <f aca="false">IFERROR(VLOOKUP(A202,'Pass 1 Archive'!$A:$AD,MATCH("LinkedIn Employee Count",'Pass 1 Archive'!$1:$1,0),FALSE()),"")</f>
        <v/>
      </c>
      <c r="D202" s="1" t="str">
        <f aca="false">IFERROR(VLOOKUP(A202,'company tracker'!$a:$s,MATCH("Jan 2025 Traffic",'company tracker'!$1:$1,0),FALSE()),"")</f>
        <v/>
      </c>
      <c r="E202" s="1" t="str">
        <f aca="false">IFERROR(VLOOKUP(A202,'company tracker'!$a:$s,MATCH("Jun 2026 Traffic",'company tracker'!$1:$1,0),FALSE()),"")</f>
        <v/>
      </c>
      <c r="F202" s="1" t="str">
        <f aca="false">IFERROR(VLOOKUP(A202,'company tracker'!$a:$s,MATCH("Traffic % Change",'company tracker'!$1:$1,0),FALSE()),"")</f>
        <v/>
      </c>
      <c r="G202" s="1" t="str">
        <f aca="false">IFERROR(VLOOKUP(A202,'company tracker'!$a:$s,MATCH("Jan 2025 Referring Domains",'company tracker'!$1:$1,0),FALSE()),"")</f>
        <v/>
      </c>
      <c r="H202" s="1" t="str">
        <f aca="false">IFERROR(VLOOKUP(A202,'company tracker'!$a:$s,MATCH("Jun 2026 Referring Domains",'company tracker'!$1:$1,0),FALSE()),"")</f>
        <v/>
      </c>
    </row>
    <row r="203" customFormat="false" ht="15" hidden="false" customHeight="true" outlineLevel="0" collapsed="false">
      <c r="B203" s="1" t="str">
        <f aca="false">IFERROR(VLOOKUP(A203,'company tracker'!$a:$s,MATCH("Category",'company tracker'!$1:$1,0),FALSE()),"")</f>
        <v/>
      </c>
      <c r="C203" s="1" t="str">
        <f aca="false">IFERROR(VLOOKUP(A203,'Pass 1 Archive'!$A:$AD,MATCH("LinkedIn Employee Count",'Pass 1 Archive'!$1:$1,0),FALSE()),"")</f>
        <v/>
      </c>
      <c r="D203" s="1" t="str">
        <f aca="false">IFERROR(VLOOKUP(A203,'company tracker'!$a:$s,MATCH("Jan 2025 Traffic",'company tracker'!$1:$1,0),FALSE()),"")</f>
        <v/>
      </c>
      <c r="E203" s="1" t="str">
        <f aca="false">IFERROR(VLOOKUP(A203,'company tracker'!$a:$s,MATCH("Jun 2026 Traffic",'company tracker'!$1:$1,0),FALSE()),"")</f>
        <v/>
      </c>
      <c r="F203" s="1" t="str">
        <f aca="false">IFERROR(VLOOKUP(A203,'company tracker'!$a:$s,MATCH("Traffic % Change",'company tracker'!$1:$1,0),FALSE()),"")</f>
        <v/>
      </c>
      <c r="G203" s="1" t="str">
        <f aca="false">IFERROR(VLOOKUP(A203,'company tracker'!$a:$s,MATCH("Jan 2025 Referring Domains",'company tracker'!$1:$1,0),FALSE()),"")</f>
        <v/>
      </c>
      <c r="H203" s="1" t="str">
        <f aca="false">IFERROR(VLOOKUP(A203,'company tracker'!$a:$s,MATCH("Jun 2026 Referring Domains",'company tracker'!$1:$1,0),FALSE()),"")</f>
        <v/>
      </c>
    </row>
    <row r="204" customFormat="false" ht="15" hidden="false" customHeight="true" outlineLevel="0" collapsed="false">
      <c r="B204" s="1" t="str">
        <f aca="false">IFERROR(VLOOKUP(A204,'company tracker'!$a:$s,MATCH("Category",'company tracker'!$1:$1,0),FALSE()),"")</f>
        <v/>
      </c>
      <c r="C204" s="1" t="str">
        <f aca="false">IFERROR(VLOOKUP(A204,'Pass 1 Archive'!$A:$AD,MATCH("LinkedIn Employee Count",'Pass 1 Archive'!$1:$1,0),FALSE()),"")</f>
        <v/>
      </c>
      <c r="D204" s="1" t="str">
        <f aca="false">IFERROR(VLOOKUP(A204,'company tracker'!$a:$s,MATCH("Jan 2025 Traffic",'company tracker'!$1:$1,0),FALSE()),"")</f>
        <v/>
      </c>
      <c r="E204" s="1" t="str">
        <f aca="false">IFERROR(VLOOKUP(A204,'company tracker'!$a:$s,MATCH("Jun 2026 Traffic",'company tracker'!$1:$1,0),FALSE()),"")</f>
        <v/>
      </c>
      <c r="F204" s="1" t="str">
        <f aca="false">IFERROR(VLOOKUP(A204,'company tracker'!$a:$s,MATCH("Traffic % Change",'company tracker'!$1:$1,0),FALSE()),"")</f>
        <v/>
      </c>
      <c r="G204" s="1" t="str">
        <f aca="false">IFERROR(VLOOKUP(A204,'company tracker'!$a:$s,MATCH("Jan 2025 Referring Domains",'company tracker'!$1:$1,0),FALSE()),"")</f>
        <v/>
      </c>
      <c r="H204" s="1" t="str">
        <f aca="false">IFERROR(VLOOKUP(A204,'company tracker'!$a:$s,MATCH("Jun 2026 Referring Domains",'company tracker'!$1:$1,0),FALSE()),"")</f>
        <v/>
      </c>
    </row>
    <row r="205" customFormat="false" ht="15" hidden="false" customHeight="true" outlineLevel="0" collapsed="false">
      <c r="B205" s="1" t="str">
        <f aca="false">IFERROR(VLOOKUP(A205,'company tracker'!$a:$s,MATCH("Category",'company tracker'!$1:$1,0),FALSE()),"")</f>
        <v/>
      </c>
      <c r="C205" s="1" t="str">
        <f aca="false">IFERROR(VLOOKUP(A205,'Pass 1 Archive'!$A:$AD,MATCH("LinkedIn Employee Count",'Pass 1 Archive'!$1:$1,0),FALSE()),"")</f>
        <v/>
      </c>
      <c r="D205" s="1" t="str">
        <f aca="false">IFERROR(VLOOKUP(A205,'company tracker'!$a:$s,MATCH("Jan 2025 Traffic",'company tracker'!$1:$1,0),FALSE()),"")</f>
        <v/>
      </c>
      <c r="E205" s="1" t="str">
        <f aca="false">IFERROR(VLOOKUP(A205,'company tracker'!$a:$s,MATCH("Jun 2026 Traffic",'company tracker'!$1:$1,0),FALSE()),"")</f>
        <v/>
      </c>
      <c r="F205" s="1" t="str">
        <f aca="false">IFERROR(VLOOKUP(A205,'company tracker'!$a:$s,MATCH("Traffic % Change",'company tracker'!$1:$1,0),FALSE()),"")</f>
        <v/>
      </c>
      <c r="G205" s="1" t="str">
        <f aca="false">IFERROR(VLOOKUP(A205,'company tracker'!$a:$s,MATCH("Jan 2025 Referring Domains",'company tracker'!$1:$1,0),FALSE()),"")</f>
        <v/>
      </c>
      <c r="H205" s="1" t="str">
        <f aca="false">IFERROR(VLOOKUP(A205,'company tracker'!$a:$s,MATCH("Jun 2026 Referring Domains",'company tracker'!$1:$1,0),FALSE()),"")</f>
        <v/>
      </c>
    </row>
    <row r="206" customFormat="false" ht="15" hidden="false" customHeight="true" outlineLevel="0" collapsed="false">
      <c r="B206" s="1" t="str">
        <f aca="false">IFERROR(VLOOKUP(A206,'company tracker'!$a:$s,MATCH("Category",'company tracker'!$1:$1,0),FALSE()),"")</f>
        <v/>
      </c>
      <c r="C206" s="1" t="str">
        <f aca="false">IFERROR(VLOOKUP(A206,'Pass 1 Archive'!$A:$AD,MATCH("LinkedIn Employee Count",'Pass 1 Archive'!$1:$1,0),FALSE()),"")</f>
        <v/>
      </c>
      <c r="D206" s="1" t="str">
        <f aca="false">IFERROR(VLOOKUP(A206,'company tracker'!$a:$s,MATCH("Jan 2025 Traffic",'company tracker'!$1:$1,0),FALSE()),"")</f>
        <v/>
      </c>
      <c r="E206" s="1" t="str">
        <f aca="false">IFERROR(VLOOKUP(A206,'company tracker'!$a:$s,MATCH("Jun 2026 Traffic",'company tracker'!$1:$1,0),FALSE()),"")</f>
        <v/>
      </c>
      <c r="F206" s="1" t="str">
        <f aca="false">IFERROR(VLOOKUP(A206,'company tracker'!$a:$s,MATCH("Traffic % Change",'company tracker'!$1:$1,0),FALSE()),"")</f>
        <v/>
      </c>
      <c r="G206" s="1" t="str">
        <f aca="false">IFERROR(VLOOKUP(A206,'company tracker'!$a:$s,MATCH("Jan 2025 Referring Domains",'company tracker'!$1:$1,0),FALSE()),"")</f>
        <v/>
      </c>
      <c r="H206" s="1" t="str">
        <f aca="false">IFERROR(VLOOKUP(A206,'company tracker'!$a:$s,MATCH("Jun 2026 Referring Domains",'company tracker'!$1:$1,0),FALSE()),"")</f>
        <v/>
      </c>
    </row>
    <row r="207" customFormat="false" ht="15" hidden="false" customHeight="true" outlineLevel="0" collapsed="false">
      <c r="B207" s="1" t="str">
        <f aca="false">IFERROR(VLOOKUP(A207,'company tracker'!$a:$s,MATCH("Category",'company tracker'!$1:$1,0),FALSE()),"")</f>
        <v/>
      </c>
      <c r="C207" s="1" t="str">
        <f aca="false">IFERROR(VLOOKUP(A207,'Pass 1 Archive'!$A:$AD,MATCH("LinkedIn Employee Count",'Pass 1 Archive'!$1:$1,0),FALSE()),"")</f>
        <v/>
      </c>
      <c r="D207" s="1" t="str">
        <f aca="false">IFERROR(VLOOKUP(A207,'company tracker'!$a:$s,MATCH("Jan 2025 Traffic",'company tracker'!$1:$1,0),FALSE()),"")</f>
        <v/>
      </c>
      <c r="E207" s="1" t="str">
        <f aca="false">IFERROR(VLOOKUP(A207,'company tracker'!$a:$s,MATCH("Jun 2026 Traffic",'company tracker'!$1:$1,0),FALSE()),"")</f>
        <v/>
      </c>
      <c r="F207" s="1" t="str">
        <f aca="false">IFERROR(VLOOKUP(A207,'company tracker'!$a:$s,MATCH("Traffic % Change",'company tracker'!$1:$1,0),FALSE()),"")</f>
        <v/>
      </c>
      <c r="G207" s="1" t="str">
        <f aca="false">IFERROR(VLOOKUP(A207,'company tracker'!$a:$s,MATCH("Jan 2025 Referring Domains",'company tracker'!$1:$1,0),FALSE()),"")</f>
        <v/>
      </c>
      <c r="H207" s="1" t="str">
        <f aca="false">IFERROR(VLOOKUP(A207,'company tracker'!$a:$s,MATCH("Jun 2026 Referring Domains",'company tracker'!$1:$1,0),FALSE()),"")</f>
        <v/>
      </c>
    </row>
    <row r="208" customFormat="false" ht="15" hidden="false" customHeight="true" outlineLevel="0" collapsed="false">
      <c r="B208" s="1" t="str">
        <f aca="false">IFERROR(VLOOKUP(A208,'company tracker'!$a:$s,MATCH("Category",'company tracker'!$1:$1,0),FALSE()),"")</f>
        <v/>
      </c>
      <c r="C208" s="1" t="str">
        <f aca="false">IFERROR(VLOOKUP(A208,'Pass 1 Archive'!$A:$AD,MATCH("LinkedIn Employee Count",'Pass 1 Archive'!$1:$1,0),FALSE()),"")</f>
        <v/>
      </c>
      <c r="D208" s="1" t="str">
        <f aca="false">IFERROR(VLOOKUP(A208,'company tracker'!$a:$s,MATCH("Jan 2025 Traffic",'company tracker'!$1:$1,0),FALSE()),"")</f>
        <v/>
      </c>
      <c r="E208" s="1" t="str">
        <f aca="false">IFERROR(VLOOKUP(A208,'company tracker'!$a:$s,MATCH("Jun 2026 Traffic",'company tracker'!$1:$1,0),FALSE()),"")</f>
        <v/>
      </c>
      <c r="F208" s="1" t="str">
        <f aca="false">IFERROR(VLOOKUP(A208,'company tracker'!$a:$s,MATCH("Traffic % Change",'company tracker'!$1:$1,0),FALSE()),"")</f>
        <v/>
      </c>
      <c r="G208" s="1" t="str">
        <f aca="false">IFERROR(VLOOKUP(A208,'company tracker'!$a:$s,MATCH("Jan 2025 Referring Domains",'company tracker'!$1:$1,0),FALSE()),"")</f>
        <v/>
      </c>
      <c r="H208" s="1" t="str">
        <f aca="false">IFERROR(VLOOKUP(A208,'company tracker'!$a:$s,MATCH("Jun 2026 Referring Domains",'company tracker'!$1:$1,0),FALSE()),"")</f>
        <v/>
      </c>
    </row>
    <row r="209" customFormat="false" ht="15" hidden="false" customHeight="true" outlineLevel="0" collapsed="false">
      <c r="B209" s="1" t="str">
        <f aca="false">IFERROR(VLOOKUP(A209,'company tracker'!$a:$s,MATCH("Category",'company tracker'!$1:$1,0),FALSE()),"")</f>
        <v/>
      </c>
      <c r="C209" s="1" t="str">
        <f aca="false">IFERROR(VLOOKUP(A209,'Pass 1 Archive'!$A:$AD,MATCH("LinkedIn Employee Count",'Pass 1 Archive'!$1:$1,0),FALSE()),"")</f>
        <v/>
      </c>
      <c r="D209" s="1" t="str">
        <f aca="false">IFERROR(VLOOKUP(A209,'company tracker'!$a:$s,MATCH("Jan 2025 Traffic",'company tracker'!$1:$1,0),FALSE()),"")</f>
        <v/>
      </c>
      <c r="E209" s="1" t="str">
        <f aca="false">IFERROR(VLOOKUP(A209,'company tracker'!$a:$s,MATCH("Jun 2026 Traffic",'company tracker'!$1:$1,0),FALSE()),"")</f>
        <v/>
      </c>
      <c r="F209" s="1" t="str">
        <f aca="false">IFERROR(VLOOKUP(A209,'company tracker'!$a:$s,MATCH("Traffic % Change",'company tracker'!$1:$1,0),FALSE()),"")</f>
        <v/>
      </c>
      <c r="G209" s="1" t="str">
        <f aca="false">IFERROR(VLOOKUP(A209,'company tracker'!$a:$s,MATCH("Jan 2025 Referring Domains",'company tracker'!$1:$1,0),FALSE()),"")</f>
        <v/>
      </c>
      <c r="H209" s="1" t="str">
        <f aca="false">IFERROR(VLOOKUP(A209,'company tracker'!$a:$s,MATCH("Jun 2026 Referring Domains",'company tracker'!$1:$1,0),FALSE()),"")</f>
        <v/>
      </c>
    </row>
    <row r="210" customFormat="false" ht="15" hidden="false" customHeight="true" outlineLevel="0" collapsed="false">
      <c r="B210" s="1" t="str">
        <f aca="false">IFERROR(VLOOKUP(A210,'company tracker'!$a:$s,MATCH("Category",'company tracker'!$1:$1,0),FALSE()),"")</f>
        <v/>
      </c>
      <c r="C210" s="1" t="str">
        <f aca="false">IFERROR(VLOOKUP(A210,'Pass 1 Archive'!$A:$AD,MATCH("LinkedIn Employee Count",'Pass 1 Archive'!$1:$1,0),FALSE()),"")</f>
        <v/>
      </c>
      <c r="D210" s="1" t="str">
        <f aca="false">IFERROR(VLOOKUP(A210,'company tracker'!$a:$s,MATCH("Jan 2025 Traffic",'company tracker'!$1:$1,0),FALSE()),"")</f>
        <v/>
      </c>
      <c r="E210" s="1" t="str">
        <f aca="false">IFERROR(VLOOKUP(A210,'company tracker'!$a:$s,MATCH("Jun 2026 Traffic",'company tracker'!$1:$1,0),FALSE()),"")</f>
        <v/>
      </c>
      <c r="F210" s="1" t="str">
        <f aca="false">IFERROR(VLOOKUP(A210,'company tracker'!$a:$s,MATCH("Traffic % Change",'company tracker'!$1:$1,0),FALSE()),"")</f>
        <v/>
      </c>
      <c r="G210" s="1" t="str">
        <f aca="false">IFERROR(VLOOKUP(A210,'company tracker'!$a:$s,MATCH("Jan 2025 Referring Domains",'company tracker'!$1:$1,0),FALSE()),"")</f>
        <v/>
      </c>
      <c r="H210" s="1" t="str">
        <f aca="false">IFERROR(VLOOKUP(A210,'company tracker'!$a:$s,MATCH("Jun 2026 Referring Domains",'company tracker'!$1:$1,0),FALSE()),"")</f>
        <v/>
      </c>
    </row>
    <row r="211" customFormat="false" ht="15" hidden="false" customHeight="true" outlineLevel="0" collapsed="false">
      <c r="B211" s="1" t="str">
        <f aca="false">IFERROR(VLOOKUP(A211,'company tracker'!$a:$s,MATCH("Category",'company tracker'!$1:$1,0),FALSE()),"")</f>
        <v/>
      </c>
      <c r="C211" s="1" t="str">
        <f aca="false">IFERROR(VLOOKUP(A211,'Pass 1 Archive'!$A:$AD,MATCH("LinkedIn Employee Count",'Pass 1 Archive'!$1:$1,0),FALSE()),"")</f>
        <v/>
      </c>
      <c r="D211" s="1" t="str">
        <f aca="false">IFERROR(VLOOKUP(A211,'company tracker'!$a:$s,MATCH("Jan 2025 Traffic",'company tracker'!$1:$1,0),FALSE()),"")</f>
        <v/>
      </c>
      <c r="E211" s="1" t="str">
        <f aca="false">IFERROR(VLOOKUP(A211,'company tracker'!$a:$s,MATCH("Jun 2026 Traffic",'company tracker'!$1:$1,0),FALSE()),"")</f>
        <v/>
      </c>
      <c r="F211" s="1" t="str">
        <f aca="false">IFERROR(VLOOKUP(A211,'company tracker'!$a:$s,MATCH("Traffic % Change",'company tracker'!$1:$1,0),FALSE()),"")</f>
        <v/>
      </c>
      <c r="G211" s="1" t="str">
        <f aca="false">IFERROR(VLOOKUP(A211,'company tracker'!$a:$s,MATCH("Jan 2025 Referring Domains",'company tracker'!$1:$1,0),FALSE()),"")</f>
        <v/>
      </c>
      <c r="H211" s="1" t="str">
        <f aca="false">IFERROR(VLOOKUP(A211,'company tracker'!$a:$s,MATCH("Jun 2026 Referring Domains",'company tracker'!$1:$1,0),FALSE()),"")</f>
        <v/>
      </c>
    </row>
    <row r="212" customFormat="false" ht="15" hidden="false" customHeight="true" outlineLevel="0" collapsed="false">
      <c r="B212" s="1" t="str">
        <f aca="false">IFERROR(VLOOKUP(A212,'company tracker'!$a:$s,MATCH("Category",'company tracker'!$1:$1,0),FALSE()),"")</f>
        <v/>
      </c>
      <c r="C212" s="1" t="str">
        <f aca="false">IFERROR(VLOOKUP(A212,'Pass 1 Archive'!$A:$AD,MATCH("LinkedIn Employee Count",'Pass 1 Archive'!$1:$1,0),FALSE()),"")</f>
        <v/>
      </c>
      <c r="D212" s="1" t="str">
        <f aca="false">IFERROR(VLOOKUP(A212,'company tracker'!$a:$s,MATCH("Jan 2025 Traffic",'company tracker'!$1:$1,0),FALSE()),"")</f>
        <v/>
      </c>
      <c r="E212" s="1" t="str">
        <f aca="false">IFERROR(VLOOKUP(A212,'company tracker'!$a:$s,MATCH("Jun 2026 Traffic",'company tracker'!$1:$1,0),FALSE()),"")</f>
        <v/>
      </c>
      <c r="F212" s="1" t="str">
        <f aca="false">IFERROR(VLOOKUP(A212,'company tracker'!$a:$s,MATCH("Traffic % Change",'company tracker'!$1:$1,0),FALSE()),"")</f>
        <v/>
      </c>
      <c r="G212" s="1" t="str">
        <f aca="false">IFERROR(VLOOKUP(A212,'company tracker'!$a:$s,MATCH("Jan 2025 Referring Domains",'company tracker'!$1:$1,0),FALSE()),"")</f>
        <v/>
      </c>
      <c r="H212" s="1" t="str">
        <f aca="false">IFERROR(VLOOKUP(A212,'company tracker'!$a:$s,MATCH("Jun 2026 Referring Domains",'company tracker'!$1:$1,0),FALSE()),"")</f>
        <v/>
      </c>
    </row>
    <row r="213" customFormat="false" ht="15" hidden="false" customHeight="true" outlineLevel="0" collapsed="false">
      <c r="B213" s="1" t="str">
        <f aca="false">IFERROR(VLOOKUP(A213,'company tracker'!$a:$s,MATCH("Category",'company tracker'!$1:$1,0),FALSE()),"")</f>
        <v/>
      </c>
      <c r="C213" s="1" t="str">
        <f aca="false">IFERROR(VLOOKUP(A213,'Pass 1 Archive'!$A:$AD,MATCH("LinkedIn Employee Count",'Pass 1 Archive'!$1:$1,0),FALSE()),"")</f>
        <v/>
      </c>
      <c r="D213" s="1" t="str">
        <f aca="false">IFERROR(VLOOKUP(A213,'company tracker'!$a:$s,MATCH("Jan 2025 Traffic",'company tracker'!$1:$1,0),FALSE()),"")</f>
        <v/>
      </c>
      <c r="E213" s="1" t="str">
        <f aca="false">IFERROR(VLOOKUP(A213,'company tracker'!$a:$s,MATCH("Jun 2026 Traffic",'company tracker'!$1:$1,0),FALSE()),"")</f>
        <v/>
      </c>
      <c r="F213" s="1" t="str">
        <f aca="false">IFERROR(VLOOKUP(A213,'company tracker'!$a:$s,MATCH("Traffic % Change",'company tracker'!$1:$1,0),FALSE()),"")</f>
        <v/>
      </c>
      <c r="G213" s="1" t="str">
        <f aca="false">IFERROR(VLOOKUP(A213,'company tracker'!$a:$s,MATCH("Jan 2025 Referring Domains",'company tracker'!$1:$1,0),FALSE()),"")</f>
        <v/>
      </c>
      <c r="H213" s="1" t="str">
        <f aca="false">IFERROR(VLOOKUP(A213,'company tracker'!$a:$s,MATCH("Jun 2026 Referring Domains",'company tracker'!$1:$1,0),FALSE()),"")</f>
        <v/>
      </c>
    </row>
    <row r="214" customFormat="false" ht="15" hidden="false" customHeight="true" outlineLevel="0" collapsed="false">
      <c r="B214" s="1" t="str">
        <f aca="false">IFERROR(VLOOKUP(A214,'company tracker'!$a:$s,MATCH("Category",'company tracker'!$1:$1,0),FALSE()),"")</f>
        <v/>
      </c>
      <c r="C214" s="1" t="str">
        <f aca="false">IFERROR(VLOOKUP(A214,'Pass 1 Archive'!$A:$AD,MATCH("LinkedIn Employee Count",'Pass 1 Archive'!$1:$1,0),FALSE()),"")</f>
        <v/>
      </c>
      <c r="D214" s="1" t="str">
        <f aca="false">IFERROR(VLOOKUP(A214,'company tracker'!$a:$s,MATCH("Jan 2025 Traffic",'company tracker'!$1:$1,0),FALSE()),"")</f>
        <v/>
      </c>
      <c r="E214" s="1" t="str">
        <f aca="false">IFERROR(VLOOKUP(A214,'company tracker'!$a:$s,MATCH("Jun 2026 Traffic",'company tracker'!$1:$1,0),FALSE()),"")</f>
        <v/>
      </c>
      <c r="F214" s="1" t="str">
        <f aca="false">IFERROR(VLOOKUP(A214,'company tracker'!$a:$s,MATCH("Traffic % Change",'company tracker'!$1:$1,0),FALSE()),"")</f>
        <v/>
      </c>
      <c r="G214" s="1" t="str">
        <f aca="false">IFERROR(VLOOKUP(A214,'company tracker'!$a:$s,MATCH("Jan 2025 Referring Domains",'company tracker'!$1:$1,0),FALSE()),"")</f>
        <v/>
      </c>
      <c r="H214" s="1" t="str">
        <f aca="false">IFERROR(VLOOKUP(A214,'company tracker'!$a:$s,MATCH("Jun 2026 Referring Domains",'company tracker'!$1:$1,0),FALSE()),"")</f>
        <v/>
      </c>
    </row>
    <row r="215" customFormat="false" ht="15" hidden="false" customHeight="true" outlineLevel="0" collapsed="false">
      <c r="B215" s="1" t="str">
        <f aca="false">IFERROR(VLOOKUP(A215,'company tracker'!$a:$s,MATCH("Category",'company tracker'!$1:$1,0),FALSE()),"")</f>
        <v/>
      </c>
      <c r="C215" s="1" t="str">
        <f aca="false">IFERROR(VLOOKUP(A215,'Pass 1 Archive'!$A:$AD,MATCH("LinkedIn Employee Count",'Pass 1 Archive'!$1:$1,0),FALSE()),"")</f>
        <v/>
      </c>
      <c r="D215" s="1" t="str">
        <f aca="false">IFERROR(VLOOKUP(A215,'company tracker'!$a:$s,MATCH("Jan 2025 Traffic",'company tracker'!$1:$1,0),FALSE()),"")</f>
        <v/>
      </c>
      <c r="E215" s="1" t="str">
        <f aca="false">IFERROR(VLOOKUP(A215,'company tracker'!$a:$s,MATCH("Jun 2026 Traffic",'company tracker'!$1:$1,0),FALSE()),"")</f>
        <v/>
      </c>
      <c r="F215" s="1" t="str">
        <f aca="false">IFERROR(VLOOKUP(A215,'company tracker'!$a:$s,MATCH("Traffic % Change",'company tracker'!$1:$1,0),FALSE()),"")</f>
        <v/>
      </c>
      <c r="G215" s="1" t="str">
        <f aca="false">IFERROR(VLOOKUP(A215,'company tracker'!$a:$s,MATCH("Jan 2025 Referring Domains",'company tracker'!$1:$1,0),FALSE()),"")</f>
        <v/>
      </c>
      <c r="H215" s="1" t="str">
        <f aca="false">IFERROR(VLOOKUP(A215,'company tracker'!$a:$s,MATCH("Jun 2026 Referring Domains",'company tracker'!$1:$1,0),FALSE()),"")</f>
        <v/>
      </c>
    </row>
    <row r="216" customFormat="false" ht="15" hidden="false" customHeight="true" outlineLevel="0" collapsed="false">
      <c r="B216" s="1" t="str">
        <f aca="false">IFERROR(VLOOKUP(A216,'company tracker'!$a:$s,MATCH("Category",'company tracker'!$1:$1,0),FALSE()),"")</f>
        <v/>
      </c>
      <c r="C216" s="1" t="str">
        <f aca="false">IFERROR(VLOOKUP(A216,'Pass 1 Archive'!$A:$AD,MATCH("LinkedIn Employee Count",'Pass 1 Archive'!$1:$1,0),FALSE()),"")</f>
        <v/>
      </c>
      <c r="D216" s="1" t="str">
        <f aca="false">IFERROR(VLOOKUP(A216,'company tracker'!$a:$s,MATCH("Jan 2025 Traffic",'company tracker'!$1:$1,0),FALSE()),"")</f>
        <v/>
      </c>
      <c r="E216" s="1" t="str">
        <f aca="false">IFERROR(VLOOKUP(A216,'company tracker'!$a:$s,MATCH("Jun 2026 Traffic",'company tracker'!$1:$1,0),FALSE()),"")</f>
        <v/>
      </c>
      <c r="F216" s="1" t="str">
        <f aca="false">IFERROR(VLOOKUP(A216,'company tracker'!$a:$s,MATCH("Traffic % Change",'company tracker'!$1:$1,0),FALSE()),"")</f>
        <v/>
      </c>
      <c r="G216" s="1" t="str">
        <f aca="false">IFERROR(VLOOKUP(A216,'company tracker'!$a:$s,MATCH("Jan 2025 Referring Domains",'company tracker'!$1:$1,0),FALSE()),"")</f>
        <v/>
      </c>
      <c r="H216" s="1" t="str">
        <f aca="false">IFERROR(VLOOKUP(A216,'company tracker'!$a:$s,MATCH("Jun 2026 Referring Domains",'company tracker'!$1:$1,0),FALSE()),"")</f>
        <v/>
      </c>
    </row>
    <row r="217" customFormat="false" ht="15" hidden="false" customHeight="true" outlineLevel="0" collapsed="false">
      <c r="B217" s="1" t="str">
        <f aca="false">IFERROR(VLOOKUP(A217,'company tracker'!$a:$s,MATCH("Category",'company tracker'!$1:$1,0),FALSE()),"")</f>
        <v/>
      </c>
      <c r="C217" s="1" t="str">
        <f aca="false">IFERROR(VLOOKUP(A217,'Pass 1 Archive'!$A:$AD,MATCH("LinkedIn Employee Count",'Pass 1 Archive'!$1:$1,0),FALSE()),"")</f>
        <v/>
      </c>
      <c r="D217" s="1" t="str">
        <f aca="false">IFERROR(VLOOKUP(A217,'company tracker'!$a:$s,MATCH("Jan 2025 Traffic",'company tracker'!$1:$1,0),FALSE()),"")</f>
        <v/>
      </c>
      <c r="E217" s="1" t="str">
        <f aca="false">IFERROR(VLOOKUP(A217,'company tracker'!$a:$s,MATCH("Jun 2026 Traffic",'company tracker'!$1:$1,0),FALSE()),"")</f>
        <v/>
      </c>
      <c r="F217" s="1" t="str">
        <f aca="false">IFERROR(VLOOKUP(A217,'company tracker'!$a:$s,MATCH("Traffic % Change",'company tracker'!$1:$1,0),FALSE()),"")</f>
        <v/>
      </c>
      <c r="G217" s="1" t="str">
        <f aca="false">IFERROR(VLOOKUP(A217,'company tracker'!$a:$s,MATCH("Jan 2025 Referring Domains",'company tracker'!$1:$1,0),FALSE()),"")</f>
        <v/>
      </c>
      <c r="H217" s="1" t="str">
        <f aca="false">IFERROR(VLOOKUP(A217,'company tracker'!$a:$s,MATCH("Jun 2026 Referring Domains",'company tracker'!$1:$1,0),FALSE()),"")</f>
        <v/>
      </c>
    </row>
    <row r="218" customFormat="false" ht="15" hidden="false" customHeight="true" outlineLevel="0" collapsed="false">
      <c r="B218" s="1" t="str">
        <f aca="false">IFERROR(VLOOKUP(A218,'company tracker'!$a:$s,MATCH("Category",'company tracker'!$1:$1,0),FALSE()),"")</f>
        <v/>
      </c>
      <c r="C218" s="1" t="str">
        <f aca="false">IFERROR(VLOOKUP(A218,'Pass 1 Archive'!$A:$AD,MATCH("LinkedIn Employee Count",'Pass 1 Archive'!$1:$1,0),FALSE()),"")</f>
        <v/>
      </c>
      <c r="D218" s="1" t="str">
        <f aca="false">IFERROR(VLOOKUP(A218,'company tracker'!$a:$s,MATCH("Jan 2025 Traffic",'company tracker'!$1:$1,0),FALSE()),"")</f>
        <v/>
      </c>
      <c r="E218" s="1" t="str">
        <f aca="false">IFERROR(VLOOKUP(A218,'company tracker'!$a:$s,MATCH("Jun 2026 Traffic",'company tracker'!$1:$1,0),FALSE()),"")</f>
        <v/>
      </c>
      <c r="F218" s="1" t="str">
        <f aca="false">IFERROR(VLOOKUP(A218,'company tracker'!$a:$s,MATCH("Traffic % Change",'company tracker'!$1:$1,0),FALSE()),"")</f>
        <v/>
      </c>
      <c r="G218" s="1" t="str">
        <f aca="false">IFERROR(VLOOKUP(A218,'company tracker'!$a:$s,MATCH("Jan 2025 Referring Domains",'company tracker'!$1:$1,0),FALSE()),"")</f>
        <v/>
      </c>
      <c r="H218" s="1" t="str">
        <f aca="false">IFERROR(VLOOKUP(A218,'company tracker'!$a:$s,MATCH("Jun 2026 Referring Domains",'company tracker'!$1:$1,0),FALSE()),"")</f>
        <v/>
      </c>
    </row>
    <row r="219" customFormat="false" ht="15" hidden="false" customHeight="true" outlineLevel="0" collapsed="false">
      <c r="B219" s="1" t="str">
        <f aca="false">IFERROR(VLOOKUP(A219,'company tracker'!$a:$s,MATCH("Category",'company tracker'!$1:$1,0),FALSE()),"")</f>
        <v/>
      </c>
      <c r="C219" s="1" t="str">
        <f aca="false">IFERROR(VLOOKUP(A219,'Pass 1 Archive'!$A:$AD,MATCH("LinkedIn Employee Count",'Pass 1 Archive'!$1:$1,0),FALSE()),"")</f>
        <v/>
      </c>
      <c r="D219" s="1" t="str">
        <f aca="false">IFERROR(VLOOKUP(A219,'company tracker'!$a:$s,MATCH("Jan 2025 Traffic",'company tracker'!$1:$1,0),FALSE()),"")</f>
        <v/>
      </c>
      <c r="E219" s="1" t="str">
        <f aca="false">IFERROR(VLOOKUP(A219,'company tracker'!$a:$s,MATCH("Jun 2026 Traffic",'company tracker'!$1:$1,0),FALSE()),"")</f>
        <v/>
      </c>
      <c r="F219" s="1" t="str">
        <f aca="false">IFERROR(VLOOKUP(A219,'company tracker'!$a:$s,MATCH("Traffic % Change",'company tracker'!$1:$1,0),FALSE()),"")</f>
        <v/>
      </c>
      <c r="G219" s="1" t="str">
        <f aca="false">IFERROR(VLOOKUP(A219,'company tracker'!$a:$s,MATCH("Jan 2025 Referring Domains",'company tracker'!$1:$1,0),FALSE()),"")</f>
        <v/>
      </c>
      <c r="H219" s="1" t="str">
        <f aca="false">IFERROR(VLOOKUP(A219,'company tracker'!$a:$s,MATCH("Jun 2026 Referring Domains",'company tracker'!$1:$1,0),FALSE()),"")</f>
        <v/>
      </c>
    </row>
    <row r="220" customFormat="false" ht="15" hidden="false" customHeight="true" outlineLevel="0" collapsed="false">
      <c r="B220" s="1" t="str">
        <f aca="false">IFERROR(VLOOKUP(A220,'company tracker'!$a:$s,MATCH("Category",'company tracker'!$1:$1,0),FALSE()),"")</f>
        <v/>
      </c>
      <c r="C220" s="1" t="str">
        <f aca="false">IFERROR(VLOOKUP(A220,'Pass 1 Archive'!$A:$AD,MATCH("LinkedIn Employee Count",'Pass 1 Archive'!$1:$1,0),FALSE()),"")</f>
        <v/>
      </c>
      <c r="D220" s="1" t="str">
        <f aca="false">IFERROR(VLOOKUP(A220,'company tracker'!$a:$s,MATCH("Jan 2025 Traffic",'company tracker'!$1:$1,0),FALSE()),"")</f>
        <v/>
      </c>
      <c r="E220" s="1" t="str">
        <f aca="false">IFERROR(VLOOKUP(A220,'company tracker'!$a:$s,MATCH("Jun 2026 Traffic",'company tracker'!$1:$1,0),FALSE()),"")</f>
        <v/>
      </c>
      <c r="F220" s="1" t="str">
        <f aca="false">IFERROR(VLOOKUP(A220,'company tracker'!$a:$s,MATCH("Traffic % Change",'company tracker'!$1:$1,0),FALSE()),"")</f>
        <v/>
      </c>
      <c r="G220" s="1" t="str">
        <f aca="false">IFERROR(VLOOKUP(A220,'company tracker'!$a:$s,MATCH("Jan 2025 Referring Domains",'company tracker'!$1:$1,0),FALSE()),"")</f>
        <v/>
      </c>
      <c r="H220" s="1" t="str">
        <f aca="false">IFERROR(VLOOKUP(A220,'company tracker'!$a:$s,MATCH("Jun 2026 Referring Domains",'company tracker'!$1:$1,0),FALSE()),"")</f>
        <v/>
      </c>
    </row>
    <row r="221" customFormat="false" ht="15" hidden="false" customHeight="true" outlineLevel="0" collapsed="false">
      <c r="B221" s="1" t="str">
        <f aca="false">IFERROR(VLOOKUP(A221,'company tracker'!$a:$s,MATCH("Category",'company tracker'!$1:$1,0),FALSE()),"")</f>
        <v/>
      </c>
      <c r="C221" s="1" t="str">
        <f aca="false">IFERROR(VLOOKUP(A221,'Pass 1 Archive'!$A:$AD,MATCH("LinkedIn Employee Count",'Pass 1 Archive'!$1:$1,0),FALSE()),"")</f>
        <v/>
      </c>
      <c r="D221" s="1" t="str">
        <f aca="false">IFERROR(VLOOKUP(A221,'company tracker'!$a:$s,MATCH("Jan 2025 Traffic",'company tracker'!$1:$1,0),FALSE()),"")</f>
        <v/>
      </c>
      <c r="E221" s="1" t="str">
        <f aca="false">IFERROR(VLOOKUP(A221,'company tracker'!$a:$s,MATCH("Jun 2026 Traffic",'company tracker'!$1:$1,0),FALSE()),"")</f>
        <v/>
      </c>
      <c r="F221" s="1" t="str">
        <f aca="false">IFERROR(VLOOKUP(A221,'company tracker'!$a:$s,MATCH("Traffic % Change",'company tracker'!$1:$1,0),FALSE()),"")</f>
        <v/>
      </c>
      <c r="G221" s="1" t="str">
        <f aca="false">IFERROR(VLOOKUP(A221,'company tracker'!$a:$s,MATCH("Jan 2025 Referring Domains",'company tracker'!$1:$1,0),FALSE()),"")</f>
        <v/>
      </c>
      <c r="H221" s="1" t="str">
        <f aca="false">IFERROR(VLOOKUP(A221,'company tracker'!$a:$s,MATCH("Jun 2026 Referring Domains",'company tracker'!$1:$1,0),FALSE()),"")</f>
        <v/>
      </c>
    </row>
    <row r="222" customFormat="false" ht="15" hidden="false" customHeight="true" outlineLevel="0" collapsed="false">
      <c r="B222" s="1" t="str">
        <f aca="false">IFERROR(VLOOKUP(A222,'company tracker'!$a:$s,MATCH("Category",'company tracker'!$1:$1,0),FALSE()),"")</f>
        <v/>
      </c>
      <c r="C222" s="1" t="str">
        <f aca="false">IFERROR(VLOOKUP(A222,'Pass 1 Archive'!$A:$AD,MATCH("LinkedIn Employee Count",'Pass 1 Archive'!$1:$1,0),FALSE()),"")</f>
        <v/>
      </c>
      <c r="D222" s="1" t="str">
        <f aca="false">IFERROR(VLOOKUP(A222,'company tracker'!$a:$s,MATCH("Jan 2025 Traffic",'company tracker'!$1:$1,0),FALSE()),"")</f>
        <v/>
      </c>
      <c r="E222" s="1" t="str">
        <f aca="false">IFERROR(VLOOKUP(A222,'company tracker'!$a:$s,MATCH("Jun 2026 Traffic",'company tracker'!$1:$1,0),FALSE()),"")</f>
        <v/>
      </c>
      <c r="F222" s="1" t="str">
        <f aca="false">IFERROR(VLOOKUP(A222,'company tracker'!$a:$s,MATCH("Traffic % Change",'company tracker'!$1:$1,0),FALSE()),"")</f>
        <v/>
      </c>
      <c r="G222" s="1" t="str">
        <f aca="false">IFERROR(VLOOKUP(A222,'company tracker'!$a:$s,MATCH("Jan 2025 Referring Domains",'company tracker'!$1:$1,0),FALSE()),"")</f>
        <v/>
      </c>
      <c r="H222" s="1" t="str">
        <f aca="false">IFERROR(VLOOKUP(A222,'company tracker'!$a:$s,MATCH("Jun 2026 Referring Domains",'company tracker'!$1:$1,0),FALSE()),"")</f>
        <v/>
      </c>
    </row>
    <row r="223" customFormat="false" ht="15" hidden="false" customHeight="true" outlineLevel="0" collapsed="false">
      <c r="B223" s="1" t="str">
        <f aca="false">IFERROR(VLOOKUP(A223,'company tracker'!$a:$s,MATCH("Category",'company tracker'!$1:$1,0),FALSE()),"")</f>
        <v/>
      </c>
      <c r="C223" s="1" t="str">
        <f aca="false">IFERROR(VLOOKUP(A223,'Pass 1 Archive'!$A:$AD,MATCH("LinkedIn Employee Count",'Pass 1 Archive'!$1:$1,0),FALSE()),"")</f>
        <v/>
      </c>
      <c r="D223" s="1" t="str">
        <f aca="false">IFERROR(VLOOKUP(A223,'company tracker'!$a:$s,MATCH("Jan 2025 Traffic",'company tracker'!$1:$1,0),FALSE()),"")</f>
        <v/>
      </c>
      <c r="E223" s="1" t="str">
        <f aca="false">IFERROR(VLOOKUP(A223,'company tracker'!$a:$s,MATCH("Jun 2026 Traffic",'company tracker'!$1:$1,0),FALSE()),"")</f>
        <v/>
      </c>
      <c r="F223" s="1" t="str">
        <f aca="false">IFERROR(VLOOKUP(A223,'company tracker'!$a:$s,MATCH("Traffic % Change",'company tracker'!$1:$1,0),FALSE()),"")</f>
        <v/>
      </c>
      <c r="G223" s="1" t="str">
        <f aca="false">IFERROR(VLOOKUP(A223,'company tracker'!$a:$s,MATCH("Jan 2025 Referring Domains",'company tracker'!$1:$1,0),FALSE()),"")</f>
        <v/>
      </c>
      <c r="H223" s="1" t="str">
        <f aca="false">IFERROR(VLOOKUP(A223,'company tracker'!$a:$s,MATCH("Jun 2026 Referring Domains",'company tracker'!$1:$1,0),FALSE()),"")</f>
        <v/>
      </c>
    </row>
    <row r="224" customFormat="false" ht="15" hidden="false" customHeight="true" outlineLevel="0" collapsed="false">
      <c r="B224" s="1" t="str">
        <f aca="false">IFERROR(VLOOKUP(A224,'company tracker'!$a:$s,MATCH("Category",'company tracker'!$1:$1,0),FALSE()),"")</f>
        <v/>
      </c>
      <c r="C224" s="1" t="str">
        <f aca="false">IFERROR(VLOOKUP(A224,'Pass 1 Archive'!$A:$AD,MATCH("LinkedIn Employee Count",'Pass 1 Archive'!$1:$1,0),FALSE()),"")</f>
        <v/>
      </c>
      <c r="D224" s="1" t="str">
        <f aca="false">IFERROR(VLOOKUP(A224,'company tracker'!$a:$s,MATCH("Jan 2025 Traffic",'company tracker'!$1:$1,0),FALSE()),"")</f>
        <v/>
      </c>
      <c r="E224" s="1" t="str">
        <f aca="false">IFERROR(VLOOKUP(A224,'company tracker'!$a:$s,MATCH("Jun 2026 Traffic",'company tracker'!$1:$1,0),FALSE()),"")</f>
        <v/>
      </c>
      <c r="F224" s="1" t="str">
        <f aca="false">IFERROR(VLOOKUP(A224,'company tracker'!$a:$s,MATCH("Traffic % Change",'company tracker'!$1:$1,0),FALSE()),"")</f>
        <v/>
      </c>
      <c r="G224" s="1" t="str">
        <f aca="false">IFERROR(VLOOKUP(A224,'company tracker'!$a:$s,MATCH("Jan 2025 Referring Domains",'company tracker'!$1:$1,0),FALSE()),"")</f>
        <v/>
      </c>
      <c r="H224" s="1" t="str">
        <f aca="false">IFERROR(VLOOKUP(A224,'company tracker'!$a:$s,MATCH("Jun 2026 Referring Domains",'company tracker'!$1:$1,0),FALSE()),"")</f>
        <v/>
      </c>
    </row>
    <row r="225" customFormat="false" ht="15" hidden="false" customHeight="true" outlineLevel="0" collapsed="false">
      <c r="B225" s="1" t="str">
        <f aca="false">IFERROR(VLOOKUP(A225,'company tracker'!$a:$s,MATCH("Category",'company tracker'!$1:$1,0),FALSE()),"")</f>
        <v/>
      </c>
      <c r="C225" s="1" t="str">
        <f aca="false">IFERROR(VLOOKUP(A225,'Pass 1 Archive'!$A:$AD,MATCH("LinkedIn Employee Count",'Pass 1 Archive'!$1:$1,0),FALSE()),"")</f>
        <v/>
      </c>
      <c r="D225" s="1" t="str">
        <f aca="false">IFERROR(VLOOKUP(A225,'company tracker'!$a:$s,MATCH("Jan 2025 Traffic",'company tracker'!$1:$1,0),FALSE()),"")</f>
        <v/>
      </c>
      <c r="E225" s="1" t="str">
        <f aca="false">IFERROR(VLOOKUP(A225,'company tracker'!$a:$s,MATCH("Jun 2026 Traffic",'company tracker'!$1:$1,0),FALSE()),"")</f>
        <v/>
      </c>
      <c r="F225" s="1" t="str">
        <f aca="false">IFERROR(VLOOKUP(A225,'company tracker'!$a:$s,MATCH("Traffic % Change",'company tracker'!$1:$1,0),FALSE()),"")</f>
        <v/>
      </c>
      <c r="G225" s="1" t="str">
        <f aca="false">IFERROR(VLOOKUP(A225,'company tracker'!$a:$s,MATCH("Jan 2025 Referring Domains",'company tracker'!$1:$1,0),FALSE()),"")</f>
        <v/>
      </c>
      <c r="H225" s="1" t="str">
        <f aca="false">IFERROR(VLOOKUP(A225,'company tracker'!$a:$s,MATCH("Jun 2026 Referring Domains",'company tracker'!$1:$1,0),FALSE()),"")</f>
        <v/>
      </c>
    </row>
    <row r="226" customFormat="false" ht="15" hidden="false" customHeight="true" outlineLevel="0" collapsed="false">
      <c r="B226" s="1" t="str">
        <f aca="false">IFERROR(VLOOKUP(A226,'company tracker'!$a:$s,MATCH("Category",'company tracker'!$1:$1,0),FALSE()),"")</f>
        <v/>
      </c>
      <c r="C226" s="1" t="str">
        <f aca="false">IFERROR(VLOOKUP(A226,'Pass 1 Archive'!$A:$AD,MATCH("LinkedIn Employee Count",'Pass 1 Archive'!$1:$1,0),FALSE()),"")</f>
        <v/>
      </c>
      <c r="D226" s="1" t="str">
        <f aca="false">IFERROR(VLOOKUP(A226,'company tracker'!$a:$s,MATCH("Jan 2025 Traffic",'company tracker'!$1:$1,0),FALSE()),"")</f>
        <v/>
      </c>
      <c r="E226" s="1" t="str">
        <f aca="false">IFERROR(VLOOKUP(A226,'company tracker'!$a:$s,MATCH("Jun 2026 Traffic",'company tracker'!$1:$1,0),FALSE()),"")</f>
        <v/>
      </c>
      <c r="F226" s="1" t="str">
        <f aca="false">IFERROR(VLOOKUP(A226,'company tracker'!$a:$s,MATCH("Traffic % Change",'company tracker'!$1:$1,0),FALSE()),"")</f>
        <v/>
      </c>
      <c r="G226" s="1" t="str">
        <f aca="false">IFERROR(VLOOKUP(A226,'company tracker'!$a:$s,MATCH("Jan 2025 Referring Domains",'company tracker'!$1:$1,0),FALSE()),"")</f>
        <v/>
      </c>
      <c r="H226" s="1" t="str">
        <f aca="false">IFERROR(VLOOKUP(A226,'company tracker'!$a:$s,MATCH("Jun 2026 Referring Domains",'company tracker'!$1:$1,0),FALSE()),"")</f>
        <v/>
      </c>
    </row>
    <row r="227" customFormat="false" ht="15" hidden="false" customHeight="true" outlineLevel="0" collapsed="false">
      <c r="B227" s="1" t="str">
        <f aca="false">IFERROR(VLOOKUP(A227,'company tracker'!$a:$s,MATCH("Category",'company tracker'!$1:$1,0),FALSE()),"")</f>
        <v/>
      </c>
      <c r="C227" s="1" t="str">
        <f aca="false">IFERROR(VLOOKUP(A227,'Pass 1 Archive'!$A:$AD,MATCH("LinkedIn Employee Count",'Pass 1 Archive'!$1:$1,0),FALSE()),"")</f>
        <v/>
      </c>
      <c r="D227" s="1" t="str">
        <f aca="false">IFERROR(VLOOKUP(A227,'company tracker'!$a:$s,MATCH("Jan 2025 Traffic",'company tracker'!$1:$1,0),FALSE()),"")</f>
        <v/>
      </c>
      <c r="E227" s="1" t="str">
        <f aca="false">IFERROR(VLOOKUP(A227,'company tracker'!$a:$s,MATCH("Jun 2026 Traffic",'company tracker'!$1:$1,0),FALSE()),"")</f>
        <v/>
      </c>
      <c r="F227" s="1" t="str">
        <f aca="false">IFERROR(VLOOKUP(A227,'company tracker'!$a:$s,MATCH("Traffic % Change",'company tracker'!$1:$1,0),FALSE()),"")</f>
        <v/>
      </c>
      <c r="G227" s="1" t="str">
        <f aca="false">IFERROR(VLOOKUP(A227,'company tracker'!$a:$s,MATCH("Jan 2025 Referring Domains",'company tracker'!$1:$1,0),FALSE()),"")</f>
        <v/>
      </c>
      <c r="H227" s="1" t="str">
        <f aca="false">IFERROR(VLOOKUP(A227,'company tracker'!$a:$s,MATCH("Jun 2026 Referring Domains",'company tracker'!$1:$1,0),FALSE()),"")</f>
        <v/>
      </c>
    </row>
    <row r="228" customFormat="false" ht="15" hidden="false" customHeight="true" outlineLevel="0" collapsed="false">
      <c r="B228" s="1" t="str">
        <f aca="false">IFERROR(VLOOKUP(A228,'company tracker'!$a:$s,MATCH("Category",'company tracker'!$1:$1,0),FALSE()),"")</f>
        <v/>
      </c>
      <c r="C228" s="1" t="str">
        <f aca="false">IFERROR(VLOOKUP(A228,'Pass 1 Archive'!$A:$AD,MATCH("LinkedIn Employee Count",'Pass 1 Archive'!$1:$1,0),FALSE()),"")</f>
        <v/>
      </c>
      <c r="D228" s="1" t="str">
        <f aca="false">IFERROR(VLOOKUP(A228,'company tracker'!$a:$s,MATCH("Jan 2025 Traffic",'company tracker'!$1:$1,0),FALSE()),"")</f>
        <v/>
      </c>
      <c r="E228" s="1" t="str">
        <f aca="false">IFERROR(VLOOKUP(A228,'company tracker'!$a:$s,MATCH("Jun 2026 Traffic",'company tracker'!$1:$1,0),FALSE()),"")</f>
        <v/>
      </c>
      <c r="F228" s="1" t="str">
        <f aca="false">IFERROR(VLOOKUP(A228,'company tracker'!$a:$s,MATCH("Traffic % Change",'company tracker'!$1:$1,0),FALSE()),"")</f>
        <v/>
      </c>
      <c r="G228" s="1" t="str">
        <f aca="false">IFERROR(VLOOKUP(A228,'company tracker'!$a:$s,MATCH("Jan 2025 Referring Domains",'company tracker'!$1:$1,0),FALSE()),"")</f>
        <v/>
      </c>
      <c r="H228" s="1" t="str">
        <f aca="false">IFERROR(VLOOKUP(A228,'company tracker'!$a:$s,MATCH("Jun 2026 Referring Domains",'company tracker'!$1:$1,0),FALSE()),"")</f>
        <v/>
      </c>
    </row>
    <row r="229" customFormat="false" ht="15" hidden="false" customHeight="true" outlineLevel="0" collapsed="false">
      <c r="B229" s="1" t="str">
        <f aca="false">IFERROR(VLOOKUP(A229,'company tracker'!$a:$s,MATCH("Category",'company tracker'!$1:$1,0),FALSE()),"")</f>
        <v/>
      </c>
      <c r="C229" s="1" t="str">
        <f aca="false">IFERROR(VLOOKUP(A229,'Pass 1 Archive'!$A:$AD,MATCH("LinkedIn Employee Count",'Pass 1 Archive'!$1:$1,0),FALSE()),"")</f>
        <v/>
      </c>
      <c r="D229" s="1" t="str">
        <f aca="false">IFERROR(VLOOKUP(A229,'company tracker'!$a:$s,MATCH("Jan 2025 Traffic",'company tracker'!$1:$1,0),FALSE()),"")</f>
        <v/>
      </c>
      <c r="E229" s="1" t="str">
        <f aca="false">IFERROR(VLOOKUP(A229,'company tracker'!$a:$s,MATCH("Jun 2026 Traffic",'company tracker'!$1:$1,0),FALSE()),"")</f>
        <v/>
      </c>
      <c r="F229" s="1" t="str">
        <f aca="false">IFERROR(VLOOKUP(A229,'company tracker'!$a:$s,MATCH("Traffic % Change",'company tracker'!$1:$1,0),FALSE()),"")</f>
        <v/>
      </c>
      <c r="G229" s="1" t="str">
        <f aca="false">IFERROR(VLOOKUP(A229,'company tracker'!$a:$s,MATCH("Jan 2025 Referring Domains",'company tracker'!$1:$1,0),FALSE()),"")</f>
        <v/>
      </c>
      <c r="H229" s="1" t="str">
        <f aca="false">IFERROR(VLOOKUP(A229,'company tracker'!$a:$s,MATCH("Jun 2026 Referring Domains",'company tracker'!$1:$1,0),FALSE()),"")</f>
        <v/>
      </c>
    </row>
    <row r="230" customFormat="false" ht="15" hidden="false" customHeight="true" outlineLevel="0" collapsed="false">
      <c r="B230" s="1" t="str">
        <f aca="false">IFERROR(VLOOKUP(A230,'company tracker'!$a:$s,MATCH("Category",'company tracker'!$1:$1,0),FALSE()),"")</f>
        <v/>
      </c>
      <c r="C230" s="1" t="str">
        <f aca="false">IFERROR(VLOOKUP(A230,'Pass 1 Archive'!$A:$AD,MATCH("LinkedIn Employee Count",'Pass 1 Archive'!$1:$1,0),FALSE()),"")</f>
        <v/>
      </c>
      <c r="D230" s="1" t="str">
        <f aca="false">IFERROR(VLOOKUP(A230,'company tracker'!$a:$s,MATCH("Jan 2025 Traffic",'company tracker'!$1:$1,0),FALSE()),"")</f>
        <v/>
      </c>
      <c r="E230" s="1" t="str">
        <f aca="false">IFERROR(VLOOKUP(A230,'company tracker'!$a:$s,MATCH("Jun 2026 Traffic",'company tracker'!$1:$1,0),FALSE()),"")</f>
        <v/>
      </c>
      <c r="F230" s="1" t="str">
        <f aca="false">IFERROR(VLOOKUP(A230,'company tracker'!$a:$s,MATCH("Traffic % Change",'company tracker'!$1:$1,0),FALSE()),"")</f>
        <v/>
      </c>
      <c r="G230" s="1" t="str">
        <f aca="false">IFERROR(VLOOKUP(A230,'company tracker'!$a:$s,MATCH("Jan 2025 Referring Domains",'company tracker'!$1:$1,0),FALSE()),"")</f>
        <v/>
      </c>
      <c r="H230" s="1" t="str">
        <f aca="false">IFERROR(VLOOKUP(A230,'company tracker'!$a:$s,MATCH("Jun 2026 Referring Domains",'company tracker'!$1:$1,0),FALSE()),"")</f>
        <v/>
      </c>
    </row>
    <row r="231" customFormat="false" ht="15" hidden="false" customHeight="true" outlineLevel="0" collapsed="false">
      <c r="B231" s="1" t="str">
        <f aca="false">IFERROR(VLOOKUP(A231,'company tracker'!$a:$s,MATCH("Category",'company tracker'!$1:$1,0),FALSE()),"")</f>
        <v/>
      </c>
      <c r="C231" s="1" t="str">
        <f aca="false">IFERROR(VLOOKUP(A231,'Pass 1 Archive'!$A:$AD,MATCH("LinkedIn Employee Count",'Pass 1 Archive'!$1:$1,0),FALSE()),"")</f>
        <v/>
      </c>
      <c r="D231" s="1" t="str">
        <f aca="false">IFERROR(VLOOKUP(A231,'company tracker'!$a:$s,MATCH("Jan 2025 Traffic",'company tracker'!$1:$1,0),FALSE()),"")</f>
        <v/>
      </c>
      <c r="E231" s="1" t="str">
        <f aca="false">IFERROR(VLOOKUP(A231,'company tracker'!$a:$s,MATCH("Jun 2026 Traffic",'company tracker'!$1:$1,0),FALSE()),"")</f>
        <v/>
      </c>
      <c r="F231" s="1" t="str">
        <f aca="false">IFERROR(VLOOKUP(A231,'company tracker'!$a:$s,MATCH("Traffic % Change",'company tracker'!$1:$1,0),FALSE()),"")</f>
        <v/>
      </c>
      <c r="G231" s="1" t="str">
        <f aca="false">IFERROR(VLOOKUP(A231,'company tracker'!$a:$s,MATCH("Jan 2025 Referring Domains",'company tracker'!$1:$1,0),FALSE()),"")</f>
        <v/>
      </c>
      <c r="H231" s="1" t="str">
        <f aca="false">IFERROR(VLOOKUP(A231,'company tracker'!$a:$s,MATCH("Jun 2026 Referring Domains",'company tracker'!$1:$1,0),FALSE()),"")</f>
        <v/>
      </c>
    </row>
    <row r="232" customFormat="false" ht="15" hidden="false" customHeight="true" outlineLevel="0" collapsed="false">
      <c r="B232" s="1" t="str">
        <f aca="false">IFERROR(VLOOKUP(A232,'company tracker'!$a:$s,MATCH("Category",'company tracker'!$1:$1,0),FALSE()),"")</f>
        <v/>
      </c>
      <c r="C232" s="1" t="str">
        <f aca="false">IFERROR(VLOOKUP(A232,'Pass 1 Archive'!$A:$AD,MATCH("LinkedIn Employee Count",'Pass 1 Archive'!$1:$1,0),FALSE()),"")</f>
        <v/>
      </c>
      <c r="D232" s="1" t="str">
        <f aca="false">IFERROR(VLOOKUP(A232,'company tracker'!$a:$s,MATCH("Jan 2025 Traffic",'company tracker'!$1:$1,0),FALSE()),"")</f>
        <v/>
      </c>
      <c r="E232" s="1" t="str">
        <f aca="false">IFERROR(VLOOKUP(A232,'company tracker'!$a:$s,MATCH("Jun 2026 Traffic",'company tracker'!$1:$1,0),FALSE()),"")</f>
        <v/>
      </c>
      <c r="F232" s="1" t="str">
        <f aca="false">IFERROR(VLOOKUP(A232,'company tracker'!$a:$s,MATCH("Traffic % Change",'company tracker'!$1:$1,0),FALSE()),"")</f>
        <v/>
      </c>
      <c r="G232" s="1" t="str">
        <f aca="false">IFERROR(VLOOKUP(A232,'company tracker'!$a:$s,MATCH("Jan 2025 Referring Domains",'company tracker'!$1:$1,0),FALSE()),"")</f>
        <v/>
      </c>
      <c r="H232" s="1" t="str">
        <f aca="false">IFERROR(VLOOKUP(A232,'company tracker'!$a:$s,MATCH("Jun 2026 Referring Domains",'company tracker'!$1:$1,0),FALSE()),"")</f>
        <v/>
      </c>
    </row>
    <row r="233" customFormat="false" ht="15" hidden="false" customHeight="true" outlineLevel="0" collapsed="false">
      <c r="B233" s="1" t="str">
        <f aca="false">IFERROR(VLOOKUP(A233,'company tracker'!$a:$s,MATCH("Category",'company tracker'!$1:$1,0),FALSE()),"")</f>
        <v/>
      </c>
      <c r="C233" s="1" t="str">
        <f aca="false">IFERROR(VLOOKUP(A233,'Pass 1 Archive'!$A:$AD,MATCH("LinkedIn Employee Count",'Pass 1 Archive'!$1:$1,0),FALSE()),"")</f>
        <v/>
      </c>
      <c r="D233" s="1" t="str">
        <f aca="false">IFERROR(VLOOKUP(A233,'company tracker'!$a:$s,MATCH("Jan 2025 Traffic",'company tracker'!$1:$1,0),FALSE()),"")</f>
        <v/>
      </c>
      <c r="E233" s="1" t="str">
        <f aca="false">IFERROR(VLOOKUP(A233,'company tracker'!$a:$s,MATCH("Jun 2026 Traffic",'company tracker'!$1:$1,0),FALSE()),"")</f>
        <v/>
      </c>
      <c r="F233" s="1" t="str">
        <f aca="false">IFERROR(VLOOKUP(A233,'company tracker'!$a:$s,MATCH("Traffic % Change",'company tracker'!$1:$1,0),FALSE()),"")</f>
        <v/>
      </c>
      <c r="G233" s="1" t="str">
        <f aca="false">IFERROR(VLOOKUP(A233,'company tracker'!$a:$s,MATCH("Jan 2025 Referring Domains",'company tracker'!$1:$1,0),FALSE()),"")</f>
        <v/>
      </c>
      <c r="H233" s="1" t="str">
        <f aca="false">IFERROR(VLOOKUP(A233,'company tracker'!$a:$s,MATCH("Jun 2026 Referring Domains",'company tracker'!$1:$1,0),FALSE()),"")</f>
        <v/>
      </c>
    </row>
    <row r="234" customFormat="false" ht="15" hidden="false" customHeight="true" outlineLevel="0" collapsed="false">
      <c r="B234" s="1" t="str">
        <f aca="false">IFERROR(VLOOKUP(A234,'company tracker'!$a:$s,MATCH("Category",'company tracker'!$1:$1,0),FALSE()),"")</f>
        <v/>
      </c>
      <c r="C234" s="1" t="str">
        <f aca="false">IFERROR(VLOOKUP(A234,'Pass 1 Archive'!$A:$AD,MATCH("LinkedIn Employee Count",'Pass 1 Archive'!$1:$1,0),FALSE()),"")</f>
        <v/>
      </c>
      <c r="D234" s="1" t="str">
        <f aca="false">IFERROR(VLOOKUP(A234,'company tracker'!$a:$s,MATCH("Jan 2025 Traffic",'company tracker'!$1:$1,0),FALSE()),"")</f>
        <v/>
      </c>
      <c r="E234" s="1" t="str">
        <f aca="false">IFERROR(VLOOKUP(A234,'company tracker'!$a:$s,MATCH("Jun 2026 Traffic",'company tracker'!$1:$1,0),FALSE()),"")</f>
        <v/>
      </c>
      <c r="F234" s="1" t="str">
        <f aca="false">IFERROR(VLOOKUP(A234,'company tracker'!$a:$s,MATCH("Traffic % Change",'company tracker'!$1:$1,0),FALSE()),"")</f>
        <v/>
      </c>
      <c r="G234" s="1" t="str">
        <f aca="false">IFERROR(VLOOKUP(A234,'company tracker'!$a:$s,MATCH("Jan 2025 Referring Domains",'company tracker'!$1:$1,0),FALSE()),"")</f>
        <v/>
      </c>
      <c r="H234" s="1" t="str">
        <f aca="false">IFERROR(VLOOKUP(A234,'company tracker'!$a:$s,MATCH("Jun 2026 Referring Domains",'company tracker'!$1:$1,0),FALSE()),"")</f>
        <v/>
      </c>
    </row>
    <row r="235" customFormat="false" ht="15" hidden="false" customHeight="true" outlineLevel="0" collapsed="false">
      <c r="B235" s="1" t="str">
        <f aca="false">IFERROR(VLOOKUP(A235,'company tracker'!$a:$s,MATCH("Category",'company tracker'!$1:$1,0),FALSE()),"")</f>
        <v/>
      </c>
      <c r="C235" s="1" t="str">
        <f aca="false">IFERROR(VLOOKUP(A235,'Pass 1 Archive'!$A:$AD,MATCH("LinkedIn Employee Count",'Pass 1 Archive'!$1:$1,0),FALSE()),"")</f>
        <v/>
      </c>
      <c r="D235" s="1" t="str">
        <f aca="false">IFERROR(VLOOKUP(A235,'company tracker'!$a:$s,MATCH("Jan 2025 Traffic",'company tracker'!$1:$1,0),FALSE()),"")</f>
        <v/>
      </c>
      <c r="E235" s="1" t="str">
        <f aca="false">IFERROR(VLOOKUP(A235,'company tracker'!$a:$s,MATCH("Jun 2026 Traffic",'company tracker'!$1:$1,0),FALSE()),"")</f>
        <v/>
      </c>
      <c r="F235" s="1" t="str">
        <f aca="false">IFERROR(VLOOKUP(A235,'company tracker'!$a:$s,MATCH("Traffic % Change",'company tracker'!$1:$1,0),FALSE()),"")</f>
        <v/>
      </c>
      <c r="G235" s="1" t="str">
        <f aca="false">IFERROR(VLOOKUP(A235,'company tracker'!$a:$s,MATCH("Jan 2025 Referring Domains",'company tracker'!$1:$1,0),FALSE()),"")</f>
        <v/>
      </c>
      <c r="H235" s="1" t="str">
        <f aca="false">IFERROR(VLOOKUP(A235,'company tracker'!$a:$s,MATCH("Jun 2026 Referring Domains",'company tracker'!$1:$1,0),FALSE()),"")</f>
        <v/>
      </c>
    </row>
    <row r="236" customFormat="false" ht="15" hidden="false" customHeight="true" outlineLevel="0" collapsed="false">
      <c r="B236" s="1" t="str">
        <f aca="false">IFERROR(VLOOKUP(A236,'company tracker'!$a:$s,MATCH("Category",'company tracker'!$1:$1,0),FALSE()),"")</f>
        <v/>
      </c>
      <c r="C236" s="1" t="str">
        <f aca="false">IFERROR(VLOOKUP(A236,'Pass 1 Archive'!$A:$AD,MATCH("LinkedIn Employee Count",'Pass 1 Archive'!$1:$1,0),FALSE()),"")</f>
        <v/>
      </c>
      <c r="D236" s="1" t="str">
        <f aca="false">IFERROR(VLOOKUP(A236,'company tracker'!$a:$s,MATCH("Jan 2025 Traffic",'company tracker'!$1:$1,0),FALSE()),"")</f>
        <v/>
      </c>
      <c r="E236" s="1" t="str">
        <f aca="false">IFERROR(VLOOKUP(A236,'company tracker'!$a:$s,MATCH("Jun 2026 Traffic",'company tracker'!$1:$1,0),FALSE()),"")</f>
        <v/>
      </c>
      <c r="F236" s="1" t="str">
        <f aca="false">IFERROR(VLOOKUP(A236,'company tracker'!$a:$s,MATCH("Traffic % Change",'company tracker'!$1:$1,0),FALSE()),"")</f>
        <v/>
      </c>
      <c r="G236" s="1" t="str">
        <f aca="false">IFERROR(VLOOKUP(A236,'company tracker'!$a:$s,MATCH("Jan 2025 Referring Domains",'company tracker'!$1:$1,0),FALSE()),"")</f>
        <v/>
      </c>
      <c r="H236" s="1" t="str">
        <f aca="false">IFERROR(VLOOKUP(A236,'company tracker'!$a:$s,MATCH("Jun 2026 Referring Domains",'company tracker'!$1:$1,0),FALSE()),"")</f>
        <v/>
      </c>
    </row>
    <row r="237" customFormat="false" ht="15" hidden="false" customHeight="true" outlineLevel="0" collapsed="false">
      <c r="B237" s="1" t="str">
        <f aca="false">IFERROR(VLOOKUP(A237,'company tracker'!$a:$s,MATCH("Category",'company tracker'!$1:$1,0),FALSE()),"")</f>
        <v/>
      </c>
      <c r="C237" s="1" t="str">
        <f aca="false">IFERROR(VLOOKUP(A237,'Pass 1 Archive'!$A:$AD,MATCH("LinkedIn Employee Count",'Pass 1 Archive'!$1:$1,0),FALSE()),"")</f>
        <v/>
      </c>
      <c r="D237" s="1" t="str">
        <f aca="false">IFERROR(VLOOKUP(A237,'company tracker'!$a:$s,MATCH("Jan 2025 Traffic",'company tracker'!$1:$1,0),FALSE()),"")</f>
        <v/>
      </c>
      <c r="E237" s="1" t="str">
        <f aca="false">IFERROR(VLOOKUP(A237,'company tracker'!$a:$s,MATCH("Jun 2026 Traffic",'company tracker'!$1:$1,0),FALSE()),"")</f>
        <v/>
      </c>
      <c r="F237" s="1" t="str">
        <f aca="false">IFERROR(VLOOKUP(A237,'company tracker'!$a:$s,MATCH("Traffic % Change",'company tracker'!$1:$1,0),FALSE()),"")</f>
        <v/>
      </c>
      <c r="G237" s="1" t="str">
        <f aca="false">IFERROR(VLOOKUP(A237,'company tracker'!$a:$s,MATCH("Jan 2025 Referring Domains",'company tracker'!$1:$1,0),FALSE()),"")</f>
        <v/>
      </c>
      <c r="H237" s="1" t="str">
        <f aca="false">IFERROR(VLOOKUP(A237,'company tracker'!$a:$s,MATCH("Jun 2026 Referring Domains",'company tracker'!$1:$1,0),FALSE()),"")</f>
        <v/>
      </c>
    </row>
    <row r="238" customFormat="false" ht="15" hidden="false" customHeight="true" outlineLevel="0" collapsed="false">
      <c r="B238" s="1" t="str">
        <f aca="false">IFERROR(VLOOKUP(A238,'company tracker'!$a:$s,MATCH("Category",'company tracker'!$1:$1,0),FALSE()),"")</f>
        <v/>
      </c>
      <c r="C238" s="1" t="str">
        <f aca="false">IFERROR(VLOOKUP(A238,'Pass 1 Archive'!$A:$AD,MATCH("LinkedIn Employee Count",'Pass 1 Archive'!$1:$1,0),FALSE()),"")</f>
        <v/>
      </c>
      <c r="D238" s="1" t="str">
        <f aca="false">IFERROR(VLOOKUP(A238,'company tracker'!$a:$s,MATCH("Jan 2025 Traffic",'company tracker'!$1:$1,0),FALSE()),"")</f>
        <v/>
      </c>
      <c r="E238" s="1" t="str">
        <f aca="false">IFERROR(VLOOKUP(A238,'company tracker'!$a:$s,MATCH("Jun 2026 Traffic",'company tracker'!$1:$1,0),FALSE()),"")</f>
        <v/>
      </c>
      <c r="F238" s="1" t="str">
        <f aca="false">IFERROR(VLOOKUP(A238,'company tracker'!$a:$s,MATCH("Traffic % Change",'company tracker'!$1:$1,0),FALSE()),"")</f>
        <v/>
      </c>
      <c r="G238" s="1" t="str">
        <f aca="false">IFERROR(VLOOKUP(A238,'company tracker'!$a:$s,MATCH("Jan 2025 Referring Domains",'company tracker'!$1:$1,0),FALSE()),"")</f>
        <v/>
      </c>
      <c r="H238" s="1" t="str">
        <f aca="false">IFERROR(VLOOKUP(A238,'company tracker'!$a:$s,MATCH("Jun 2026 Referring Domains",'company tracker'!$1:$1,0),FALSE()),"")</f>
        <v/>
      </c>
    </row>
    <row r="239" customFormat="false" ht="15" hidden="false" customHeight="true" outlineLevel="0" collapsed="false">
      <c r="B239" s="1" t="str">
        <f aca="false">IFERROR(VLOOKUP(A239,'company tracker'!$a:$s,MATCH("Category",'company tracker'!$1:$1,0),FALSE()),"")</f>
        <v/>
      </c>
      <c r="C239" s="1" t="str">
        <f aca="false">IFERROR(VLOOKUP(A239,'Pass 1 Archive'!$A:$AD,MATCH("LinkedIn Employee Count",'Pass 1 Archive'!$1:$1,0),FALSE()),"")</f>
        <v/>
      </c>
      <c r="D239" s="1" t="str">
        <f aca="false">IFERROR(VLOOKUP(A239,'company tracker'!$a:$s,MATCH("Jan 2025 Traffic",'company tracker'!$1:$1,0),FALSE()),"")</f>
        <v/>
      </c>
      <c r="E239" s="1" t="str">
        <f aca="false">IFERROR(VLOOKUP(A239,'company tracker'!$a:$s,MATCH("Jun 2026 Traffic",'company tracker'!$1:$1,0),FALSE()),"")</f>
        <v/>
      </c>
      <c r="F239" s="1" t="str">
        <f aca="false">IFERROR(VLOOKUP(A239,'company tracker'!$a:$s,MATCH("Traffic % Change",'company tracker'!$1:$1,0),FALSE()),"")</f>
        <v/>
      </c>
      <c r="G239" s="1" t="str">
        <f aca="false">IFERROR(VLOOKUP(A239,'company tracker'!$a:$s,MATCH("Jan 2025 Referring Domains",'company tracker'!$1:$1,0),FALSE()),"")</f>
        <v/>
      </c>
      <c r="H239" s="1" t="str">
        <f aca="false">IFERROR(VLOOKUP(A239,'company tracker'!$a:$s,MATCH("Jun 2026 Referring Domains",'company tracker'!$1:$1,0),FALSE()),"")</f>
        <v/>
      </c>
    </row>
    <row r="240" customFormat="false" ht="15" hidden="false" customHeight="true" outlineLevel="0" collapsed="false">
      <c r="B240" s="1" t="str">
        <f aca="false">IFERROR(VLOOKUP(A240,'company tracker'!$a:$s,MATCH("Category",'company tracker'!$1:$1,0),FALSE()),"")</f>
        <v/>
      </c>
      <c r="C240" s="1" t="str">
        <f aca="false">IFERROR(VLOOKUP(A240,'Pass 1 Archive'!$A:$AD,MATCH("LinkedIn Employee Count",'Pass 1 Archive'!$1:$1,0),FALSE()),"")</f>
        <v/>
      </c>
      <c r="D240" s="1" t="str">
        <f aca="false">IFERROR(VLOOKUP(A240,'company tracker'!$a:$s,MATCH("Jan 2025 Traffic",'company tracker'!$1:$1,0),FALSE()),"")</f>
        <v/>
      </c>
      <c r="E240" s="1" t="str">
        <f aca="false">IFERROR(VLOOKUP(A240,'company tracker'!$a:$s,MATCH("Jun 2026 Traffic",'company tracker'!$1:$1,0),FALSE()),"")</f>
        <v/>
      </c>
      <c r="F240" s="1" t="str">
        <f aca="false">IFERROR(VLOOKUP(A240,'company tracker'!$a:$s,MATCH("Traffic % Change",'company tracker'!$1:$1,0),FALSE()),"")</f>
        <v/>
      </c>
      <c r="G240" s="1" t="str">
        <f aca="false">IFERROR(VLOOKUP(A240,'company tracker'!$a:$s,MATCH("Jan 2025 Referring Domains",'company tracker'!$1:$1,0),FALSE()),"")</f>
        <v/>
      </c>
      <c r="H240" s="1" t="str">
        <f aca="false">IFERROR(VLOOKUP(A240,'company tracker'!$a:$s,MATCH("Jun 2026 Referring Domains",'company tracker'!$1:$1,0),FALSE()),"")</f>
        <v/>
      </c>
    </row>
    <row r="241" customFormat="false" ht="15" hidden="false" customHeight="true" outlineLevel="0" collapsed="false">
      <c r="B241" s="1" t="str">
        <f aca="false">IFERROR(VLOOKUP(A241,'company tracker'!$a:$s,MATCH("Category",'company tracker'!$1:$1,0),FALSE()),"")</f>
        <v/>
      </c>
      <c r="C241" s="1" t="str">
        <f aca="false">IFERROR(VLOOKUP(A241,'Pass 1 Archive'!$A:$AD,MATCH("LinkedIn Employee Count",'Pass 1 Archive'!$1:$1,0),FALSE()),"")</f>
        <v/>
      </c>
      <c r="D241" s="1" t="str">
        <f aca="false">IFERROR(VLOOKUP(A241,'company tracker'!$a:$s,MATCH("Jan 2025 Traffic",'company tracker'!$1:$1,0),FALSE()),"")</f>
        <v/>
      </c>
      <c r="E241" s="1" t="str">
        <f aca="false">IFERROR(VLOOKUP(A241,'company tracker'!$a:$s,MATCH("Jun 2026 Traffic",'company tracker'!$1:$1,0),FALSE()),"")</f>
        <v/>
      </c>
      <c r="F241" s="1" t="str">
        <f aca="false">IFERROR(VLOOKUP(A241,'company tracker'!$a:$s,MATCH("Traffic % Change",'company tracker'!$1:$1,0),FALSE()),"")</f>
        <v/>
      </c>
      <c r="G241" s="1" t="str">
        <f aca="false">IFERROR(VLOOKUP(A241,'company tracker'!$a:$s,MATCH("Jan 2025 Referring Domains",'company tracker'!$1:$1,0),FALSE()),"")</f>
        <v/>
      </c>
      <c r="H241" s="1" t="str">
        <f aca="false">IFERROR(VLOOKUP(A241,'company tracker'!$a:$s,MATCH("Jun 2026 Referring Domains",'company tracker'!$1:$1,0),FALSE()),"")</f>
        <v/>
      </c>
    </row>
    <row r="242" customFormat="false" ht="15" hidden="false" customHeight="true" outlineLevel="0" collapsed="false">
      <c r="B242" s="1" t="str">
        <f aca="false">IFERROR(VLOOKUP(A242,'company tracker'!$a:$s,MATCH("Category",'company tracker'!$1:$1,0),FALSE()),"")</f>
        <v/>
      </c>
      <c r="C242" s="1" t="str">
        <f aca="false">IFERROR(VLOOKUP(A242,'Pass 1 Archive'!$A:$AD,MATCH("LinkedIn Employee Count",'Pass 1 Archive'!$1:$1,0),FALSE()),"")</f>
        <v/>
      </c>
      <c r="D242" s="1" t="str">
        <f aca="false">IFERROR(VLOOKUP(A242,'company tracker'!$a:$s,MATCH("Jan 2025 Traffic",'company tracker'!$1:$1,0),FALSE()),"")</f>
        <v/>
      </c>
      <c r="E242" s="1" t="str">
        <f aca="false">IFERROR(VLOOKUP(A242,'company tracker'!$a:$s,MATCH("Jun 2026 Traffic",'company tracker'!$1:$1,0),FALSE()),"")</f>
        <v/>
      </c>
      <c r="F242" s="1" t="str">
        <f aca="false">IFERROR(VLOOKUP(A242,'company tracker'!$a:$s,MATCH("Traffic % Change",'company tracker'!$1:$1,0),FALSE()),"")</f>
        <v/>
      </c>
      <c r="G242" s="1" t="str">
        <f aca="false">IFERROR(VLOOKUP(A242,'company tracker'!$a:$s,MATCH("Jan 2025 Referring Domains",'company tracker'!$1:$1,0),FALSE()),"")</f>
        <v/>
      </c>
      <c r="H242" s="1" t="str">
        <f aca="false">IFERROR(VLOOKUP(A242,'company tracker'!$a:$s,MATCH("Jun 2026 Referring Domains",'company tracker'!$1:$1,0),FALSE()),"")</f>
        <v/>
      </c>
    </row>
    <row r="243" customFormat="false" ht="15" hidden="false" customHeight="true" outlineLevel="0" collapsed="false">
      <c r="B243" s="1" t="str">
        <f aca="false">IFERROR(VLOOKUP(A243,'company tracker'!$a:$s,MATCH("Category",'company tracker'!$1:$1,0),FALSE()),"")</f>
        <v/>
      </c>
      <c r="C243" s="1" t="str">
        <f aca="false">IFERROR(VLOOKUP(A243,'Pass 1 Archive'!$A:$AD,MATCH("LinkedIn Employee Count",'Pass 1 Archive'!$1:$1,0),FALSE()),"")</f>
        <v/>
      </c>
      <c r="D243" s="1" t="str">
        <f aca="false">IFERROR(VLOOKUP(A243,'company tracker'!$a:$s,MATCH("Jan 2025 Traffic",'company tracker'!$1:$1,0),FALSE()),"")</f>
        <v/>
      </c>
      <c r="E243" s="1" t="str">
        <f aca="false">IFERROR(VLOOKUP(A243,'company tracker'!$a:$s,MATCH("Jun 2026 Traffic",'company tracker'!$1:$1,0),FALSE()),"")</f>
        <v/>
      </c>
      <c r="F243" s="1" t="str">
        <f aca="false">IFERROR(VLOOKUP(A243,'company tracker'!$a:$s,MATCH("Traffic % Change",'company tracker'!$1:$1,0),FALSE()),"")</f>
        <v/>
      </c>
      <c r="G243" s="1" t="str">
        <f aca="false">IFERROR(VLOOKUP(A243,'company tracker'!$a:$s,MATCH("Jan 2025 Referring Domains",'company tracker'!$1:$1,0),FALSE()),"")</f>
        <v/>
      </c>
      <c r="H243" s="1" t="str">
        <f aca="false">IFERROR(VLOOKUP(A243,'company tracker'!$a:$s,MATCH("Jun 2026 Referring Domains",'company tracker'!$1:$1,0),FALSE()),"")</f>
        <v/>
      </c>
    </row>
    <row r="244" customFormat="false" ht="15" hidden="false" customHeight="true" outlineLevel="0" collapsed="false">
      <c r="B244" s="1" t="str">
        <f aca="false">IFERROR(VLOOKUP(A244,'company tracker'!$a:$s,MATCH("Category",'company tracker'!$1:$1,0),FALSE()),"")</f>
        <v/>
      </c>
      <c r="C244" s="1" t="str">
        <f aca="false">IFERROR(VLOOKUP(A244,'Pass 1 Archive'!$A:$AD,MATCH("LinkedIn Employee Count",'Pass 1 Archive'!$1:$1,0),FALSE()),"")</f>
        <v/>
      </c>
      <c r="D244" s="1" t="str">
        <f aca="false">IFERROR(VLOOKUP(A244,'company tracker'!$a:$s,MATCH("Jan 2025 Traffic",'company tracker'!$1:$1,0),FALSE()),"")</f>
        <v/>
      </c>
      <c r="E244" s="1" t="str">
        <f aca="false">IFERROR(VLOOKUP(A244,'company tracker'!$a:$s,MATCH("Jun 2026 Traffic",'company tracker'!$1:$1,0),FALSE()),"")</f>
        <v/>
      </c>
      <c r="F244" s="1" t="str">
        <f aca="false">IFERROR(VLOOKUP(A244,'company tracker'!$a:$s,MATCH("Traffic % Change",'company tracker'!$1:$1,0),FALSE()),"")</f>
        <v/>
      </c>
      <c r="G244" s="1" t="str">
        <f aca="false">IFERROR(VLOOKUP(A244,'company tracker'!$a:$s,MATCH("Jan 2025 Referring Domains",'company tracker'!$1:$1,0),FALSE()),"")</f>
        <v/>
      </c>
      <c r="H244" s="1" t="str">
        <f aca="false">IFERROR(VLOOKUP(A244,'company tracker'!$a:$s,MATCH("Jun 2026 Referring Domains",'company tracker'!$1:$1,0),FALSE()),"")</f>
        <v/>
      </c>
    </row>
    <row r="245" customFormat="false" ht="15" hidden="false" customHeight="true" outlineLevel="0" collapsed="false">
      <c r="B245" s="1" t="str">
        <f aca="false">IFERROR(VLOOKUP(A245,'company tracker'!$a:$s,MATCH("Category",'company tracker'!$1:$1,0),FALSE()),"")</f>
        <v/>
      </c>
      <c r="C245" s="1" t="str">
        <f aca="false">IFERROR(VLOOKUP(A245,'Pass 1 Archive'!$A:$AD,MATCH("LinkedIn Employee Count",'Pass 1 Archive'!$1:$1,0),FALSE()),"")</f>
        <v/>
      </c>
      <c r="D245" s="1" t="str">
        <f aca="false">IFERROR(VLOOKUP(A245,'company tracker'!$a:$s,MATCH("Jan 2025 Traffic",'company tracker'!$1:$1,0),FALSE()),"")</f>
        <v/>
      </c>
      <c r="E245" s="1" t="str">
        <f aca="false">IFERROR(VLOOKUP(A245,'company tracker'!$a:$s,MATCH("Jun 2026 Traffic",'company tracker'!$1:$1,0),FALSE()),"")</f>
        <v/>
      </c>
      <c r="F245" s="1" t="str">
        <f aca="false">IFERROR(VLOOKUP(A245,'company tracker'!$a:$s,MATCH("Traffic % Change",'company tracker'!$1:$1,0),FALSE()),"")</f>
        <v/>
      </c>
      <c r="G245" s="1" t="str">
        <f aca="false">IFERROR(VLOOKUP(A245,'company tracker'!$a:$s,MATCH("Jan 2025 Referring Domains",'company tracker'!$1:$1,0),FALSE()),"")</f>
        <v/>
      </c>
      <c r="H245" s="1" t="str">
        <f aca="false">IFERROR(VLOOKUP(A245,'company tracker'!$a:$s,MATCH("Jun 2026 Referring Domains",'company tracker'!$1:$1,0),FALSE()),"")</f>
        <v/>
      </c>
    </row>
    <row r="246" customFormat="false" ht="15" hidden="false" customHeight="true" outlineLevel="0" collapsed="false">
      <c r="B246" s="1" t="str">
        <f aca="false">IFERROR(VLOOKUP(A246,'company tracker'!$a:$s,MATCH("Category",'company tracker'!$1:$1,0),FALSE()),"")</f>
        <v/>
      </c>
      <c r="C246" s="1" t="str">
        <f aca="false">IFERROR(VLOOKUP(A246,'Pass 1 Archive'!$A:$AD,MATCH("LinkedIn Employee Count",'Pass 1 Archive'!$1:$1,0),FALSE()),"")</f>
        <v/>
      </c>
      <c r="D246" s="1" t="str">
        <f aca="false">IFERROR(VLOOKUP(A246,'company tracker'!$a:$s,MATCH("Jan 2025 Traffic",'company tracker'!$1:$1,0),FALSE()),"")</f>
        <v/>
      </c>
      <c r="E246" s="1" t="str">
        <f aca="false">IFERROR(VLOOKUP(A246,'company tracker'!$a:$s,MATCH("Jun 2026 Traffic",'company tracker'!$1:$1,0),FALSE()),"")</f>
        <v/>
      </c>
      <c r="F246" s="1" t="str">
        <f aca="false">IFERROR(VLOOKUP(A246,'company tracker'!$a:$s,MATCH("Traffic % Change",'company tracker'!$1:$1,0),FALSE()),"")</f>
        <v/>
      </c>
      <c r="G246" s="1" t="str">
        <f aca="false">IFERROR(VLOOKUP(A246,'company tracker'!$a:$s,MATCH("Jan 2025 Referring Domains",'company tracker'!$1:$1,0),FALSE()),"")</f>
        <v/>
      </c>
      <c r="H246" s="1" t="str">
        <f aca="false">IFERROR(VLOOKUP(A246,'company tracker'!$a:$s,MATCH("Jun 2026 Referring Domains",'company tracker'!$1:$1,0),FALSE()),"")</f>
        <v/>
      </c>
    </row>
    <row r="247" customFormat="false" ht="15" hidden="false" customHeight="true" outlineLevel="0" collapsed="false">
      <c r="B247" s="1" t="str">
        <f aca="false">IFERROR(VLOOKUP(A247,'company tracker'!$a:$s,MATCH("Category",'company tracker'!$1:$1,0),FALSE()),"")</f>
        <v/>
      </c>
      <c r="C247" s="1" t="str">
        <f aca="false">IFERROR(VLOOKUP(A247,'Pass 1 Archive'!$A:$AD,MATCH("LinkedIn Employee Count",'Pass 1 Archive'!$1:$1,0),FALSE()),"")</f>
        <v/>
      </c>
      <c r="D247" s="1" t="str">
        <f aca="false">IFERROR(VLOOKUP(A247,'company tracker'!$a:$s,MATCH("Jan 2025 Traffic",'company tracker'!$1:$1,0),FALSE()),"")</f>
        <v/>
      </c>
      <c r="E247" s="1" t="str">
        <f aca="false">IFERROR(VLOOKUP(A247,'company tracker'!$a:$s,MATCH("Jun 2026 Traffic",'company tracker'!$1:$1,0),FALSE()),"")</f>
        <v/>
      </c>
      <c r="F247" s="1" t="str">
        <f aca="false">IFERROR(VLOOKUP(A247,'company tracker'!$a:$s,MATCH("Traffic % Change",'company tracker'!$1:$1,0),FALSE()),"")</f>
        <v/>
      </c>
      <c r="G247" s="1" t="str">
        <f aca="false">IFERROR(VLOOKUP(A247,'company tracker'!$a:$s,MATCH("Jan 2025 Referring Domains",'company tracker'!$1:$1,0),FALSE()),"")</f>
        <v/>
      </c>
      <c r="H247" s="1" t="str">
        <f aca="false">IFERROR(VLOOKUP(A247,'company tracker'!$a:$s,MATCH("Jun 2026 Referring Domains",'company tracker'!$1:$1,0),FALSE()),"")</f>
        <v/>
      </c>
    </row>
    <row r="248" customFormat="false" ht="15" hidden="false" customHeight="true" outlineLevel="0" collapsed="false">
      <c r="B248" s="1" t="str">
        <f aca="false">IFERROR(VLOOKUP(A248,'company tracker'!$a:$s,MATCH("Category",'company tracker'!$1:$1,0),FALSE()),"")</f>
        <v/>
      </c>
      <c r="C248" s="1" t="str">
        <f aca="false">IFERROR(VLOOKUP(A248,'Pass 1 Archive'!$A:$AD,MATCH("LinkedIn Employee Count",'Pass 1 Archive'!$1:$1,0),FALSE()),"")</f>
        <v/>
      </c>
      <c r="D248" s="1" t="str">
        <f aca="false">IFERROR(VLOOKUP(A248,'company tracker'!$a:$s,MATCH("Jan 2025 Traffic",'company tracker'!$1:$1,0),FALSE()),"")</f>
        <v/>
      </c>
      <c r="E248" s="1" t="str">
        <f aca="false">IFERROR(VLOOKUP(A248,'company tracker'!$a:$s,MATCH("Jun 2026 Traffic",'company tracker'!$1:$1,0),FALSE()),"")</f>
        <v/>
      </c>
      <c r="F248" s="1" t="str">
        <f aca="false">IFERROR(VLOOKUP(A248,'company tracker'!$a:$s,MATCH("Traffic % Change",'company tracker'!$1:$1,0),FALSE()),"")</f>
        <v/>
      </c>
      <c r="G248" s="1" t="str">
        <f aca="false">IFERROR(VLOOKUP(A248,'company tracker'!$a:$s,MATCH("Jan 2025 Referring Domains",'company tracker'!$1:$1,0),FALSE()),"")</f>
        <v/>
      </c>
      <c r="H248" s="1" t="str">
        <f aca="false">IFERROR(VLOOKUP(A248,'company tracker'!$a:$s,MATCH("Jun 2026 Referring Domains",'company tracker'!$1:$1,0),FALSE()),"")</f>
        <v/>
      </c>
    </row>
    <row r="249" customFormat="false" ht="15" hidden="false" customHeight="true" outlineLevel="0" collapsed="false">
      <c r="B249" s="1" t="str">
        <f aca="false">IFERROR(VLOOKUP(A249,'company tracker'!$a:$s,MATCH("Category",'company tracker'!$1:$1,0),FALSE()),"")</f>
        <v/>
      </c>
      <c r="C249" s="1" t="str">
        <f aca="false">IFERROR(VLOOKUP(A249,'Pass 1 Archive'!$A:$AD,MATCH("LinkedIn Employee Count",'Pass 1 Archive'!$1:$1,0),FALSE()),"")</f>
        <v/>
      </c>
      <c r="D249" s="1" t="str">
        <f aca="false">IFERROR(VLOOKUP(A249,'company tracker'!$a:$s,MATCH("Jan 2025 Traffic",'company tracker'!$1:$1,0),FALSE()),"")</f>
        <v/>
      </c>
      <c r="E249" s="1" t="str">
        <f aca="false">IFERROR(VLOOKUP(A249,'company tracker'!$a:$s,MATCH("Jun 2026 Traffic",'company tracker'!$1:$1,0),FALSE()),"")</f>
        <v/>
      </c>
      <c r="F249" s="1" t="str">
        <f aca="false">IFERROR(VLOOKUP(A249,'company tracker'!$a:$s,MATCH("Traffic % Change",'company tracker'!$1:$1,0),FALSE()),"")</f>
        <v/>
      </c>
      <c r="G249" s="1" t="str">
        <f aca="false">IFERROR(VLOOKUP(A249,'company tracker'!$a:$s,MATCH("Jan 2025 Referring Domains",'company tracker'!$1:$1,0),FALSE()),"")</f>
        <v/>
      </c>
      <c r="H249" s="1" t="str">
        <f aca="false">IFERROR(VLOOKUP(A249,'company tracker'!$a:$s,MATCH("Jun 2026 Referring Domains",'company tracker'!$1:$1,0),FALSE()),"")</f>
        <v/>
      </c>
    </row>
    <row r="250" customFormat="false" ht="15" hidden="false" customHeight="true" outlineLevel="0" collapsed="false">
      <c r="B250" s="1" t="str">
        <f aca="false">IFERROR(VLOOKUP(A250,'company tracker'!$a:$s,MATCH("Category",'company tracker'!$1:$1,0),FALSE()),"")</f>
        <v/>
      </c>
      <c r="C250" s="1" t="str">
        <f aca="false">IFERROR(VLOOKUP(A250,'Pass 1 Archive'!$A:$AD,MATCH("LinkedIn Employee Count",'Pass 1 Archive'!$1:$1,0),FALSE()),"")</f>
        <v/>
      </c>
      <c r="D250" s="1" t="str">
        <f aca="false">IFERROR(VLOOKUP(A250,'company tracker'!$a:$s,MATCH("Jan 2025 Traffic",'company tracker'!$1:$1,0),FALSE()),"")</f>
        <v/>
      </c>
      <c r="E250" s="1" t="str">
        <f aca="false">IFERROR(VLOOKUP(A250,'company tracker'!$a:$s,MATCH("Jun 2026 Traffic",'company tracker'!$1:$1,0),FALSE()),"")</f>
        <v/>
      </c>
      <c r="F250" s="1" t="str">
        <f aca="false">IFERROR(VLOOKUP(A250,'company tracker'!$a:$s,MATCH("Traffic % Change",'company tracker'!$1:$1,0),FALSE()),"")</f>
        <v/>
      </c>
      <c r="G250" s="1" t="str">
        <f aca="false">IFERROR(VLOOKUP(A250,'company tracker'!$a:$s,MATCH("Jan 2025 Referring Domains",'company tracker'!$1:$1,0),FALSE()),"")</f>
        <v/>
      </c>
      <c r="H250" s="1" t="str">
        <f aca="false">IFERROR(VLOOKUP(A250,'company tracker'!$a:$s,MATCH("Jun 2026 Referring Domains",'company tracker'!$1:$1,0),FALSE()),"")</f>
        <v/>
      </c>
    </row>
    <row r="251" customFormat="false" ht="15" hidden="false" customHeight="true" outlineLevel="0" collapsed="false">
      <c r="B251" s="1" t="str">
        <f aca="false">IFERROR(VLOOKUP(A251,'company tracker'!$a:$s,MATCH("Category",'company tracker'!$1:$1,0),FALSE()),"")</f>
        <v/>
      </c>
      <c r="C251" s="1" t="str">
        <f aca="false">IFERROR(VLOOKUP(A251,'Pass 1 Archive'!$A:$AD,MATCH("LinkedIn Employee Count",'Pass 1 Archive'!$1:$1,0),FALSE()),"")</f>
        <v/>
      </c>
      <c r="D251" s="1" t="str">
        <f aca="false">IFERROR(VLOOKUP(A251,'company tracker'!$a:$s,MATCH("Jan 2025 Traffic",'company tracker'!$1:$1,0),FALSE()),"")</f>
        <v/>
      </c>
      <c r="E251" s="1" t="str">
        <f aca="false">IFERROR(VLOOKUP(A251,'company tracker'!$a:$s,MATCH("Jun 2026 Traffic",'company tracker'!$1:$1,0),FALSE()),"")</f>
        <v/>
      </c>
      <c r="F251" s="1" t="str">
        <f aca="false">IFERROR(VLOOKUP(A251,'company tracker'!$a:$s,MATCH("Traffic % Change",'company tracker'!$1:$1,0),FALSE()),"")</f>
        <v/>
      </c>
      <c r="G251" s="1" t="str">
        <f aca="false">IFERROR(VLOOKUP(A251,'company tracker'!$a:$s,MATCH("Jan 2025 Referring Domains",'company tracker'!$1:$1,0),FALSE()),"")</f>
        <v/>
      </c>
      <c r="H251" s="1" t="str">
        <f aca="false">IFERROR(VLOOKUP(A251,'company tracker'!$a:$s,MATCH("Jun 2026 Referring Domains",'company tracker'!$1:$1,0),FALSE()),"")</f>
        <v/>
      </c>
    </row>
    <row r="252" customFormat="false" ht="15" hidden="false" customHeight="true" outlineLevel="0" collapsed="false">
      <c r="B252" s="1" t="str">
        <f aca="false">IFERROR(VLOOKUP(A252,'company tracker'!$a:$s,MATCH("Category",'company tracker'!$1:$1,0),FALSE()),"")</f>
        <v/>
      </c>
      <c r="C252" s="1" t="str">
        <f aca="false">IFERROR(VLOOKUP(A252,'Pass 1 Archive'!$A:$AD,MATCH("LinkedIn Employee Count",'Pass 1 Archive'!$1:$1,0),FALSE()),"")</f>
        <v/>
      </c>
      <c r="D252" s="1" t="str">
        <f aca="false">IFERROR(VLOOKUP(A252,'company tracker'!$a:$s,MATCH("Jan 2025 Traffic",'company tracker'!$1:$1,0),FALSE()),"")</f>
        <v/>
      </c>
      <c r="E252" s="1" t="str">
        <f aca="false">IFERROR(VLOOKUP(A252,'company tracker'!$a:$s,MATCH("Jun 2026 Traffic",'company tracker'!$1:$1,0),FALSE()),"")</f>
        <v/>
      </c>
      <c r="F252" s="1" t="str">
        <f aca="false">IFERROR(VLOOKUP(A252,'company tracker'!$a:$s,MATCH("Traffic % Change",'company tracker'!$1:$1,0),FALSE()),"")</f>
        <v/>
      </c>
      <c r="G252" s="1" t="str">
        <f aca="false">IFERROR(VLOOKUP(A252,'company tracker'!$a:$s,MATCH("Jan 2025 Referring Domains",'company tracker'!$1:$1,0),FALSE()),"")</f>
        <v/>
      </c>
      <c r="H252" s="1" t="str">
        <f aca="false">IFERROR(VLOOKUP(A252,'company tracker'!$a:$s,MATCH("Jun 2026 Referring Domains",'company tracker'!$1:$1,0),FALSE()),"")</f>
        <v/>
      </c>
    </row>
    <row r="253" customFormat="false" ht="15" hidden="false" customHeight="true" outlineLevel="0" collapsed="false">
      <c r="B253" s="1" t="str">
        <f aca="false">IFERROR(VLOOKUP(A253,'company tracker'!$a:$s,MATCH("Category",'company tracker'!$1:$1,0),FALSE()),"")</f>
        <v/>
      </c>
      <c r="C253" s="1" t="str">
        <f aca="false">IFERROR(VLOOKUP(A253,'Pass 1 Archive'!$A:$AD,MATCH("LinkedIn Employee Count",'Pass 1 Archive'!$1:$1,0),FALSE()),"")</f>
        <v/>
      </c>
      <c r="D253" s="1" t="str">
        <f aca="false">IFERROR(VLOOKUP(A253,'company tracker'!$a:$s,MATCH("Jan 2025 Traffic",'company tracker'!$1:$1,0),FALSE()),"")</f>
        <v/>
      </c>
      <c r="E253" s="1" t="str">
        <f aca="false">IFERROR(VLOOKUP(A253,'company tracker'!$a:$s,MATCH("Jun 2026 Traffic",'company tracker'!$1:$1,0),FALSE()),"")</f>
        <v/>
      </c>
      <c r="F253" s="1" t="str">
        <f aca="false">IFERROR(VLOOKUP(A253,'company tracker'!$a:$s,MATCH("Traffic % Change",'company tracker'!$1:$1,0),FALSE()),"")</f>
        <v/>
      </c>
      <c r="G253" s="1" t="str">
        <f aca="false">IFERROR(VLOOKUP(A253,'company tracker'!$a:$s,MATCH("Jan 2025 Referring Domains",'company tracker'!$1:$1,0),FALSE()),"")</f>
        <v/>
      </c>
      <c r="H253" s="1" t="str">
        <f aca="false">IFERROR(VLOOKUP(A253,'company tracker'!$a:$s,MATCH("Jun 2026 Referring Domains",'company tracker'!$1:$1,0),FALSE()),"")</f>
        <v/>
      </c>
    </row>
    <row r="254" customFormat="false" ht="15" hidden="false" customHeight="true" outlineLevel="0" collapsed="false">
      <c r="B254" s="1" t="str">
        <f aca="false">IFERROR(VLOOKUP(A254,'company tracker'!$a:$s,MATCH("Category",'company tracker'!$1:$1,0),FALSE()),"")</f>
        <v/>
      </c>
      <c r="C254" s="1" t="str">
        <f aca="false">IFERROR(VLOOKUP(A254,'Pass 1 Archive'!$A:$AD,MATCH("LinkedIn Employee Count",'Pass 1 Archive'!$1:$1,0),FALSE()),"")</f>
        <v/>
      </c>
      <c r="D254" s="1" t="str">
        <f aca="false">IFERROR(VLOOKUP(A254,'company tracker'!$a:$s,MATCH("Jan 2025 Traffic",'company tracker'!$1:$1,0),FALSE()),"")</f>
        <v/>
      </c>
      <c r="E254" s="1" t="str">
        <f aca="false">IFERROR(VLOOKUP(A254,'company tracker'!$a:$s,MATCH("Jun 2026 Traffic",'company tracker'!$1:$1,0),FALSE()),"")</f>
        <v/>
      </c>
      <c r="F254" s="1" t="str">
        <f aca="false">IFERROR(VLOOKUP(A254,'company tracker'!$a:$s,MATCH("Traffic % Change",'company tracker'!$1:$1,0),FALSE()),"")</f>
        <v/>
      </c>
      <c r="G254" s="1" t="str">
        <f aca="false">IFERROR(VLOOKUP(A254,'company tracker'!$a:$s,MATCH("Jan 2025 Referring Domains",'company tracker'!$1:$1,0),FALSE()),"")</f>
        <v/>
      </c>
      <c r="H254" s="1" t="str">
        <f aca="false">IFERROR(VLOOKUP(A254,'company tracker'!$a:$s,MATCH("Jun 2026 Referring Domains",'company tracker'!$1:$1,0),FALSE()),"")</f>
        <v/>
      </c>
    </row>
    <row r="255" customFormat="false" ht="15" hidden="false" customHeight="true" outlineLevel="0" collapsed="false">
      <c r="B255" s="1" t="str">
        <f aca="false">IFERROR(VLOOKUP(A255,'company tracker'!$a:$s,MATCH("Category",'company tracker'!$1:$1,0),FALSE()),"")</f>
        <v/>
      </c>
      <c r="C255" s="1" t="str">
        <f aca="false">IFERROR(VLOOKUP(A255,'Pass 1 Archive'!$A:$AD,MATCH("LinkedIn Employee Count",'Pass 1 Archive'!$1:$1,0),FALSE()),"")</f>
        <v/>
      </c>
      <c r="D255" s="1" t="str">
        <f aca="false">IFERROR(VLOOKUP(A255,'company tracker'!$a:$s,MATCH("Jan 2025 Traffic",'company tracker'!$1:$1,0),FALSE()),"")</f>
        <v/>
      </c>
      <c r="E255" s="1" t="str">
        <f aca="false">IFERROR(VLOOKUP(A255,'company tracker'!$a:$s,MATCH("Jun 2026 Traffic",'company tracker'!$1:$1,0),FALSE()),"")</f>
        <v/>
      </c>
      <c r="F255" s="1" t="str">
        <f aca="false">IFERROR(VLOOKUP(A255,'company tracker'!$a:$s,MATCH("Traffic % Change",'company tracker'!$1:$1,0),FALSE()),"")</f>
        <v/>
      </c>
      <c r="G255" s="1" t="str">
        <f aca="false">IFERROR(VLOOKUP(A255,'company tracker'!$a:$s,MATCH("Jan 2025 Referring Domains",'company tracker'!$1:$1,0),FALSE()),"")</f>
        <v/>
      </c>
      <c r="H255" s="1" t="str">
        <f aca="false">IFERROR(VLOOKUP(A255,'company tracker'!$a:$s,MATCH("Jun 2026 Referring Domains",'company tracker'!$1:$1,0),FALSE()),"")</f>
        <v/>
      </c>
    </row>
    <row r="256" customFormat="false" ht="15" hidden="false" customHeight="true" outlineLevel="0" collapsed="false">
      <c r="B256" s="1" t="str">
        <f aca="false">IFERROR(VLOOKUP(A256,'company tracker'!$a:$s,MATCH("Category",'company tracker'!$1:$1,0),FALSE()),"")</f>
        <v/>
      </c>
      <c r="C256" s="1" t="str">
        <f aca="false">IFERROR(VLOOKUP(A256,'Pass 1 Archive'!$A:$AD,MATCH("LinkedIn Employee Count",'Pass 1 Archive'!$1:$1,0),FALSE()),"")</f>
        <v/>
      </c>
      <c r="D256" s="1" t="str">
        <f aca="false">IFERROR(VLOOKUP(A256,'company tracker'!$a:$s,MATCH("Jan 2025 Traffic",'company tracker'!$1:$1,0),FALSE()),"")</f>
        <v/>
      </c>
      <c r="E256" s="1" t="str">
        <f aca="false">IFERROR(VLOOKUP(A256,'company tracker'!$a:$s,MATCH("Jun 2026 Traffic",'company tracker'!$1:$1,0),FALSE()),"")</f>
        <v/>
      </c>
      <c r="F256" s="1" t="str">
        <f aca="false">IFERROR(VLOOKUP(A256,'company tracker'!$a:$s,MATCH("Traffic % Change",'company tracker'!$1:$1,0),FALSE()),"")</f>
        <v/>
      </c>
      <c r="G256" s="1" t="str">
        <f aca="false">IFERROR(VLOOKUP(A256,'company tracker'!$a:$s,MATCH("Jan 2025 Referring Domains",'company tracker'!$1:$1,0),FALSE()),"")</f>
        <v/>
      </c>
      <c r="H256" s="1" t="str">
        <f aca="false">IFERROR(VLOOKUP(A256,'company tracker'!$a:$s,MATCH("Jun 2026 Referring Domains",'company tracker'!$1:$1,0),FALSE()),"")</f>
        <v/>
      </c>
    </row>
    <row r="257" customFormat="false" ht="15" hidden="false" customHeight="true" outlineLevel="0" collapsed="false">
      <c r="B257" s="1" t="str">
        <f aca="false">IFERROR(VLOOKUP(A257,'company tracker'!$a:$s,MATCH("Category",'company tracker'!$1:$1,0),FALSE()),"")</f>
        <v/>
      </c>
      <c r="C257" s="1" t="str">
        <f aca="false">IFERROR(VLOOKUP(A257,'Pass 1 Archive'!$A:$AD,MATCH("LinkedIn Employee Count",'Pass 1 Archive'!$1:$1,0),FALSE()),"")</f>
        <v/>
      </c>
      <c r="D257" s="1" t="str">
        <f aca="false">IFERROR(VLOOKUP(A257,'company tracker'!$a:$s,MATCH("Jan 2025 Traffic",'company tracker'!$1:$1,0),FALSE()),"")</f>
        <v/>
      </c>
      <c r="E257" s="1" t="str">
        <f aca="false">IFERROR(VLOOKUP(A257,'company tracker'!$a:$s,MATCH("Jun 2026 Traffic",'company tracker'!$1:$1,0),FALSE()),"")</f>
        <v/>
      </c>
      <c r="F257" s="1" t="str">
        <f aca="false">IFERROR(VLOOKUP(A257,'company tracker'!$a:$s,MATCH("Traffic % Change",'company tracker'!$1:$1,0),FALSE()),"")</f>
        <v/>
      </c>
      <c r="G257" s="1" t="str">
        <f aca="false">IFERROR(VLOOKUP(A257,'company tracker'!$a:$s,MATCH("Jan 2025 Referring Domains",'company tracker'!$1:$1,0),FALSE()),"")</f>
        <v/>
      </c>
      <c r="H257" s="1" t="str">
        <f aca="false">IFERROR(VLOOKUP(A257,'company tracker'!$a:$s,MATCH("Jun 2026 Referring Domains",'company tracker'!$1:$1,0),FALSE()),"")</f>
        <v/>
      </c>
    </row>
    <row r="258" customFormat="false" ht="15" hidden="false" customHeight="true" outlineLevel="0" collapsed="false">
      <c r="B258" s="1" t="str">
        <f aca="false">IFERROR(VLOOKUP(A258,'company tracker'!$a:$s,MATCH("Category",'company tracker'!$1:$1,0),FALSE()),"")</f>
        <v/>
      </c>
      <c r="C258" s="1" t="str">
        <f aca="false">IFERROR(VLOOKUP(A258,'Pass 1 Archive'!$A:$AD,MATCH("LinkedIn Employee Count",'Pass 1 Archive'!$1:$1,0),FALSE()),"")</f>
        <v/>
      </c>
      <c r="D258" s="1" t="str">
        <f aca="false">IFERROR(VLOOKUP(A258,'company tracker'!$a:$s,MATCH("Jan 2025 Traffic",'company tracker'!$1:$1,0),FALSE()),"")</f>
        <v/>
      </c>
      <c r="E258" s="1" t="str">
        <f aca="false">IFERROR(VLOOKUP(A258,'company tracker'!$a:$s,MATCH("Jun 2026 Traffic",'company tracker'!$1:$1,0),FALSE()),"")</f>
        <v/>
      </c>
      <c r="F258" s="1" t="str">
        <f aca="false">IFERROR(VLOOKUP(A258,'company tracker'!$a:$s,MATCH("Traffic % Change",'company tracker'!$1:$1,0),FALSE()),"")</f>
        <v/>
      </c>
      <c r="G258" s="1" t="str">
        <f aca="false">IFERROR(VLOOKUP(A258,'company tracker'!$a:$s,MATCH("Jan 2025 Referring Domains",'company tracker'!$1:$1,0),FALSE()),"")</f>
        <v/>
      </c>
      <c r="H258" s="1" t="str">
        <f aca="false">IFERROR(VLOOKUP(A258,'company tracker'!$a:$s,MATCH("Jun 2026 Referring Domains",'company tracker'!$1:$1,0),FALSE()),"")</f>
        <v/>
      </c>
    </row>
    <row r="259" customFormat="false" ht="15" hidden="false" customHeight="true" outlineLevel="0" collapsed="false">
      <c r="B259" s="1" t="str">
        <f aca="false">IFERROR(VLOOKUP(A259,'company tracker'!$a:$s,MATCH("Category",'company tracker'!$1:$1,0),FALSE()),"")</f>
        <v/>
      </c>
      <c r="C259" s="1" t="str">
        <f aca="false">IFERROR(VLOOKUP(A259,'Pass 1 Archive'!$A:$AD,MATCH("LinkedIn Employee Count",'Pass 1 Archive'!$1:$1,0),FALSE()),"")</f>
        <v/>
      </c>
      <c r="D259" s="1" t="str">
        <f aca="false">IFERROR(VLOOKUP(A259,'company tracker'!$a:$s,MATCH("Jan 2025 Traffic",'company tracker'!$1:$1,0),FALSE()),"")</f>
        <v/>
      </c>
      <c r="E259" s="1" t="str">
        <f aca="false">IFERROR(VLOOKUP(A259,'company tracker'!$a:$s,MATCH("Jun 2026 Traffic",'company tracker'!$1:$1,0),FALSE()),"")</f>
        <v/>
      </c>
      <c r="F259" s="1" t="str">
        <f aca="false">IFERROR(VLOOKUP(A259,'company tracker'!$a:$s,MATCH("Traffic % Change",'company tracker'!$1:$1,0),FALSE()),"")</f>
        <v/>
      </c>
      <c r="G259" s="1" t="str">
        <f aca="false">IFERROR(VLOOKUP(A259,'company tracker'!$a:$s,MATCH("Jan 2025 Referring Domains",'company tracker'!$1:$1,0),FALSE()),"")</f>
        <v/>
      </c>
      <c r="H259" s="1" t="str">
        <f aca="false">IFERROR(VLOOKUP(A259,'company tracker'!$a:$s,MATCH("Jun 2026 Referring Domains",'company tracker'!$1:$1,0),FALSE()),"")</f>
        <v/>
      </c>
    </row>
    <row r="260" customFormat="false" ht="15" hidden="false" customHeight="true" outlineLevel="0" collapsed="false">
      <c r="B260" s="1" t="str">
        <f aca="false">IFERROR(VLOOKUP(A260,'company tracker'!$a:$s,MATCH("Category",'company tracker'!$1:$1,0),FALSE()),"")</f>
        <v/>
      </c>
      <c r="C260" s="1" t="str">
        <f aca="false">IFERROR(VLOOKUP(A260,'Pass 1 Archive'!$A:$AD,MATCH("LinkedIn Employee Count",'Pass 1 Archive'!$1:$1,0),FALSE()),"")</f>
        <v/>
      </c>
      <c r="D260" s="1" t="str">
        <f aca="false">IFERROR(VLOOKUP(A260,'company tracker'!$a:$s,MATCH("Jan 2025 Traffic",'company tracker'!$1:$1,0),FALSE()),"")</f>
        <v/>
      </c>
      <c r="E260" s="1" t="str">
        <f aca="false">IFERROR(VLOOKUP(A260,'company tracker'!$a:$s,MATCH("Jun 2026 Traffic",'company tracker'!$1:$1,0),FALSE()),"")</f>
        <v/>
      </c>
      <c r="F260" s="1" t="str">
        <f aca="false">IFERROR(VLOOKUP(A260,'company tracker'!$a:$s,MATCH("Traffic % Change",'company tracker'!$1:$1,0),FALSE()),"")</f>
        <v/>
      </c>
      <c r="G260" s="1" t="str">
        <f aca="false">IFERROR(VLOOKUP(A260,'company tracker'!$a:$s,MATCH("Jan 2025 Referring Domains",'company tracker'!$1:$1,0),FALSE()),"")</f>
        <v/>
      </c>
      <c r="H260" s="1" t="str">
        <f aca="false">IFERROR(VLOOKUP(A260,'company tracker'!$a:$s,MATCH("Jun 2026 Referring Domains",'company tracker'!$1:$1,0),FALSE()),"")</f>
        <v/>
      </c>
    </row>
    <row r="261" customFormat="false" ht="15" hidden="false" customHeight="true" outlineLevel="0" collapsed="false">
      <c r="B261" s="1" t="str">
        <f aca="false">IFERROR(VLOOKUP(A261,'company tracker'!$a:$s,MATCH("Category",'company tracker'!$1:$1,0),FALSE()),"")</f>
        <v/>
      </c>
      <c r="C261" s="1" t="str">
        <f aca="false">IFERROR(VLOOKUP(A261,'Pass 1 Archive'!$A:$AD,MATCH("LinkedIn Employee Count",'Pass 1 Archive'!$1:$1,0),FALSE()),"")</f>
        <v/>
      </c>
      <c r="D261" s="1" t="str">
        <f aca="false">IFERROR(VLOOKUP(A261,'company tracker'!$a:$s,MATCH("Jan 2025 Traffic",'company tracker'!$1:$1,0),FALSE()),"")</f>
        <v/>
      </c>
      <c r="E261" s="1" t="str">
        <f aca="false">IFERROR(VLOOKUP(A261,'company tracker'!$a:$s,MATCH("Jun 2026 Traffic",'company tracker'!$1:$1,0),FALSE()),"")</f>
        <v/>
      </c>
      <c r="F261" s="1" t="str">
        <f aca="false">IFERROR(VLOOKUP(A261,'company tracker'!$a:$s,MATCH("Traffic % Change",'company tracker'!$1:$1,0),FALSE()),"")</f>
        <v/>
      </c>
      <c r="G261" s="1" t="str">
        <f aca="false">IFERROR(VLOOKUP(A261,'company tracker'!$a:$s,MATCH("Jan 2025 Referring Domains",'company tracker'!$1:$1,0),FALSE()),"")</f>
        <v/>
      </c>
      <c r="H261" s="1" t="str">
        <f aca="false">IFERROR(VLOOKUP(A261,'company tracker'!$a:$s,MATCH("Jun 2026 Referring Domains",'company tracker'!$1:$1,0),FALSE()),"")</f>
        <v/>
      </c>
    </row>
    <row r="262" customFormat="false" ht="15" hidden="false" customHeight="true" outlineLevel="0" collapsed="false">
      <c r="B262" s="1" t="str">
        <f aca="false">IFERROR(VLOOKUP(A262,'company tracker'!$a:$s,MATCH("Category",'company tracker'!$1:$1,0),FALSE()),"")</f>
        <v/>
      </c>
      <c r="C262" s="1" t="str">
        <f aca="false">IFERROR(VLOOKUP(A262,'Pass 1 Archive'!$A:$AD,MATCH("LinkedIn Employee Count",'Pass 1 Archive'!$1:$1,0),FALSE()),"")</f>
        <v/>
      </c>
      <c r="D262" s="1" t="str">
        <f aca="false">IFERROR(VLOOKUP(A262,'company tracker'!$a:$s,MATCH("Jan 2025 Traffic",'company tracker'!$1:$1,0),FALSE()),"")</f>
        <v/>
      </c>
      <c r="E262" s="1" t="str">
        <f aca="false">IFERROR(VLOOKUP(A262,'company tracker'!$a:$s,MATCH("Jun 2026 Traffic",'company tracker'!$1:$1,0),FALSE()),"")</f>
        <v/>
      </c>
      <c r="F262" s="1" t="str">
        <f aca="false">IFERROR(VLOOKUP(A262,'company tracker'!$a:$s,MATCH("Traffic % Change",'company tracker'!$1:$1,0),FALSE()),"")</f>
        <v/>
      </c>
      <c r="G262" s="1" t="str">
        <f aca="false">IFERROR(VLOOKUP(A262,'company tracker'!$a:$s,MATCH("Jan 2025 Referring Domains",'company tracker'!$1:$1,0),FALSE()),"")</f>
        <v/>
      </c>
      <c r="H262" s="1" t="str">
        <f aca="false">IFERROR(VLOOKUP(A262,'company tracker'!$a:$s,MATCH("Jun 2026 Referring Domains",'company tracker'!$1:$1,0),FALSE()),"")</f>
        <v/>
      </c>
    </row>
    <row r="263" customFormat="false" ht="15" hidden="false" customHeight="true" outlineLevel="0" collapsed="false">
      <c r="B263" s="1" t="str">
        <f aca="false">IFERROR(VLOOKUP(A263,'company tracker'!$a:$s,MATCH("Category",'company tracker'!$1:$1,0),FALSE()),"")</f>
        <v/>
      </c>
      <c r="C263" s="1" t="str">
        <f aca="false">IFERROR(VLOOKUP(A263,'Pass 1 Archive'!$A:$AD,MATCH("LinkedIn Employee Count",'Pass 1 Archive'!$1:$1,0),FALSE()),"")</f>
        <v/>
      </c>
      <c r="D263" s="1" t="str">
        <f aca="false">IFERROR(VLOOKUP(A263,'company tracker'!$a:$s,MATCH("Jan 2025 Traffic",'company tracker'!$1:$1,0),FALSE()),"")</f>
        <v/>
      </c>
      <c r="E263" s="1" t="str">
        <f aca="false">IFERROR(VLOOKUP(A263,'company tracker'!$a:$s,MATCH("Jun 2026 Traffic",'company tracker'!$1:$1,0),FALSE()),"")</f>
        <v/>
      </c>
      <c r="F263" s="1" t="str">
        <f aca="false">IFERROR(VLOOKUP(A263,'company tracker'!$a:$s,MATCH("Traffic % Change",'company tracker'!$1:$1,0),FALSE()),"")</f>
        <v/>
      </c>
      <c r="G263" s="1" t="str">
        <f aca="false">IFERROR(VLOOKUP(A263,'company tracker'!$a:$s,MATCH("Jan 2025 Referring Domains",'company tracker'!$1:$1,0),FALSE()),"")</f>
        <v/>
      </c>
      <c r="H263" s="1" t="str">
        <f aca="false">IFERROR(VLOOKUP(A263,'company tracker'!$a:$s,MATCH("Jun 2026 Referring Domains",'company tracker'!$1:$1,0),FALSE()),"")</f>
        <v/>
      </c>
    </row>
    <row r="264" customFormat="false" ht="15" hidden="false" customHeight="true" outlineLevel="0" collapsed="false">
      <c r="B264" s="1" t="str">
        <f aca="false">IFERROR(VLOOKUP(A264,'company tracker'!$a:$s,MATCH("Category",'company tracker'!$1:$1,0),FALSE()),"")</f>
        <v/>
      </c>
      <c r="C264" s="1" t="str">
        <f aca="false">IFERROR(VLOOKUP(A264,'Pass 1 Archive'!$A:$AD,MATCH("LinkedIn Employee Count",'Pass 1 Archive'!$1:$1,0),FALSE()),"")</f>
        <v/>
      </c>
      <c r="D264" s="1" t="str">
        <f aca="false">IFERROR(VLOOKUP(A264,'company tracker'!$a:$s,MATCH("Jan 2025 Traffic",'company tracker'!$1:$1,0),FALSE()),"")</f>
        <v/>
      </c>
      <c r="E264" s="1" t="str">
        <f aca="false">IFERROR(VLOOKUP(A264,'company tracker'!$a:$s,MATCH("Jun 2026 Traffic",'company tracker'!$1:$1,0),FALSE()),"")</f>
        <v/>
      </c>
      <c r="F264" s="1" t="str">
        <f aca="false">IFERROR(VLOOKUP(A264,'company tracker'!$a:$s,MATCH("Traffic % Change",'company tracker'!$1:$1,0),FALSE()),"")</f>
        <v/>
      </c>
      <c r="G264" s="1" t="str">
        <f aca="false">IFERROR(VLOOKUP(A264,'company tracker'!$a:$s,MATCH("Jan 2025 Referring Domains",'company tracker'!$1:$1,0),FALSE()),"")</f>
        <v/>
      </c>
      <c r="H264" s="1" t="str">
        <f aca="false">IFERROR(VLOOKUP(A264,'company tracker'!$a:$s,MATCH("Jun 2026 Referring Domains",'company tracker'!$1:$1,0),FALSE()),"")</f>
        <v/>
      </c>
    </row>
    <row r="265" customFormat="false" ht="15" hidden="false" customHeight="true" outlineLevel="0" collapsed="false">
      <c r="B265" s="1" t="str">
        <f aca="false">IFERROR(VLOOKUP(A265,'company tracker'!$a:$s,MATCH("Category",'company tracker'!$1:$1,0),FALSE()),"")</f>
        <v/>
      </c>
      <c r="C265" s="1" t="str">
        <f aca="false">IFERROR(VLOOKUP(A265,'Pass 1 Archive'!$A:$AD,MATCH("LinkedIn Employee Count",'Pass 1 Archive'!$1:$1,0),FALSE()),"")</f>
        <v/>
      </c>
      <c r="D265" s="1" t="str">
        <f aca="false">IFERROR(VLOOKUP(A265,'company tracker'!$a:$s,MATCH("Jan 2025 Traffic",'company tracker'!$1:$1,0),FALSE()),"")</f>
        <v/>
      </c>
      <c r="E265" s="1" t="str">
        <f aca="false">IFERROR(VLOOKUP(A265,'company tracker'!$a:$s,MATCH("Jun 2026 Traffic",'company tracker'!$1:$1,0),FALSE()),"")</f>
        <v/>
      </c>
      <c r="F265" s="1" t="str">
        <f aca="false">IFERROR(VLOOKUP(A265,'company tracker'!$a:$s,MATCH("Traffic % Change",'company tracker'!$1:$1,0),FALSE()),"")</f>
        <v/>
      </c>
      <c r="G265" s="1" t="str">
        <f aca="false">IFERROR(VLOOKUP(A265,'company tracker'!$a:$s,MATCH("Jan 2025 Referring Domains",'company tracker'!$1:$1,0),FALSE()),"")</f>
        <v/>
      </c>
      <c r="H265" s="1" t="str">
        <f aca="false">IFERROR(VLOOKUP(A265,'company tracker'!$a:$s,MATCH("Jun 2026 Referring Domains",'company tracker'!$1:$1,0),FALSE()),"")</f>
        <v/>
      </c>
    </row>
    <row r="266" customFormat="false" ht="15" hidden="false" customHeight="true" outlineLevel="0" collapsed="false">
      <c r="B266" s="1" t="str">
        <f aca="false">IFERROR(VLOOKUP(A266,'company tracker'!$a:$s,MATCH("Category",'company tracker'!$1:$1,0),FALSE()),"")</f>
        <v/>
      </c>
      <c r="C266" s="1" t="str">
        <f aca="false">IFERROR(VLOOKUP(A266,'Pass 1 Archive'!$A:$AD,MATCH("LinkedIn Employee Count",'Pass 1 Archive'!$1:$1,0),FALSE()),"")</f>
        <v/>
      </c>
      <c r="D266" s="1" t="str">
        <f aca="false">IFERROR(VLOOKUP(A266,'company tracker'!$a:$s,MATCH("Jan 2025 Traffic",'company tracker'!$1:$1,0),FALSE()),"")</f>
        <v/>
      </c>
      <c r="E266" s="1" t="str">
        <f aca="false">IFERROR(VLOOKUP(A266,'company tracker'!$a:$s,MATCH("Jun 2026 Traffic",'company tracker'!$1:$1,0),FALSE()),"")</f>
        <v/>
      </c>
      <c r="F266" s="1" t="str">
        <f aca="false">IFERROR(VLOOKUP(A266,'company tracker'!$a:$s,MATCH("Traffic % Change",'company tracker'!$1:$1,0),FALSE()),"")</f>
        <v/>
      </c>
      <c r="G266" s="1" t="str">
        <f aca="false">IFERROR(VLOOKUP(A266,'company tracker'!$a:$s,MATCH("Jan 2025 Referring Domains",'company tracker'!$1:$1,0),FALSE()),"")</f>
        <v/>
      </c>
      <c r="H266" s="1" t="str">
        <f aca="false">IFERROR(VLOOKUP(A266,'company tracker'!$a:$s,MATCH("Jun 2026 Referring Domains",'company tracker'!$1:$1,0),FALSE()),"")</f>
        <v/>
      </c>
    </row>
    <row r="267" customFormat="false" ht="15" hidden="false" customHeight="true" outlineLevel="0" collapsed="false">
      <c r="B267" s="1" t="str">
        <f aca="false">IFERROR(VLOOKUP(A267,'company tracker'!$a:$s,MATCH("Category",'company tracker'!$1:$1,0),FALSE()),"")</f>
        <v/>
      </c>
      <c r="C267" s="1" t="str">
        <f aca="false">IFERROR(VLOOKUP(A267,'Pass 1 Archive'!$A:$AD,MATCH("LinkedIn Employee Count",'Pass 1 Archive'!$1:$1,0),FALSE()),"")</f>
        <v/>
      </c>
      <c r="D267" s="1" t="str">
        <f aca="false">IFERROR(VLOOKUP(A267,'company tracker'!$a:$s,MATCH("Jan 2025 Traffic",'company tracker'!$1:$1,0),FALSE()),"")</f>
        <v/>
      </c>
      <c r="E267" s="1" t="str">
        <f aca="false">IFERROR(VLOOKUP(A267,'company tracker'!$a:$s,MATCH("Jun 2026 Traffic",'company tracker'!$1:$1,0),FALSE()),"")</f>
        <v/>
      </c>
      <c r="F267" s="1" t="str">
        <f aca="false">IFERROR(VLOOKUP(A267,'company tracker'!$a:$s,MATCH("Traffic % Change",'company tracker'!$1:$1,0),FALSE()),"")</f>
        <v/>
      </c>
      <c r="G267" s="1" t="str">
        <f aca="false">IFERROR(VLOOKUP(A267,'company tracker'!$a:$s,MATCH("Jan 2025 Referring Domains",'company tracker'!$1:$1,0),FALSE()),"")</f>
        <v/>
      </c>
      <c r="H267" s="1" t="str">
        <f aca="false">IFERROR(VLOOKUP(A267,'company tracker'!$a:$s,MATCH("Jun 2026 Referring Domains",'company tracker'!$1:$1,0),FALSE()),"")</f>
        <v/>
      </c>
    </row>
    <row r="268" customFormat="false" ht="15" hidden="false" customHeight="true" outlineLevel="0" collapsed="false">
      <c r="B268" s="1" t="str">
        <f aca="false">IFERROR(VLOOKUP(A268,'company tracker'!$a:$s,MATCH("Category",'company tracker'!$1:$1,0),FALSE()),"")</f>
        <v/>
      </c>
      <c r="C268" s="1" t="str">
        <f aca="false">IFERROR(VLOOKUP(A268,'Pass 1 Archive'!$A:$AD,MATCH("LinkedIn Employee Count",'Pass 1 Archive'!$1:$1,0),FALSE()),"")</f>
        <v/>
      </c>
      <c r="D268" s="1" t="str">
        <f aca="false">IFERROR(VLOOKUP(A268,'company tracker'!$a:$s,MATCH("Jan 2025 Traffic",'company tracker'!$1:$1,0),FALSE()),"")</f>
        <v/>
      </c>
      <c r="E268" s="1" t="str">
        <f aca="false">IFERROR(VLOOKUP(A268,'company tracker'!$a:$s,MATCH("Jun 2026 Traffic",'company tracker'!$1:$1,0),FALSE()),"")</f>
        <v/>
      </c>
      <c r="F268" s="1" t="str">
        <f aca="false">IFERROR(VLOOKUP(A268,'company tracker'!$a:$s,MATCH("Traffic % Change",'company tracker'!$1:$1,0),FALSE()),"")</f>
        <v/>
      </c>
      <c r="G268" s="1" t="str">
        <f aca="false">IFERROR(VLOOKUP(A268,'company tracker'!$a:$s,MATCH("Jan 2025 Referring Domains",'company tracker'!$1:$1,0),FALSE()),"")</f>
        <v/>
      </c>
      <c r="H268" s="1" t="str">
        <f aca="false">IFERROR(VLOOKUP(A268,'company tracker'!$a:$s,MATCH("Jun 2026 Referring Domains",'company tracker'!$1:$1,0),FALSE()),"")</f>
        <v/>
      </c>
    </row>
    <row r="269" customFormat="false" ht="15" hidden="false" customHeight="true" outlineLevel="0" collapsed="false">
      <c r="B269" s="1" t="str">
        <f aca="false">IFERROR(VLOOKUP(A269,'company tracker'!$a:$s,MATCH("Category",'company tracker'!$1:$1,0),FALSE()),"")</f>
        <v/>
      </c>
      <c r="C269" s="1" t="str">
        <f aca="false">IFERROR(VLOOKUP(A269,'Pass 1 Archive'!$A:$AD,MATCH("LinkedIn Employee Count",'Pass 1 Archive'!$1:$1,0),FALSE()),"")</f>
        <v/>
      </c>
      <c r="D269" s="1" t="str">
        <f aca="false">IFERROR(VLOOKUP(A269,'company tracker'!$a:$s,MATCH("Jan 2025 Traffic",'company tracker'!$1:$1,0),FALSE()),"")</f>
        <v/>
      </c>
      <c r="E269" s="1" t="str">
        <f aca="false">IFERROR(VLOOKUP(A269,'company tracker'!$a:$s,MATCH("Jun 2026 Traffic",'company tracker'!$1:$1,0),FALSE()),"")</f>
        <v/>
      </c>
      <c r="F269" s="1" t="str">
        <f aca="false">IFERROR(VLOOKUP(A269,'company tracker'!$a:$s,MATCH("Traffic % Change",'company tracker'!$1:$1,0),FALSE()),"")</f>
        <v/>
      </c>
      <c r="G269" s="1" t="str">
        <f aca="false">IFERROR(VLOOKUP(A269,'company tracker'!$a:$s,MATCH("Jan 2025 Referring Domains",'company tracker'!$1:$1,0),FALSE()),"")</f>
        <v/>
      </c>
      <c r="H269" s="1" t="str">
        <f aca="false">IFERROR(VLOOKUP(A269,'company tracker'!$a:$s,MATCH("Jun 2026 Referring Domains",'company tracker'!$1:$1,0),FALSE()),"")</f>
        <v/>
      </c>
    </row>
    <row r="270" customFormat="false" ht="15" hidden="false" customHeight="true" outlineLevel="0" collapsed="false">
      <c r="B270" s="1" t="str">
        <f aca="false">IFERROR(VLOOKUP(A270,'company tracker'!$a:$s,MATCH("Category",'company tracker'!$1:$1,0),FALSE()),"")</f>
        <v/>
      </c>
      <c r="C270" s="1" t="str">
        <f aca="false">IFERROR(VLOOKUP(A270,'Pass 1 Archive'!$A:$AD,MATCH("LinkedIn Employee Count",'Pass 1 Archive'!$1:$1,0),FALSE()),"")</f>
        <v/>
      </c>
      <c r="D270" s="1" t="str">
        <f aca="false">IFERROR(VLOOKUP(A270,'company tracker'!$a:$s,MATCH("Jan 2025 Traffic",'company tracker'!$1:$1,0),FALSE()),"")</f>
        <v/>
      </c>
      <c r="E270" s="1" t="str">
        <f aca="false">IFERROR(VLOOKUP(A270,'company tracker'!$a:$s,MATCH("Jun 2026 Traffic",'company tracker'!$1:$1,0),FALSE()),"")</f>
        <v/>
      </c>
      <c r="F270" s="1" t="str">
        <f aca="false">IFERROR(VLOOKUP(A270,'company tracker'!$a:$s,MATCH("Traffic % Change",'company tracker'!$1:$1,0),FALSE()),"")</f>
        <v/>
      </c>
      <c r="G270" s="1" t="str">
        <f aca="false">IFERROR(VLOOKUP(A270,'company tracker'!$a:$s,MATCH("Jan 2025 Referring Domains",'company tracker'!$1:$1,0),FALSE()),"")</f>
        <v/>
      </c>
      <c r="H270" s="1" t="str">
        <f aca="false">IFERROR(VLOOKUP(A270,'company tracker'!$a:$s,MATCH("Jun 2026 Referring Domains",'company tracker'!$1:$1,0),FALSE()),"")</f>
        <v/>
      </c>
    </row>
    <row r="271" customFormat="false" ht="15" hidden="false" customHeight="true" outlineLevel="0" collapsed="false">
      <c r="B271" s="1" t="str">
        <f aca="false">IFERROR(VLOOKUP(A271,'company tracker'!$a:$s,MATCH("Category",'company tracker'!$1:$1,0),FALSE()),"")</f>
        <v/>
      </c>
      <c r="C271" s="1" t="str">
        <f aca="false">IFERROR(VLOOKUP(A271,'Pass 1 Archive'!$A:$AD,MATCH("LinkedIn Employee Count",'Pass 1 Archive'!$1:$1,0),FALSE()),"")</f>
        <v/>
      </c>
      <c r="D271" s="1" t="str">
        <f aca="false">IFERROR(VLOOKUP(A271,'company tracker'!$a:$s,MATCH("Jan 2025 Traffic",'company tracker'!$1:$1,0),FALSE()),"")</f>
        <v/>
      </c>
      <c r="E271" s="1" t="str">
        <f aca="false">IFERROR(VLOOKUP(A271,'company tracker'!$a:$s,MATCH("Jun 2026 Traffic",'company tracker'!$1:$1,0),FALSE()),"")</f>
        <v/>
      </c>
      <c r="F271" s="1" t="str">
        <f aca="false">IFERROR(VLOOKUP(A271,'company tracker'!$a:$s,MATCH("Traffic % Change",'company tracker'!$1:$1,0),FALSE()),"")</f>
        <v/>
      </c>
      <c r="G271" s="1" t="str">
        <f aca="false">IFERROR(VLOOKUP(A271,'company tracker'!$a:$s,MATCH("Jan 2025 Referring Domains",'company tracker'!$1:$1,0),FALSE()),"")</f>
        <v/>
      </c>
      <c r="H271" s="1" t="str">
        <f aca="false">IFERROR(VLOOKUP(A271,'company tracker'!$a:$s,MATCH("Jun 2026 Referring Domains",'company tracker'!$1:$1,0),FALSE()),"")</f>
        <v/>
      </c>
    </row>
    <row r="272" customFormat="false" ht="15" hidden="false" customHeight="true" outlineLevel="0" collapsed="false">
      <c r="B272" s="1" t="str">
        <f aca="false">IFERROR(VLOOKUP(A272,'company tracker'!$a:$s,MATCH("Category",'company tracker'!$1:$1,0),FALSE()),"")</f>
        <v/>
      </c>
      <c r="C272" s="1" t="str">
        <f aca="false">IFERROR(VLOOKUP(A272,'Pass 1 Archive'!$A:$AD,MATCH("LinkedIn Employee Count",'Pass 1 Archive'!$1:$1,0),FALSE()),"")</f>
        <v/>
      </c>
      <c r="D272" s="1" t="str">
        <f aca="false">IFERROR(VLOOKUP(A272,'company tracker'!$a:$s,MATCH("Jan 2025 Traffic",'company tracker'!$1:$1,0),FALSE()),"")</f>
        <v/>
      </c>
      <c r="E272" s="1" t="str">
        <f aca="false">IFERROR(VLOOKUP(A272,'company tracker'!$a:$s,MATCH("Jun 2026 Traffic",'company tracker'!$1:$1,0),FALSE()),"")</f>
        <v/>
      </c>
      <c r="F272" s="1" t="str">
        <f aca="false">IFERROR(VLOOKUP(A272,'company tracker'!$a:$s,MATCH("Traffic % Change",'company tracker'!$1:$1,0),FALSE()),"")</f>
        <v/>
      </c>
      <c r="G272" s="1" t="str">
        <f aca="false">IFERROR(VLOOKUP(A272,'company tracker'!$a:$s,MATCH("Jan 2025 Referring Domains",'company tracker'!$1:$1,0),FALSE()),"")</f>
        <v/>
      </c>
      <c r="H272" s="1" t="str">
        <f aca="false">IFERROR(VLOOKUP(A272,'company tracker'!$a:$s,MATCH("Jun 2026 Referring Domains",'company tracker'!$1:$1,0),FALSE()),"")</f>
        <v/>
      </c>
    </row>
    <row r="273" customFormat="false" ht="15" hidden="false" customHeight="true" outlineLevel="0" collapsed="false">
      <c r="B273" s="1" t="str">
        <f aca="false">IFERROR(VLOOKUP(A273,'company tracker'!$a:$s,MATCH("Category",'company tracker'!$1:$1,0),FALSE()),"")</f>
        <v/>
      </c>
      <c r="C273" s="1" t="str">
        <f aca="false">IFERROR(VLOOKUP(A273,'Pass 1 Archive'!$A:$AD,MATCH("LinkedIn Employee Count",'Pass 1 Archive'!$1:$1,0),FALSE()),"")</f>
        <v/>
      </c>
      <c r="D273" s="1" t="str">
        <f aca="false">IFERROR(VLOOKUP(A273,'company tracker'!$a:$s,MATCH("Jan 2025 Traffic",'company tracker'!$1:$1,0),FALSE()),"")</f>
        <v/>
      </c>
      <c r="E273" s="1" t="str">
        <f aca="false">IFERROR(VLOOKUP(A273,'company tracker'!$a:$s,MATCH("Jun 2026 Traffic",'company tracker'!$1:$1,0),FALSE()),"")</f>
        <v/>
      </c>
      <c r="F273" s="1" t="str">
        <f aca="false">IFERROR(VLOOKUP(A273,'company tracker'!$a:$s,MATCH("Traffic % Change",'company tracker'!$1:$1,0),FALSE()),"")</f>
        <v/>
      </c>
      <c r="G273" s="1" t="str">
        <f aca="false">IFERROR(VLOOKUP(A273,'company tracker'!$a:$s,MATCH("Jan 2025 Referring Domains",'company tracker'!$1:$1,0),FALSE()),"")</f>
        <v/>
      </c>
      <c r="H273" s="1" t="str">
        <f aca="false">IFERROR(VLOOKUP(A273,'company tracker'!$a:$s,MATCH("Jun 2026 Referring Domains",'company tracker'!$1:$1,0),FALSE()),"")</f>
        <v/>
      </c>
    </row>
    <row r="274" customFormat="false" ht="15" hidden="false" customHeight="true" outlineLevel="0" collapsed="false">
      <c r="B274" s="1" t="str">
        <f aca="false">IFERROR(VLOOKUP(A274,'company tracker'!$a:$s,MATCH("Category",'company tracker'!$1:$1,0),FALSE()),"")</f>
        <v/>
      </c>
      <c r="C274" s="1" t="str">
        <f aca="false">IFERROR(VLOOKUP(A274,'Pass 1 Archive'!$A:$AD,MATCH("LinkedIn Employee Count",'Pass 1 Archive'!$1:$1,0),FALSE()),"")</f>
        <v/>
      </c>
      <c r="D274" s="1" t="str">
        <f aca="false">IFERROR(VLOOKUP(A274,'company tracker'!$a:$s,MATCH("Jan 2025 Traffic",'company tracker'!$1:$1,0),FALSE()),"")</f>
        <v/>
      </c>
      <c r="E274" s="1" t="str">
        <f aca="false">IFERROR(VLOOKUP(A274,'company tracker'!$a:$s,MATCH("Jun 2026 Traffic",'company tracker'!$1:$1,0),FALSE()),"")</f>
        <v/>
      </c>
      <c r="F274" s="1" t="str">
        <f aca="false">IFERROR(VLOOKUP(A274,'company tracker'!$a:$s,MATCH("Traffic % Change",'company tracker'!$1:$1,0),FALSE()),"")</f>
        <v/>
      </c>
      <c r="G274" s="1" t="str">
        <f aca="false">IFERROR(VLOOKUP(A274,'company tracker'!$a:$s,MATCH("Jan 2025 Referring Domains",'company tracker'!$1:$1,0),FALSE()),"")</f>
        <v/>
      </c>
      <c r="H274" s="1" t="str">
        <f aca="false">IFERROR(VLOOKUP(A274,'company tracker'!$a:$s,MATCH("Jun 2026 Referring Domains",'company tracker'!$1:$1,0),FALSE()),"")</f>
        <v/>
      </c>
    </row>
    <row r="275" customFormat="false" ht="15" hidden="false" customHeight="true" outlineLevel="0" collapsed="false">
      <c r="B275" s="1" t="str">
        <f aca="false">IFERROR(VLOOKUP(A275,'company tracker'!$a:$s,MATCH("Category",'company tracker'!$1:$1,0),FALSE()),"")</f>
        <v/>
      </c>
      <c r="C275" s="1" t="str">
        <f aca="false">IFERROR(VLOOKUP(A275,'Pass 1 Archive'!$A:$AD,MATCH("LinkedIn Employee Count",'Pass 1 Archive'!$1:$1,0),FALSE()),"")</f>
        <v/>
      </c>
      <c r="D275" s="1" t="str">
        <f aca="false">IFERROR(VLOOKUP(A275,'company tracker'!$a:$s,MATCH("Jan 2025 Traffic",'company tracker'!$1:$1,0),FALSE()),"")</f>
        <v/>
      </c>
      <c r="E275" s="1" t="str">
        <f aca="false">IFERROR(VLOOKUP(A275,'company tracker'!$a:$s,MATCH("Jun 2026 Traffic",'company tracker'!$1:$1,0),FALSE()),"")</f>
        <v/>
      </c>
      <c r="F275" s="1" t="str">
        <f aca="false">IFERROR(VLOOKUP(A275,'company tracker'!$a:$s,MATCH("Traffic % Change",'company tracker'!$1:$1,0),FALSE()),"")</f>
        <v/>
      </c>
      <c r="G275" s="1" t="str">
        <f aca="false">IFERROR(VLOOKUP(A275,'company tracker'!$a:$s,MATCH("Jan 2025 Referring Domains",'company tracker'!$1:$1,0),FALSE()),"")</f>
        <v/>
      </c>
      <c r="H275" s="1" t="str">
        <f aca="false">IFERROR(VLOOKUP(A275,'company tracker'!$a:$s,MATCH("Jun 2026 Referring Domains",'company tracker'!$1:$1,0),FALSE()),"")</f>
        <v/>
      </c>
    </row>
    <row r="276" customFormat="false" ht="15" hidden="false" customHeight="true" outlineLevel="0" collapsed="false">
      <c r="B276" s="1" t="str">
        <f aca="false">IFERROR(VLOOKUP(A276,'company tracker'!$a:$s,MATCH("Category",'company tracker'!$1:$1,0),FALSE()),"")</f>
        <v/>
      </c>
      <c r="C276" s="1" t="str">
        <f aca="false">IFERROR(VLOOKUP(A276,'Pass 1 Archive'!$A:$AD,MATCH("LinkedIn Employee Count",'Pass 1 Archive'!$1:$1,0),FALSE()),"")</f>
        <v/>
      </c>
      <c r="D276" s="1" t="str">
        <f aca="false">IFERROR(VLOOKUP(A276,'company tracker'!$a:$s,MATCH("Jan 2025 Traffic",'company tracker'!$1:$1,0),FALSE()),"")</f>
        <v/>
      </c>
      <c r="E276" s="1" t="str">
        <f aca="false">IFERROR(VLOOKUP(A276,'company tracker'!$a:$s,MATCH("Jun 2026 Traffic",'company tracker'!$1:$1,0),FALSE()),"")</f>
        <v/>
      </c>
      <c r="F276" s="1" t="str">
        <f aca="false">IFERROR(VLOOKUP(A276,'company tracker'!$a:$s,MATCH("Traffic % Change",'company tracker'!$1:$1,0),FALSE()),"")</f>
        <v/>
      </c>
      <c r="G276" s="1" t="str">
        <f aca="false">IFERROR(VLOOKUP(A276,'company tracker'!$a:$s,MATCH("Jan 2025 Referring Domains",'company tracker'!$1:$1,0),FALSE()),"")</f>
        <v/>
      </c>
      <c r="H276" s="1" t="str">
        <f aca="false">IFERROR(VLOOKUP(A276,'company tracker'!$a:$s,MATCH("Jun 2026 Referring Domains",'company tracker'!$1:$1,0),FALSE()),"")</f>
        <v/>
      </c>
    </row>
    <row r="277" customFormat="false" ht="15" hidden="false" customHeight="true" outlineLevel="0" collapsed="false">
      <c r="B277" s="1" t="str">
        <f aca="false">IFERROR(VLOOKUP(A277,'company tracker'!$a:$s,MATCH("Category",'company tracker'!$1:$1,0),FALSE()),"")</f>
        <v/>
      </c>
      <c r="C277" s="1" t="str">
        <f aca="false">IFERROR(VLOOKUP(A277,'Pass 1 Archive'!$A:$AD,MATCH("LinkedIn Employee Count",'Pass 1 Archive'!$1:$1,0),FALSE()),"")</f>
        <v/>
      </c>
      <c r="D277" s="1" t="str">
        <f aca="false">IFERROR(VLOOKUP(A277,'company tracker'!$a:$s,MATCH("Jan 2025 Traffic",'company tracker'!$1:$1,0),FALSE()),"")</f>
        <v/>
      </c>
      <c r="E277" s="1" t="str">
        <f aca="false">IFERROR(VLOOKUP(A277,'company tracker'!$a:$s,MATCH("Jun 2026 Traffic",'company tracker'!$1:$1,0),FALSE()),"")</f>
        <v/>
      </c>
      <c r="F277" s="1" t="str">
        <f aca="false">IFERROR(VLOOKUP(A277,'company tracker'!$a:$s,MATCH("Traffic % Change",'company tracker'!$1:$1,0),FALSE()),"")</f>
        <v/>
      </c>
      <c r="G277" s="1" t="str">
        <f aca="false">IFERROR(VLOOKUP(A277,'company tracker'!$a:$s,MATCH("Jan 2025 Referring Domains",'company tracker'!$1:$1,0),FALSE()),"")</f>
        <v/>
      </c>
      <c r="H277" s="1" t="str">
        <f aca="false">IFERROR(VLOOKUP(A277,'company tracker'!$a:$s,MATCH("Jun 2026 Referring Domains",'company tracker'!$1:$1,0),FALSE()),"")</f>
        <v/>
      </c>
    </row>
    <row r="278" customFormat="false" ht="15" hidden="false" customHeight="true" outlineLevel="0" collapsed="false">
      <c r="B278" s="1" t="str">
        <f aca="false">IFERROR(VLOOKUP(A278,'company tracker'!$a:$s,MATCH("Category",'company tracker'!$1:$1,0),FALSE()),"")</f>
        <v/>
      </c>
      <c r="C278" s="1" t="str">
        <f aca="false">IFERROR(VLOOKUP(A278,'Pass 1 Archive'!$A:$AD,MATCH("LinkedIn Employee Count",'Pass 1 Archive'!$1:$1,0),FALSE()),"")</f>
        <v/>
      </c>
      <c r="D278" s="1" t="str">
        <f aca="false">IFERROR(VLOOKUP(A278,'company tracker'!$a:$s,MATCH("Jan 2025 Traffic",'company tracker'!$1:$1,0),FALSE()),"")</f>
        <v/>
      </c>
      <c r="E278" s="1" t="str">
        <f aca="false">IFERROR(VLOOKUP(A278,'company tracker'!$a:$s,MATCH("Jun 2026 Traffic",'company tracker'!$1:$1,0),FALSE()),"")</f>
        <v/>
      </c>
      <c r="F278" s="1" t="str">
        <f aca="false">IFERROR(VLOOKUP(A278,'company tracker'!$a:$s,MATCH("Traffic % Change",'company tracker'!$1:$1,0),FALSE()),"")</f>
        <v/>
      </c>
      <c r="G278" s="1" t="str">
        <f aca="false">IFERROR(VLOOKUP(A278,'company tracker'!$a:$s,MATCH("Jan 2025 Referring Domains",'company tracker'!$1:$1,0),FALSE()),"")</f>
        <v/>
      </c>
      <c r="H278" s="1" t="str">
        <f aca="false">IFERROR(VLOOKUP(A278,'company tracker'!$a:$s,MATCH("Jun 2026 Referring Domains",'company tracker'!$1:$1,0),FALSE()),"")</f>
        <v/>
      </c>
    </row>
    <row r="279" customFormat="false" ht="15" hidden="false" customHeight="true" outlineLevel="0" collapsed="false">
      <c r="B279" s="1" t="str">
        <f aca="false">IFERROR(VLOOKUP(A279,'company tracker'!$a:$s,MATCH("Category",'company tracker'!$1:$1,0),FALSE()),"")</f>
        <v/>
      </c>
      <c r="C279" s="1" t="str">
        <f aca="false">IFERROR(VLOOKUP(A279,'Pass 1 Archive'!$A:$AD,MATCH("LinkedIn Employee Count",'Pass 1 Archive'!$1:$1,0),FALSE()),"")</f>
        <v/>
      </c>
      <c r="D279" s="1" t="str">
        <f aca="false">IFERROR(VLOOKUP(A279,'company tracker'!$a:$s,MATCH("Jan 2025 Traffic",'company tracker'!$1:$1,0),FALSE()),"")</f>
        <v/>
      </c>
      <c r="E279" s="1" t="str">
        <f aca="false">IFERROR(VLOOKUP(A279,'company tracker'!$a:$s,MATCH("Jun 2026 Traffic",'company tracker'!$1:$1,0),FALSE()),"")</f>
        <v/>
      </c>
      <c r="F279" s="1" t="str">
        <f aca="false">IFERROR(VLOOKUP(A279,'company tracker'!$a:$s,MATCH("Traffic % Change",'company tracker'!$1:$1,0),FALSE()),"")</f>
        <v/>
      </c>
      <c r="G279" s="1" t="str">
        <f aca="false">IFERROR(VLOOKUP(A279,'company tracker'!$a:$s,MATCH("Jan 2025 Referring Domains",'company tracker'!$1:$1,0),FALSE()),"")</f>
        <v/>
      </c>
      <c r="H279" s="1" t="str">
        <f aca="false">IFERROR(VLOOKUP(A279,'company tracker'!$a:$s,MATCH("Jun 2026 Referring Domains",'company tracker'!$1:$1,0),FALSE()),"")</f>
        <v/>
      </c>
    </row>
    <row r="280" customFormat="false" ht="15" hidden="false" customHeight="true" outlineLevel="0" collapsed="false">
      <c r="B280" s="1" t="str">
        <f aca="false">IFERROR(VLOOKUP(A280,'company tracker'!$a:$s,MATCH("Category",'company tracker'!$1:$1,0),FALSE()),"")</f>
        <v/>
      </c>
      <c r="C280" s="1" t="str">
        <f aca="false">IFERROR(VLOOKUP(A280,'Pass 1 Archive'!$A:$AD,MATCH("LinkedIn Employee Count",'Pass 1 Archive'!$1:$1,0),FALSE()),"")</f>
        <v/>
      </c>
      <c r="D280" s="1" t="str">
        <f aca="false">IFERROR(VLOOKUP(A280,'company tracker'!$a:$s,MATCH("Jan 2025 Traffic",'company tracker'!$1:$1,0),FALSE()),"")</f>
        <v/>
      </c>
      <c r="E280" s="1" t="str">
        <f aca="false">IFERROR(VLOOKUP(A280,'company tracker'!$a:$s,MATCH("Jun 2026 Traffic",'company tracker'!$1:$1,0),FALSE()),"")</f>
        <v/>
      </c>
      <c r="F280" s="1" t="str">
        <f aca="false">IFERROR(VLOOKUP(A280,'company tracker'!$a:$s,MATCH("Traffic % Change",'company tracker'!$1:$1,0),FALSE()),"")</f>
        <v/>
      </c>
      <c r="G280" s="1" t="str">
        <f aca="false">IFERROR(VLOOKUP(A280,'company tracker'!$a:$s,MATCH("Jan 2025 Referring Domains",'company tracker'!$1:$1,0),FALSE()),"")</f>
        <v/>
      </c>
      <c r="H280" s="1" t="str">
        <f aca="false">IFERROR(VLOOKUP(A280,'company tracker'!$a:$s,MATCH("Jun 2026 Referring Domains",'company tracker'!$1:$1,0),FALSE()),"")</f>
        <v/>
      </c>
    </row>
    <row r="281" customFormat="false" ht="15" hidden="false" customHeight="true" outlineLevel="0" collapsed="false">
      <c r="B281" s="1" t="str">
        <f aca="false">IFERROR(VLOOKUP(A281,'company tracker'!$a:$s,MATCH("Category",'company tracker'!$1:$1,0),FALSE()),"")</f>
        <v/>
      </c>
      <c r="C281" s="1" t="str">
        <f aca="false">IFERROR(VLOOKUP(A281,'Pass 1 Archive'!$A:$AD,MATCH("LinkedIn Employee Count",'Pass 1 Archive'!$1:$1,0),FALSE()),"")</f>
        <v/>
      </c>
      <c r="D281" s="1" t="str">
        <f aca="false">IFERROR(VLOOKUP(A281,'company tracker'!$a:$s,MATCH("Jan 2025 Traffic",'company tracker'!$1:$1,0),FALSE()),"")</f>
        <v/>
      </c>
      <c r="E281" s="1" t="str">
        <f aca="false">IFERROR(VLOOKUP(A281,'company tracker'!$a:$s,MATCH("Jun 2026 Traffic",'company tracker'!$1:$1,0),FALSE()),"")</f>
        <v/>
      </c>
      <c r="F281" s="1" t="str">
        <f aca="false">IFERROR(VLOOKUP(A281,'company tracker'!$a:$s,MATCH("Traffic % Change",'company tracker'!$1:$1,0),FALSE()),"")</f>
        <v/>
      </c>
      <c r="G281" s="1" t="str">
        <f aca="false">IFERROR(VLOOKUP(A281,'company tracker'!$a:$s,MATCH("Jan 2025 Referring Domains",'company tracker'!$1:$1,0),FALSE()),"")</f>
        <v/>
      </c>
      <c r="H281" s="1" t="str">
        <f aca="false">IFERROR(VLOOKUP(A281,'company tracker'!$a:$s,MATCH("Jun 2026 Referring Domains",'company tracker'!$1:$1,0),FALSE()),"")</f>
        <v/>
      </c>
    </row>
    <row r="282" customFormat="false" ht="15" hidden="false" customHeight="true" outlineLevel="0" collapsed="false">
      <c r="B282" s="1" t="str">
        <f aca="false">IFERROR(VLOOKUP(A282,'company tracker'!$a:$s,MATCH("Category",'company tracker'!$1:$1,0),FALSE()),"")</f>
        <v/>
      </c>
      <c r="C282" s="1" t="str">
        <f aca="false">IFERROR(VLOOKUP(A282,'Pass 1 Archive'!$A:$AD,MATCH("LinkedIn Employee Count",'Pass 1 Archive'!$1:$1,0),FALSE()),"")</f>
        <v/>
      </c>
      <c r="D282" s="1" t="str">
        <f aca="false">IFERROR(VLOOKUP(A282,'company tracker'!$a:$s,MATCH("Jan 2025 Traffic",'company tracker'!$1:$1,0),FALSE()),"")</f>
        <v/>
      </c>
      <c r="E282" s="1" t="str">
        <f aca="false">IFERROR(VLOOKUP(A282,'company tracker'!$a:$s,MATCH("Jun 2026 Traffic",'company tracker'!$1:$1,0),FALSE()),"")</f>
        <v/>
      </c>
      <c r="F282" s="1" t="str">
        <f aca="false">IFERROR(VLOOKUP(A282,'company tracker'!$a:$s,MATCH("Traffic % Change",'company tracker'!$1:$1,0),FALSE()),"")</f>
        <v/>
      </c>
      <c r="G282" s="1" t="str">
        <f aca="false">IFERROR(VLOOKUP(A282,'company tracker'!$a:$s,MATCH("Jan 2025 Referring Domains",'company tracker'!$1:$1,0),FALSE()),"")</f>
        <v/>
      </c>
      <c r="H282" s="1" t="str">
        <f aca="false">IFERROR(VLOOKUP(A282,'company tracker'!$a:$s,MATCH("Jun 2026 Referring Domains",'company tracker'!$1:$1,0),FALSE()),"")</f>
        <v/>
      </c>
    </row>
    <row r="283" customFormat="false" ht="15" hidden="false" customHeight="true" outlineLevel="0" collapsed="false">
      <c r="B283" s="1" t="str">
        <f aca="false">IFERROR(VLOOKUP(A283,'company tracker'!$a:$s,MATCH("Category",'company tracker'!$1:$1,0),FALSE()),"")</f>
        <v/>
      </c>
      <c r="C283" s="1" t="str">
        <f aca="false">IFERROR(VLOOKUP(A283,'Pass 1 Archive'!$A:$AD,MATCH("LinkedIn Employee Count",'Pass 1 Archive'!$1:$1,0),FALSE()),"")</f>
        <v/>
      </c>
      <c r="D283" s="1" t="str">
        <f aca="false">IFERROR(VLOOKUP(A283,'company tracker'!$a:$s,MATCH("Jan 2025 Traffic",'company tracker'!$1:$1,0),FALSE()),"")</f>
        <v/>
      </c>
      <c r="E283" s="1" t="str">
        <f aca="false">IFERROR(VLOOKUP(A283,'company tracker'!$a:$s,MATCH("Jun 2026 Traffic",'company tracker'!$1:$1,0),FALSE()),"")</f>
        <v/>
      </c>
      <c r="F283" s="1" t="str">
        <f aca="false">IFERROR(VLOOKUP(A283,'company tracker'!$a:$s,MATCH("Traffic % Change",'company tracker'!$1:$1,0),FALSE()),"")</f>
        <v/>
      </c>
      <c r="G283" s="1" t="str">
        <f aca="false">IFERROR(VLOOKUP(A283,'company tracker'!$a:$s,MATCH("Jan 2025 Referring Domains",'company tracker'!$1:$1,0),FALSE()),"")</f>
        <v/>
      </c>
      <c r="H283" s="1" t="str">
        <f aca="false">IFERROR(VLOOKUP(A283,'company tracker'!$a:$s,MATCH("Jun 2026 Referring Domains",'company tracker'!$1:$1,0),FALSE()),"")</f>
        <v/>
      </c>
    </row>
    <row r="284" customFormat="false" ht="15" hidden="false" customHeight="true" outlineLevel="0" collapsed="false">
      <c r="B284" s="1" t="str">
        <f aca="false">IFERROR(VLOOKUP(A284,'company tracker'!$a:$s,MATCH("Category",'company tracker'!$1:$1,0),FALSE()),"")</f>
        <v/>
      </c>
      <c r="C284" s="1" t="str">
        <f aca="false">IFERROR(VLOOKUP(A284,'Pass 1 Archive'!$A:$AD,MATCH("LinkedIn Employee Count",'Pass 1 Archive'!$1:$1,0),FALSE()),"")</f>
        <v/>
      </c>
      <c r="D284" s="1" t="str">
        <f aca="false">IFERROR(VLOOKUP(A284,'company tracker'!$a:$s,MATCH("Jan 2025 Traffic",'company tracker'!$1:$1,0),FALSE()),"")</f>
        <v/>
      </c>
      <c r="E284" s="1" t="str">
        <f aca="false">IFERROR(VLOOKUP(A284,'company tracker'!$a:$s,MATCH("Jun 2026 Traffic",'company tracker'!$1:$1,0),FALSE()),"")</f>
        <v/>
      </c>
      <c r="F284" s="1" t="str">
        <f aca="false">IFERROR(VLOOKUP(A284,'company tracker'!$a:$s,MATCH("Traffic % Change",'company tracker'!$1:$1,0),FALSE()),"")</f>
        <v/>
      </c>
      <c r="G284" s="1" t="str">
        <f aca="false">IFERROR(VLOOKUP(A284,'company tracker'!$a:$s,MATCH("Jan 2025 Referring Domains",'company tracker'!$1:$1,0),FALSE()),"")</f>
        <v/>
      </c>
      <c r="H284" s="1" t="str">
        <f aca="false">IFERROR(VLOOKUP(A284,'company tracker'!$a:$s,MATCH("Jun 2026 Referring Domains",'company tracker'!$1:$1,0),FALSE()),"")</f>
        <v/>
      </c>
    </row>
    <row r="285" customFormat="false" ht="15" hidden="false" customHeight="true" outlineLevel="0" collapsed="false">
      <c r="B285" s="1" t="str">
        <f aca="false">IFERROR(VLOOKUP(A285,'company tracker'!$a:$s,MATCH("Category",'company tracker'!$1:$1,0),FALSE()),"")</f>
        <v/>
      </c>
      <c r="C285" s="1" t="str">
        <f aca="false">IFERROR(VLOOKUP(A285,'Pass 1 Archive'!$A:$AD,MATCH("LinkedIn Employee Count",'Pass 1 Archive'!$1:$1,0),FALSE()),"")</f>
        <v/>
      </c>
      <c r="D285" s="1" t="str">
        <f aca="false">IFERROR(VLOOKUP(A285,'company tracker'!$a:$s,MATCH("Jan 2025 Traffic",'company tracker'!$1:$1,0),FALSE()),"")</f>
        <v/>
      </c>
      <c r="E285" s="1" t="str">
        <f aca="false">IFERROR(VLOOKUP(A285,'company tracker'!$a:$s,MATCH("Jun 2026 Traffic",'company tracker'!$1:$1,0),FALSE()),"")</f>
        <v/>
      </c>
      <c r="F285" s="1" t="str">
        <f aca="false">IFERROR(VLOOKUP(A285,'company tracker'!$a:$s,MATCH("Traffic % Change",'company tracker'!$1:$1,0),FALSE()),"")</f>
        <v/>
      </c>
      <c r="G285" s="1" t="str">
        <f aca="false">IFERROR(VLOOKUP(A285,'company tracker'!$a:$s,MATCH("Jan 2025 Referring Domains",'company tracker'!$1:$1,0),FALSE()),"")</f>
        <v/>
      </c>
      <c r="H285" s="1" t="str">
        <f aca="false">IFERROR(VLOOKUP(A285,'company tracker'!$a:$s,MATCH("Jun 2026 Referring Domains",'company tracker'!$1:$1,0),FALSE()),"")</f>
        <v/>
      </c>
    </row>
    <row r="286" customFormat="false" ht="15" hidden="false" customHeight="true" outlineLevel="0" collapsed="false">
      <c r="B286" s="1" t="str">
        <f aca="false">IFERROR(VLOOKUP(A286,'company tracker'!$a:$s,MATCH("Category",'company tracker'!$1:$1,0),FALSE()),"")</f>
        <v/>
      </c>
      <c r="C286" s="1" t="str">
        <f aca="false">IFERROR(VLOOKUP(A286,'Pass 1 Archive'!$A:$AD,MATCH("LinkedIn Employee Count",'Pass 1 Archive'!$1:$1,0),FALSE()),"")</f>
        <v/>
      </c>
      <c r="D286" s="1" t="str">
        <f aca="false">IFERROR(VLOOKUP(A286,'company tracker'!$a:$s,MATCH("Jan 2025 Traffic",'company tracker'!$1:$1,0),FALSE()),"")</f>
        <v/>
      </c>
      <c r="E286" s="1" t="str">
        <f aca="false">IFERROR(VLOOKUP(A286,'company tracker'!$a:$s,MATCH("Jun 2026 Traffic",'company tracker'!$1:$1,0),FALSE()),"")</f>
        <v/>
      </c>
      <c r="F286" s="1" t="str">
        <f aca="false">IFERROR(VLOOKUP(A286,'company tracker'!$a:$s,MATCH("Traffic % Change",'company tracker'!$1:$1,0),FALSE()),"")</f>
        <v/>
      </c>
      <c r="G286" s="1" t="str">
        <f aca="false">IFERROR(VLOOKUP(A286,'company tracker'!$a:$s,MATCH("Jan 2025 Referring Domains",'company tracker'!$1:$1,0),FALSE()),"")</f>
        <v/>
      </c>
      <c r="H286" s="1" t="str">
        <f aca="false">IFERROR(VLOOKUP(A286,'company tracker'!$a:$s,MATCH("Jun 2026 Referring Domains",'company tracker'!$1:$1,0),FALSE()),"")</f>
        <v/>
      </c>
    </row>
    <row r="287" customFormat="false" ht="15" hidden="false" customHeight="true" outlineLevel="0" collapsed="false">
      <c r="B287" s="1" t="str">
        <f aca="false">IFERROR(VLOOKUP(A287,'company tracker'!$a:$s,MATCH("Category",'company tracker'!$1:$1,0),FALSE()),"")</f>
        <v/>
      </c>
      <c r="C287" s="1" t="str">
        <f aca="false">IFERROR(VLOOKUP(A287,'Pass 1 Archive'!$A:$AD,MATCH("LinkedIn Employee Count",'Pass 1 Archive'!$1:$1,0),FALSE()),"")</f>
        <v/>
      </c>
      <c r="D287" s="1" t="str">
        <f aca="false">IFERROR(VLOOKUP(A287,'company tracker'!$a:$s,MATCH("Jan 2025 Traffic",'company tracker'!$1:$1,0),FALSE()),"")</f>
        <v/>
      </c>
      <c r="E287" s="1" t="str">
        <f aca="false">IFERROR(VLOOKUP(A287,'company tracker'!$a:$s,MATCH("Jun 2026 Traffic",'company tracker'!$1:$1,0),FALSE()),"")</f>
        <v/>
      </c>
      <c r="F287" s="1" t="str">
        <f aca="false">IFERROR(VLOOKUP(A287,'company tracker'!$a:$s,MATCH("Traffic % Change",'company tracker'!$1:$1,0),FALSE()),"")</f>
        <v/>
      </c>
      <c r="G287" s="1" t="str">
        <f aca="false">IFERROR(VLOOKUP(A287,'company tracker'!$a:$s,MATCH("Jan 2025 Referring Domains",'company tracker'!$1:$1,0),FALSE()),"")</f>
        <v/>
      </c>
      <c r="H287" s="1" t="str">
        <f aca="false">IFERROR(VLOOKUP(A287,'company tracker'!$a:$s,MATCH("Jun 2026 Referring Domains",'company tracker'!$1:$1,0),FALSE()),"")</f>
        <v/>
      </c>
    </row>
    <row r="288" customFormat="false" ht="15" hidden="false" customHeight="true" outlineLevel="0" collapsed="false">
      <c r="B288" s="1" t="str">
        <f aca="false">IFERROR(VLOOKUP(A288,'company tracker'!$a:$s,MATCH("Category",'company tracker'!$1:$1,0),FALSE()),"")</f>
        <v/>
      </c>
      <c r="C288" s="1" t="str">
        <f aca="false">IFERROR(VLOOKUP(A288,'Pass 1 Archive'!$A:$AD,MATCH("LinkedIn Employee Count",'Pass 1 Archive'!$1:$1,0),FALSE()),"")</f>
        <v/>
      </c>
      <c r="D288" s="1" t="str">
        <f aca="false">IFERROR(VLOOKUP(A288,'company tracker'!$a:$s,MATCH("Jan 2025 Traffic",'company tracker'!$1:$1,0),FALSE()),"")</f>
        <v/>
      </c>
      <c r="E288" s="1" t="str">
        <f aca="false">IFERROR(VLOOKUP(A288,'company tracker'!$a:$s,MATCH("Jun 2026 Traffic",'company tracker'!$1:$1,0),FALSE()),"")</f>
        <v/>
      </c>
      <c r="F288" s="1" t="str">
        <f aca="false">IFERROR(VLOOKUP(A288,'company tracker'!$a:$s,MATCH("Traffic % Change",'company tracker'!$1:$1,0),FALSE()),"")</f>
        <v/>
      </c>
      <c r="G288" s="1" t="str">
        <f aca="false">IFERROR(VLOOKUP(A288,'company tracker'!$a:$s,MATCH("Jan 2025 Referring Domains",'company tracker'!$1:$1,0),FALSE()),"")</f>
        <v/>
      </c>
      <c r="H288" s="1" t="str">
        <f aca="false">IFERROR(VLOOKUP(A288,'company tracker'!$a:$s,MATCH("Jun 2026 Referring Domains",'company tracker'!$1:$1,0),FALSE()),"")</f>
        <v/>
      </c>
    </row>
    <row r="289" customFormat="false" ht="15" hidden="false" customHeight="true" outlineLevel="0" collapsed="false">
      <c r="B289" s="1" t="str">
        <f aca="false">IFERROR(VLOOKUP(A289,'company tracker'!$a:$s,MATCH("Category",'company tracker'!$1:$1,0),FALSE()),"")</f>
        <v/>
      </c>
      <c r="C289" s="1" t="str">
        <f aca="false">IFERROR(VLOOKUP(A289,'Pass 1 Archive'!$A:$AD,MATCH("LinkedIn Employee Count",'Pass 1 Archive'!$1:$1,0),FALSE()),"")</f>
        <v/>
      </c>
      <c r="D289" s="1" t="str">
        <f aca="false">IFERROR(VLOOKUP(A289,'company tracker'!$a:$s,MATCH("Jan 2025 Traffic",'company tracker'!$1:$1,0),FALSE()),"")</f>
        <v/>
      </c>
      <c r="E289" s="1" t="str">
        <f aca="false">IFERROR(VLOOKUP(A289,'company tracker'!$a:$s,MATCH("Jun 2026 Traffic",'company tracker'!$1:$1,0),FALSE()),"")</f>
        <v/>
      </c>
      <c r="F289" s="1" t="str">
        <f aca="false">IFERROR(VLOOKUP(A289,'company tracker'!$a:$s,MATCH("Traffic % Change",'company tracker'!$1:$1,0),FALSE()),"")</f>
        <v/>
      </c>
      <c r="G289" s="1" t="str">
        <f aca="false">IFERROR(VLOOKUP(A289,'company tracker'!$a:$s,MATCH("Jan 2025 Referring Domains",'company tracker'!$1:$1,0),FALSE()),"")</f>
        <v/>
      </c>
      <c r="H289" s="1" t="str">
        <f aca="false">IFERROR(VLOOKUP(A289,'company tracker'!$a:$s,MATCH("Jun 2026 Referring Domains",'company tracker'!$1:$1,0),FALSE()),"")</f>
        <v/>
      </c>
    </row>
    <row r="290" customFormat="false" ht="15" hidden="false" customHeight="true" outlineLevel="0" collapsed="false">
      <c r="B290" s="1" t="str">
        <f aca="false">IFERROR(VLOOKUP(A290,'company tracker'!$a:$s,MATCH("Category",'company tracker'!$1:$1,0),FALSE()),"")</f>
        <v/>
      </c>
      <c r="C290" s="1" t="str">
        <f aca="false">IFERROR(VLOOKUP(A290,'Pass 1 Archive'!$A:$AD,MATCH("LinkedIn Employee Count",'Pass 1 Archive'!$1:$1,0),FALSE()),"")</f>
        <v/>
      </c>
      <c r="D290" s="1" t="str">
        <f aca="false">IFERROR(VLOOKUP(A290,'company tracker'!$a:$s,MATCH("Jan 2025 Traffic",'company tracker'!$1:$1,0),FALSE()),"")</f>
        <v/>
      </c>
      <c r="E290" s="1" t="str">
        <f aca="false">IFERROR(VLOOKUP(A290,'company tracker'!$a:$s,MATCH("Jun 2026 Traffic",'company tracker'!$1:$1,0),FALSE()),"")</f>
        <v/>
      </c>
      <c r="F290" s="1" t="str">
        <f aca="false">IFERROR(VLOOKUP(A290,'company tracker'!$a:$s,MATCH("Traffic % Change",'company tracker'!$1:$1,0),FALSE()),"")</f>
        <v/>
      </c>
      <c r="G290" s="1" t="str">
        <f aca="false">IFERROR(VLOOKUP(A290,'company tracker'!$a:$s,MATCH("Jan 2025 Referring Domains",'company tracker'!$1:$1,0),FALSE()),"")</f>
        <v/>
      </c>
      <c r="H290" s="1" t="str">
        <f aca="false">IFERROR(VLOOKUP(A290,'company tracker'!$a:$s,MATCH("Jun 2026 Referring Domains",'company tracker'!$1:$1,0),FALSE()),"")</f>
        <v/>
      </c>
    </row>
    <row r="291" customFormat="false" ht="15" hidden="false" customHeight="true" outlineLevel="0" collapsed="false">
      <c r="B291" s="1" t="str">
        <f aca="false">IFERROR(VLOOKUP(A291,'company tracker'!$a:$s,MATCH("Category",'company tracker'!$1:$1,0),FALSE()),"")</f>
        <v/>
      </c>
      <c r="C291" s="1" t="str">
        <f aca="false">IFERROR(VLOOKUP(A291,'Pass 1 Archive'!$A:$AD,MATCH("LinkedIn Employee Count",'Pass 1 Archive'!$1:$1,0),FALSE()),"")</f>
        <v/>
      </c>
      <c r="D291" s="1" t="str">
        <f aca="false">IFERROR(VLOOKUP(A291,'company tracker'!$a:$s,MATCH("Jan 2025 Traffic",'company tracker'!$1:$1,0),FALSE()),"")</f>
        <v/>
      </c>
      <c r="E291" s="1" t="str">
        <f aca="false">IFERROR(VLOOKUP(A291,'company tracker'!$a:$s,MATCH("Jun 2026 Traffic",'company tracker'!$1:$1,0),FALSE()),"")</f>
        <v/>
      </c>
      <c r="F291" s="1" t="str">
        <f aca="false">IFERROR(VLOOKUP(A291,'company tracker'!$a:$s,MATCH("Traffic % Change",'company tracker'!$1:$1,0),FALSE()),"")</f>
        <v/>
      </c>
      <c r="G291" s="1" t="str">
        <f aca="false">IFERROR(VLOOKUP(A291,'company tracker'!$a:$s,MATCH("Jan 2025 Referring Domains",'company tracker'!$1:$1,0),FALSE()),"")</f>
        <v/>
      </c>
      <c r="H291" s="1" t="str">
        <f aca="false">IFERROR(VLOOKUP(A291,'company tracker'!$a:$s,MATCH("Jun 2026 Referring Domains",'company tracker'!$1:$1,0),FALSE()),"")</f>
        <v/>
      </c>
    </row>
    <row r="292" customFormat="false" ht="15" hidden="false" customHeight="true" outlineLevel="0" collapsed="false">
      <c r="B292" s="1" t="str">
        <f aca="false">IFERROR(VLOOKUP(A292,'company tracker'!$a:$s,MATCH("Category",'company tracker'!$1:$1,0),FALSE()),"")</f>
        <v/>
      </c>
      <c r="C292" s="1" t="str">
        <f aca="false">IFERROR(VLOOKUP(A292,'Pass 1 Archive'!$A:$AD,MATCH("LinkedIn Employee Count",'Pass 1 Archive'!$1:$1,0),FALSE()),"")</f>
        <v/>
      </c>
      <c r="D292" s="1" t="str">
        <f aca="false">IFERROR(VLOOKUP(A292,'company tracker'!$a:$s,MATCH("Jan 2025 Traffic",'company tracker'!$1:$1,0),FALSE()),"")</f>
        <v/>
      </c>
      <c r="E292" s="1" t="str">
        <f aca="false">IFERROR(VLOOKUP(A292,'company tracker'!$a:$s,MATCH("Jun 2026 Traffic",'company tracker'!$1:$1,0),FALSE()),"")</f>
        <v/>
      </c>
      <c r="F292" s="1" t="str">
        <f aca="false">IFERROR(VLOOKUP(A292,'company tracker'!$a:$s,MATCH("Traffic % Change",'company tracker'!$1:$1,0),FALSE()),"")</f>
        <v/>
      </c>
      <c r="G292" s="1" t="str">
        <f aca="false">IFERROR(VLOOKUP(A292,'company tracker'!$a:$s,MATCH("Jan 2025 Referring Domains",'company tracker'!$1:$1,0),FALSE()),"")</f>
        <v/>
      </c>
      <c r="H292" s="1" t="str">
        <f aca="false">IFERROR(VLOOKUP(A292,'company tracker'!$a:$s,MATCH("Jun 2026 Referring Domains",'company tracker'!$1:$1,0),FALSE()),"")</f>
        <v/>
      </c>
    </row>
    <row r="293" customFormat="false" ht="15" hidden="false" customHeight="true" outlineLevel="0" collapsed="false">
      <c r="B293" s="1" t="str">
        <f aca="false">IFERROR(VLOOKUP(A293,'company tracker'!$a:$s,MATCH("Category",'company tracker'!$1:$1,0),FALSE()),"")</f>
        <v/>
      </c>
      <c r="C293" s="1" t="str">
        <f aca="false">IFERROR(VLOOKUP(A293,'Pass 1 Archive'!$A:$AD,MATCH("LinkedIn Employee Count",'Pass 1 Archive'!$1:$1,0),FALSE()),"")</f>
        <v/>
      </c>
      <c r="D293" s="1" t="str">
        <f aca="false">IFERROR(VLOOKUP(A293,'company tracker'!$a:$s,MATCH("Jan 2025 Traffic",'company tracker'!$1:$1,0),FALSE()),"")</f>
        <v/>
      </c>
      <c r="E293" s="1" t="str">
        <f aca="false">IFERROR(VLOOKUP(A293,'company tracker'!$a:$s,MATCH("Jun 2026 Traffic",'company tracker'!$1:$1,0),FALSE()),"")</f>
        <v/>
      </c>
      <c r="F293" s="1" t="str">
        <f aca="false">IFERROR(VLOOKUP(A293,'company tracker'!$a:$s,MATCH("Traffic % Change",'company tracker'!$1:$1,0),FALSE()),"")</f>
        <v/>
      </c>
      <c r="G293" s="1" t="str">
        <f aca="false">IFERROR(VLOOKUP(A293,'company tracker'!$a:$s,MATCH("Jan 2025 Referring Domains",'company tracker'!$1:$1,0),FALSE()),"")</f>
        <v/>
      </c>
      <c r="H293" s="1" t="str">
        <f aca="false">IFERROR(VLOOKUP(A293,'company tracker'!$a:$s,MATCH("Jun 2026 Referring Domains",'company tracker'!$1:$1,0),FALSE()),"")</f>
        <v/>
      </c>
    </row>
    <row r="294" customFormat="false" ht="15" hidden="false" customHeight="true" outlineLevel="0" collapsed="false">
      <c r="B294" s="1" t="str">
        <f aca="false">IFERROR(VLOOKUP(A294,'company tracker'!$a:$s,MATCH("Category",'company tracker'!$1:$1,0),FALSE()),"")</f>
        <v/>
      </c>
      <c r="C294" s="1" t="str">
        <f aca="false">IFERROR(VLOOKUP(A294,'Pass 1 Archive'!$A:$AD,MATCH("LinkedIn Employee Count",'Pass 1 Archive'!$1:$1,0),FALSE()),"")</f>
        <v/>
      </c>
      <c r="D294" s="1" t="str">
        <f aca="false">IFERROR(VLOOKUP(A294,'company tracker'!$a:$s,MATCH("Jan 2025 Traffic",'company tracker'!$1:$1,0),FALSE()),"")</f>
        <v/>
      </c>
      <c r="E294" s="1" t="str">
        <f aca="false">IFERROR(VLOOKUP(A294,'company tracker'!$a:$s,MATCH("Jun 2026 Traffic",'company tracker'!$1:$1,0),FALSE()),"")</f>
        <v/>
      </c>
      <c r="F294" s="1" t="str">
        <f aca="false">IFERROR(VLOOKUP(A294,'company tracker'!$a:$s,MATCH("Traffic % Change",'company tracker'!$1:$1,0),FALSE()),"")</f>
        <v/>
      </c>
      <c r="G294" s="1" t="str">
        <f aca="false">IFERROR(VLOOKUP(A294,'company tracker'!$a:$s,MATCH("Jan 2025 Referring Domains",'company tracker'!$1:$1,0),FALSE()),"")</f>
        <v/>
      </c>
      <c r="H294" s="1" t="str">
        <f aca="false">IFERROR(VLOOKUP(A294,'company tracker'!$a:$s,MATCH("Jun 2026 Referring Domains",'company tracker'!$1:$1,0),FALSE()),"")</f>
        <v/>
      </c>
    </row>
    <row r="295" customFormat="false" ht="15" hidden="false" customHeight="true" outlineLevel="0" collapsed="false">
      <c r="B295" s="1" t="str">
        <f aca="false">IFERROR(VLOOKUP(A295,'company tracker'!$a:$s,MATCH("Category",'company tracker'!$1:$1,0),FALSE()),"")</f>
        <v/>
      </c>
      <c r="C295" s="1" t="str">
        <f aca="false">IFERROR(VLOOKUP(A295,'Pass 1 Archive'!$A:$AD,MATCH("LinkedIn Employee Count",'Pass 1 Archive'!$1:$1,0),FALSE()),"")</f>
        <v/>
      </c>
      <c r="D295" s="1" t="str">
        <f aca="false">IFERROR(VLOOKUP(A295,'company tracker'!$a:$s,MATCH("Jan 2025 Traffic",'company tracker'!$1:$1,0),FALSE()),"")</f>
        <v/>
      </c>
      <c r="E295" s="1" t="str">
        <f aca="false">IFERROR(VLOOKUP(A295,'company tracker'!$a:$s,MATCH("Jun 2026 Traffic",'company tracker'!$1:$1,0),FALSE()),"")</f>
        <v/>
      </c>
      <c r="F295" s="1" t="str">
        <f aca="false">IFERROR(VLOOKUP(A295,'company tracker'!$a:$s,MATCH("Traffic % Change",'company tracker'!$1:$1,0),FALSE()),"")</f>
        <v/>
      </c>
      <c r="G295" s="1" t="str">
        <f aca="false">IFERROR(VLOOKUP(A295,'company tracker'!$a:$s,MATCH("Jan 2025 Referring Domains",'company tracker'!$1:$1,0),FALSE()),"")</f>
        <v/>
      </c>
      <c r="H295" s="1" t="str">
        <f aca="false">IFERROR(VLOOKUP(A295,'company tracker'!$a:$s,MATCH("Jun 2026 Referring Domains",'company tracker'!$1:$1,0),FALSE()),"")</f>
        <v/>
      </c>
    </row>
    <row r="296" customFormat="false" ht="15" hidden="false" customHeight="true" outlineLevel="0" collapsed="false">
      <c r="B296" s="1" t="str">
        <f aca="false">IFERROR(VLOOKUP(A296,'company tracker'!$a:$s,MATCH("Category",'company tracker'!$1:$1,0),FALSE()),"")</f>
        <v/>
      </c>
      <c r="C296" s="1" t="str">
        <f aca="false">IFERROR(VLOOKUP(A296,'Pass 1 Archive'!$A:$AD,MATCH("LinkedIn Employee Count",'Pass 1 Archive'!$1:$1,0),FALSE()),"")</f>
        <v/>
      </c>
      <c r="D296" s="1" t="str">
        <f aca="false">IFERROR(VLOOKUP(A296,'company tracker'!$a:$s,MATCH("Jan 2025 Traffic",'company tracker'!$1:$1,0),FALSE()),"")</f>
        <v/>
      </c>
      <c r="E296" s="1" t="str">
        <f aca="false">IFERROR(VLOOKUP(A296,'company tracker'!$a:$s,MATCH("Jun 2026 Traffic",'company tracker'!$1:$1,0),FALSE()),"")</f>
        <v/>
      </c>
      <c r="F296" s="1" t="str">
        <f aca="false">IFERROR(VLOOKUP(A296,'company tracker'!$a:$s,MATCH("Traffic % Change",'company tracker'!$1:$1,0),FALSE()),"")</f>
        <v/>
      </c>
      <c r="G296" s="1" t="str">
        <f aca="false">IFERROR(VLOOKUP(A296,'company tracker'!$a:$s,MATCH("Jan 2025 Referring Domains",'company tracker'!$1:$1,0),FALSE()),"")</f>
        <v/>
      </c>
      <c r="H296" s="1" t="str">
        <f aca="false">IFERROR(VLOOKUP(A296,'company tracker'!$a:$s,MATCH("Jun 2026 Referring Domains",'company tracker'!$1:$1,0),FALSE()),"")</f>
        <v/>
      </c>
    </row>
    <row r="297" customFormat="false" ht="15" hidden="false" customHeight="true" outlineLevel="0" collapsed="false">
      <c r="B297" s="1" t="str">
        <f aca="false">IFERROR(VLOOKUP(A297,'company tracker'!$a:$s,MATCH("Category",'company tracker'!$1:$1,0),FALSE()),"")</f>
        <v/>
      </c>
      <c r="C297" s="1" t="str">
        <f aca="false">IFERROR(VLOOKUP(A297,'Pass 1 Archive'!$A:$AD,MATCH("LinkedIn Employee Count",'Pass 1 Archive'!$1:$1,0),FALSE()),"")</f>
        <v/>
      </c>
      <c r="D297" s="1" t="str">
        <f aca="false">IFERROR(VLOOKUP(A297,'company tracker'!$a:$s,MATCH("Jan 2025 Traffic",'company tracker'!$1:$1,0),FALSE()),"")</f>
        <v/>
      </c>
      <c r="E297" s="1" t="str">
        <f aca="false">IFERROR(VLOOKUP(A297,'company tracker'!$a:$s,MATCH("Jun 2026 Traffic",'company tracker'!$1:$1,0),FALSE()),"")</f>
        <v/>
      </c>
      <c r="F297" s="1" t="str">
        <f aca="false">IFERROR(VLOOKUP(A297,'company tracker'!$a:$s,MATCH("Traffic % Change",'company tracker'!$1:$1,0),FALSE()),"")</f>
        <v/>
      </c>
      <c r="G297" s="1" t="str">
        <f aca="false">IFERROR(VLOOKUP(A297,'company tracker'!$a:$s,MATCH("Jan 2025 Referring Domains",'company tracker'!$1:$1,0),FALSE()),"")</f>
        <v/>
      </c>
      <c r="H297" s="1" t="str">
        <f aca="false">IFERROR(VLOOKUP(A297,'company tracker'!$a:$s,MATCH("Jun 2026 Referring Domains",'company tracker'!$1:$1,0),FALSE()),"")</f>
        <v/>
      </c>
    </row>
    <row r="298" customFormat="false" ht="15" hidden="false" customHeight="true" outlineLevel="0" collapsed="false">
      <c r="B298" s="1" t="str">
        <f aca="false">IFERROR(VLOOKUP(A298,'company tracker'!$a:$s,MATCH("Category",'company tracker'!$1:$1,0),FALSE()),"")</f>
        <v/>
      </c>
      <c r="C298" s="1" t="str">
        <f aca="false">IFERROR(VLOOKUP(A298,'Pass 1 Archive'!$A:$AD,MATCH("LinkedIn Employee Count",'Pass 1 Archive'!$1:$1,0),FALSE()),"")</f>
        <v/>
      </c>
      <c r="D298" s="1" t="str">
        <f aca="false">IFERROR(VLOOKUP(A298,'company tracker'!$a:$s,MATCH("Jan 2025 Traffic",'company tracker'!$1:$1,0),FALSE()),"")</f>
        <v/>
      </c>
      <c r="E298" s="1" t="str">
        <f aca="false">IFERROR(VLOOKUP(A298,'company tracker'!$a:$s,MATCH("Jun 2026 Traffic",'company tracker'!$1:$1,0),FALSE()),"")</f>
        <v/>
      </c>
      <c r="F298" s="1" t="str">
        <f aca="false">IFERROR(VLOOKUP(A298,'company tracker'!$a:$s,MATCH("Traffic % Change",'company tracker'!$1:$1,0),FALSE()),"")</f>
        <v/>
      </c>
      <c r="G298" s="1" t="str">
        <f aca="false">IFERROR(VLOOKUP(A298,'company tracker'!$a:$s,MATCH("Jan 2025 Referring Domains",'company tracker'!$1:$1,0),FALSE()),"")</f>
        <v/>
      </c>
      <c r="H298" s="1" t="str">
        <f aca="false">IFERROR(VLOOKUP(A298,'company tracker'!$a:$s,MATCH("Jun 2026 Referring Domains",'company tracker'!$1:$1,0),FALSE()),"")</f>
        <v/>
      </c>
    </row>
    <row r="299" customFormat="false" ht="15" hidden="false" customHeight="true" outlineLevel="0" collapsed="false">
      <c r="B299" s="1" t="str">
        <f aca="false">IFERROR(VLOOKUP(A299,'company tracker'!$a:$s,MATCH("Category",'company tracker'!$1:$1,0),FALSE()),"")</f>
        <v/>
      </c>
      <c r="C299" s="1" t="str">
        <f aca="false">IFERROR(VLOOKUP(A299,'Pass 1 Archive'!$A:$AD,MATCH("LinkedIn Employee Count",'Pass 1 Archive'!$1:$1,0),FALSE()),"")</f>
        <v/>
      </c>
      <c r="D299" s="1" t="str">
        <f aca="false">IFERROR(VLOOKUP(A299,'company tracker'!$a:$s,MATCH("Jan 2025 Traffic",'company tracker'!$1:$1,0),FALSE()),"")</f>
        <v/>
      </c>
      <c r="E299" s="1" t="str">
        <f aca="false">IFERROR(VLOOKUP(A299,'company tracker'!$a:$s,MATCH("Jun 2026 Traffic",'company tracker'!$1:$1,0),FALSE()),"")</f>
        <v/>
      </c>
      <c r="F299" s="1" t="str">
        <f aca="false">IFERROR(VLOOKUP(A299,'company tracker'!$a:$s,MATCH("Traffic % Change",'company tracker'!$1:$1,0),FALSE()),"")</f>
        <v/>
      </c>
      <c r="G299" s="1" t="str">
        <f aca="false">IFERROR(VLOOKUP(A299,'company tracker'!$a:$s,MATCH("Jan 2025 Referring Domains",'company tracker'!$1:$1,0),FALSE()),"")</f>
        <v/>
      </c>
      <c r="H299" s="1" t="str">
        <f aca="false">IFERROR(VLOOKUP(A299,'company tracker'!$a:$s,MATCH("Jun 2026 Referring Domains",'company tracker'!$1:$1,0),FALSE()),"")</f>
        <v/>
      </c>
    </row>
    <row r="300" customFormat="false" ht="15" hidden="false" customHeight="true" outlineLevel="0" collapsed="false">
      <c r="B300" s="1" t="str">
        <f aca="false">IFERROR(VLOOKUP(A300,'company tracker'!$a:$s,MATCH("Category",'company tracker'!$1:$1,0),FALSE()),"")</f>
        <v/>
      </c>
      <c r="C300" s="1" t="str">
        <f aca="false">IFERROR(VLOOKUP(A300,'Pass 1 Archive'!$A:$AD,MATCH("LinkedIn Employee Count",'Pass 1 Archive'!$1:$1,0),FALSE()),"")</f>
        <v/>
      </c>
      <c r="D300" s="1" t="str">
        <f aca="false">IFERROR(VLOOKUP(A300,'company tracker'!$a:$s,MATCH("Jan 2025 Traffic",'company tracker'!$1:$1,0),FALSE()),"")</f>
        <v/>
      </c>
      <c r="E300" s="1" t="str">
        <f aca="false">IFERROR(VLOOKUP(A300,'company tracker'!$a:$s,MATCH("Jun 2026 Traffic",'company tracker'!$1:$1,0),FALSE()),"")</f>
        <v/>
      </c>
      <c r="F300" s="1" t="str">
        <f aca="false">IFERROR(VLOOKUP(A300,'company tracker'!$a:$s,MATCH("Traffic % Change",'company tracker'!$1:$1,0),FALSE()),"")</f>
        <v/>
      </c>
      <c r="G300" s="1" t="str">
        <f aca="false">IFERROR(VLOOKUP(A300,'company tracker'!$a:$s,MATCH("Jan 2025 Referring Domains",'company tracker'!$1:$1,0),FALSE()),"")</f>
        <v/>
      </c>
      <c r="H300" s="1" t="str">
        <f aca="false">IFERROR(VLOOKUP(A300,'company tracker'!$a:$s,MATCH("Jun 2026 Referring Domains",'company tracker'!$1:$1,0),FALSE()),"")</f>
        <v/>
      </c>
    </row>
    <row r="301" customFormat="false" ht="15" hidden="false" customHeight="true" outlineLevel="0" collapsed="false">
      <c r="B301" s="1" t="str">
        <f aca="false">IFERROR(VLOOKUP(A301,'company tracker'!$a:$s,MATCH("Category",'company tracker'!$1:$1,0),FALSE()),"")</f>
        <v/>
      </c>
      <c r="C301" s="1" t="str">
        <f aca="false">IFERROR(VLOOKUP(A301,'Pass 1 Archive'!$A:$AD,MATCH("LinkedIn Employee Count",'Pass 1 Archive'!$1:$1,0),FALSE()),"")</f>
        <v/>
      </c>
      <c r="D301" s="1" t="str">
        <f aca="false">IFERROR(VLOOKUP(A301,'company tracker'!$a:$s,MATCH("Jan 2025 Traffic",'company tracker'!$1:$1,0),FALSE()),"")</f>
        <v/>
      </c>
      <c r="E301" s="1" t="str">
        <f aca="false">IFERROR(VLOOKUP(A301,'company tracker'!$a:$s,MATCH("Jun 2026 Traffic",'company tracker'!$1:$1,0),FALSE()),"")</f>
        <v/>
      </c>
      <c r="F301" s="1" t="str">
        <f aca="false">IFERROR(VLOOKUP(A301,'company tracker'!$a:$s,MATCH("Traffic % Change",'company tracker'!$1:$1,0),FALSE()),"")</f>
        <v/>
      </c>
      <c r="G301" s="1" t="str">
        <f aca="false">IFERROR(VLOOKUP(A301,'company tracker'!$a:$s,MATCH("Jan 2025 Referring Domains",'company tracker'!$1:$1,0),FALSE()),"")</f>
        <v/>
      </c>
      <c r="H301" s="1" t="str">
        <f aca="false">IFERROR(VLOOKUP(A301,'company tracker'!$a:$s,MATCH("Jun 2026 Referring Domains",'company tracker'!$1:$1,0),FALSE()),"")</f>
        <v/>
      </c>
    </row>
    <row r="302" customFormat="false" ht="15" hidden="false" customHeight="true" outlineLevel="0" collapsed="false">
      <c r="B302" s="1" t="str">
        <f aca="false">IFERROR(VLOOKUP(A302,'company tracker'!$a:$s,MATCH("Category",'company tracker'!$1:$1,0),FALSE()),"")</f>
        <v/>
      </c>
      <c r="C302" s="1" t="str">
        <f aca="false">IFERROR(VLOOKUP(A302,'Pass 1 Archive'!$A:$AD,MATCH("LinkedIn Employee Count",'Pass 1 Archive'!$1:$1,0),FALSE()),"")</f>
        <v/>
      </c>
      <c r="D302" s="1" t="str">
        <f aca="false">IFERROR(VLOOKUP(A302,'company tracker'!$a:$s,MATCH("Jan 2025 Traffic",'company tracker'!$1:$1,0),FALSE()),"")</f>
        <v/>
      </c>
      <c r="E302" s="1" t="str">
        <f aca="false">IFERROR(VLOOKUP(A302,'company tracker'!$a:$s,MATCH("Jun 2026 Traffic",'company tracker'!$1:$1,0),FALSE()),"")</f>
        <v/>
      </c>
      <c r="F302" s="1" t="str">
        <f aca="false">IFERROR(VLOOKUP(A302,'company tracker'!$a:$s,MATCH("Traffic % Change",'company tracker'!$1:$1,0),FALSE()),"")</f>
        <v/>
      </c>
      <c r="G302" s="1" t="str">
        <f aca="false">IFERROR(VLOOKUP(A302,'company tracker'!$a:$s,MATCH("Jan 2025 Referring Domains",'company tracker'!$1:$1,0),FALSE()),"")</f>
        <v/>
      </c>
      <c r="H302" s="1" t="str">
        <f aca="false">IFERROR(VLOOKUP(A302,'company tracker'!$a:$s,MATCH("Jun 2026 Referring Domains",'company tracker'!$1:$1,0),FALSE()),"")</f>
        <v/>
      </c>
    </row>
    <row r="303" customFormat="false" ht="15" hidden="false" customHeight="true" outlineLevel="0" collapsed="false">
      <c r="B303" s="1" t="str">
        <f aca="false">IFERROR(VLOOKUP(A303,'company tracker'!$a:$s,MATCH("Category",'company tracker'!$1:$1,0),FALSE()),"")</f>
        <v/>
      </c>
      <c r="C303" s="1" t="str">
        <f aca="false">IFERROR(VLOOKUP(A303,'Pass 1 Archive'!$A:$AD,MATCH("LinkedIn Employee Count",'Pass 1 Archive'!$1:$1,0),FALSE()),"")</f>
        <v/>
      </c>
      <c r="D303" s="1" t="str">
        <f aca="false">IFERROR(VLOOKUP(A303,'company tracker'!$a:$s,MATCH("Jan 2025 Traffic",'company tracker'!$1:$1,0),FALSE()),"")</f>
        <v/>
      </c>
      <c r="E303" s="1" t="str">
        <f aca="false">IFERROR(VLOOKUP(A303,'company tracker'!$a:$s,MATCH("Jun 2026 Traffic",'company tracker'!$1:$1,0),FALSE()),"")</f>
        <v/>
      </c>
      <c r="F303" s="1" t="str">
        <f aca="false">IFERROR(VLOOKUP(A303,'company tracker'!$a:$s,MATCH("Traffic % Change",'company tracker'!$1:$1,0),FALSE()),"")</f>
        <v/>
      </c>
      <c r="G303" s="1" t="str">
        <f aca="false">IFERROR(VLOOKUP(A303,'company tracker'!$a:$s,MATCH("Jan 2025 Referring Domains",'company tracker'!$1:$1,0),FALSE()),"")</f>
        <v/>
      </c>
      <c r="H303" s="1" t="str">
        <f aca="false">IFERROR(VLOOKUP(A303,'company tracker'!$a:$s,MATCH("Jun 2026 Referring Domains",'company tracker'!$1:$1,0),FALSE()),"")</f>
        <v/>
      </c>
    </row>
    <row r="304" customFormat="false" ht="15" hidden="false" customHeight="true" outlineLevel="0" collapsed="false">
      <c r="B304" s="1" t="str">
        <f aca="false">IFERROR(VLOOKUP(A304,'company tracker'!$a:$s,MATCH("Category",'company tracker'!$1:$1,0),FALSE()),"")</f>
        <v/>
      </c>
      <c r="C304" s="1" t="str">
        <f aca="false">IFERROR(VLOOKUP(A304,'Pass 1 Archive'!$A:$AD,MATCH("LinkedIn Employee Count",'Pass 1 Archive'!$1:$1,0),FALSE()),"")</f>
        <v/>
      </c>
      <c r="D304" s="1" t="str">
        <f aca="false">IFERROR(VLOOKUP(A304,'company tracker'!$a:$s,MATCH("Jan 2025 Traffic",'company tracker'!$1:$1,0),FALSE()),"")</f>
        <v/>
      </c>
      <c r="E304" s="1" t="str">
        <f aca="false">IFERROR(VLOOKUP(A304,'company tracker'!$a:$s,MATCH("Jun 2026 Traffic",'company tracker'!$1:$1,0),FALSE()),"")</f>
        <v/>
      </c>
      <c r="F304" s="1" t="str">
        <f aca="false">IFERROR(VLOOKUP(A304,'company tracker'!$a:$s,MATCH("Traffic % Change",'company tracker'!$1:$1,0),FALSE()),"")</f>
        <v/>
      </c>
      <c r="G304" s="1" t="str">
        <f aca="false">IFERROR(VLOOKUP(A304,'company tracker'!$a:$s,MATCH("Jan 2025 Referring Domains",'company tracker'!$1:$1,0),FALSE()),"")</f>
        <v/>
      </c>
      <c r="H304" s="1" t="str">
        <f aca="false">IFERROR(VLOOKUP(A304,'company tracker'!$a:$s,MATCH("Jun 2026 Referring Domains",'company tracker'!$1:$1,0),FALSE()),"")</f>
        <v/>
      </c>
    </row>
    <row r="305" customFormat="false" ht="15" hidden="false" customHeight="true" outlineLevel="0" collapsed="false">
      <c r="B305" s="1" t="str">
        <f aca="false">IFERROR(VLOOKUP(A305,'company tracker'!$a:$s,MATCH("Category",'company tracker'!$1:$1,0),FALSE()),"")</f>
        <v/>
      </c>
      <c r="C305" s="1" t="str">
        <f aca="false">IFERROR(VLOOKUP(A305,'Pass 1 Archive'!$A:$AD,MATCH("LinkedIn Employee Count",'Pass 1 Archive'!$1:$1,0),FALSE()),"")</f>
        <v/>
      </c>
      <c r="D305" s="1" t="str">
        <f aca="false">IFERROR(VLOOKUP(A305,'company tracker'!$a:$s,MATCH("Jan 2025 Traffic",'company tracker'!$1:$1,0),FALSE()),"")</f>
        <v/>
      </c>
      <c r="E305" s="1" t="str">
        <f aca="false">IFERROR(VLOOKUP(A305,'company tracker'!$a:$s,MATCH("Jun 2026 Traffic",'company tracker'!$1:$1,0),FALSE()),"")</f>
        <v/>
      </c>
      <c r="F305" s="1" t="str">
        <f aca="false">IFERROR(VLOOKUP(A305,'company tracker'!$a:$s,MATCH("Traffic % Change",'company tracker'!$1:$1,0),FALSE()),"")</f>
        <v/>
      </c>
      <c r="G305" s="1" t="str">
        <f aca="false">IFERROR(VLOOKUP(A305,'company tracker'!$a:$s,MATCH("Jan 2025 Referring Domains",'company tracker'!$1:$1,0),FALSE()),"")</f>
        <v/>
      </c>
      <c r="H305" s="1" t="str">
        <f aca="false">IFERROR(VLOOKUP(A305,'company tracker'!$a:$s,MATCH("Jun 2026 Referring Domains",'company tracker'!$1:$1,0),FALSE()),"")</f>
        <v/>
      </c>
    </row>
    <row r="306" customFormat="false" ht="15" hidden="false" customHeight="true" outlineLevel="0" collapsed="false">
      <c r="B306" s="1" t="str">
        <f aca="false">IFERROR(VLOOKUP(A306,'company tracker'!$a:$s,MATCH("Category",'company tracker'!$1:$1,0),FALSE()),"")</f>
        <v/>
      </c>
      <c r="C306" s="1" t="str">
        <f aca="false">IFERROR(VLOOKUP(A306,'Pass 1 Archive'!$A:$AD,MATCH("LinkedIn Employee Count",'Pass 1 Archive'!$1:$1,0),FALSE()),"")</f>
        <v/>
      </c>
      <c r="D306" s="1" t="str">
        <f aca="false">IFERROR(VLOOKUP(A306,'company tracker'!$a:$s,MATCH("Jan 2025 Traffic",'company tracker'!$1:$1,0),FALSE()),"")</f>
        <v/>
      </c>
      <c r="E306" s="1" t="str">
        <f aca="false">IFERROR(VLOOKUP(A306,'company tracker'!$a:$s,MATCH("Jun 2026 Traffic",'company tracker'!$1:$1,0),FALSE()),"")</f>
        <v/>
      </c>
      <c r="F306" s="1" t="str">
        <f aca="false">IFERROR(VLOOKUP(A306,'company tracker'!$a:$s,MATCH("Traffic % Change",'company tracker'!$1:$1,0),FALSE()),"")</f>
        <v/>
      </c>
      <c r="G306" s="1" t="str">
        <f aca="false">IFERROR(VLOOKUP(A306,'company tracker'!$a:$s,MATCH("Jan 2025 Referring Domains",'company tracker'!$1:$1,0),FALSE()),"")</f>
        <v/>
      </c>
      <c r="H306" s="1" t="str">
        <f aca="false">IFERROR(VLOOKUP(A306,'company tracker'!$a:$s,MATCH("Jun 2026 Referring Domains",'company tracker'!$1:$1,0),FALSE()),"")</f>
        <v/>
      </c>
    </row>
    <row r="307" customFormat="false" ht="15" hidden="false" customHeight="true" outlineLevel="0" collapsed="false">
      <c r="B307" s="1" t="str">
        <f aca="false">IFERROR(VLOOKUP(A307,'company tracker'!$a:$s,MATCH("Category",'company tracker'!$1:$1,0),FALSE()),"")</f>
        <v/>
      </c>
      <c r="C307" s="1" t="str">
        <f aca="false">IFERROR(VLOOKUP(A307,'Pass 1 Archive'!$A:$AD,MATCH("LinkedIn Employee Count",'Pass 1 Archive'!$1:$1,0),FALSE()),"")</f>
        <v/>
      </c>
      <c r="D307" s="1" t="str">
        <f aca="false">IFERROR(VLOOKUP(A307,'company tracker'!$a:$s,MATCH("Jan 2025 Traffic",'company tracker'!$1:$1,0),FALSE()),"")</f>
        <v/>
      </c>
      <c r="E307" s="1" t="str">
        <f aca="false">IFERROR(VLOOKUP(A307,'company tracker'!$a:$s,MATCH("Jun 2026 Traffic",'company tracker'!$1:$1,0),FALSE()),"")</f>
        <v/>
      </c>
      <c r="F307" s="1" t="str">
        <f aca="false">IFERROR(VLOOKUP(A307,'company tracker'!$a:$s,MATCH("Traffic % Change",'company tracker'!$1:$1,0),FALSE()),"")</f>
        <v/>
      </c>
      <c r="G307" s="1" t="str">
        <f aca="false">IFERROR(VLOOKUP(A307,'company tracker'!$a:$s,MATCH("Jan 2025 Referring Domains",'company tracker'!$1:$1,0),FALSE()),"")</f>
        <v/>
      </c>
      <c r="H307" s="1" t="str">
        <f aca="false">IFERROR(VLOOKUP(A307,'company tracker'!$a:$s,MATCH("Jun 2026 Referring Domains",'company tracker'!$1:$1,0),FALSE()),"")</f>
        <v/>
      </c>
    </row>
    <row r="308" customFormat="false" ht="15" hidden="false" customHeight="true" outlineLevel="0" collapsed="false">
      <c r="B308" s="1" t="str">
        <f aca="false">IFERROR(VLOOKUP(A308,'company tracker'!$a:$s,MATCH("Category",'company tracker'!$1:$1,0),FALSE()),"")</f>
        <v/>
      </c>
      <c r="C308" s="1" t="str">
        <f aca="false">IFERROR(VLOOKUP(A308,'Pass 1 Archive'!$A:$AD,MATCH("LinkedIn Employee Count",'Pass 1 Archive'!$1:$1,0),FALSE()),"")</f>
        <v/>
      </c>
      <c r="D308" s="1" t="str">
        <f aca="false">IFERROR(VLOOKUP(A308,'company tracker'!$a:$s,MATCH("Jan 2025 Traffic",'company tracker'!$1:$1,0),FALSE()),"")</f>
        <v/>
      </c>
      <c r="E308" s="1" t="str">
        <f aca="false">IFERROR(VLOOKUP(A308,'company tracker'!$a:$s,MATCH("Jun 2026 Traffic",'company tracker'!$1:$1,0),FALSE()),"")</f>
        <v/>
      </c>
      <c r="F308" s="1" t="str">
        <f aca="false">IFERROR(VLOOKUP(A308,'company tracker'!$a:$s,MATCH("Traffic % Change",'company tracker'!$1:$1,0),FALSE()),"")</f>
        <v/>
      </c>
      <c r="G308" s="1" t="str">
        <f aca="false">IFERROR(VLOOKUP(A308,'company tracker'!$a:$s,MATCH("Jan 2025 Referring Domains",'company tracker'!$1:$1,0),FALSE()),"")</f>
        <v/>
      </c>
      <c r="H308" s="1" t="str">
        <f aca="false">IFERROR(VLOOKUP(A308,'company tracker'!$a:$s,MATCH("Jun 2026 Referring Domains",'company tracker'!$1:$1,0),FALSE()),"")</f>
        <v/>
      </c>
    </row>
    <row r="309" customFormat="false" ht="15" hidden="false" customHeight="true" outlineLevel="0" collapsed="false">
      <c r="B309" s="1" t="str">
        <f aca="false">IFERROR(VLOOKUP(A309,'company tracker'!$a:$s,MATCH("Category",'company tracker'!$1:$1,0),FALSE()),"")</f>
        <v/>
      </c>
      <c r="C309" s="1" t="str">
        <f aca="false">IFERROR(VLOOKUP(A309,'Pass 1 Archive'!$A:$AD,MATCH("LinkedIn Employee Count",'Pass 1 Archive'!$1:$1,0),FALSE()),"")</f>
        <v/>
      </c>
      <c r="D309" s="1" t="str">
        <f aca="false">IFERROR(VLOOKUP(A309,'company tracker'!$a:$s,MATCH("Jan 2025 Traffic",'company tracker'!$1:$1,0),FALSE()),"")</f>
        <v/>
      </c>
      <c r="E309" s="1" t="str">
        <f aca="false">IFERROR(VLOOKUP(A309,'company tracker'!$a:$s,MATCH("Jun 2026 Traffic",'company tracker'!$1:$1,0),FALSE()),"")</f>
        <v/>
      </c>
      <c r="F309" s="1" t="str">
        <f aca="false">IFERROR(VLOOKUP(A309,'company tracker'!$a:$s,MATCH("Traffic % Change",'company tracker'!$1:$1,0),FALSE()),"")</f>
        <v/>
      </c>
      <c r="G309" s="1" t="str">
        <f aca="false">IFERROR(VLOOKUP(A309,'company tracker'!$a:$s,MATCH("Jan 2025 Referring Domains",'company tracker'!$1:$1,0),FALSE()),"")</f>
        <v/>
      </c>
      <c r="H309" s="1" t="str">
        <f aca="false">IFERROR(VLOOKUP(A309,'company tracker'!$a:$s,MATCH("Jun 2026 Referring Domains",'company tracker'!$1:$1,0),FALSE()),"")</f>
        <v/>
      </c>
    </row>
    <row r="310" customFormat="false" ht="15" hidden="false" customHeight="true" outlineLevel="0" collapsed="false">
      <c r="B310" s="1" t="str">
        <f aca="false">IFERROR(VLOOKUP(A310,'company tracker'!$a:$s,MATCH("Category",'company tracker'!$1:$1,0),FALSE()),"")</f>
        <v/>
      </c>
      <c r="C310" s="1" t="str">
        <f aca="false">IFERROR(VLOOKUP(A310,'Pass 1 Archive'!$A:$AD,MATCH("LinkedIn Employee Count",'Pass 1 Archive'!$1:$1,0),FALSE()),"")</f>
        <v/>
      </c>
      <c r="D310" s="1" t="str">
        <f aca="false">IFERROR(VLOOKUP(A310,'company tracker'!$a:$s,MATCH("Jan 2025 Traffic",'company tracker'!$1:$1,0),FALSE()),"")</f>
        <v/>
      </c>
      <c r="E310" s="1" t="str">
        <f aca="false">IFERROR(VLOOKUP(A310,'company tracker'!$a:$s,MATCH("Jun 2026 Traffic",'company tracker'!$1:$1,0),FALSE()),"")</f>
        <v/>
      </c>
      <c r="F310" s="1" t="str">
        <f aca="false">IFERROR(VLOOKUP(A310,'company tracker'!$a:$s,MATCH("Traffic % Change",'company tracker'!$1:$1,0),FALSE()),"")</f>
        <v/>
      </c>
      <c r="G310" s="1" t="str">
        <f aca="false">IFERROR(VLOOKUP(A310,'company tracker'!$a:$s,MATCH("Jan 2025 Referring Domains",'company tracker'!$1:$1,0),FALSE()),"")</f>
        <v/>
      </c>
      <c r="H310" s="1" t="str">
        <f aca="false">IFERROR(VLOOKUP(A310,'company tracker'!$a:$s,MATCH("Jun 2026 Referring Domains",'company tracker'!$1:$1,0),FALSE()),"")</f>
        <v/>
      </c>
    </row>
    <row r="311" customFormat="false" ht="15" hidden="false" customHeight="true" outlineLevel="0" collapsed="false">
      <c r="B311" s="1" t="str">
        <f aca="false">IFERROR(VLOOKUP(A311,'company tracker'!$a:$s,MATCH("Category",'company tracker'!$1:$1,0),FALSE()),"")</f>
        <v/>
      </c>
      <c r="C311" s="1" t="str">
        <f aca="false">IFERROR(VLOOKUP(A311,'Pass 1 Archive'!$A:$AD,MATCH("LinkedIn Employee Count",'Pass 1 Archive'!$1:$1,0),FALSE()),"")</f>
        <v/>
      </c>
      <c r="D311" s="1" t="str">
        <f aca="false">IFERROR(VLOOKUP(A311,'company tracker'!$a:$s,MATCH("Jan 2025 Traffic",'company tracker'!$1:$1,0),FALSE()),"")</f>
        <v/>
      </c>
      <c r="E311" s="1" t="str">
        <f aca="false">IFERROR(VLOOKUP(A311,'company tracker'!$a:$s,MATCH("Jun 2026 Traffic",'company tracker'!$1:$1,0),FALSE()),"")</f>
        <v/>
      </c>
      <c r="F311" s="1" t="str">
        <f aca="false">IFERROR(VLOOKUP(A311,'company tracker'!$a:$s,MATCH("Traffic % Change",'company tracker'!$1:$1,0),FALSE()),"")</f>
        <v/>
      </c>
      <c r="G311" s="1" t="str">
        <f aca="false">IFERROR(VLOOKUP(A311,'company tracker'!$a:$s,MATCH("Jan 2025 Referring Domains",'company tracker'!$1:$1,0),FALSE()),"")</f>
        <v/>
      </c>
      <c r="H311" s="1" t="str">
        <f aca="false">IFERROR(VLOOKUP(A311,'company tracker'!$a:$s,MATCH("Jun 2026 Referring Domains",'company tracker'!$1:$1,0),FALSE()),"")</f>
        <v/>
      </c>
    </row>
    <row r="312" customFormat="false" ht="15" hidden="false" customHeight="true" outlineLevel="0" collapsed="false">
      <c r="B312" s="1" t="str">
        <f aca="false">IFERROR(VLOOKUP(A312,'company tracker'!$a:$s,MATCH("Category",'company tracker'!$1:$1,0),FALSE()),"")</f>
        <v/>
      </c>
      <c r="C312" s="1" t="str">
        <f aca="false">IFERROR(VLOOKUP(A312,'Pass 1 Archive'!$A:$AD,MATCH("LinkedIn Employee Count",'Pass 1 Archive'!$1:$1,0),FALSE()),"")</f>
        <v/>
      </c>
      <c r="D312" s="1" t="str">
        <f aca="false">IFERROR(VLOOKUP(A312,'company tracker'!$a:$s,MATCH("Jan 2025 Traffic",'company tracker'!$1:$1,0),FALSE()),"")</f>
        <v/>
      </c>
      <c r="E312" s="1" t="str">
        <f aca="false">IFERROR(VLOOKUP(A312,'company tracker'!$a:$s,MATCH("Jun 2026 Traffic",'company tracker'!$1:$1,0),FALSE()),"")</f>
        <v/>
      </c>
      <c r="F312" s="1" t="str">
        <f aca="false">IFERROR(VLOOKUP(A312,'company tracker'!$a:$s,MATCH("Traffic % Change",'company tracker'!$1:$1,0),FALSE()),"")</f>
        <v/>
      </c>
      <c r="G312" s="1" t="str">
        <f aca="false">IFERROR(VLOOKUP(A312,'company tracker'!$a:$s,MATCH("Jan 2025 Referring Domains",'company tracker'!$1:$1,0),FALSE()),"")</f>
        <v/>
      </c>
      <c r="H312" s="1" t="str">
        <f aca="false">IFERROR(VLOOKUP(A312,'company tracker'!$a:$s,MATCH("Jun 2026 Referring Domains",'company tracker'!$1:$1,0),FALSE()),"")</f>
        <v/>
      </c>
    </row>
    <row r="313" customFormat="false" ht="15" hidden="false" customHeight="true" outlineLevel="0" collapsed="false">
      <c r="B313" s="1" t="str">
        <f aca="false">IFERROR(VLOOKUP(A313,'company tracker'!$a:$s,MATCH("Category",'company tracker'!$1:$1,0),FALSE()),"")</f>
        <v/>
      </c>
      <c r="C313" s="1" t="str">
        <f aca="false">IFERROR(VLOOKUP(A313,'Pass 1 Archive'!$A:$AD,MATCH("LinkedIn Employee Count",'Pass 1 Archive'!$1:$1,0),FALSE()),"")</f>
        <v/>
      </c>
      <c r="D313" s="1" t="str">
        <f aca="false">IFERROR(VLOOKUP(A313,'company tracker'!$a:$s,MATCH("Jan 2025 Traffic",'company tracker'!$1:$1,0),FALSE()),"")</f>
        <v/>
      </c>
      <c r="E313" s="1" t="str">
        <f aca="false">IFERROR(VLOOKUP(A313,'company tracker'!$a:$s,MATCH("Jun 2026 Traffic",'company tracker'!$1:$1,0),FALSE()),"")</f>
        <v/>
      </c>
      <c r="F313" s="1" t="str">
        <f aca="false">IFERROR(VLOOKUP(A313,'company tracker'!$a:$s,MATCH("Traffic % Change",'company tracker'!$1:$1,0),FALSE()),"")</f>
        <v/>
      </c>
      <c r="G313" s="1" t="str">
        <f aca="false">IFERROR(VLOOKUP(A313,'company tracker'!$a:$s,MATCH("Jan 2025 Referring Domains",'company tracker'!$1:$1,0),FALSE()),"")</f>
        <v/>
      </c>
      <c r="H313" s="1" t="str">
        <f aca="false">IFERROR(VLOOKUP(A313,'company tracker'!$a:$s,MATCH("Jun 2026 Referring Domains",'company tracker'!$1:$1,0),FALSE()),"")</f>
        <v/>
      </c>
    </row>
    <row r="314" customFormat="false" ht="15" hidden="false" customHeight="true" outlineLevel="0" collapsed="false">
      <c r="B314" s="1" t="str">
        <f aca="false">IFERROR(VLOOKUP(A314,'company tracker'!$a:$s,MATCH("Category",'company tracker'!$1:$1,0),FALSE()),"")</f>
        <v/>
      </c>
      <c r="C314" s="1" t="str">
        <f aca="false">IFERROR(VLOOKUP(A314,'Pass 1 Archive'!$A:$AD,MATCH("LinkedIn Employee Count",'Pass 1 Archive'!$1:$1,0),FALSE()),"")</f>
        <v/>
      </c>
      <c r="D314" s="1" t="str">
        <f aca="false">IFERROR(VLOOKUP(A314,'company tracker'!$a:$s,MATCH("Jan 2025 Traffic",'company tracker'!$1:$1,0),FALSE()),"")</f>
        <v/>
      </c>
      <c r="E314" s="1" t="str">
        <f aca="false">IFERROR(VLOOKUP(A314,'company tracker'!$a:$s,MATCH("Jun 2026 Traffic",'company tracker'!$1:$1,0),FALSE()),"")</f>
        <v/>
      </c>
      <c r="F314" s="1" t="str">
        <f aca="false">IFERROR(VLOOKUP(A314,'company tracker'!$a:$s,MATCH("Traffic % Change",'company tracker'!$1:$1,0),FALSE()),"")</f>
        <v/>
      </c>
      <c r="G314" s="1" t="str">
        <f aca="false">IFERROR(VLOOKUP(A314,'company tracker'!$a:$s,MATCH("Jan 2025 Referring Domains",'company tracker'!$1:$1,0),FALSE()),"")</f>
        <v/>
      </c>
      <c r="H314" s="1" t="str">
        <f aca="false">IFERROR(VLOOKUP(A314,'company tracker'!$a:$s,MATCH("Jun 2026 Referring Domains",'company tracker'!$1:$1,0),FALSE()),"")</f>
        <v/>
      </c>
    </row>
    <row r="315" customFormat="false" ht="15" hidden="false" customHeight="true" outlineLevel="0" collapsed="false">
      <c r="B315" s="1" t="str">
        <f aca="false">IFERROR(VLOOKUP(A315,'company tracker'!$a:$s,MATCH("Category",'company tracker'!$1:$1,0),FALSE()),"")</f>
        <v/>
      </c>
      <c r="C315" s="1" t="str">
        <f aca="false">IFERROR(VLOOKUP(A315,'Pass 1 Archive'!$A:$AD,MATCH("LinkedIn Employee Count",'Pass 1 Archive'!$1:$1,0),FALSE()),"")</f>
        <v/>
      </c>
      <c r="D315" s="1" t="str">
        <f aca="false">IFERROR(VLOOKUP(A315,'company tracker'!$a:$s,MATCH("Jan 2025 Traffic",'company tracker'!$1:$1,0),FALSE()),"")</f>
        <v/>
      </c>
      <c r="E315" s="1" t="str">
        <f aca="false">IFERROR(VLOOKUP(A315,'company tracker'!$a:$s,MATCH("Jun 2026 Traffic",'company tracker'!$1:$1,0),FALSE()),"")</f>
        <v/>
      </c>
      <c r="F315" s="1" t="str">
        <f aca="false">IFERROR(VLOOKUP(A315,'company tracker'!$a:$s,MATCH("Traffic % Change",'company tracker'!$1:$1,0),FALSE()),"")</f>
        <v/>
      </c>
      <c r="G315" s="1" t="str">
        <f aca="false">IFERROR(VLOOKUP(A315,'company tracker'!$a:$s,MATCH("Jan 2025 Referring Domains",'company tracker'!$1:$1,0),FALSE()),"")</f>
        <v/>
      </c>
      <c r="H315" s="1" t="str">
        <f aca="false">IFERROR(VLOOKUP(A315,'company tracker'!$a:$s,MATCH("Jun 2026 Referring Domains",'company tracker'!$1:$1,0),FALSE()),"")</f>
        <v/>
      </c>
    </row>
    <row r="316" customFormat="false" ht="15" hidden="false" customHeight="true" outlineLevel="0" collapsed="false">
      <c r="B316" s="1" t="str">
        <f aca="false">IFERROR(VLOOKUP(A316,'company tracker'!$a:$s,MATCH("Category",'company tracker'!$1:$1,0),FALSE()),"")</f>
        <v/>
      </c>
      <c r="C316" s="1" t="str">
        <f aca="false">IFERROR(VLOOKUP(A316,'Pass 1 Archive'!$A:$AD,MATCH("LinkedIn Employee Count",'Pass 1 Archive'!$1:$1,0),FALSE()),"")</f>
        <v/>
      </c>
      <c r="D316" s="1" t="str">
        <f aca="false">IFERROR(VLOOKUP(A316,'company tracker'!$a:$s,MATCH("Jan 2025 Traffic",'company tracker'!$1:$1,0),FALSE()),"")</f>
        <v/>
      </c>
      <c r="E316" s="1" t="str">
        <f aca="false">IFERROR(VLOOKUP(A316,'company tracker'!$a:$s,MATCH("Jun 2026 Traffic",'company tracker'!$1:$1,0),FALSE()),"")</f>
        <v/>
      </c>
      <c r="F316" s="1" t="str">
        <f aca="false">IFERROR(VLOOKUP(A316,'company tracker'!$a:$s,MATCH("Traffic % Change",'company tracker'!$1:$1,0),FALSE()),"")</f>
        <v/>
      </c>
      <c r="G316" s="1" t="str">
        <f aca="false">IFERROR(VLOOKUP(A316,'company tracker'!$a:$s,MATCH("Jan 2025 Referring Domains",'company tracker'!$1:$1,0),FALSE()),"")</f>
        <v/>
      </c>
      <c r="H316" s="1" t="str">
        <f aca="false">IFERROR(VLOOKUP(A316,'company tracker'!$a:$s,MATCH("Jun 2026 Referring Domains",'company tracker'!$1:$1,0),FALSE()),"")</f>
        <v/>
      </c>
    </row>
    <row r="317" customFormat="false" ht="15" hidden="false" customHeight="true" outlineLevel="0" collapsed="false">
      <c r="B317" s="1" t="str">
        <f aca="false">IFERROR(VLOOKUP(A317,'company tracker'!$a:$s,MATCH("Category",'company tracker'!$1:$1,0),FALSE()),"")</f>
        <v/>
      </c>
      <c r="C317" s="1" t="str">
        <f aca="false">IFERROR(VLOOKUP(A317,'Pass 1 Archive'!$A:$AD,MATCH("LinkedIn Employee Count",'Pass 1 Archive'!$1:$1,0),FALSE()),"")</f>
        <v/>
      </c>
      <c r="D317" s="1" t="str">
        <f aca="false">IFERROR(VLOOKUP(A317,'company tracker'!$a:$s,MATCH("Jan 2025 Traffic",'company tracker'!$1:$1,0),FALSE()),"")</f>
        <v/>
      </c>
      <c r="E317" s="1" t="str">
        <f aca="false">IFERROR(VLOOKUP(A317,'company tracker'!$a:$s,MATCH("Jun 2026 Traffic",'company tracker'!$1:$1,0),FALSE()),"")</f>
        <v/>
      </c>
      <c r="F317" s="1" t="str">
        <f aca="false">IFERROR(VLOOKUP(A317,'company tracker'!$a:$s,MATCH("Traffic % Change",'company tracker'!$1:$1,0),FALSE()),"")</f>
        <v/>
      </c>
      <c r="G317" s="1" t="str">
        <f aca="false">IFERROR(VLOOKUP(A317,'company tracker'!$a:$s,MATCH("Jan 2025 Referring Domains",'company tracker'!$1:$1,0),FALSE()),"")</f>
        <v/>
      </c>
      <c r="H317" s="1" t="str">
        <f aca="false">IFERROR(VLOOKUP(A317,'company tracker'!$a:$s,MATCH("Jun 2026 Referring Domains",'company tracker'!$1:$1,0),FALSE()),"")</f>
        <v/>
      </c>
    </row>
    <row r="318" customFormat="false" ht="15" hidden="false" customHeight="true" outlineLevel="0" collapsed="false">
      <c r="B318" s="1" t="str">
        <f aca="false">IFERROR(VLOOKUP(A318,'company tracker'!$a:$s,MATCH("Category",'company tracker'!$1:$1,0),FALSE()),"")</f>
        <v/>
      </c>
      <c r="C318" s="1" t="str">
        <f aca="false">IFERROR(VLOOKUP(A318,'Pass 1 Archive'!$A:$AD,MATCH("LinkedIn Employee Count",'Pass 1 Archive'!$1:$1,0),FALSE()),"")</f>
        <v/>
      </c>
      <c r="D318" s="1" t="str">
        <f aca="false">IFERROR(VLOOKUP(A318,'company tracker'!$a:$s,MATCH("Jan 2025 Traffic",'company tracker'!$1:$1,0),FALSE()),"")</f>
        <v/>
      </c>
      <c r="E318" s="1" t="str">
        <f aca="false">IFERROR(VLOOKUP(A318,'company tracker'!$a:$s,MATCH("Jun 2026 Traffic",'company tracker'!$1:$1,0),FALSE()),"")</f>
        <v/>
      </c>
      <c r="F318" s="1" t="str">
        <f aca="false">IFERROR(VLOOKUP(A318,'company tracker'!$a:$s,MATCH("Traffic % Change",'company tracker'!$1:$1,0),FALSE()),"")</f>
        <v/>
      </c>
      <c r="G318" s="1" t="str">
        <f aca="false">IFERROR(VLOOKUP(A318,'company tracker'!$a:$s,MATCH("Jan 2025 Referring Domains",'company tracker'!$1:$1,0),FALSE()),"")</f>
        <v/>
      </c>
      <c r="H318" s="1" t="str">
        <f aca="false">IFERROR(VLOOKUP(A318,'company tracker'!$a:$s,MATCH("Jun 2026 Referring Domains",'company tracker'!$1:$1,0),FALSE()),"")</f>
        <v/>
      </c>
    </row>
    <row r="319" customFormat="false" ht="15" hidden="false" customHeight="true" outlineLevel="0" collapsed="false">
      <c r="B319" s="1" t="str">
        <f aca="false">IFERROR(VLOOKUP(A319,'company tracker'!$a:$s,MATCH("Category",'company tracker'!$1:$1,0),FALSE()),"")</f>
        <v/>
      </c>
      <c r="C319" s="1" t="str">
        <f aca="false">IFERROR(VLOOKUP(A319,'Pass 1 Archive'!$A:$AD,MATCH("LinkedIn Employee Count",'Pass 1 Archive'!$1:$1,0),FALSE()),"")</f>
        <v/>
      </c>
      <c r="D319" s="1" t="str">
        <f aca="false">IFERROR(VLOOKUP(A319,'company tracker'!$a:$s,MATCH("Jan 2025 Traffic",'company tracker'!$1:$1,0),FALSE()),"")</f>
        <v/>
      </c>
      <c r="E319" s="1" t="str">
        <f aca="false">IFERROR(VLOOKUP(A319,'company tracker'!$a:$s,MATCH("Jun 2026 Traffic",'company tracker'!$1:$1,0),FALSE()),"")</f>
        <v/>
      </c>
      <c r="F319" s="1" t="str">
        <f aca="false">IFERROR(VLOOKUP(A319,'company tracker'!$a:$s,MATCH("Traffic % Change",'company tracker'!$1:$1,0),FALSE()),"")</f>
        <v/>
      </c>
      <c r="G319" s="1" t="str">
        <f aca="false">IFERROR(VLOOKUP(A319,'company tracker'!$a:$s,MATCH("Jan 2025 Referring Domains",'company tracker'!$1:$1,0),FALSE()),"")</f>
        <v/>
      </c>
      <c r="H319" s="1" t="str">
        <f aca="false">IFERROR(VLOOKUP(A319,'company tracker'!$a:$s,MATCH("Jun 2026 Referring Domains",'company tracker'!$1:$1,0),FALSE()),"")</f>
        <v/>
      </c>
    </row>
    <row r="320" customFormat="false" ht="15" hidden="false" customHeight="true" outlineLevel="0" collapsed="false">
      <c r="B320" s="1" t="str">
        <f aca="false">IFERROR(VLOOKUP(A320,'company tracker'!$a:$s,MATCH("Category",'company tracker'!$1:$1,0),FALSE()),"")</f>
        <v/>
      </c>
      <c r="C320" s="1" t="str">
        <f aca="false">IFERROR(VLOOKUP(A320,'Pass 1 Archive'!$A:$AD,MATCH("LinkedIn Employee Count",'Pass 1 Archive'!$1:$1,0),FALSE()),"")</f>
        <v/>
      </c>
      <c r="D320" s="1" t="str">
        <f aca="false">IFERROR(VLOOKUP(A320,'company tracker'!$a:$s,MATCH("Jan 2025 Traffic",'company tracker'!$1:$1,0),FALSE()),"")</f>
        <v/>
      </c>
      <c r="E320" s="1" t="str">
        <f aca="false">IFERROR(VLOOKUP(A320,'company tracker'!$a:$s,MATCH("Jun 2026 Traffic",'company tracker'!$1:$1,0),FALSE()),"")</f>
        <v/>
      </c>
      <c r="F320" s="1" t="str">
        <f aca="false">IFERROR(VLOOKUP(A320,'company tracker'!$a:$s,MATCH("Traffic % Change",'company tracker'!$1:$1,0),FALSE()),"")</f>
        <v/>
      </c>
      <c r="G320" s="1" t="str">
        <f aca="false">IFERROR(VLOOKUP(A320,'company tracker'!$a:$s,MATCH("Jan 2025 Referring Domains",'company tracker'!$1:$1,0),FALSE()),"")</f>
        <v/>
      </c>
      <c r="H320" s="1" t="str">
        <f aca="false">IFERROR(VLOOKUP(A320,'company tracker'!$a:$s,MATCH("Jun 2026 Referring Domains",'company tracker'!$1:$1,0),FALSE()),"")</f>
        <v/>
      </c>
    </row>
    <row r="321" customFormat="false" ht="15" hidden="false" customHeight="true" outlineLevel="0" collapsed="false">
      <c r="B321" s="1" t="str">
        <f aca="false">IFERROR(VLOOKUP(A321,'company tracker'!$a:$s,MATCH("Category",'company tracker'!$1:$1,0),FALSE()),"")</f>
        <v/>
      </c>
      <c r="C321" s="1" t="str">
        <f aca="false">IFERROR(VLOOKUP(A321,'Pass 1 Archive'!$A:$AD,MATCH("LinkedIn Employee Count",'Pass 1 Archive'!$1:$1,0),FALSE()),"")</f>
        <v/>
      </c>
      <c r="D321" s="1" t="str">
        <f aca="false">IFERROR(VLOOKUP(A321,'company tracker'!$a:$s,MATCH("Jan 2025 Traffic",'company tracker'!$1:$1,0),FALSE()),"")</f>
        <v/>
      </c>
      <c r="E321" s="1" t="str">
        <f aca="false">IFERROR(VLOOKUP(A321,'company tracker'!$a:$s,MATCH("Jun 2026 Traffic",'company tracker'!$1:$1,0),FALSE()),"")</f>
        <v/>
      </c>
      <c r="F321" s="1" t="str">
        <f aca="false">IFERROR(VLOOKUP(A321,'company tracker'!$a:$s,MATCH("Traffic % Change",'company tracker'!$1:$1,0),FALSE()),"")</f>
        <v/>
      </c>
      <c r="G321" s="1" t="str">
        <f aca="false">IFERROR(VLOOKUP(A321,'company tracker'!$a:$s,MATCH("Jan 2025 Referring Domains",'company tracker'!$1:$1,0),FALSE()),"")</f>
        <v/>
      </c>
      <c r="H321" s="1" t="str">
        <f aca="false">IFERROR(VLOOKUP(A321,'company tracker'!$a:$s,MATCH("Jun 2026 Referring Domains",'company tracker'!$1:$1,0),FALSE()),"")</f>
        <v/>
      </c>
    </row>
    <row r="322" customFormat="false" ht="15" hidden="false" customHeight="true" outlineLevel="0" collapsed="false">
      <c r="B322" s="1" t="str">
        <f aca="false">IFERROR(VLOOKUP(A322,'company tracker'!$a:$s,MATCH("Category",'company tracker'!$1:$1,0),FALSE()),"")</f>
        <v/>
      </c>
      <c r="C322" s="1" t="str">
        <f aca="false">IFERROR(VLOOKUP(A322,'Pass 1 Archive'!$A:$AD,MATCH("LinkedIn Employee Count",'Pass 1 Archive'!$1:$1,0),FALSE()),"")</f>
        <v/>
      </c>
      <c r="D322" s="1" t="str">
        <f aca="false">IFERROR(VLOOKUP(A322,'company tracker'!$a:$s,MATCH("Jan 2025 Traffic",'company tracker'!$1:$1,0),FALSE()),"")</f>
        <v/>
      </c>
      <c r="E322" s="1" t="str">
        <f aca="false">IFERROR(VLOOKUP(A322,'company tracker'!$a:$s,MATCH("Jun 2026 Traffic",'company tracker'!$1:$1,0),FALSE()),"")</f>
        <v/>
      </c>
      <c r="F322" s="1" t="str">
        <f aca="false">IFERROR(VLOOKUP(A322,'company tracker'!$a:$s,MATCH("Traffic % Change",'company tracker'!$1:$1,0),FALSE()),"")</f>
        <v/>
      </c>
      <c r="G322" s="1" t="str">
        <f aca="false">IFERROR(VLOOKUP(A322,'company tracker'!$a:$s,MATCH("Jan 2025 Referring Domains",'company tracker'!$1:$1,0),FALSE()),"")</f>
        <v/>
      </c>
      <c r="H322" s="1" t="str">
        <f aca="false">IFERROR(VLOOKUP(A322,'company tracker'!$a:$s,MATCH("Jun 2026 Referring Domains",'company tracker'!$1:$1,0),FALSE()),"")</f>
        <v/>
      </c>
    </row>
    <row r="323" customFormat="false" ht="15" hidden="false" customHeight="true" outlineLevel="0" collapsed="false">
      <c r="B323" s="1" t="str">
        <f aca="false">IFERROR(VLOOKUP(A323,'company tracker'!$a:$s,MATCH("Category",'company tracker'!$1:$1,0),FALSE()),"")</f>
        <v/>
      </c>
      <c r="C323" s="1" t="str">
        <f aca="false">IFERROR(VLOOKUP(A323,'Pass 1 Archive'!$A:$AD,MATCH("LinkedIn Employee Count",'Pass 1 Archive'!$1:$1,0),FALSE()),"")</f>
        <v/>
      </c>
      <c r="D323" s="1" t="str">
        <f aca="false">IFERROR(VLOOKUP(A323,'company tracker'!$a:$s,MATCH("Jan 2025 Traffic",'company tracker'!$1:$1,0),FALSE()),"")</f>
        <v/>
      </c>
      <c r="E323" s="1" t="str">
        <f aca="false">IFERROR(VLOOKUP(A323,'company tracker'!$a:$s,MATCH("Jun 2026 Traffic",'company tracker'!$1:$1,0),FALSE()),"")</f>
        <v/>
      </c>
      <c r="F323" s="1" t="str">
        <f aca="false">IFERROR(VLOOKUP(A323,'company tracker'!$a:$s,MATCH("Traffic % Change",'company tracker'!$1:$1,0),FALSE()),"")</f>
        <v/>
      </c>
      <c r="G323" s="1" t="str">
        <f aca="false">IFERROR(VLOOKUP(A323,'company tracker'!$a:$s,MATCH("Jan 2025 Referring Domains",'company tracker'!$1:$1,0),FALSE()),"")</f>
        <v/>
      </c>
      <c r="H323" s="1" t="str">
        <f aca="false">IFERROR(VLOOKUP(A323,'company tracker'!$a:$s,MATCH("Jun 2026 Referring Domains",'company tracker'!$1:$1,0),FALSE()),"")</f>
        <v/>
      </c>
    </row>
    <row r="324" customFormat="false" ht="15" hidden="false" customHeight="true" outlineLevel="0" collapsed="false">
      <c r="B324" s="1" t="str">
        <f aca="false">IFERROR(VLOOKUP(A324,'company tracker'!$a:$s,MATCH("Category",'company tracker'!$1:$1,0),FALSE()),"")</f>
        <v/>
      </c>
      <c r="C324" s="1" t="str">
        <f aca="false">IFERROR(VLOOKUP(A324,'Pass 1 Archive'!$A:$AD,MATCH("LinkedIn Employee Count",'Pass 1 Archive'!$1:$1,0),FALSE()),"")</f>
        <v/>
      </c>
      <c r="D324" s="1" t="str">
        <f aca="false">IFERROR(VLOOKUP(A324,'company tracker'!$a:$s,MATCH("Jan 2025 Traffic",'company tracker'!$1:$1,0),FALSE()),"")</f>
        <v/>
      </c>
      <c r="E324" s="1" t="str">
        <f aca="false">IFERROR(VLOOKUP(A324,'company tracker'!$a:$s,MATCH("Jun 2026 Traffic",'company tracker'!$1:$1,0),FALSE()),"")</f>
        <v/>
      </c>
      <c r="F324" s="1" t="str">
        <f aca="false">IFERROR(VLOOKUP(A324,'company tracker'!$a:$s,MATCH("Traffic % Change",'company tracker'!$1:$1,0),FALSE()),"")</f>
        <v/>
      </c>
      <c r="G324" s="1" t="str">
        <f aca="false">IFERROR(VLOOKUP(A324,'company tracker'!$a:$s,MATCH("Jan 2025 Referring Domains",'company tracker'!$1:$1,0),FALSE()),"")</f>
        <v/>
      </c>
      <c r="H324" s="1" t="str">
        <f aca="false">IFERROR(VLOOKUP(A324,'company tracker'!$a:$s,MATCH("Jun 2026 Referring Domains",'company tracker'!$1:$1,0),FALSE()),"")</f>
        <v/>
      </c>
    </row>
    <row r="325" customFormat="false" ht="15" hidden="false" customHeight="true" outlineLevel="0" collapsed="false">
      <c r="B325" s="1" t="str">
        <f aca="false">IFERROR(VLOOKUP(A325,'company tracker'!$a:$s,MATCH("Category",'company tracker'!$1:$1,0),FALSE()),"")</f>
        <v/>
      </c>
      <c r="C325" s="1" t="str">
        <f aca="false">IFERROR(VLOOKUP(A325,'Pass 1 Archive'!$A:$AD,MATCH("LinkedIn Employee Count",'Pass 1 Archive'!$1:$1,0),FALSE()),"")</f>
        <v/>
      </c>
      <c r="D325" s="1" t="str">
        <f aca="false">IFERROR(VLOOKUP(A325,'company tracker'!$a:$s,MATCH("Jan 2025 Traffic",'company tracker'!$1:$1,0),FALSE()),"")</f>
        <v/>
      </c>
      <c r="E325" s="1" t="str">
        <f aca="false">IFERROR(VLOOKUP(A325,'company tracker'!$a:$s,MATCH("Jun 2026 Traffic",'company tracker'!$1:$1,0),FALSE()),"")</f>
        <v/>
      </c>
      <c r="F325" s="1" t="str">
        <f aca="false">IFERROR(VLOOKUP(A325,'company tracker'!$a:$s,MATCH("Traffic % Change",'company tracker'!$1:$1,0),FALSE()),"")</f>
        <v/>
      </c>
      <c r="G325" s="1" t="str">
        <f aca="false">IFERROR(VLOOKUP(A325,'company tracker'!$a:$s,MATCH("Jan 2025 Referring Domains",'company tracker'!$1:$1,0),FALSE()),"")</f>
        <v/>
      </c>
      <c r="H325" s="1" t="str">
        <f aca="false">IFERROR(VLOOKUP(A325,'company tracker'!$a:$s,MATCH("Jun 2026 Referring Domains",'company tracker'!$1:$1,0),FALSE()),"")</f>
        <v/>
      </c>
    </row>
    <row r="326" customFormat="false" ht="15" hidden="false" customHeight="true" outlineLevel="0" collapsed="false">
      <c r="B326" s="1" t="str">
        <f aca="false">IFERROR(VLOOKUP(A326,'company tracker'!$a:$s,MATCH("Category",'company tracker'!$1:$1,0),FALSE()),"")</f>
        <v/>
      </c>
      <c r="C326" s="1" t="str">
        <f aca="false">IFERROR(VLOOKUP(A326,'Pass 1 Archive'!$A:$AD,MATCH("LinkedIn Employee Count",'Pass 1 Archive'!$1:$1,0),FALSE()),"")</f>
        <v/>
      </c>
      <c r="D326" s="1" t="str">
        <f aca="false">IFERROR(VLOOKUP(A326,'company tracker'!$a:$s,MATCH("Jan 2025 Traffic",'company tracker'!$1:$1,0),FALSE()),"")</f>
        <v/>
      </c>
      <c r="E326" s="1" t="str">
        <f aca="false">IFERROR(VLOOKUP(A326,'company tracker'!$a:$s,MATCH("Jun 2026 Traffic",'company tracker'!$1:$1,0),FALSE()),"")</f>
        <v/>
      </c>
      <c r="F326" s="1" t="str">
        <f aca="false">IFERROR(VLOOKUP(A326,'company tracker'!$a:$s,MATCH("Traffic % Change",'company tracker'!$1:$1,0),FALSE()),"")</f>
        <v/>
      </c>
      <c r="G326" s="1" t="str">
        <f aca="false">IFERROR(VLOOKUP(A326,'company tracker'!$a:$s,MATCH("Jan 2025 Referring Domains",'company tracker'!$1:$1,0),FALSE()),"")</f>
        <v/>
      </c>
      <c r="H326" s="1" t="str">
        <f aca="false">IFERROR(VLOOKUP(A326,'company tracker'!$a:$s,MATCH("Jun 2026 Referring Domains",'company tracker'!$1:$1,0),FALSE()),"")</f>
        <v/>
      </c>
    </row>
    <row r="327" customFormat="false" ht="15" hidden="false" customHeight="true" outlineLevel="0" collapsed="false">
      <c r="B327" s="1" t="str">
        <f aca="false">IFERROR(VLOOKUP(A327,'company tracker'!$a:$s,MATCH("Category",'company tracker'!$1:$1,0),FALSE()),"")</f>
        <v/>
      </c>
      <c r="C327" s="1" t="str">
        <f aca="false">IFERROR(VLOOKUP(A327,'Pass 1 Archive'!$A:$AD,MATCH("LinkedIn Employee Count",'Pass 1 Archive'!$1:$1,0),FALSE()),"")</f>
        <v/>
      </c>
      <c r="D327" s="1" t="str">
        <f aca="false">IFERROR(VLOOKUP(A327,'company tracker'!$a:$s,MATCH("Jan 2025 Traffic",'company tracker'!$1:$1,0),FALSE()),"")</f>
        <v/>
      </c>
      <c r="E327" s="1" t="str">
        <f aca="false">IFERROR(VLOOKUP(A327,'company tracker'!$a:$s,MATCH("Jun 2026 Traffic",'company tracker'!$1:$1,0),FALSE()),"")</f>
        <v/>
      </c>
      <c r="F327" s="1" t="str">
        <f aca="false">IFERROR(VLOOKUP(A327,'company tracker'!$a:$s,MATCH("Traffic % Change",'company tracker'!$1:$1,0),FALSE()),"")</f>
        <v/>
      </c>
      <c r="G327" s="1" t="str">
        <f aca="false">IFERROR(VLOOKUP(A327,'company tracker'!$a:$s,MATCH("Jan 2025 Referring Domains",'company tracker'!$1:$1,0),FALSE()),"")</f>
        <v/>
      </c>
      <c r="H327" s="1" t="str">
        <f aca="false">IFERROR(VLOOKUP(A327,'company tracker'!$a:$s,MATCH("Jun 2026 Referring Domains",'company tracker'!$1:$1,0),FALSE()),"")</f>
        <v/>
      </c>
    </row>
    <row r="328" customFormat="false" ht="15" hidden="false" customHeight="true" outlineLevel="0" collapsed="false">
      <c r="B328" s="1" t="str">
        <f aca="false">IFERROR(VLOOKUP(A328,'company tracker'!$a:$s,MATCH("Category",'company tracker'!$1:$1,0),FALSE()),"")</f>
        <v/>
      </c>
      <c r="C328" s="1" t="str">
        <f aca="false">IFERROR(VLOOKUP(A328,'Pass 1 Archive'!$A:$AD,MATCH("LinkedIn Employee Count",'Pass 1 Archive'!$1:$1,0),FALSE()),"")</f>
        <v/>
      </c>
      <c r="D328" s="1" t="str">
        <f aca="false">IFERROR(VLOOKUP(A328,'company tracker'!$a:$s,MATCH("Jan 2025 Traffic",'company tracker'!$1:$1,0),FALSE()),"")</f>
        <v/>
      </c>
      <c r="E328" s="1" t="str">
        <f aca="false">IFERROR(VLOOKUP(A328,'company tracker'!$a:$s,MATCH("Jun 2026 Traffic",'company tracker'!$1:$1,0),FALSE()),"")</f>
        <v/>
      </c>
      <c r="F328" s="1" t="str">
        <f aca="false">IFERROR(VLOOKUP(A328,'company tracker'!$a:$s,MATCH("Traffic % Change",'company tracker'!$1:$1,0),FALSE()),"")</f>
        <v/>
      </c>
      <c r="G328" s="1" t="str">
        <f aca="false">IFERROR(VLOOKUP(A328,'company tracker'!$a:$s,MATCH("Jan 2025 Referring Domains",'company tracker'!$1:$1,0),FALSE()),"")</f>
        <v/>
      </c>
      <c r="H328" s="1" t="str">
        <f aca="false">IFERROR(VLOOKUP(A328,'company tracker'!$a:$s,MATCH("Jun 2026 Referring Domains",'company tracker'!$1:$1,0),FALSE()),"")</f>
        <v/>
      </c>
    </row>
    <row r="329" customFormat="false" ht="15" hidden="false" customHeight="true" outlineLevel="0" collapsed="false">
      <c r="B329" s="1" t="str">
        <f aca="false">IFERROR(VLOOKUP(A329,'company tracker'!$a:$s,MATCH("Category",'company tracker'!$1:$1,0),FALSE()),"")</f>
        <v/>
      </c>
      <c r="C329" s="1" t="str">
        <f aca="false">IFERROR(VLOOKUP(A329,'Pass 1 Archive'!$A:$AD,MATCH("LinkedIn Employee Count",'Pass 1 Archive'!$1:$1,0),FALSE()),"")</f>
        <v/>
      </c>
      <c r="D329" s="1" t="str">
        <f aca="false">IFERROR(VLOOKUP(A329,'company tracker'!$a:$s,MATCH("Jan 2025 Traffic",'company tracker'!$1:$1,0),FALSE()),"")</f>
        <v/>
      </c>
      <c r="E329" s="1" t="str">
        <f aca="false">IFERROR(VLOOKUP(A329,'company tracker'!$a:$s,MATCH("Jun 2026 Traffic",'company tracker'!$1:$1,0),FALSE()),"")</f>
        <v/>
      </c>
      <c r="F329" s="1" t="str">
        <f aca="false">IFERROR(VLOOKUP(A329,'company tracker'!$a:$s,MATCH("Traffic % Change",'company tracker'!$1:$1,0),FALSE()),"")</f>
        <v/>
      </c>
      <c r="G329" s="1" t="str">
        <f aca="false">IFERROR(VLOOKUP(A329,'company tracker'!$a:$s,MATCH("Jan 2025 Referring Domains",'company tracker'!$1:$1,0),FALSE()),"")</f>
        <v/>
      </c>
      <c r="H329" s="1" t="str">
        <f aca="false">IFERROR(VLOOKUP(A329,'company tracker'!$a:$s,MATCH("Jun 2026 Referring Domains",'company tracker'!$1:$1,0),FALSE()),"")</f>
        <v/>
      </c>
    </row>
    <row r="330" customFormat="false" ht="15" hidden="false" customHeight="true" outlineLevel="0" collapsed="false">
      <c r="B330" s="1" t="str">
        <f aca="false">IFERROR(VLOOKUP(A330,'company tracker'!$a:$s,MATCH("Category",'company tracker'!$1:$1,0),FALSE()),"")</f>
        <v/>
      </c>
      <c r="C330" s="1" t="str">
        <f aca="false">IFERROR(VLOOKUP(A330,'Pass 1 Archive'!$A:$AD,MATCH("LinkedIn Employee Count",'Pass 1 Archive'!$1:$1,0),FALSE()),"")</f>
        <v/>
      </c>
      <c r="D330" s="1" t="str">
        <f aca="false">IFERROR(VLOOKUP(A330,'company tracker'!$a:$s,MATCH("Jan 2025 Traffic",'company tracker'!$1:$1,0),FALSE()),"")</f>
        <v/>
      </c>
      <c r="E330" s="1" t="str">
        <f aca="false">IFERROR(VLOOKUP(A330,'company tracker'!$a:$s,MATCH("Jun 2026 Traffic",'company tracker'!$1:$1,0),FALSE()),"")</f>
        <v/>
      </c>
      <c r="F330" s="1" t="str">
        <f aca="false">IFERROR(VLOOKUP(A330,'company tracker'!$a:$s,MATCH("Traffic % Change",'company tracker'!$1:$1,0),FALSE()),"")</f>
        <v/>
      </c>
      <c r="G330" s="1" t="str">
        <f aca="false">IFERROR(VLOOKUP(A330,'company tracker'!$a:$s,MATCH("Jan 2025 Referring Domains",'company tracker'!$1:$1,0),FALSE()),"")</f>
        <v/>
      </c>
      <c r="H330" s="1" t="str">
        <f aca="false">IFERROR(VLOOKUP(A330,'company tracker'!$a:$s,MATCH("Jun 2026 Referring Domains",'company tracker'!$1:$1,0),FALSE()),"")</f>
        <v/>
      </c>
    </row>
    <row r="331" customFormat="false" ht="15" hidden="false" customHeight="true" outlineLevel="0" collapsed="false">
      <c r="B331" s="1" t="str">
        <f aca="false">IFERROR(VLOOKUP(A331,'company tracker'!$a:$s,MATCH("Category",'company tracker'!$1:$1,0),FALSE()),"")</f>
        <v/>
      </c>
      <c r="C331" s="1" t="str">
        <f aca="false">IFERROR(VLOOKUP(A331,'Pass 1 Archive'!$A:$AD,MATCH("LinkedIn Employee Count",'Pass 1 Archive'!$1:$1,0),FALSE()),"")</f>
        <v/>
      </c>
      <c r="D331" s="1" t="str">
        <f aca="false">IFERROR(VLOOKUP(A331,'company tracker'!$a:$s,MATCH("Jan 2025 Traffic",'company tracker'!$1:$1,0),FALSE()),"")</f>
        <v/>
      </c>
      <c r="E331" s="1" t="str">
        <f aca="false">IFERROR(VLOOKUP(A331,'company tracker'!$a:$s,MATCH("Jun 2026 Traffic",'company tracker'!$1:$1,0),FALSE()),"")</f>
        <v/>
      </c>
      <c r="F331" s="1" t="str">
        <f aca="false">IFERROR(VLOOKUP(A331,'company tracker'!$a:$s,MATCH("Traffic % Change",'company tracker'!$1:$1,0),FALSE()),"")</f>
        <v/>
      </c>
      <c r="G331" s="1" t="str">
        <f aca="false">IFERROR(VLOOKUP(A331,'company tracker'!$a:$s,MATCH("Jan 2025 Referring Domains",'company tracker'!$1:$1,0),FALSE()),"")</f>
        <v/>
      </c>
      <c r="H331" s="1" t="str">
        <f aca="false">IFERROR(VLOOKUP(A331,'company tracker'!$a:$s,MATCH("Jun 2026 Referring Domains",'company tracker'!$1:$1,0),FALSE()),"")</f>
        <v/>
      </c>
    </row>
    <row r="332" customFormat="false" ht="15" hidden="false" customHeight="true" outlineLevel="0" collapsed="false">
      <c r="B332" s="1" t="str">
        <f aca="false">IFERROR(VLOOKUP(A332,'company tracker'!$a:$s,MATCH("Category",'company tracker'!$1:$1,0),FALSE()),"")</f>
        <v/>
      </c>
      <c r="C332" s="1" t="str">
        <f aca="false">IFERROR(VLOOKUP(A332,'Pass 1 Archive'!$A:$AD,MATCH("LinkedIn Employee Count",'Pass 1 Archive'!$1:$1,0),FALSE()),"")</f>
        <v/>
      </c>
      <c r="D332" s="1" t="str">
        <f aca="false">IFERROR(VLOOKUP(A332,'company tracker'!$a:$s,MATCH("Jan 2025 Traffic",'company tracker'!$1:$1,0),FALSE()),"")</f>
        <v/>
      </c>
      <c r="E332" s="1" t="str">
        <f aca="false">IFERROR(VLOOKUP(A332,'company tracker'!$a:$s,MATCH("Jun 2026 Traffic",'company tracker'!$1:$1,0),FALSE()),"")</f>
        <v/>
      </c>
      <c r="F332" s="1" t="str">
        <f aca="false">IFERROR(VLOOKUP(A332,'company tracker'!$a:$s,MATCH("Traffic % Change",'company tracker'!$1:$1,0),FALSE()),"")</f>
        <v/>
      </c>
      <c r="G332" s="1" t="str">
        <f aca="false">IFERROR(VLOOKUP(A332,'company tracker'!$a:$s,MATCH("Jan 2025 Referring Domains",'company tracker'!$1:$1,0),FALSE()),"")</f>
        <v/>
      </c>
      <c r="H332" s="1" t="str">
        <f aca="false">IFERROR(VLOOKUP(A332,'company tracker'!$a:$s,MATCH("Jun 2026 Referring Domains",'company tracker'!$1:$1,0),FALSE()),"")</f>
        <v/>
      </c>
    </row>
    <row r="333" customFormat="false" ht="15" hidden="false" customHeight="true" outlineLevel="0" collapsed="false">
      <c r="B333" s="1" t="str">
        <f aca="false">IFERROR(VLOOKUP(A333,'company tracker'!$a:$s,MATCH("Category",'company tracker'!$1:$1,0),FALSE()),"")</f>
        <v/>
      </c>
      <c r="C333" s="1" t="str">
        <f aca="false">IFERROR(VLOOKUP(A333,'Pass 1 Archive'!$A:$AD,MATCH("LinkedIn Employee Count",'Pass 1 Archive'!$1:$1,0),FALSE()),"")</f>
        <v/>
      </c>
      <c r="D333" s="1" t="str">
        <f aca="false">IFERROR(VLOOKUP(A333,'company tracker'!$a:$s,MATCH("Jan 2025 Traffic",'company tracker'!$1:$1,0),FALSE()),"")</f>
        <v/>
      </c>
      <c r="E333" s="1" t="str">
        <f aca="false">IFERROR(VLOOKUP(A333,'company tracker'!$a:$s,MATCH("Jun 2026 Traffic",'company tracker'!$1:$1,0),FALSE()),"")</f>
        <v/>
      </c>
      <c r="F333" s="1" t="str">
        <f aca="false">IFERROR(VLOOKUP(A333,'company tracker'!$a:$s,MATCH("Traffic % Change",'company tracker'!$1:$1,0),FALSE()),"")</f>
        <v/>
      </c>
      <c r="G333" s="1" t="str">
        <f aca="false">IFERROR(VLOOKUP(A333,'company tracker'!$a:$s,MATCH("Jan 2025 Referring Domains",'company tracker'!$1:$1,0),FALSE()),"")</f>
        <v/>
      </c>
      <c r="H333" s="1" t="str">
        <f aca="false">IFERROR(VLOOKUP(A333,'company tracker'!$a:$s,MATCH("Jun 2026 Referring Domains",'company tracker'!$1:$1,0),FALSE()),"")</f>
        <v/>
      </c>
    </row>
    <row r="334" customFormat="false" ht="15" hidden="false" customHeight="true" outlineLevel="0" collapsed="false">
      <c r="B334" s="1" t="str">
        <f aca="false">IFERROR(VLOOKUP(A334,'company tracker'!$a:$s,MATCH("Category",'company tracker'!$1:$1,0),FALSE()),"")</f>
        <v/>
      </c>
      <c r="C334" s="1" t="str">
        <f aca="false">IFERROR(VLOOKUP(A334,'Pass 1 Archive'!$A:$AD,MATCH("LinkedIn Employee Count",'Pass 1 Archive'!$1:$1,0),FALSE()),"")</f>
        <v/>
      </c>
      <c r="D334" s="1" t="str">
        <f aca="false">IFERROR(VLOOKUP(A334,'company tracker'!$a:$s,MATCH("Jan 2025 Traffic",'company tracker'!$1:$1,0),FALSE()),"")</f>
        <v/>
      </c>
      <c r="E334" s="1" t="str">
        <f aca="false">IFERROR(VLOOKUP(A334,'company tracker'!$a:$s,MATCH("Jun 2026 Traffic",'company tracker'!$1:$1,0),FALSE()),"")</f>
        <v/>
      </c>
      <c r="F334" s="1" t="str">
        <f aca="false">IFERROR(VLOOKUP(A334,'company tracker'!$a:$s,MATCH("Traffic % Change",'company tracker'!$1:$1,0),FALSE()),"")</f>
        <v/>
      </c>
      <c r="G334" s="1" t="str">
        <f aca="false">IFERROR(VLOOKUP(A334,'company tracker'!$a:$s,MATCH("Jan 2025 Referring Domains",'company tracker'!$1:$1,0),FALSE()),"")</f>
        <v/>
      </c>
      <c r="H334" s="1" t="str">
        <f aca="false">IFERROR(VLOOKUP(A334,'company tracker'!$a:$s,MATCH("Jun 2026 Referring Domains",'company tracker'!$1:$1,0),FALSE()),"")</f>
        <v/>
      </c>
    </row>
    <row r="335" customFormat="false" ht="15" hidden="false" customHeight="true" outlineLevel="0" collapsed="false">
      <c r="B335" s="1" t="str">
        <f aca="false">IFERROR(VLOOKUP(A335,'company tracker'!$a:$s,MATCH("Category",'company tracker'!$1:$1,0),FALSE()),"")</f>
        <v/>
      </c>
      <c r="C335" s="1" t="str">
        <f aca="false">IFERROR(VLOOKUP(A335,'Pass 1 Archive'!$A:$AD,MATCH("LinkedIn Employee Count",'Pass 1 Archive'!$1:$1,0),FALSE()),"")</f>
        <v/>
      </c>
      <c r="D335" s="1" t="str">
        <f aca="false">IFERROR(VLOOKUP(A335,'company tracker'!$a:$s,MATCH("Jan 2025 Traffic",'company tracker'!$1:$1,0),FALSE()),"")</f>
        <v/>
      </c>
      <c r="E335" s="1" t="str">
        <f aca="false">IFERROR(VLOOKUP(A335,'company tracker'!$a:$s,MATCH("Jun 2026 Traffic",'company tracker'!$1:$1,0),FALSE()),"")</f>
        <v/>
      </c>
      <c r="F335" s="1" t="str">
        <f aca="false">IFERROR(VLOOKUP(A335,'company tracker'!$a:$s,MATCH("Traffic % Change",'company tracker'!$1:$1,0),FALSE()),"")</f>
        <v/>
      </c>
      <c r="G335" s="1" t="str">
        <f aca="false">IFERROR(VLOOKUP(A335,'company tracker'!$a:$s,MATCH("Jan 2025 Referring Domains",'company tracker'!$1:$1,0),FALSE()),"")</f>
        <v/>
      </c>
      <c r="H335" s="1" t="str">
        <f aca="false">IFERROR(VLOOKUP(A335,'company tracker'!$a:$s,MATCH("Jun 2026 Referring Domains",'company tracker'!$1:$1,0),FALSE()),"")</f>
        <v/>
      </c>
    </row>
    <row r="336" customFormat="false" ht="15" hidden="false" customHeight="true" outlineLevel="0" collapsed="false">
      <c r="B336" s="1" t="str">
        <f aca="false">IFERROR(VLOOKUP(A336,'company tracker'!$a:$s,MATCH("Category",'company tracker'!$1:$1,0),FALSE()),"")</f>
        <v/>
      </c>
      <c r="C336" s="1" t="str">
        <f aca="false">IFERROR(VLOOKUP(A336,'Pass 1 Archive'!$A:$AD,MATCH("LinkedIn Employee Count",'Pass 1 Archive'!$1:$1,0),FALSE()),"")</f>
        <v/>
      </c>
      <c r="D336" s="1" t="str">
        <f aca="false">IFERROR(VLOOKUP(A336,'company tracker'!$a:$s,MATCH("Jan 2025 Traffic",'company tracker'!$1:$1,0),FALSE()),"")</f>
        <v/>
      </c>
      <c r="E336" s="1" t="str">
        <f aca="false">IFERROR(VLOOKUP(A336,'company tracker'!$a:$s,MATCH("Jun 2026 Traffic",'company tracker'!$1:$1,0),FALSE()),"")</f>
        <v/>
      </c>
      <c r="F336" s="1" t="str">
        <f aca="false">IFERROR(VLOOKUP(A336,'company tracker'!$a:$s,MATCH("Traffic % Change",'company tracker'!$1:$1,0),FALSE()),"")</f>
        <v/>
      </c>
      <c r="G336" s="1" t="str">
        <f aca="false">IFERROR(VLOOKUP(A336,'company tracker'!$a:$s,MATCH("Jan 2025 Referring Domains",'company tracker'!$1:$1,0),FALSE()),"")</f>
        <v/>
      </c>
      <c r="H336" s="1" t="str">
        <f aca="false">IFERROR(VLOOKUP(A336,'company tracker'!$a:$s,MATCH("Jun 2026 Referring Domains",'company tracker'!$1:$1,0),FALSE()),"")</f>
        <v/>
      </c>
    </row>
    <row r="337" customFormat="false" ht="15" hidden="false" customHeight="true" outlineLevel="0" collapsed="false">
      <c r="B337" s="1" t="str">
        <f aca="false">IFERROR(VLOOKUP(A337,'company tracker'!$a:$s,MATCH("Category",'company tracker'!$1:$1,0),FALSE()),"")</f>
        <v/>
      </c>
      <c r="C337" s="1" t="str">
        <f aca="false">IFERROR(VLOOKUP(A337,'Pass 1 Archive'!$A:$AD,MATCH("LinkedIn Employee Count",'Pass 1 Archive'!$1:$1,0),FALSE()),"")</f>
        <v/>
      </c>
      <c r="D337" s="1" t="str">
        <f aca="false">IFERROR(VLOOKUP(A337,'company tracker'!$a:$s,MATCH("Jan 2025 Traffic",'company tracker'!$1:$1,0),FALSE()),"")</f>
        <v/>
      </c>
      <c r="E337" s="1" t="str">
        <f aca="false">IFERROR(VLOOKUP(A337,'company tracker'!$a:$s,MATCH("Jun 2026 Traffic",'company tracker'!$1:$1,0),FALSE()),"")</f>
        <v/>
      </c>
      <c r="F337" s="1" t="str">
        <f aca="false">IFERROR(VLOOKUP(A337,'company tracker'!$a:$s,MATCH("Traffic % Change",'company tracker'!$1:$1,0),FALSE()),"")</f>
        <v/>
      </c>
      <c r="G337" s="1" t="str">
        <f aca="false">IFERROR(VLOOKUP(A337,'company tracker'!$a:$s,MATCH("Jan 2025 Referring Domains",'company tracker'!$1:$1,0),FALSE()),"")</f>
        <v/>
      </c>
      <c r="H337" s="1" t="str">
        <f aca="false">IFERROR(VLOOKUP(A337,'company tracker'!$a:$s,MATCH("Jun 2026 Referring Domains",'company tracker'!$1:$1,0),FALSE()),"")</f>
        <v/>
      </c>
    </row>
    <row r="338" customFormat="false" ht="15" hidden="false" customHeight="true" outlineLevel="0" collapsed="false">
      <c r="B338" s="1" t="str">
        <f aca="false">IFERROR(VLOOKUP(A338,'company tracker'!$a:$s,MATCH("Category",'company tracker'!$1:$1,0),FALSE()),"")</f>
        <v/>
      </c>
      <c r="C338" s="1" t="str">
        <f aca="false">IFERROR(VLOOKUP(A338,'Pass 1 Archive'!$A:$AD,MATCH("LinkedIn Employee Count",'Pass 1 Archive'!$1:$1,0),FALSE()),"")</f>
        <v/>
      </c>
      <c r="D338" s="1" t="str">
        <f aca="false">IFERROR(VLOOKUP(A338,'company tracker'!$a:$s,MATCH("Jan 2025 Traffic",'company tracker'!$1:$1,0),FALSE()),"")</f>
        <v/>
      </c>
      <c r="E338" s="1" t="str">
        <f aca="false">IFERROR(VLOOKUP(A338,'company tracker'!$a:$s,MATCH("Jun 2026 Traffic",'company tracker'!$1:$1,0),FALSE()),"")</f>
        <v/>
      </c>
      <c r="F338" s="1" t="str">
        <f aca="false">IFERROR(VLOOKUP(A338,'company tracker'!$a:$s,MATCH("Traffic % Change",'company tracker'!$1:$1,0),FALSE()),"")</f>
        <v/>
      </c>
      <c r="G338" s="1" t="str">
        <f aca="false">IFERROR(VLOOKUP(A338,'company tracker'!$a:$s,MATCH("Jan 2025 Referring Domains",'company tracker'!$1:$1,0),FALSE()),"")</f>
        <v/>
      </c>
      <c r="H338" s="1" t="str">
        <f aca="false">IFERROR(VLOOKUP(A338,'company tracker'!$a:$s,MATCH("Jun 2026 Referring Domains",'company tracker'!$1:$1,0),FALSE()),"")</f>
        <v/>
      </c>
    </row>
    <row r="339" customFormat="false" ht="15" hidden="false" customHeight="true" outlineLevel="0" collapsed="false">
      <c r="B339" s="1" t="str">
        <f aca="false">IFERROR(VLOOKUP(A339,'company tracker'!$a:$s,MATCH("Category",'company tracker'!$1:$1,0),FALSE()),"")</f>
        <v/>
      </c>
      <c r="C339" s="1" t="str">
        <f aca="false">IFERROR(VLOOKUP(A339,'Pass 1 Archive'!$A:$AD,MATCH("LinkedIn Employee Count",'Pass 1 Archive'!$1:$1,0),FALSE()),"")</f>
        <v/>
      </c>
      <c r="D339" s="1" t="str">
        <f aca="false">IFERROR(VLOOKUP(A339,'company tracker'!$a:$s,MATCH("Jan 2025 Traffic",'company tracker'!$1:$1,0),FALSE()),"")</f>
        <v/>
      </c>
      <c r="E339" s="1" t="str">
        <f aca="false">IFERROR(VLOOKUP(A339,'company tracker'!$a:$s,MATCH("Jun 2026 Traffic",'company tracker'!$1:$1,0),FALSE()),"")</f>
        <v/>
      </c>
      <c r="F339" s="1" t="str">
        <f aca="false">IFERROR(VLOOKUP(A339,'company tracker'!$a:$s,MATCH("Traffic % Change",'company tracker'!$1:$1,0),FALSE()),"")</f>
        <v/>
      </c>
      <c r="G339" s="1" t="str">
        <f aca="false">IFERROR(VLOOKUP(A339,'company tracker'!$a:$s,MATCH("Jan 2025 Referring Domains",'company tracker'!$1:$1,0),FALSE()),"")</f>
        <v/>
      </c>
      <c r="H339" s="1" t="str">
        <f aca="false">IFERROR(VLOOKUP(A339,'company tracker'!$a:$s,MATCH("Jun 2026 Referring Domains",'company tracker'!$1:$1,0),FALSE()),"")</f>
        <v/>
      </c>
    </row>
    <row r="340" customFormat="false" ht="15" hidden="false" customHeight="true" outlineLevel="0" collapsed="false">
      <c r="B340" s="1" t="str">
        <f aca="false">IFERROR(VLOOKUP(A340,'company tracker'!$a:$s,MATCH("Category",'company tracker'!$1:$1,0),FALSE()),"")</f>
        <v/>
      </c>
      <c r="C340" s="1" t="str">
        <f aca="false">IFERROR(VLOOKUP(A340,'Pass 1 Archive'!$A:$AD,MATCH("LinkedIn Employee Count",'Pass 1 Archive'!$1:$1,0),FALSE()),"")</f>
        <v/>
      </c>
      <c r="D340" s="1" t="str">
        <f aca="false">IFERROR(VLOOKUP(A340,'company tracker'!$a:$s,MATCH("Jan 2025 Traffic",'company tracker'!$1:$1,0),FALSE()),"")</f>
        <v/>
      </c>
      <c r="E340" s="1" t="str">
        <f aca="false">IFERROR(VLOOKUP(A340,'company tracker'!$a:$s,MATCH("Jun 2026 Traffic",'company tracker'!$1:$1,0),FALSE()),"")</f>
        <v/>
      </c>
      <c r="F340" s="1" t="str">
        <f aca="false">IFERROR(VLOOKUP(A340,'company tracker'!$a:$s,MATCH("Traffic % Change",'company tracker'!$1:$1,0),FALSE()),"")</f>
        <v/>
      </c>
      <c r="G340" s="1" t="str">
        <f aca="false">IFERROR(VLOOKUP(A340,'company tracker'!$a:$s,MATCH("Jan 2025 Referring Domains",'company tracker'!$1:$1,0),FALSE()),"")</f>
        <v/>
      </c>
      <c r="H340" s="1" t="str">
        <f aca="false">IFERROR(VLOOKUP(A340,'company tracker'!$a:$s,MATCH("Jun 2026 Referring Domains",'company tracker'!$1:$1,0),FALSE()),"")</f>
        <v/>
      </c>
    </row>
    <row r="341" customFormat="false" ht="15" hidden="false" customHeight="true" outlineLevel="0" collapsed="false">
      <c r="B341" s="1" t="str">
        <f aca="false">IFERROR(VLOOKUP(A341,'company tracker'!$a:$s,MATCH("Category",'company tracker'!$1:$1,0),FALSE()),"")</f>
        <v/>
      </c>
      <c r="C341" s="1" t="str">
        <f aca="false">IFERROR(VLOOKUP(A341,'Pass 1 Archive'!$A:$AD,MATCH("LinkedIn Employee Count",'Pass 1 Archive'!$1:$1,0),FALSE()),"")</f>
        <v/>
      </c>
      <c r="D341" s="1" t="str">
        <f aca="false">IFERROR(VLOOKUP(A341,'company tracker'!$a:$s,MATCH("Jan 2025 Traffic",'company tracker'!$1:$1,0),FALSE()),"")</f>
        <v/>
      </c>
      <c r="E341" s="1" t="str">
        <f aca="false">IFERROR(VLOOKUP(A341,'company tracker'!$a:$s,MATCH("Jun 2026 Traffic",'company tracker'!$1:$1,0),FALSE()),"")</f>
        <v/>
      </c>
      <c r="F341" s="1" t="str">
        <f aca="false">IFERROR(VLOOKUP(A341,'company tracker'!$a:$s,MATCH("Traffic % Change",'company tracker'!$1:$1,0),FALSE()),"")</f>
        <v/>
      </c>
      <c r="G341" s="1" t="str">
        <f aca="false">IFERROR(VLOOKUP(A341,'company tracker'!$a:$s,MATCH("Jan 2025 Referring Domains",'company tracker'!$1:$1,0),FALSE()),"")</f>
        <v/>
      </c>
      <c r="H341" s="1" t="str">
        <f aca="false">IFERROR(VLOOKUP(A341,'company tracker'!$a:$s,MATCH("Jun 2026 Referring Domains",'company tracker'!$1:$1,0),FALSE()),"")</f>
        <v/>
      </c>
    </row>
    <row r="342" customFormat="false" ht="15" hidden="false" customHeight="true" outlineLevel="0" collapsed="false">
      <c r="B342" s="1" t="str">
        <f aca="false">IFERROR(VLOOKUP(A342,'company tracker'!$a:$s,MATCH("Category",'company tracker'!$1:$1,0),FALSE()),"")</f>
        <v/>
      </c>
      <c r="C342" s="1" t="str">
        <f aca="false">IFERROR(VLOOKUP(A342,'Pass 1 Archive'!$A:$AD,MATCH("LinkedIn Employee Count",'Pass 1 Archive'!$1:$1,0),FALSE()),"")</f>
        <v/>
      </c>
      <c r="D342" s="1" t="str">
        <f aca="false">IFERROR(VLOOKUP(A342,'company tracker'!$a:$s,MATCH("Jan 2025 Traffic",'company tracker'!$1:$1,0),FALSE()),"")</f>
        <v/>
      </c>
      <c r="E342" s="1" t="str">
        <f aca="false">IFERROR(VLOOKUP(A342,'company tracker'!$a:$s,MATCH("Jun 2026 Traffic",'company tracker'!$1:$1,0),FALSE()),"")</f>
        <v/>
      </c>
      <c r="F342" s="1" t="str">
        <f aca="false">IFERROR(VLOOKUP(A342,'company tracker'!$a:$s,MATCH("Traffic % Change",'company tracker'!$1:$1,0),FALSE()),"")</f>
        <v/>
      </c>
      <c r="G342" s="1" t="str">
        <f aca="false">IFERROR(VLOOKUP(A342,'company tracker'!$a:$s,MATCH("Jan 2025 Referring Domains",'company tracker'!$1:$1,0),FALSE()),"")</f>
        <v/>
      </c>
      <c r="H342" s="1" t="str">
        <f aca="false">IFERROR(VLOOKUP(A342,'company tracker'!$a:$s,MATCH("Jun 2026 Referring Domains",'company tracker'!$1:$1,0),FALSE()),"")</f>
        <v/>
      </c>
    </row>
    <row r="343" customFormat="false" ht="15" hidden="false" customHeight="true" outlineLevel="0" collapsed="false">
      <c r="B343" s="1" t="str">
        <f aca="false">IFERROR(VLOOKUP(A343,'company tracker'!$a:$s,MATCH("Category",'company tracker'!$1:$1,0),FALSE()),"")</f>
        <v/>
      </c>
      <c r="C343" s="1" t="str">
        <f aca="false">IFERROR(VLOOKUP(A343,'Pass 1 Archive'!$A:$AD,MATCH("LinkedIn Employee Count",'Pass 1 Archive'!$1:$1,0),FALSE()),"")</f>
        <v/>
      </c>
      <c r="D343" s="1" t="str">
        <f aca="false">IFERROR(VLOOKUP(A343,'company tracker'!$a:$s,MATCH("Jan 2025 Traffic",'company tracker'!$1:$1,0),FALSE()),"")</f>
        <v/>
      </c>
      <c r="E343" s="1" t="str">
        <f aca="false">IFERROR(VLOOKUP(A343,'company tracker'!$a:$s,MATCH("Jun 2026 Traffic",'company tracker'!$1:$1,0),FALSE()),"")</f>
        <v/>
      </c>
      <c r="F343" s="1" t="str">
        <f aca="false">IFERROR(VLOOKUP(A343,'company tracker'!$a:$s,MATCH("Traffic % Change",'company tracker'!$1:$1,0),FALSE()),"")</f>
        <v/>
      </c>
      <c r="G343" s="1" t="str">
        <f aca="false">IFERROR(VLOOKUP(A343,'company tracker'!$a:$s,MATCH("Jan 2025 Referring Domains",'company tracker'!$1:$1,0),FALSE()),"")</f>
        <v/>
      </c>
      <c r="H343" s="1" t="str">
        <f aca="false">IFERROR(VLOOKUP(A343,'company tracker'!$a:$s,MATCH("Jun 2026 Referring Domains",'company tracker'!$1:$1,0),FALSE()),"")</f>
        <v/>
      </c>
    </row>
    <row r="344" customFormat="false" ht="15" hidden="false" customHeight="true" outlineLevel="0" collapsed="false">
      <c r="B344" s="1" t="str">
        <f aca="false">IFERROR(VLOOKUP(A344,'company tracker'!$a:$s,MATCH("Category",'company tracker'!$1:$1,0),FALSE()),"")</f>
        <v/>
      </c>
      <c r="C344" s="1" t="str">
        <f aca="false">IFERROR(VLOOKUP(A344,'Pass 1 Archive'!$A:$AD,MATCH("LinkedIn Employee Count",'Pass 1 Archive'!$1:$1,0),FALSE()),"")</f>
        <v/>
      </c>
      <c r="D344" s="1" t="str">
        <f aca="false">IFERROR(VLOOKUP(A344,'company tracker'!$a:$s,MATCH("Jan 2025 Traffic",'company tracker'!$1:$1,0),FALSE()),"")</f>
        <v/>
      </c>
      <c r="E344" s="1" t="str">
        <f aca="false">IFERROR(VLOOKUP(A344,'company tracker'!$a:$s,MATCH("Jun 2026 Traffic",'company tracker'!$1:$1,0),FALSE()),"")</f>
        <v/>
      </c>
      <c r="F344" s="1" t="str">
        <f aca="false">IFERROR(VLOOKUP(A344,'company tracker'!$a:$s,MATCH("Traffic % Change",'company tracker'!$1:$1,0),FALSE()),"")</f>
        <v/>
      </c>
      <c r="G344" s="1" t="str">
        <f aca="false">IFERROR(VLOOKUP(A344,'company tracker'!$a:$s,MATCH("Jan 2025 Referring Domains",'company tracker'!$1:$1,0),FALSE()),"")</f>
        <v/>
      </c>
      <c r="H344" s="1" t="str">
        <f aca="false">IFERROR(VLOOKUP(A344,'company tracker'!$a:$s,MATCH("Jun 2026 Referring Domains",'company tracker'!$1:$1,0),FALSE()),"")</f>
        <v/>
      </c>
    </row>
    <row r="345" customFormat="false" ht="15" hidden="false" customHeight="true" outlineLevel="0" collapsed="false">
      <c r="B345" s="1" t="str">
        <f aca="false">IFERROR(VLOOKUP(A345,'company tracker'!$a:$s,MATCH("Category",'company tracker'!$1:$1,0),FALSE()),"")</f>
        <v/>
      </c>
      <c r="C345" s="1" t="str">
        <f aca="false">IFERROR(VLOOKUP(A345,'Pass 1 Archive'!$A:$AD,MATCH("LinkedIn Employee Count",'Pass 1 Archive'!$1:$1,0),FALSE()),"")</f>
        <v/>
      </c>
      <c r="D345" s="1" t="str">
        <f aca="false">IFERROR(VLOOKUP(A345,'company tracker'!$a:$s,MATCH("Jan 2025 Traffic",'company tracker'!$1:$1,0),FALSE()),"")</f>
        <v/>
      </c>
      <c r="E345" s="1" t="str">
        <f aca="false">IFERROR(VLOOKUP(A345,'company tracker'!$a:$s,MATCH("Jun 2026 Traffic",'company tracker'!$1:$1,0),FALSE()),"")</f>
        <v/>
      </c>
      <c r="F345" s="1" t="str">
        <f aca="false">IFERROR(VLOOKUP(A345,'company tracker'!$a:$s,MATCH("Traffic % Change",'company tracker'!$1:$1,0),FALSE()),"")</f>
        <v/>
      </c>
      <c r="G345" s="1" t="str">
        <f aca="false">IFERROR(VLOOKUP(A345,'company tracker'!$a:$s,MATCH("Jan 2025 Referring Domains",'company tracker'!$1:$1,0),FALSE()),"")</f>
        <v/>
      </c>
      <c r="H345" s="1" t="str">
        <f aca="false">IFERROR(VLOOKUP(A345,'company tracker'!$a:$s,MATCH("Jun 2026 Referring Domains",'company tracker'!$1:$1,0),FALSE()),"")</f>
        <v/>
      </c>
    </row>
    <row r="346" customFormat="false" ht="15" hidden="false" customHeight="true" outlineLevel="0" collapsed="false">
      <c r="B346" s="1" t="str">
        <f aca="false">IFERROR(VLOOKUP(A346,'company tracker'!$a:$s,MATCH("Category",'company tracker'!$1:$1,0),FALSE()),"")</f>
        <v/>
      </c>
      <c r="C346" s="1" t="str">
        <f aca="false">IFERROR(VLOOKUP(A346,'Pass 1 Archive'!$A:$AD,MATCH("LinkedIn Employee Count",'Pass 1 Archive'!$1:$1,0),FALSE()),"")</f>
        <v/>
      </c>
      <c r="D346" s="1" t="str">
        <f aca="false">IFERROR(VLOOKUP(A346,'company tracker'!$a:$s,MATCH("Jan 2025 Traffic",'company tracker'!$1:$1,0),FALSE()),"")</f>
        <v/>
      </c>
      <c r="E346" s="1" t="str">
        <f aca="false">IFERROR(VLOOKUP(A346,'company tracker'!$a:$s,MATCH("Jun 2026 Traffic",'company tracker'!$1:$1,0),FALSE()),"")</f>
        <v/>
      </c>
      <c r="F346" s="1" t="str">
        <f aca="false">IFERROR(VLOOKUP(A346,'company tracker'!$a:$s,MATCH("Traffic % Change",'company tracker'!$1:$1,0),FALSE()),"")</f>
        <v/>
      </c>
      <c r="G346" s="1" t="str">
        <f aca="false">IFERROR(VLOOKUP(A346,'company tracker'!$a:$s,MATCH("Jan 2025 Referring Domains",'company tracker'!$1:$1,0),FALSE()),"")</f>
        <v/>
      </c>
      <c r="H346" s="1" t="str">
        <f aca="false">IFERROR(VLOOKUP(A346,'company tracker'!$a:$s,MATCH("Jun 2026 Referring Domains",'company tracker'!$1:$1,0),FALSE()),"")</f>
        <v/>
      </c>
    </row>
    <row r="347" customFormat="false" ht="15" hidden="false" customHeight="true" outlineLevel="0" collapsed="false">
      <c r="B347" s="1" t="str">
        <f aca="false">IFERROR(VLOOKUP(A347,'company tracker'!$a:$s,MATCH("Category",'company tracker'!$1:$1,0),FALSE()),"")</f>
        <v/>
      </c>
      <c r="C347" s="1" t="str">
        <f aca="false">IFERROR(VLOOKUP(A347,'Pass 1 Archive'!$A:$AD,MATCH("LinkedIn Employee Count",'Pass 1 Archive'!$1:$1,0),FALSE()),"")</f>
        <v/>
      </c>
      <c r="D347" s="1" t="str">
        <f aca="false">IFERROR(VLOOKUP(A347,'company tracker'!$a:$s,MATCH("Jan 2025 Traffic",'company tracker'!$1:$1,0),FALSE()),"")</f>
        <v/>
      </c>
      <c r="E347" s="1" t="str">
        <f aca="false">IFERROR(VLOOKUP(A347,'company tracker'!$a:$s,MATCH("Jun 2026 Traffic",'company tracker'!$1:$1,0),FALSE()),"")</f>
        <v/>
      </c>
      <c r="F347" s="1" t="str">
        <f aca="false">IFERROR(VLOOKUP(A347,'company tracker'!$a:$s,MATCH("Traffic % Change",'company tracker'!$1:$1,0),FALSE()),"")</f>
        <v/>
      </c>
      <c r="G347" s="1" t="str">
        <f aca="false">IFERROR(VLOOKUP(A347,'company tracker'!$a:$s,MATCH("Jan 2025 Referring Domains",'company tracker'!$1:$1,0),FALSE()),"")</f>
        <v/>
      </c>
      <c r="H347" s="1" t="str">
        <f aca="false">IFERROR(VLOOKUP(A347,'company tracker'!$a:$s,MATCH("Jun 2026 Referring Domains",'company tracker'!$1:$1,0),FALSE()),"")</f>
        <v/>
      </c>
    </row>
    <row r="348" customFormat="false" ht="15" hidden="false" customHeight="true" outlineLevel="0" collapsed="false">
      <c r="B348" s="1" t="str">
        <f aca="false">IFERROR(VLOOKUP(A348,'company tracker'!$a:$s,MATCH("Category",'company tracker'!$1:$1,0),FALSE()),"")</f>
        <v/>
      </c>
      <c r="C348" s="1" t="str">
        <f aca="false">IFERROR(VLOOKUP(A348,'Pass 1 Archive'!$A:$AD,MATCH("LinkedIn Employee Count",'Pass 1 Archive'!$1:$1,0),FALSE()),"")</f>
        <v/>
      </c>
      <c r="D348" s="1" t="str">
        <f aca="false">IFERROR(VLOOKUP(A348,'company tracker'!$a:$s,MATCH("Jan 2025 Traffic",'company tracker'!$1:$1,0),FALSE()),"")</f>
        <v/>
      </c>
      <c r="E348" s="1" t="str">
        <f aca="false">IFERROR(VLOOKUP(A348,'company tracker'!$a:$s,MATCH("Jun 2026 Traffic",'company tracker'!$1:$1,0),FALSE()),"")</f>
        <v/>
      </c>
      <c r="F348" s="1" t="str">
        <f aca="false">IFERROR(VLOOKUP(A348,'company tracker'!$a:$s,MATCH("Traffic % Change",'company tracker'!$1:$1,0),FALSE()),"")</f>
        <v/>
      </c>
      <c r="G348" s="1" t="str">
        <f aca="false">IFERROR(VLOOKUP(A348,'company tracker'!$a:$s,MATCH("Jan 2025 Referring Domains",'company tracker'!$1:$1,0),FALSE()),"")</f>
        <v/>
      </c>
      <c r="H348" s="1" t="str">
        <f aca="false">IFERROR(VLOOKUP(A348,'company tracker'!$a:$s,MATCH("Jun 2026 Referring Domains",'company tracker'!$1:$1,0),FALSE()),"")</f>
        <v/>
      </c>
    </row>
    <row r="349" customFormat="false" ht="15" hidden="false" customHeight="true" outlineLevel="0" collapsed="false">
      <c r="B349" s="1" t="str">
        <f aca="false">IFERROR(VLOOKUP(A349,'company tracker'!$a:$s,MATCH("Category",'company tracker'!$1:$1,0),FALSE()),"")</f>
        <v/>
      </c>
      <c r="C349" s="1" t="str">
        <f aca="false">IFERROR(VLOOKUP(A349,'Pass 1 Archive'!$A:$AD,MATCH("LinkedIn Employee Count",'Pass 1 Archive'!$1:$1,0),FALSE()),"")</f>
        <v/>
      </c>
      <c r="D349" s="1" t="str">
        <f aca="false">IFERROR(VLOOKUP(A349,'company tracker'!$a:$s,MATCH("Jan 2025 Traffic",'company tracker'!$1:$1,0),FALSE()),"")</f>
        <v/>
      </c>
      <c r="E349" s="1" t="str">
        <f aca="false">IFERROR(VLOOKUP(A349,'company tracker'!$a:$s,MATCH("Jun 2026 Traffic",'company tracker'!$1:$1,0),FALSE()),"")</f>
        <v/>
      </c>
      <c r="F349" s="1" t="str">
        <f aca="false">IFERROR(VLOOKUP(A349,'company tracker'!$a:$s,MATCH("Traffic % Change",'company tracker'!$1:$1,0),FALSE()),"")</f>
        <v/>
      </c>
      <c r="G349" s="1" t="str">
        <f aca="false">IFERROR(VLOOKUP(A349,'company tracker'!$a:$s,MATCH("Jan 2025 Referring Domains",'company tracker'!$1:$1,0),FALSE()),"")</f>
        <v/>
      </c>
      <c r="H349" s="1" t="str">
        <f aca="false">IFERROR(VLOOKUP(A349,'company tracker'!$a:$s,MATCH("Jun 2026 Referring Domains",'company tracker'!$1:$1,0),FALSE()),"")</f>
        <v/>
      </c>
    </row>
    <row r="350" customFormat="false" ht="15" hidden="false" customHeight="true" outlineLevel="0" collapsed="false">
      <c r="B350" s="1" t="str">
        <f aca="false">IFERROR(VLOOKUP(A350,'company tracker'!$a:$s,MATCH("Category",'company tracker'!$1:$1,0),FALSE()),"")</f>
        <v/>
      </c>
      <c r="C350" s="1" t="str">
        <f aca="false">IFERROR(VLOOKUP(A350,'Pass 1 Archive'!$A:$AD,MATCH("LinkedIn Employee Count",'Pass 1 Archive'!$1:$1,0),FALSE()),"")</f>
        <v/>
      </c>
      <c r="D350" s="1" t="str">
        <f aca="false">IFERROR(VLOOKUP(A350,'company tracker'!$a:$s,MATCH("Jan 2025 Traffic",'company tracker'!$1:$1,0),FALSE()),"")</f>
        <v/>
      </c>
      <c r="E350" s="1" t="str">
        <f aca="false">IFERROR(VLOOKUP(A350,'company tracker'!$a:$s,MATCH("Jun 2026 Traffic",'company tracker'!$1:$1,0),FALSE()),"")</f>
        <v/>
      </c>
      <c r="F350" s="1" t="str">
        <f aca="false">IFERROR(VLOOKUP(A350,'company tracker'!$a:$s,MATCH("Traffic % Change",'company tracker'!$1:$1,0),FALSE()),"")</f>
        <v/>
      </c>
      <c r="G350" s="1" t="str">
        <f aca="false">IFERROR(VLOOKUP(A350,'company tracker'!$a:$s,MATCH("Jan 2025 Referring Domains",'company tracker'!$1:$1,0),FALSE()),"")</f>
        <v/>
      </c>
      <c r="H350" s="1" t="str">
        <f aca="false">IFERROR(VLOOKUP(A350,'company tracker'!$a:$s,MATCH("Jun 2026 Referring Domains",'company tracker'!$1:$1,0),FALSE()),"")</f>
        <v/>
      </c>
    </row>
    <row r="351" customFormat="false" ht="15" hidden="false" customHeight="true" outlineLevel="0" collapsed="false">
      <c r="B351" s="1" t="str">
        <f aca="false">IFERROR(VLOOKUP(A351,'company tracker'!$a:$s,MATCH("Category",'company tracker'!$1:$1,0),FALSE()),"")</f>
        <v/>
      </c>
      <c r="C351" s="1" t="str">
        <f aca="false">IFERROR(VLOOKUP(A351,'Pass 1 Archive'!$A:$AD,MATCH("LinkedIn Employee Count",'Pass 1 Archive'!$1:$1,0),FALSE()),"")</f>
        <v/>
      </c>
      <c r="D351" s="1" t="str">
        <f aca="false">IFERROR(VLOOKUP(A351,'company tracker'!$a:$s,MATCH("Jan 2025 Traffic",'company tracker'!$1:$1,0),FALSE()),"")</f>
        <v/>
      </c>
      <c r="E351" s="1" t="str">
        <f aca="false">IFERROR(VLOOKUP(A351,'company tracker'!$a:$s,MATCH("Jun 2026 Traffic",'company tracker'!$1:$1,0),FALSE()),"")</f>
        <v/>
      </c>
      <c r="F351" s="1" t="str">
        <f aca="false">IFERROR(VLOOKUP(A351,'company tracker'!$a:$s,MATCH("Traffic % Change",'company tracker'!$1:$1,0),FALSE()),"")</f>
        <v/>
      </c>
      <c r="G351" s="1" t="str">
        <f aca="false">IFERROR(VLOOKUP(A351,'company tracker'!$a:$s,MATCH("Jan 2025 Referring Domains",'company tracker'!$1:$1,0),FALSE()),"")</f>
        <v/>
      </c>
      <c r="H351" s="1" t="str">
        <f aca="false">IFERROR(VLOOKUP(A351,'company tracker'!$a:$s,MATCH("Jun 2026 Referring Domains",'company tracker'!$1:$1,0),FALSE()),"")</f>
        <v/>
      </c>
    </row>
    <row r="352" customFormat="false" ht="15" hidden="false" customHeight="true" outlineLevel="0" collapsed="false">
      <c r="B352" s="1" t="str">
        <f aca="false">IFERROR(VLOOKUP(A352,'company tracker'!$a:$s,MATCH("Category",'company tracker'!$1:$1,0),FALSE()),"")</f>
        <v/>
      </c>
      <c r="C352" s="1" t="str">
        <f aca="false">IFERROR(VLOOKUP(A352,'Pass 1 Archive'!$A:$AD,MATCH("LinkedIn Employee Count",'Pass 1 Archive'!$1:$1,0),FALSE()),"")</f>
        <v/>
      </c>
      <c r="D352" s="1" t="str">
        <f aca="false">IFERROR(VLOOKUP(A352,'company tracker'!$a:$s,MATCH("Jan 2025 Traffic",'company tracker'!$1:$1,0),FALSE()),"")</f>
        <v/>
      </c>
      <c r="E352" s="1" t="str">
        <f aca="false">IFERROR(VLOOKUP(A352,'company tracker'!$a:$s,MATCH("Jun 2026 Traffic",'company tracker'!$1:$1,0),FALSE()),"")</f>
        <v/>
      </c>
      <c r="F352" s="1" t="str">
        <f aca="false">IFERROR(VLOOKUP(A352,'company tracker'!$a:$s,MATCH("Traffic % Change",'company tracker'!$1:$1,0),FALSE()),"")</f>
        <v/>
      </c>
      <c r="G352" s="1" t="str">
        <f aca="false">IFERROR(VLOOKUP(A352,'company tracker'!$a:$s,MATCH("Jan 2025 Referring Domains",'company tracker'!$1:$1,0),FALSE()),"")</f>
        <v/>
      </c>
      <c r="H352" s="1" t="str">
        <f aca="false">IFERROR(VLOOKUP(A352,'company tracker'!$a:$s,MATCH("Jun 2026 Referring Domains",'company tracker'!$1:$1,0),FALSE()),"")</f>
        <v/>
      </c>
    </row>
    <row r="353" customFormat="false" ht="15" hidden="false" customHeight="true" outlineLevel="0" collapsed="false">
      <c r="B353" s="1" t="str">
        <f aca="false">IFERROR(VLOOKUP(A353,'company tracker'!$a:$s,MATCH("Category",'company tracker'!$1:$1,0),FALSE()),"")</f>
        <v/>
      </c>
      <c r="C353" s="1" t="str">
        <f aca="false">IFERROR(VLOOKUP(A353,'Pass 1 Archive'!$A:$AD,MATCH("LinkedIn Employee Count",'Pass 1 Archive'!$1:$1,0),FALSE()),"")</f>
        <v/>
      </c>
      <c r="D353" s="1" t="str">
        <f aca="false">IFERROR(VLOOKUP(A353,'company tracker'!$a:$s,MATCH("Jan 2025 Traffic",'company tracker'!$1:$1,0),FALSE()),"")</f>
        <v/>
      </c>
      <c r="E353" s="1" t="str">
        <f aca="false">IFERROR(VLOOKUP(A353,'company tracker'!$a:$s,MATCH("Jun 2026 Traffic",'company tracker'!$1:$1,0),FALSE()),"")</f>
        <v/>
      </c>
      <c r="F353" s="1" t="str">
        <f aca="false">IFERROR(VLOOKUP(A353,'company tracker'!$a:$s,MATCH("Traffic % Change",'company tracker'!$1:$1,0),FALSE()),"")</f>
        <v/>
      </c>
      <c r="G353" s="1" t="str">
        <f aca="false">IFERROR(VLOOKUP(A353,'company tracker'!$a:$s,MATCH("Jan 2025 Referring Domains",'company tracker'!$1:$1,0),FALSE()),"")</f>
        <v/>
      </c>
      <c r="H353" s="1" t="str">
        <f aca="false">IFERROR(VLOOKUP(A353,'company tracker'!$a:$s,MATCH("Jun 2026 Referring Domains",'company tracker'!$1:$1,0),FALSE()),"")</f>
        <v/>
      </c>
    </row>
    <row r="354" customFormat="false" ht="15" hidden="false" customHeight="true" outlineLevel="0" collapsed="false">
      <c r="B354" s="1" t="str">
        <f aca="false">IFERROR(VLOOKUP(A354,'company tracker'!$a:$s,MATCH("Category",'company tracker'!$1:$1,0),FALSE()),"")</f>
        <v/>
      </c>
      <c r="C354" s="1" t="str">
        <f aca="false">IFERROR(VLOOKUP(A354,'Pass 1 Archive'!$A:$AD,MATCH("LinkedIn Employee Count",'Pass 1 Archive'!$1:$1,0),FALSE()),"")</f>
        <v/>
      </c>
      <c r="D354" s="1" t="str">
        <f aca="false">IFERROR(VLOOKUP(A354,'company tracker'!$a:$s,MATCH("Jan 2025 Traffic",'company tracker'!$1:$1,0),FALSE()),"")</f>
        <v/>
      </c>
      <c r="E354" s="1" t="str">
        <f aca="false">IFERROR(VLOOKUP(A354,'company tracker'!$a:$s,MATCH("Jun 2026 Traffic",'company tracker'!$1:$1,0),FALSE()),"")</f>
        <v/>
      </c>
      <c r="F354" s="1" t="str">
        <f aca="false">IFERROR(VLOOKUP(A354,'company tracker'!$a:$s,MATCH("Traffic % Change",'company tracker'!$1:$1,0),FALSE()),"")</f>
        <v/>
      </c>
      <c r="G354" s="1" t="str">
        <f aca="false">IFERROR(VLOOKUP(A354,'company tracker'!$a:$s,MATCH("Jan 2025 Referring Domains",'company tracker'!$1:$1,0),FALSE()),"")</f>
        <v/>
      </c>
      <c r="H354" s="1" t="str">
        <f aca="false">IFERROR(VLOOKUP(A354,'company tracker'!$a:$s,MATCH("Jun 2026 Referring Domains",'company tracker'!$1:$1,0),FALSE()),"")</f>
        <v/>
      </c>
    </row>
    <row r="355" customFormat="false" ht="15" hidden="false" customHeight="true" outlineLevel="0" collapsed="false">
      <c r="B355" s="1" t="str">
        <f aca="false">IFERROR(VLOOKUP(A355,'company tracker'!$a:$s,MATCH("Category",'company tracker'!$1:$1,0),FALSE()),"")</f>
        <v/>
      </c>
      <c r="C355" s="1" t="str">
        <f aca="false">IFERROR(VLOOKUP(A355,'Pass 1 Archive'!$A:$AD,MATCH("LinkedIn Employee Count",'Pass 1 Archive'!$1:$1,0),FALSE()),"")</f>
        <v/>
      </c>
      <c r="D355" s="1" t="str">
        <f aca="false">IFERROR(VLOOKUP(A355,'company tracker'!$a:$s,MATCH("Jan 2025 Traffic",'company tracker'!$1:$1,0),FALSE()),"")</f>
        <v/>
      </c>
      <c r="E355" s="1" t="str">
        <f aca="false">IFERROR(VLOOKUP(A355,'company tracker'!$a:$s,MATCH("Jun 2026 Traffic",'company tracker'!$1:$1,0),FALSE()),"")</f>
        <v/>
      </c>
      <c r="F355" s="1" t="str">
        <f aca="false">IFERROR(VLOOKUP(A355,'company tracker'!$a:$s,MATCH("Traffic % Change",'company tracker'!$1:$1,0),FALSE()),"")</f>
        <v/>
      </c>
      <c r="G355" s="1" t="str">
        <f aca="false">IFERROR(VLOOKUP(A355,'company tracker'!$a:$s,MATCH("Jan 2025 Referring Domains",'company tracker'!$1:$1,0),FALSE()),"")</f>
        <v/>
      </c>
      <c r="H355" s="1" t="str">
        <f aca="false">IFERROR(VLOOKUP(A355,'company tracker'!$a:$s,MATCH("Jun 2026 Referring Domains",'company tracker'!$1:$1,0),FALSE()),"")</f>
        <v/>
      </c>
    </row>
    <row r="356" customFormat="false" ht="15" hidden="false" customHeight="true" outlineLevel="0" collapsed="false">
      <c r="B356" s="1" t="str">
        <f aca="false">IFERROR(VLOOKUP(A356,'company tracker'!$a:$s,MATCH("Category",'company tracker'!$1:$1,0),FALSE()),"")</f>
        <v/>
      </c>
      <c r="C356" s="1" t="str">
        <f aca="false">IFERROR(VLOOKUP(A356,'Pass 1 Archive'!$A:$AD,MATCH("LinkedIn Employee Count",'Pass 1 Archive'!$1:$1,0),FALSE()),"")</f>
        <v/>
      </c>
      <c r="D356" s="1" t="str">
        <f aca="false">IFERROR(VLOOKUP(A356,'company tracker'!$a:$s,MATCH("Jan 2025 Traffic",'company tracker'!$1:$1,0),FALSE()),"")</f>
        <v/>
      </c>
      <c r="E356" s="1" t="str">
        <f aca="false">IFERROR(VLOOKUP(A356,'company tracker'!$a:$s,MATCH("Jun 2026 Traffic",'company tracker'!$1:$1,0),FALSE()),"")</f>
        <v/>
      </c>
      <c r="F356" s="1" t="str">
        <f aca="false">IFERROR(VLOOKUP(A356,'company tracker'!$a:$s,MATCH("Traffic % Change",'company tracker'!$1:$1,0),FALSE()),"")</f>
        <v/>
      </c>
      <c r="G356" s="1" t="str">
        <f aca="false">IFERROR(VLOOKUP(A356,'company tracker'!$a:$s,MATCH("Jan 2025 Referring Domains",'company tracker'!$1:$1,0),FALSE()),"")</f>
        <v/>
      </c>
      <c r="H356" s="1" t="str">
        <f aca="false">IFERROR(VLOOKUP(A356,'company tracker'!$a:$s,MATCH("Jun 2026 Referring Domains",'company tracker'!$1:$1,0),FALSE()),"")</f>
        <v/>
      </c>
    </row>
    <row r="357" customFormat="false" ht="15" hidden="false" customHeight="true" outlineLevel="0" collapsed="false">
      <c r="B357" s="1" t="str">
        <f aca="false">IFERROR(VLOOKUP(A357,'company tracker'!$a:$s,MATCH("Category",'company tracker'!$1:$1,0),FALSE()),"")</f>
        <v/>
      </c>
      <c r="C357" s="1" t="str">
        <f aca="false">IFERROR(VLOOKUP(A357,'Pass 1 Archive'!$A:$AD,MATCH("LinkedIn Employee Count",'Pass 1 Archive'!$1:$1,0),FALSE()),"")</f>
        <v/>
      </c>
      <c r="D357" s="1" t="str">
        <f aca="false">IFERROR(VLOOKUP(A357,'company tracker'!$a:$s,MATCH("Jan 2025 Traffic",'company tracker'!$1:$1,0),FALSE()),"")</f>
        <v/>
      </c>
      <c r="E357" s="1" t="str">
        <f aca="false">IFERROR(VLOOKUP(A357,'company tracker'!$a:$s,MATCH("Jun 2026 Traffic",'company tracker'!$1:$1,0),FALSE()),"")</f>
        <v/>
      </c>
      <c r="F357" s="1" t="str">
        <f aca="false">IFERROR(VLOOKUP(A357,'company tracker'!$a:$s,MATCH("Traffic % Change",'company tracker'!$1:$1,0),FALSE()),"")</f>
        <v/>
      </c>
      <c r="G357" s="1" t="str">
        <f aca="false">IFERROR(VLOOKUP(A357,'company tracker'!$a:$s,MATCH("Jan 2025 Referring Domains",'company tracker'!$1:$1,0),FALSE()),"")</f>
        <v/>
      </c>
      <c r="H357" s="1" t="str">
        <f aca="false">IFERROR(VLOOKUP(A357,'company tracker'!$a:$s,MATCH("Jun 2026 Referring Domains",'company tracker'!$1:$1,0),FALSE()),"")</f>
        <v/>
      </c>
    </row>
    <row r="358" customFormat="false" ht="15" hidden="false" customHeight="true" outlineLevel="0" collapsed="false">
      <c r="B358" s="1" t="str">
        <f aca="false">IFERROR(VLOOKUP(A358,'company tracker'!$a:$s,MATCH("Category",'company tracker'!$1:$1,0),FALSE()),"")</f>
        <v/>
      </c>
      <c r="C358" s="1" t="str">
        <f aca="false">IFERROR(VLOOKUP(A358,'Pass 1 Archive'!$A:$AD,MATCH("LinkedIn Employee Count",'Pass 1 Archive'!$1:$1,0),FALSE()),"")</f>
        <v/>
      </c>
      <c r="D358" s="1" t="str">
        <f aca="false">IFERROR(VLOOKUP(A358,'company tracker'!$a:$s,MATCH("Jan 2025 Traffic",'company tracker'!$1:$1,0),FALSE()),"")</f>
        <v/>
      </c>
      <c r="E358" s="1" t="str">
        <f aca="false">IFERROR(VLOOKUP(A358,'company tracker'!$a:$s,MATCH("Jun 2026 Traffic",'company tracker'!$1:$1,0),FALSE()),"")</f>
        <v/>
      </c>
      <c r="F358" s="1" t="str">
        <f aca="false">IFERROR(VLOOKUP(A358,'company tracker'!$a:$s,MATCH("Traffic % Change",'company tracker'!$1:$1,0),FALSE()),"")</f>
        <v/>
      </c>
      <c r="G358" s="1" t="str">
        <f aca="false">IFERROR(VLOOKUP(A358,'company tracker'!$a:$s,MATCH("Jan 2025 Referring Domains",'company tracker'!$1:$1,0),FALSE()),"")</f>
        <v/>
      </c>
      <c r="H358" s="1" t="str">
        <f aca="false">IFERROR(VLOOKUP(A358,'company tracker'!$a:$s,MATCH("Jun 2026 Referring Domains",'company tracker'!$1:$1,0),FALSE()),"")</f>
        <v/>
      </c>
    </row>
    <row r="359" customFormat="false" ht="15" hidden="false" customHeight="true" outlineLevel="0" collapsed="false">
      <c r="B359" s="1" t="str">
        <f aca="false">IFERROR(VLOOKUP(A359,'company tracker'!$a:$s,MATCH("Category",'company tracker'!$1:$1,0),FALSE()),"")</f>
        <v/>
      </c>
      <c r="C359" s="1" t="str">
        <f aca="false">IFERROR(VLOOKUP(A359,'Pass 1 Archive'!$A:$AD,MATCH("LinkedIn Employee Count",'Pass 1 Archive'!$1:$1,0),FALSE()),"")</f>
        <v/>
      </c>
      <c r="D359" s="1" t="str">
        <f aca="false">IFERROR(VLOOKUP(A359,'company tracker'!$a:$s,MATCH("Jan 2025 Traffic",'company tracker'!$1:$1,0),FALSE()),"")</f>
        <v/>
      </c>
      <c r="E359" s="1" t="str">
        <f aca="false">IFERROR(VLOOKUP(A359,'company tracker'!$a:$s,MATCH("Jun 2026 Traffic",'company tracker'!$1:$1,0),FALSE()),"")</f>
        <v/>
      </c>
      <c r="F359" s="1" t="str">
        <f aca="false">IFERROR(VLOOKUP(A359,'company tracker'!$a:$s,MATCH("Traffic % Change",'company tracker'!$1:$1,0),FALSE()),"")</f>
        <v/>
      </c>
      <c r="G359" s="1" t="str">
        <f aca="false">IFERROR(VLOOKUP(A359,'company tracker'!$a:$s,MATCH("Jan 2025 Referring Domains",'company tracker'!$1:$1,0),FALSE()),"")</f>
        <v/>
      </c>
      <c r="H359" s="1" t="str">
        <f aca="false">IFERROR(VLOOKUP(A359,'company tracker'!$a:$s,MATCH("Jun 2026 Referring Domains",'company tracker'!$1:$1,0),FALSE()),"")</f>
        <v/>
      </c>
    </row>
    <row r="360" customFormat="false" ht="15" hidden="false" customHeight="true" outlineLevel="0" collapsed="false">
      <c r="B360" s="1" t="str">
        <f aca="false">IFERROR(VLOOKUP(A360,'company tracker'!$a:$s,MATCH("Category",'company tracker'!$1:$1,0),FALSE()),"")</f>
        <v/>
      </c>
      <c r="C360" s="1" t="str">
        <f aca="false">IFERROR(VLOOKUP(A360,'Pass 1 Archive'!$A:$AD,MATCH("LinkedIn Employee Count",'Pass 1 Archive'!$1:$1,0),FALSE()),"")</f>
        <v/>
      </c>
      <c r="D360" s="1" t="str">
        <f aca="false">IFERROR(VLOOKUP(A360,'company tracker'!$a:$s,MATCH("Jan 2025 Traffic",'company tracker'!$1:$1,0),FALSE()),"")</f>
        <v/>
      </c>
      <c r="E360" s="1" t="str">
        <f aca="false">IFERROR(VLOOKUP(A360,'company tracker'!$a:$s,MATCH("Jun 2026 Traffic",'company tracker'!$1:$1,0),FALSE()),"")</f>
        <v/>
      </c>
      <c r="F360" s="1" t="str">
        <f aca="false">IFERROR(VLOOKUP(A360,'company tracker'!$a:$s,MATCH("Traffic % Change",'company tracker'!$1:$1,0),FALSE()),"")</f>
        <v/>
      </c>
      <c r="G360" s="1" t="str">
        <f aca="false">IFERROR(VLOOKUP(A360,'company tracker'!$a:$s,MATCH("Jan 2025 Referring Domains",'company tracker'!$1:$1,0),FALSE()),"")</f>
        <v/>
      </c>
      <c r="H360" s="1" t="str">
        <f aca="false">IFERROR(VLOOKUP(A360,'company tracker'!$a:$s,MATCH("Jun 2026 Referring Domains",'company tracker'!$1:$1,0),FALSE()),"")</f>
        <v/>
      </c>
    </row>
    <row r="361" customFormat="false" ht="15" hidden="false" customHeight="true" outlineLevel="0" collapsed="false">
      <c r="B361" s="1" t="str">
        <f aca="false">IFERROR(VLOOKUP(A361,'company tracker'!$a:$s,MATCH("Category",'company tracker'!$1:$1,0),FALSE()),"")</f>
        <v/>
      </c>
      <c r="C361" s="1" t="str">
        <f aca="false">IFERROR(VLOOKUP(A361,'Pass 1 Archive'!$A:$AD,MATCH("LinkedIn Employee Count",'Pass 1 Archive'!$1:$1,0),FALSE()),"")</f>
        <v/>
      </c>
      <c r="D361" s="1" t="str">
        <f aca="false">IFERROR(VLOOKUP(A361,'company tracker'!$a:$s,MATCH("Jan 2025 Traffic",'company tracker'!$1:$1,0),FALSE()),"")</f>
        <v/>
      </c>
      <c r="E361" s="1" t="str">
        <f aca="false">IFERROR(VLOOKUP(A361,'company tracker'!$a:$s,MATCH("Jun 2026 Traffic",'company tracker'!$1:$1,0),FALSE()),"")</f>
        <v/>
      </c>
      <c r="F361" s="1" t="str">
        <f aca="false">IFERROR(VLOOKUP(A361,'company tracker'!$a:$s,MATCH("Traffic % Change",'company tracker'!$1:$1,0),FALSE()),"")</f>
        <v/>
      </c>
      <c r="G361" s="1" t="str">
        <f aca="false">IFERROR(VLOOKUP(A361,'company tracker'!$a:$s,MATCH("Jan 2025 Referring Domains",'company tracker'!$1:$1,0),FALSE()),"")</f>
        <v/>
      </c>
      <c r="H361" s="1" t="str">
        <f aca="false">IFERROR(VLOOKUP(A361,'company tracker'!$a:$s,MATCH("Jun 2026 Referring Domains",'company tracker'!$1:$1,0),FALSE()),"")</f>
        <v/>
      </c>
    </row>
    <row r="362" customFormat="false" ht="15" hidden="false" customHeight="true" outlineLevel="0" collapsed="false">
      <c r="B362" s="1" t="str">
        <f aca="false">IFERROR(VLOOKUP(A362,'company tracker'!$a:$s,MATCH("Category",'company tracker'!$1:$1,0),FALSE()),"")</f>
        <v/>
      </c>
      <c r="C362" s="1" t="str">
        <f aca="false">IFERROR(VLOOKUP(A362,'Pass 1 Archive'!$A:$AD,MATCH("LinkedIn Employee Count",'Pass 1 Archive'!$1:$1,0),FALSE()),"")</f>
        <v/>
      </c>
      <c r="D362" s="1" t="str">
        <f aca="false">IFERROR(VLOOKUP(A362,'company tracker'!$a:$s,MATCH("Jan 2025 Traffic",'company tracker'!$1:$1,0),FALSE()),"")</f>
        <v/>
      </c>
      <c r="E362" s="1" t="str">
        <f aca="false">IFERROR(VLOOKUP(A362,'company tracker'!$a:$s,MATCH("Jun 2026 Traffic",'company tracker'!$1:$1,0),FALSE()),"")</f>
        <v/>
      </c>
      <c r="F362" s="1" t="str">
        <f aca="false">IFERROR(VLOOKUP(A362,'company tracker'!$a:$s,MATCH("Traffic % Change",'company tracker'!$1:$1,0),FALSE()),"")</f>
        <v/>
      </c>
      <c r="G362" s="1" t="str">
        <f aca="false">IFERROR(VLOOKUP(A362,'company tracker'!$a:$s,MATCH("Jan 2025 Referring Domains",'company tracker'!$1:$1,0),FALSE()),"")</f>
        <v/>
      </c>
      <c r="H362" s="1" t="str">
        <f aca="false">IFERROR(VLOOKUP(A362,'company tracker'!$a:$s,MATCH("Jun 2026 Referring Domains",'company tracker'!$1:$1,0),FALSE()),"")</f>
        <v/>
      </c>
    </row>
    <row r="363" customFormat="false" ht="15" hidden="false" customHeight="true" outlineLevel="0" collapsed="false">
      <c r="B363" s="1" t="str">
        <f aca="false">IFERROR(VLOOKUP(A363,'company tracker'!$a:$s,MATCH("Category",'company tracker'!$1:$1,0),FALSE()),"")</f>
        <v/>
      </c>
      <c r="C363" s="1" t="str">
        <f aca="false">IFERROR(VLOOKUP(A363,'Pass 1 Archive'!$A:$AD,MATCH("LinkedIn Employee Count",'Pass 1 Archive'!$1:$1,0),FALSE()),"")</f>
        <v/>
      </c>
      <c r="D363" s="1" t="str">
        <f aca="false">IFERROR(VLOOKUP(A363,'company tracker'!$a:$s,MATCH("Jan 2025 Traffic",'company tracker'!$1:$1,0),FALSE()),"")</f>
        <v/>
      </c>
      <c r="E363" s="1" t="str">
        <f aca="false">IFERROR(VLOOKUP(A363,'company tracker'!$a:$s,MATCH("Jun 2026 Traffic",'company tracker'!$1:$1,0),FALSE()),"")</f>
        <v/>
      </c>
      <c r="F363" s="1" t="str">
        <f aca="false">IFERROR(VLOOKUP(A363,'company tracker'!$a:$s,MATCH("Traffic % Change",'company tracker'!$1:$1,0),FALSE()),"")</f>
        <v/>
      </c>
      <c r="G363" s="1" t="str">
        <f aca="false">IFERROR(VLOOKUP(A363,'company tracker'!$a:$s,MATCH("Jan 2025 Referring Domains",'company tracker'!$1:$1,0),FALSE()),"")</f>
        <v/>
      </c>
      <c r="H363" s="1" t="str">
        <f aca="false">IFERROR(VLOOKUP(A363,'company tracker'!$a:$s,MATCH("Jun 2026 Referring Domains",'company tracker'!$1:$1,0),FALSE()),"")</f>
        <v/>
      </c>
    </row>
    <row r="364" customFormat="false" ht="15" hidden="false" customHeight="true" outlineLevel="0" collapsed="false">
      <c r="B364" s="1" t="str">
        <f aca="false">IFERROR(VLOOKUP(A364,'company tracker'!$a:$s,MATCH("Category",'company tracker'!$1:$1,0),FALSE()),"")</f>
        <v/>
      </c>
      <c r="C364" s="1" t="str">
        <f aca="false">IFERROR(VLOOKUP(A364,'Pass 1 Archive'!$A:$AD,MATCH("LinkedIn Employee Count",'Pass 1 Archive'!$1:$1,0),FALSE()),"")</f>
        <v/>
      </c>
      <c r="D364" s="1" t="str">
        <f aca="false">IFERROR(VLOOKUP(A364,'company tracker'!$a:$s,MATCH("Jan 2025 Traffic",'company tracker'!$1:$1,0),FALSE()),"")</f>
        <v/>
      </c>
      <c r="E364" s="1" t="str">
        <f aca="false">IFERROR(VLOOKUP(A364,'company tracker'!$a:$s,MATCH("Jun 2026 Traffic",'company tracker'!$1:$1,0),FALSE()),"")</f>
        <v/>
      </c>
      <c r="F364" s="1" t="str">
        <f aca="false">IFERROR(VLOOKUP(A364,'company tracker'!$a:$s,MATCH("Traffic % Change",'company tracker'!$1:$1,0),FALSE()),"")</f>
        <v/>
      </c>
      <c r="G364" s="1" t="str">
        <f aca="false">IFERROR(VLOOKUP(A364,'company tracker'!$a:$s,MATCH("Jan 2025 Referring Domains",'company tracker'!$1:$1,0),FALSE()),"")</f>
        <v/>
      </c>
      <c r="H364" s="1" t="str">
        <f aca="false">IFERROR(VLOOKUP(A364,'company tracker'!$a:$s,MATCH("Jun 2026 Referring Domains",'company tracker'!$1:$1,0),FALSE()),"")</f>
        <v/>
      </c>
    </row>
    <row r="365" customFormat="false" ht="15" hidden="false" customHeight="true" outlineLevel="0" collapsed="false">
      <c r="B365" s="1" t="str">
        <f aca="false">IFERROR(VLOOKUP(A365,'company tracker'!$a:$s,MATCH("Category",'company tracker'!$1:$1,0),FALSE()),"")</f>
        <v/>
      </c>
      <c r="C365" s="1" t="str">
        <f aca="false">IFERROR(VLOOKUP(A365,'Pass 1 Archive'!$A:$AD,MATCH("LinkedIn Employee Count",'Pass 1 Archive'!$1:$1,0),FALSE()),"")</f>
        <v/>
      </c>
      <c r="D365" s="1" t="str">
        <f aca="false">IFERROR(VLOOKUP(A365,'company tracker'!$a:$s,MATCH("Jan 2025 Traffic",'company tracker'!$1:$1,0),FALSE()),"")</f>
        <v/>
      </c>
      <c r="E365" s="1" t="str">
        <f aca="false">IFERROR(VLOOKUP(A365,'company tracker'!$a:$s,MATCH("Jun 2026 Traffic",'company tracker'!$1:$1,0),FALSE()),"")</f>
        <v/>
      </c>
      <c r="F365" s="1" t="str">
        <f aca="false">IFERROR(VLOOKUP(A365,'company tracker'!$a:$s,MATCH("Traffic % Change",'company tracker'!$1:$1,0),FALSE()),"")</f>
        <v/>
      </c>
      <c r="G365" s="1" t="str">
        <f aca="false">IFERROR(VLOOKUP(A365,'company tracker'!$a:$s,MATCH("Jan 2025 Referring Domains",'company tracker'!$1:$1,0),FALSE()),"")</f>
        <v/>
      </c>
      <c r="H365" s="1" t="str">
        <f aca="false">IFERROR(VLOOKUP(A365,'company tracker'!$a:$s,MATCH("Jun 2026 Referring Domains",'company tracker'!$1:$1,0),FALSE()),"")</f>
        <v/>
      </c>
    </row>
    <row r="366" customFormat="false" ht="15" hidden="false" customHeight="true" outlineLevel="0" collapsed="false">
      <c r="B366" s="1" t="str">
        <f aca="false">IFERROR(VLOOKUP(A366,'company tracker'!$a:$s,MATCH("Category",'company tracker'!$1:$1,0),FALSE()),"")</f>
        <v/>
      </c>
      <c r="C366" s="1" t="str">
        <f aca="false">IFERROR(VLOOKUP(A366,'Pass 1 Archive'!$A:$AD,MATCH("LinkedIn Employee Count",'Pass 1 Archive'!$1:$1,0),FALSE()),"")</f>
        <v/>
      </c>
      <c r="D366" s="1" t="str">
        <f aca="false">IFERROR(VLOOKUP(A366,'company tracker'!$a:$s,MATCH("Jan 2025 Traffic",'company tracker'!$1:$1,0),FALSE()),"")</f>
        <v/>
      </c>
      <c r="E366" s="1" t="str">
        <f aca="false">IFERROR(VLOOKUP(A366,'company tracker'!$a:$s,MATCH("Jun 2026 Traffic",'company tracker'!$1:$1,0),FALSE()),"")</f>
        <v/>
      </c>
      <c r="F366" s="1" t="str">
        <f aca="false">IFERROR(VLOOKUP(A366,'company tracker'!$a:$s,MATCH("Traffic % Change",'company tracker'!$1:$1,0),FALSE()),"")</f>
        <v/>
      </c>
      <c r="G366" s="1" t="str">
        <f aca="false">IFERROR(VLOOKUP(A366,'company tracker'!$a:$s,MATCH("Jan 2025 Referring Domains",'company tracker'!$1:$1,0),FALSE()),"")</f>
        <v/>
      </c>
      <c r="H366" s="1" t="str">
        <f aca="false">IFERROR(VLOOKUP(A366,'company tracker'!$a:$s,MATCH("Jun 2026 Referring Domains",'company tracker'!$1:$1,0),FALSE()),"")</f>
        <v/>
      </c>
    </row>
    <row r="367" customFormat="false" ht="15" hidden="false" customHeight="true" outlineLevel="0" collapsed="false">
      <c r="B367" s="1" t="str">
        <f aca="false">IFERROR(VLOOKUP(A367,'company tracker'!$a:$s,MATCH("Category",'company tracker'!$1:$1,0),FALSE()),"")</f>
        <v/>
      </c>
      <c r="C367" s="1" t="str">
        <f aca="false">IFERROR(VLOOKUP(A367,'Pass 1 Archive'!$A:$AD,MATCH("LinkedIn Employee Count",'Pass 1 Archive'!$1:$1,0),FALSE()),"")</f>
        <v/>
      </c>
      <c r="D367" s="1" t="str">
        <f aca="false">IFERROR(VLOOKUP(A367,'company tracker'!$a:$s,MATCH("Jan 2025 Traffic",'company tracker'!$1:$1,0),FALSE()),"")</f>
        <v/>
      </c>
      <c r="E367" s="1" t="str">
        <f aca="false">IFERROR(VLOOKUP(A367,'company tracker'!$a:$s,MATCH("Jun 2026 Traffic",'company tracker'!$1:$1,0),FALSE()),"")</f>
        <v/>
      </c>
      <c r="F367" s="1" t="str">
        <f aca="false">IFERROR(VLOOKUP(A367,'company tracker'!$a:$s,MATCH("Traffic % Change",'company tracker'!$1:$1,0),FALSE()),"")</f>
        <v/>
      </c>
      <c r="G367" s="1" t="str">
        <f aca="false">IFERROR(VLOOKUP(A367,'company tracker'!$a:$s,MATCH("Jan 2025 Referring Domains",'company tracker'!$1:$1,0),FALSE()),"")</f>
        <v/>
      </c>
      <c r="H367" s="1" t="str">
        <f aca="false">IFERROR(VLOOKUP(A367,'company tracker'!$a:$s,MATCH("Jun 2026 Referring Domains",'company tracker'!$1:$1,0),FALSE()),"")</f>
        <v/>
      </c>
    </row>
    <row r="368" customFormat="false" ht="15" hidden="false" customHeight="true" outlineLevel="0" collapsed="false">
      <c r="B368" s="1" t="str">
        <f aca="false">IFERROR(VLOOKUP(A368,'company tracker'!$a:$s,MATCH("Category",'company tracker'!$1:$1,0),FALSE()),"")</f>
        <v/>
      </c>
      <c r="C368" s="1" t="str">
        <f aca="false">IFERROR(VLOOKUP(A368,'Pass 1 Archive'!$A:$AD,MATCH("LinkedIn Employee Count",'Pass 1 Archive'!$1:$1,0),FALSE()),"")</f>
        <v/>
      </c>
      <c r="D368" s="1" t="str">
        <f aca="false">IFERROR(VLOOKUP(A368,'company tracker'!$a:$s,MATCH("Jan 2025 Traffic",'company tracker'!$1:$1,0),FALSE()),"")</f>
        <v/>
      </c>
      <c r="E368" s="1" t="str">
        <f aca="false">IFERROR(VLOOKUP(A368,'company tracker'!$a:$s,MATCH("Jun 2026 Traffic",'company tracker'!$1:$1,0),FALSE()),"")</f>
        <v/>
      </c>
      <c r="F368" s="1" t="str">
        <f aca="false">IFERROR(VLOOKUP(A368,'company tracker'!$a:$s,MATCH("Traffic % Change",'company tracker'!$1:$1,0),FALSE()),"")</f>
        <v/>
      </c>
      <c r="G368" s="1" t="str">
        <f aca="false">IFERROR(VLOOKUP(A368,'company tracker'!$a:$s,MATCH("Jan 2025 Referring Domains",'company tracker'!$1:$1,0),FALSE()),"")</f>
        <v/>
      </c>
      <c r="H368" s="1" t="str">
        <f aca="false">IFERROR(VLOOKUP(A368,'company tracker'!$a:$s,MATCH("Jun 2026 Referring Domains",'company tracker'!$1:$1,0),FALSE()),"")</f>
        <v/>
      </c>
    </row>
    <row r="369" customFormat="false" ht="15" hidden="false" customHeight="true" outlineLevel="0" collapsed="false">
      <c r="B369" s="1" t="str">
        <f aca="false">IFERROR(VLOOKUP(A369,'company tracker'!$a:$s,MATCH("Category",'company tracker'!$1:$1,0),FALSE()),"")</f>
        <v/>
      </c>
      <c r="C369" s="1" t="str">
        <f aca="false">IFERROR(VLOOKUP(A369,'Pass 1 Archive'!$A:$AD,MATCH("LinkedIn Employee Count",'Pass 1 Archive'!$1:$1,0),FALSE()),"")</f>
        <v/>
      </c>
      <c r="D369" s="1" t="str">
        <f aca="false">IFERROR(VLOOKUP(A369,'company tracker'!$a:$s,MATCH("Jan 2025 Traffic",'company tracker'!$1:$1,0),FALSE()),"")</f>
        <v/>
      </c>
      <c r="E369" s="1" t="str">
        <f aca="false">IFERROR(VLOOKUP(A369,'company tracker'!$a:$s,MATCH("Jun 2026 Traffic",'company tracker'!$1:$1,0),FALSE()),"")</f>
        <v/>
      </c>
      <c r="F369" s="1" t="str">
        <f aca="false">IFERROR(VLOOKUP(A369,'company tracker'!$a:$s,MATCH("Traffic % Change",'company tracker'!$1:$1,0),FALSE()),"")</f>
        <v/>
      </c>
      <c r="G369" s="1" t="str">
        <f aca="false">IFERROR(VLOOKUP(A369,'company tracker'!$a:$s,MATCH("Jan 2025 Referring Domains",'company tracker'!$1:$1,0),FALSE()),"")</f>
        <v/>
      </c>
      <c r="H369" s="1" t="str">
        <f aca="false">IFERROR(VLOOKUP(A369,'company tracker'!$a:$s,MATCH("Jun 2026 Referring Domains",'company tracker'!$1:$1,0),FALSE()),"")</f>
        <v/>
      </c>
    </row>
    <row r="370" customFormat="false" ht="15" hidden="false" customHeight="true" outlineLevel="0" collapsed="false">
      <c r="B370" s="1" t="str">
        <f aca="false">IFERROR(VLOOKUP(A370,'company tracker'!$a:$s,MATCH("Category",'company tracker'!$1:$1,0),FALSE()),"")</f>
        <v/>
      </c>
      <c r="C370" s="1" t="str">
        <f aca="false">IFERROR(VLOOKUP(A370,'Pass 1 Archive'!$A:$AD,MATCH("LinkedIn Employee Count",'Pass 1 Archive'!$1:$1,0),FALSE()),"")</f>
        <v/>
      </c>
      <c r="D370" s="1" t="str">
        <f aca="false">IFERROR(VLOOKUP(A370,'company tracker'!$a:$s,MATCH("Jan 2025 Traffic",'company tracker'!$1:$1,0),FALSE()),"")</f>
        <v/>
      </c>
      <c r="E370" s="1" t="str">
        <f aca="false">IFERROR(VLOOKUP(A370,'company tracker'!$a:$s,MATCH("Jun 2026 Traffic",'company tracker'!$1:$1,0),FALSE()),"")</f>
        <v/>
      </c>
      <c r="F370" s="1" t="str">
        <f aca="false">IFERROR(VLOOKUP(A370,'company tracker'!$a:$s,MATCH("Traffic % Change",'company tracker'!$1:$1,0),FALSE()),"")</f>
        <v/>
      </c>
      <c r="G370" s="1" t="str">
        <f aca="false">IFERROR(VLOOKUP(A370,'company tracker'!$a:$s,MATCH("Jan 2025 Referring Domains",'company tracker'!$1:$1,0),FALSE()),"")</f>
        <v/>
      </c>
      <c r="H370" s="1" t="str">
        <f aca="false">IFERROR(VLOOKUP(A370,'company tracker'!$a:$s,MATCH("Jun 2026 Referring Domains",'company tracker'!$1:$1,0),FALSE()),"")</f>
        <v/>
      </c>
    </row>
    <row r="371" customFormat="false" ht="15" hidden="false" customHeight="true" outlineLevel="0" collapsed="false">
      <c r="B371" s="1" t="str">
        <f aca="false">IFERROR(VLOOKUP(A371,'company tracker'!$a:$s,MATCH("Category",'company tracker'!$1:$1,0),FALSE()),"")</f>
        <v/>
      </c>
      <c r="C371" s="1" t="str">
        <f aca="false">IFERROR(VLOOKUP(A371,'Pass 1 Archive'!$A:$AD,MATCH("LinkedIn Employee Count",'Pass 1 Archive'!$1:$1,0),FALSE()),"")</f>
        <v/>
      </c>
      <c r="D371" s="1" t="str">
        <f aca="false">IFERROR(VLOOKUP(A371,'company tracker'!$a:$s,MATCH("Jan 2025 Traffic",'company tracker'!$1:$1,0),FALSE()),"")</f>
        <v/>
      </c>
      <c r="E371" s="1" t="str">
        <f aca="false">IFERROR(VLOOKUP(A371,'company tracker'!$a:$s,MATCH("Jun 2026 Traffic",'company tracker'!$1:$1,0),FALSE()),"")</f>
        <v/>
      </c>
      <c r="F371" s="1" t="str">
        <f aca="false">IFERROR(VLOOKUP(A371,'company tracker'!$a:$s,MATCH("Traffic % Change",'company tracker'!$1:$1,0),FALSE()),"")</f>
        <v/>
      </c>
      <c r="G371" s="1" t="str">
        <f aca="false">IFERROR(VLOOKUP(A371,'company tracker'!$a:$s,MATCH("Jan 2025 Referring Domains",'company tracker'!$1:$1,0),FALSE()),"")</f>
        <v/>
      </c>
      <c r="H371" s="1" t="str">
        <f aca="false">IFERROR(VLOOKUP(A371,'company tracker'!$a:$s,MATCH("Jun 2026 Referring Domains",'company tracker'!$1:$1,0),FALSE()),"")</f>
        <v/>
      </c>
    </row>
    <row r="372" customFormat="false" ht="15" hidden="false" customHeight="true" outlineLevel="0" collapsed="false">
      <c r="B372" s="1" t="str">
        <f aca="false">IFERROR(VLOOKUP(A372,'company tracker'!$a:$s,MATCH("Category",'company tracker'!$1:$1,0),FALSE()),"")</f>
        <v/>
      </c>
      <c r="C372" s="1" t="str">
        <f aca="false">IFERROR(VLOOKUP(A372,'Pass 1 Archive'!$A:$AD,MATCH("LinkedIn Employee Count",'Pass 1 Archive'!$1:$1,0),FALSE()),"")</f>
        <v/>
      </c>
      <c r="D372" s="1" t="str">
        <f aca="false">IFERROR(VLOOKUP(A372,'company tracker'!$a:$s,MATCH("Jan 2025 Traffic",'company tracker'!$1:$1,0),FALSE()),"")</f>
        <v/>
      </c>
      <c r="E372" s="1" t="str">
        <f aca="false">IFERROR(VLOOKUP(A372,'company tracker'!$a:$s,MATCH("Jun 2026 Traffic",'company tracker'!$1:$1,0),FALSE()),"")</f>
        <v/>
      </c>
      <c r="F372" s="1" t="str">
        <f aca="false">IFERROR(VLOOKUP(A372,'company tracker'!$a:$s,MATCH("Traffic % Change",'company tracker'!$1:$1,0),FALSE()),"")</f>
        <v/>
      </c>
      <c r="G372" s="1" t="str">
        <f aca="false">IFERROR(VLOOKUP(A372,'company tracker'!$a:$s,MATCH("Jan 2025 Referring Domains",'company tracker'!$1:$1,0),FALSE()),"")</f>
        <v/>
      </c>
      <c r="H372" s="1" t="str">
        <f aca="false">IFERROR(VLOOKUP(A372,'company tracker'!$a:$s,MATCH("Jun 2026 Referring Domains",'company tracker'!$1:$1,0),FALSE()),"")</f>
        <v/>
      </c>
    </row>
    <row r="373" customFormat="false" ht="15" hidden="false" customHeight="true" outlineLevel="0" collapsed="false">
      <c r="B373" s="1" t="str">
        <f aca="false">IFERROR(VLOOKUP(A373,'company tracker'!$a:$s,MATCH("Category",'company tracker'!$1:$1,0),FALSE()),"")</f>
        <v/>
      </c>
      <c r="C373" s="1" t="str">
        <f aca="false">IFERROR(VLOOKUP(A373,'Pass 1 Archive'!$A:$AD,MATCH("LinkedIn Employee Count",'Pass 1 Archive'!$1:$1,0),FALSE()),"")</f>
        <v/>
      </c>
      <c r="D373" s="1" t="str">
        <f aca="false">IFERROR(VLOOKUP(A373,'company tracker'!$a:$s,MATCH("Jan 2025 Traffic",'company tracker'!$1:$1,0),FALSE()),"")</f>
        <v/>
      </c>
      <c r="E373" s="1" t="str">
        <f aca="false">IFERROR(VLOOKUP(A373,'company tracker'!$a:$s,MATCH("Jun 2026 Traffic",'company tracker'!$1:$1,0),FALSE()),"")</f>
        <v/>
      </c>
      <c r="F373" s="1" t="str">
        <f aca="false">IFERROR(VLOOKUP(A373,'company tracker'!$a:$s,MATCH("Traffic % Change",'company tracker'!$1:$1,0),FALSE()),"")</f>
        <v/>
      </c>
      <c r="G373" s="1" t="str">
        <f aca="false">IFERROR(VLOOKUP(A373,'company tracker'!$a:$s,MATCH("Jan 2025 Referring Domains",'company tracker'!$1:$1,0),FALSE()),"")</f>
        <v/>
      </c>
      <c r="H373" s="1" t="str">
        <f aca="false">IFERROR(VLOOKUP(A373,'company tracker'!$a:$s,MATCH("Jun 2026 Referring Domains",'company tracker'!$1:$1,0),FALSE()),"")</f>
        <v/>
      </c>
    </row>
    <row r="374" customFormat="false" ht="15" hidden="false" customHeight="true" outlineLevel="0" collapsed="false">
      <c r="B374" s="1" t="str">
        <f aca="false">IFERROR(VLOOKUP(A374,'company tracker'!$a:$s,MATCH("Category",'company tracker'!$1:$1,0),FALSE()),"")</f>
        <v/>
      </c>
      <c r="C374" s="1" t="str">
        <f aca="false">IFERROR(VLOOKUP(A374,'Pass 1 Archive'!$A:$AD,MATCH("LinkedIn Employee Count",'Pass 1 Archive'!$1:$1,0),FALSE()),"")</f>
        <v/>
      </c>
      <c r="D374" s="1" t="str">
        <f aca="false">IFERROR(VLOOKUP(A374,'company tracker'!$a:$s,MATCH("Jan 2025 Traffic",'company tracker'!$1:$1,0),FALSE()),"")</f>
        <v/>
      </c>
      <c r="E374" s="1" t="str">
        <f aca="false">IFERROR(VLOOKUP(A374,'company tracker'!$a:$s,MATCH("Jun 2026 Traffic",'company tracker'!$1:$1,0),FALSE()),"")</f>
        <v/>
      </c>
      <c r="F374" s="1" t="str">
        <f aca="false">IFERROR(VLOOKUP(A374,'company tracker'!$a:$s,MATCH("Traffic % Change",'company tracker'!$1:$1,0),FALSE()),"")</f>
        <v/>
      </c>
      <c r="G374" s="1" t="str">
        <f aca="false">IFERROR(VLOOKUP(A374,'company tracker'!$a:$s,MATCH("Jan 2025 Referring Domains",'company tracker'!$1:$1,0),FALSE()),"")</f>
        <v/>
      </c>
      <c r="H374" s="1" t="str">
        <f aca="false">IFERROR(VLOOKUP(A374,'company tracker'!$a:$s,MATCH("Jun 2026 Referring Domains",'company tracker'!$1:$1,0),FALSE()),"")</f>
        <v/>
      </c>
    </row>
    <row r="375" customFormat="false" ht="15" hidden="false" customHeight="true" outlineLevel="0" collapsed="false">
      <c r="B375" s="1" t="str">
        <f aca="false">IFERROR(VLOOKUP(A375,'company tracker'!$a:$s,MATCH("Category",'company tracker'!$1:$1,0),FALSE()),"")</f>
        <v/>
      </c>
      <c r="C375" s="1" t="str">
        <f aca="false">IFERROR(VLOOKUP(A375,'Pass 1 Archive'!$A:$AD,MATCH("LinkedIn Employee Count",'Pass 1 Archive'!$1:$1,0),FALSE()),"")</f>
        <v/>
      </c>
      <c r="D375" s="1" t="str">
        <f aca="false">IFERROR(VLOOKUP(A375,'company tracker'!$a:$s,MATCH("Jan 2025 Traffic",'company tracker'!$1:$1,0),FALSE()),"")</f>
        <v/>
      </c>
      <c r="E375" s="1" t="str">
        <f aca="false">IFERROR(VLOOKUP(A375,'company tracker'!$a:$s,MATCH("Jun 2026 Traffic",'company tracker'!$1:$1,0),FALSE()),"")</f>
        <v/>
      </c>
      <c r="F375" s="1" t="str">
        <f aca="false">IFERROR(VLOOKUP(A375,'company tracker'!$a:$s,MATCH("Traffic % Change",'company tracker'!$1:$1,0),FALSE()),"")</f>
        <v/>
      </c>
      <c r="G375" s="1" t="str">
        <f aca="false">IFERROR(VLOOKUP(A375,'company tracker'!$a:$s,MATCH("Jan 2025 Referring Domains",'company tracker'!$1:$1,0),FALSE()),"")</f>
        <v/>
      </c>
      <c r="H375" s="1" t="str">
        <f aca="false">IFERROR(VLOOKUP(A375,'company tracker'!$a:$s,MATCH("Jun 2026 Referring Domains",'company tracker'!$1:$1,0),FALSE()),"")</f>
        <v/>
      </c>
    </row>
    <row r="376" customFormat="false" ht="15" hidden="false" customHeight="true" outlineLevel="0" collapsed="false">
      <c r="B376" s="1" t="str">
        <f aca="false">IFERROR(VLOOKUP(A376,'company tracker'!$a:$s,MATCH("Category",'company tracker'!$1:$1,0),FALSE()),"")</f>
        <v/>
      </c>
      <c r="C376" s="1" t="str">
        <f aca="false">IFERROR(VLOOKUP(A376,'Pass 1 Archive'!$A:$AD,MATCH("LinkedIn Employee Count",'Pass 1 Archive'!$1:$1,0),FALSE()),"")</f>
        <v/>
      </c>
      <c r="D376" s="1" t="str">
        <f aca="false">IFERROR(VLOOKUP(A376,'company tracker'!$a:$s,MATCH("Jan 2025 Traffic",'company tracker'!$1:$1,0),FALSE()),"")</f>
        <v/>
      </c>
      <c r="E376" s="1" t="str">
        <f aca="false">IFERROR(VLOOKUP(A376,'company tracker'!$a:$s,MATCH("Jun 2026 Traffic",'company tracker'!$1:$1,0),FALSE()),"")</f>
        <v/>
      </c>
      <c r="F376" s="1" t="str">
        <f aca="false">IFERROR(VLOOKUP(A376,'company tracker'!$a:$s,MATCH("Traffic % Change",'company tracker'!$1:$1,0),FALSE()),"")</f>
        <v/>
      </c>
      <c r="G376" s="1" t="str">
        <f aca="false">IFERROR(VLOOKUP(A376,'company tracker'!$a:$s,MATCH("Jan 2025 Referring Domains",'company tracker'!$1:$1,0),FALSE()),"")</f>
        <v/>
      </c>
      <c r="H376" s="1" t="str">
        <f aca="false">IFERROR(VLOOKUP(A376,'company tracker'!$a:$s,MATCH("Jun 2026 Referring Domains",'company tracker'!$1:$1,0),FALSE()),"")</f>
        <v/>
      </c>
    </row>
    <row r="377" customFormat="false" ht="15" hidden="false" customHeight="true" outlineLevel="0" collapsed="false">
      <c r="B377" s="1" t="str">
        <f aca="false">IFERROR(VLOOKUP(A377,'company tracker'!$a:$s,MATCH("Category",'company tracker'!$1:$1,0),FALSE()),"")</f>
        <v/>
      </c>
      <c r="C377" s="1" t="str">
        <f aca="false">IFERROR(VLOOKUP(A377,'Pass 1 Archive'!$A:$AD,MATCH("LinkedIn Employee Count",'Pass 1 Archive'!$1:$1,0),FALSE()),"")</f>
        <v/>
      </c>
      <c r="D377" s="1" t="str">
        <f aca="false">IFERROR(VLOOKUP(A377,'company tracker'!$a:$s,MATCH("Jan 2025 Traffic",'company tracker'!$1:$1,0),FALSE()),"")</f>
        <v/>
      </c>
      <c r="E377" s="1" t="str">
        <f aca="false">IFERROR(VLOOKUP(A377,'company tracker'!$a:$s,MATCH("Jun 2026 Traffic",'company tracker'!$1:$1,0),FALSE()),"")</f>
        <v/>
      </c>
      <c r="F377" s="1" t="str">
        <f aca="false">IFERROR(VLOOKUP(A377,'company tracker'!$a:$s,MATCH("Traffic % Change",'company tracker'!$1:$1,0),FALSE()),"")</f>
        <v/>
      </c>
      <c r="G377" s="1" t="str">
        <f aca="false">IFERROR(VLOOKUP(A377,'company tracker'!$a:$s,MATCH("Jan 2025 Referring Domains",'company tracker'!$1:$1,0),FALSE()),"")</f>
        <v/>
      </c>
      <c r="H377" s="1" t="str">
        <f aca="false">IFERROR(VLOOKUP(A377,'company tracker'!$a:$s,MATCH("Jun 2026 Referring Domains",'company tracker'!$1:$1,0),FALSE()),"")</f>
        <v/>
      </c>
    </row>
    <row r="378" customFormat="false" ht="15" hidden="false" customHeight="true" outlineLevel="0" collapsed="false">
      <c r="B378" s="1" t="str">
        <f aca="false">IFERROR(VLOOKUP(A378,'company tracker'!$a:$s,MATCH("Category",'company tracker'!$1:$1,0),FALSE()),"")</f>
        <v/>
      </c>
      <c r="C378" s="1" t="str">
        <f aca="false">IFERROR(VLOOKUP(A378,'Pass 1 Archive'!$A:$AD,MATCH("LinkedIn Employee Count",'Pass 1 Archive'!$1:$1,0),FALSE()),"")</f>
        <v/>
      </c>
      <c r="D378" s="1" t="str">
        <f aca="false">IFERROR(VLOOKUP(A378,'company tracker'!$a:$s,MATCH("Jan 2025 Traffic",'company tracker'!$1:$1,0),FALSE()),"")</f>
        <v/>
      </c>
      <c r="E378" s="1" t="str">
        <f aca="false">IFERROR(VLOOKUP(A378,'company tracker'!$a:$s,MATCH("Jun 2026 Traffic",'company tracker'!$1:$1,0),FALSE()),"")</f>
        <v/>
      </c>
      <c r="F378" s="1" t="str">
        <f aca="false">IFERROR(VLOOKUP(A378,'company tracker'!$a:$s,MATCH("Traffic % Change",'company tracker'!$1:$1,0),FALSE()),"")</f>
        <v/>
      </c>
      <c r="G378" s="1" t="str">
        <f aca="false">IFERROR(VLOOKUP(A378,'company tracker'!$a:$s,MATCH("Jan 2025 Referring Domains",'company tracker'!$1:$1,0),FALSE()),"")</f>
        <v/>
      </c>
      <c r="H378" s="1" t="str">
        <f aca="false">IFERROR(VLOOKUP(A378,'company tracker'!$a:$s,MATCH("Jun 2026 Referring Domains",'company tracker'!$1:$1,0),FALSE()),"")</f>
        <v/>
      </c>
    </row>
    <row r="379" customFormat="false" ht="15" hidden="false" customHeight="true" outlineLevel="0" collapsed="false">
      <c r="B379" s="1" t="str">
        <f aca="false">IFERROR(VLOOKUP(A379,'company tracker'!$a:$s,MATCH("Category",'company tracker'!$1:$1,0),FALSE()),"")</f>
        <v/>
      </c>
      <c r="C379" s="1" t="str">
        <f aca="false">IFERROR(VLOOKUP(A379,'Pass 1 Archive'!$A:$AD,MATCH("LinkedIn Employee Count",'Pass 1 Archive'!$1:$1,0),FALSE()),"")</f>
        <v/>
      </c>
      <c r="D379" s="1" t="str">
        <f aca="false">IFERROR(VLOOKUP(A379,'company tracker'!$a:$s,MATCH("Jan 2025 Traffic",'company tracker'!$1:$1,0),FALSE()),"")</f>
        <v/>
      </c>
      <c r="E379" s="1" t="str">
        <f aca="false">IFERROR(VLOOKUP(A379,'company tracker'!$a:$s,MATCH("Jun 2026 Traffic",'company tracker'!$1:$1,0),FALSE()),"")</f>
        <v/>
      </c>
      <c r="F379" s="1" t="str">
        <f aca="false">IFERROR(VLOOKUP(A379,'company tracker'!$a:$s,MATCH("Traffic % Change",'company tracker'!$1:$1,0),FALSE()),"")</f>
        <v/>
      </c>
      <c r="G379" s="1" t="str">
        <f aca="false">IFERROR(VLOOKUP(A379,'company tracker'!$a:$s,MATCH("Jan 2025 Referring Domains",'company tracker'!$1:$1,0),FALSE()),"")</f>
        <v/>
      </c>
      <c r="H379" s="1" t="str">
        <f aca="false">IFERROR(VLOOKUP(A379,'company tracker'!$a:$s,MATCH("Jun 2026 Referring Domains",'company tracker'!$1:$1,0),FALSE()),"")</f>
        <v/>
      </c>
    </row>
    <row r="380" customFormat="false" ht="15" hidden="false" customHeight="true" outlineLevel="0" collapsed="false">
      <c r="B380" s="1" t="str">
        <f aca="false">IFERROR(VLOOKUP(A380,'company tracker'!$a:$s,MATCH("Category",'company tracker'!$1:$1,0),FALSE()),"")</f>
        <v/>
      </c>
      <c r="C380" s="1" t="str">
        <f aca="false">IFERROR(VLOOKUP(A380,'Pass 1 Archive'!$A:$AD,MATCH("LinkedIn Employee Count",'Pass 1 Archive'!$1:$1,0),FALSE()),"")</f>
        <v/>
      </c>
      <c r="D380" s="1" t="str">
        <f aca="false">IFERROR(VLOOKUP(A380,'company tracker'!$a:$s,MATCH("Jan 2025 Traffic",'company tracker'!$1:$1,0),FALSE()),"")</f>
        <v/>
      </c>
      <c r="E380" s="1" t="str">
        <f aca="false">IFERROR(VLOOKUP(A380,'company tracker'!$a:$s,MATCH("Jun 2026 Traffic",'company tracker'!$1:$1,0),FALSE()),"")</f>
        <v/>
      </c>
      <c r="F380" s="1" t="str">
        <f aca="false">IFERROR(VLOOKUP(A380,'company tracker'!$a:$s,MATCH("Traffic % Change",'company tracker'!$1:$1,0),FALSE()),"")</f>
        <v/>
      </c>
      <c r="G380" s="1" t="str">
        <f aca="false">IFERROR(VLOOKUP(A380,'company tracker'!$a:$s,MATCH("Jan 2025 Referring Domains",'company tracker'!$1:$1,0),FALSE()),"")</f>
        <v/>
      </c>
      <c r="H380" s="1" t="str">
        <f aca="false">IFERROR(VLOOKUP(A380,'company tracker'!$a:$s,MATCH("Jun 2026 Referring Domains",'company tracker'!$1:$1,0),FALSE()),"")</f>
        <v/>
      </c>
    </row>
    <row r="381" customFormat="false" ht="15" hidden="false" customHeight="true" outlineLevel="0" collapsed="false">
      <c r="B381" s="1" t="str">
        <f aca="false">IFERROR(VLOOKUP(A381,'company tracker'!$a:$s,MATCH("Category",'company tracker'!$1:$1,0),FALSE()),"")</f>
        <v/>
      </c>
      <c r="C381" s="1" t="str">
        <f aca="false">IFERROR(VLOOKUP(A381,'Pass 1 Archive'!$A:$AD,MATCH("LinkedIn Employee Count",'Pass 1 Archive'!$1:$1,0),FALSE()),"")</f>
        <v/>
      </c>
      <c r="D381" s="1" t="str">
        <f aca="false">IFERROR(VLOOKUP(A381,'company tracker'!$a:$s,MATCH("Jan 2025 Traffic",'company tracker'!$1:$1,0),FALSE()),"")</f>
        <v/>
      </c>
      <c r="E381" s="1" t="str">
        <f aca="false">IFERROR(VLOOKUP(A381,'company tracker'!$a:$s,MATCH("Jun 2026 Traffic",'company tracker'!$1:$1,0),FALSE()),"")</f>
        <v/>
      </c>
      <c r="F381" s="1" t="str">
        <f aca="false">IFERROR(VLOOKUP(A381,'company tracker'!$a:$s,MATCH("Traffic % Change",'company tracker'!$1:$1,0),FALSE()),"")</f>
        <v/>
      </c>
      <c r="G381" s="1" t="str">
        <f aca="false">IFERROR(VLOOKUP(A381,'company tracker'!$a:$s,MATCH("Jan 2025 Referring Domains",'company tracker'!$1:$1,0),FALSE()),"")</f>
        <v/>
      </c>
      <c r="H381" s="1" t="str">
        <f aca="false">IFERROR(VLOOKUP(A381,'company tracker'!$a:$s,MATCH("Jun 2026 Referring Domains",'company tracker'!$1:$1,0),FALSE()),"")</f>
        <v/>
      </c>
    </row>
    <row r="382" customFormat="false" ht="15" hidden="false" customHeight="true" outlineLevel="0" collapsed="false">
      <c r="B382" s="1" t="str">
        <f aca="false">IFERROR(VLOOKUP(A382,'company tracker'!$a:$s,MATCH("Category",'company tracker'!$1:$1,0),FALSE()),"")</f>
        <v/>
      </c>
      <c r="C382" s="1" t="str">
        <f aca="false">IFERROR(VLOOKUP(A382,'Pass 1 Archive'!$A:$AD,MATCH("LinkedIn Employee Count",'Pass 1 Archive'!$1:$1,0),FALSE()),"")</f>
        <v/>
      </c>
      <c r="D382" s="1" t="str">
        <f aca="false">IFERROR(VLOOKUP(A382,'company tracker'!$a:$s,MATCH("Jan 2025 Traffic",'company tracker'!$1:$1,0),FALSE()),"")</f>
        <v/>
      </c>
      <c r="E382" s="1" t="str">
        <f aca="false">IFERROR(VLOOKUP(A382,'company tracker'!$a:$s,MATCH("Jun 2026 Traffic",'company tracker'!$1:$1,0),FALSE()),"")</f>
        <v/>
      </c>
      <c r="F382" s="1" t="str">
        <f aca="false">IFERROR(VLOOKUP(A382,'company tracker'!$a:$s,MATCH("Traffic % Change",'company tracker'!$1:$1,0),FALSE()),"")</f>
        <v/>
      </c>
      <c r="G382" s="1" t="str">
        <f aca="false">IFERROR(VLOOKUP(A382,'company tracker'!$a:$s,MATCH("Jan 2025 Referring Domains",'company tracker'!$1:$1,0),FALSE()),"")</f>
        <v/>
      </c>
      <c r="H382" s="1" t="str">
        <f aca="false">IFERROR(VLOOKUP(A382,'company tracker'!$a:$s,MATCH("Jun 2026 Referring Domains",'company tracker'!$1:$1,0),FALSE()),"")</f>
        <v/>
      </c>
    </row>
    <row r="383" customFormat="false" ht="15" hidden="false" customHeight="true" outlineLevel="0" collapsed="false">
      <c r="B383" s="1" t="str">
        <f aca="false">IFERROR(VLOOKUP(A383,'company tracker'!$a:$s,MATCH("Category",'company tracker'!$1:$1,0),FALSE()),"")</f>
        <v/>
      </c>
      <c r="C383" s="1" t="str">
        <f aca="false">IFERROR(VLOOKUP(A383,'Pass 1 Archive'!$A:$AD,MATCH("LinkedIn Employee Count",'Pass 1 Archive'!$1:$1,0),FALSE()),"")</f>
        <v/>
      </c>
      <c r="D383" s="1" t="str">
        <f aca="false">IFERROR(VLOOKUP(A383,'company tracker'!$a:$s,MATCH("Jan 2025 Traffic",'company tracker'!$1:$1,0),FALSE()),"")</f>
        <v/>
      </c>
      <c r="E383" s="1" t="str">
        <f aca="false">IFERROR(VLOOKUP(A383,'company tracker'!$a:$s,MATCH("Jun 2026 Traffic",'company tracker'!$1:$1,0),FALSE()),"")</f>
        <v/>
      </c>
      <c r="F383" s="1" t="str">
        <f aca="false">IFERROR(VLOOKUP(A383,'company tracker'!$a:$s,MATCH("Traffic % Change",'company tracker'!$1:$1,0),FALSE()),"")</f>
        <v/>
      </c>
      <c r="G383" s="1" t="str">
        <f aca="false">IFERROR(VLOOKUP(A383,'company tracker'!$a:$s,MATCH("Jan 2025 Referring Domains",'company tracker'!$1:$1,0),FALSE()),"")</f>
        <v/>
      </c>
      <c r="H383" s="1" t="str">
        <f aca="false">IFERROR(VLOOKUP(A383,'company tracker'!$a:$s,MATCH("Jun 2026 Referring Domains",'company tracker'!$1:$1,0),FALSE()),"")</f>
        <v/>
      </c>
    </row>
    <row r="384" customFormat="false" ht="15" hidden="false" customHeight="true" outlineLevel="0" collapsed="false">
      <c r="B384" s="1" t="str">
        <f aca="false">IFERROR(VLOOKUP(A384,'company tracker'!$a:$s,MATCH("Category",'company tracker'!$1:$1,0),FALSE()),"")</f>
        <v/>
      </c>
      <c r="C384" s="1" t="str">
        <f aca="false">IFERROR(VLOOKUP(A384,'Pass 1 Archive'!$A:$AD,MATCH("LinkedIn Employee Count",'Pass 1 Archive'!$1:$1,0),FALSE()),"")</f>
        <v/>
      </c>
      <c r="D384" s="1" t="str">
        <f aca="false">IFERROR(VLOOKUP(A384,'company tracker'!$a:$s,MATCH("Jan 2025 Traffic",'company tracker'!$1:$1,0),FALSE()),"")</f>
        <v/>
      </c>
      <c r="E384" s="1" t="str">
        <f aca="false">IFERROR(VLOOKUP(A384,'company tracker'!$a:$s,MATCH("Jun 2026 Traffic",'company tracker'!$1:$1,0),FALSE()),"")</f>
        <v/>
      </c>
      <c r="F384" s="1" t="str">
        <f aca="false">IFERROR(VLOOKUP(A384,'company tracker'!$a:$s,MATCH("Traffic % Change",'company tracker'!$1:$1,0),FALSE()),"")</f>
        <v/>
      </c>
      <c r="G384" s="1" t="str">
        <f aca="false">IFERROR(VLOOKUP(A384,'company tracker'!$a:$s,MATCH("Jan 2025 Referring Domains",'company tracker'!$1:$1,0),FALSE()),"")</f>
        <v/>
      </c>
      <c r="H384" s="1" t="str">
        <f aca="false">IFERROR(VLOOKUP(A384,'company tracker'!$a:$s,MATCH("Jun 2026 Referring Domains",'company tracker'!$1:$1,0),FALSE()),"")</f>
        <v/>
      </c>
    </row>
    <row r="385" customFormat="false" ht="15" hidden="false" customHeight="true" outlineLevel="0" collapsed="false">
      <c r="B385" s="1" t="str">
        <f aca="false">IFERROR(VLOOKUP(A385,'company tracker'!$a:$s,MATCH("Category",'company tracker'!$1:$1,0),FALSE()),"")</f>
        <v/>
      </c>
      <c r="C385" s="1" t="str">
        <f aca="false">IFERROR(VLOOKUP(A385,'Pass 1 Archive'!$A:$AD,MATCH("LinkedIn Employee Count",'Pass 1 Archive'!$1:$1,0),FALSE()),"")</f>
        <v/>
      </c>
      <c r="D385" s="1" t="str">
        <f aca="false">IFERROR(VLOOKUP(A385,'company tracker'!$a:$s,MATCH("Jan 2025 Traffic",'company tracker'!$1:$1,0),FALSE()),"")</f>
        <v/>
      </c>
      <c r="E385" s="1" t="str">
        <f aca="false">IFERROR(VLOOKUP(A385,'company tracker'!$a:$s,MATCH("Jun 2026 Traffic",'company tracker'!$1:$1,0),FALSE()),"")</f>
        <v/>
      </c>
      <c r="F385" s="1" t="str">
        <f aca="false">IFERROR(VLOOKUP(A385,'company tracker'!$a:$s,MATCH("Traffic % Change",'company tracker'!$1:$1,0),FALSE()),"")</f>
        <v/>
      </c>
      <c r="G385" s="1" t="str">
        <f aca="false">IFERROR(VLOOKUP(A385,'company tracker'!$a:$s,MATCH("Jan 2025 Referring Domains",'company tracker'!$1:$1,0),FALSE()),"")</f>
        <v/>
      </c>
      <c r="H385" s="1" t="str">
        <f aca="false">IFERROR(VLOOKUP(A385,'company tracker'!$a:$s,MATCH("Jun 2026 Referring Domains",'company tracker'!$1:$1,0),FALSE()),"")</f>
        <v/>
      </c>
    </row>
    <row r="386" customFormat="false" ht="15" hidden="false" customHeight="true" outlineLevel="0" collapsed="false">
      <c r="B386" s="1" t="str">
        <f aca="false">IFERROR(VLOOKUP(A386,'company tracker'!$a:$s,MATCH("Category",'company tracker'!$1:$1,0),FALSE()),"")</f>
        <v/>
      </c>
      <c r="C386" s="1" t="str">
        <f aca="false">IFERROR(VLOOKUP(A386,'Pass 1 Archive'!$A:$AD,MATCH("LinkedIn Employee Count",'Pass 1 Archive'!$1:$1,0),FALSE()),"")</f>
        <v/>
      </c>
      <c r="D386" s="1" t="str">
        <f aca="false">IFERROR(VLOOKUP(A386,'company tracker'!$a:$s,MATCH("Jan 2025 Traffic",'company tracker'!$1:$1,0),FALSE()),"")</f>
        <v/>
      </c>
      <c r="E386" s="1" t="str">
        <f aca="false">IFERROR(VLOOKUP(A386,'company tracker'!$a:$s,MATCH("Jun 2026 Traffic",'company tracker'!$1:$1,0),FALSE()),"")</f>
        <v/>
      </c>
      <c r="F386" s="1" t="str">
        <f aca="false">IFERROR(VLOOKUP(A386,'company tracker'!$a:$s,MATCH("Traffic % Change",'company tracker'!$1:$1,0),FALSE()),"")</f>
        <v/>
      </c>
      <c r="G386" s="1" t="str">
        <f aca="false">IFERROR(VLOOKUP(A386,'company tracker'!$a:$s,MATCH("Jan 2025 Referring Domains",'company tracker'!$1:$1,0),FALSE()),"")</f>
        <v/>
      </c>
      <c r="H386" s="1" t="str">
        <f aca="false">IFERROR(VLOOKUP(A386,'company tracker'!$a:$s,MATCH("Jun 2026 Referring Domains",'company tracker'!$1:$1,0),FALSE()),"")</f>
        <v/>
      </c>
    </row>
    <row r="387" customFormat="false" ht="15" hidden="false" customHeight="true" outlineLevel="0" collapsed="false">
      <c r="B387" s="1" t="str">
        <f aca="false">IFERROR(VLOOKUP(A387,'company tracker'!$a:$s,MATCH("Category",'company tracker'!$1:$1,0),FALSE()),"")</f>
        <v/>
      </c>
      <c r="C387" s="1" t="str">
        <f aca="false">IFERROR(VLOOKUP(A387,'Pass 1 Archive'!$A:$AD,MATCH("LinkedIn Employee Count",'Pass 1 Archive'!$1:$1,0),FALSE()),"")</f>
        <v/>
      </c>
      <c r="D387" s="1" t="str">
        <f aca="false">IFERROR(VLOOKUP(A387,'company tracker'!$a:$s,MATCH("Jan 2025 Traffic",'company tracker'!$1:$1,0),FALSE()),"")</f>
        <v/>
      </c>
      <c r="E387" s="1" t="str">
        <f aca="false">IFERROR(VLOOKUP(A387,'company tracker'!$a:$s,MATCH("Jun 2026 Traffic",'company tracker'!$1:$1,0),FALSE()),"")</f>
        <v/>
      </c>
      <c r="F387" s="1" t="str">
        <f aca="false">IFERROR(VLOOKUP(A387,'company tracker'!$a:$s,MATCH("Traffic % Change",'company tracker'!$1:$1,0),FALSE()),"")</f>
        <v/>
      </c>
      <c r="G387" s="1" t="str">
        <f aca="false">IFERROR(VLOOKUP(A387,'company tracker'!$a:$s,MATCH("Jan 2025 Referring Domains",'company tracker'!$1:$1,0),FALSE()),"")</f>
        <v/>
      </c>
      <c r="H387" s="1" t="str">
        <f aca="false">IFERROR(VLOOKUP(A387,'company tracker'!$a:$s,MATCH("Jun 2026 Referring Domains",'company tracker'!$1:$1,0),FALSE()),"")</f>
        <v/>
      </c>
    </row>
    <row r="388" customFormat="false" ht="15" hidden="false" customHeight="true" outlineLevel="0" collapsed="false">
      <c r="B388" s="1" t="str">
        <f aca="false">IFERROR(VLOOKUP(A388,'company tracker'!$a:$s,MATCH("Category",'company tracker'!$1:$1,0),FALSE()),"")</f>
        <v/>
      </c>
      <c r="C388" s="1" t="str">
        <f aca="false">IFERROR(VLOOKUP(A388,'Pass 1 Archive'!$A:$AD,MATCH("LinkedIn Employee Count",'Pass 1 Archive'!$1:$1,0),FALSE()),"")</f>
        <v/>
      </c>
      <c r="D388" s="1" t="str">
        <f aca="false">IFERROR(VLOOKUP(A388,'company tracker'!$a:$s,MATCH("Jan 2025 Traffic",'company tracker'!$1:$1,0),FALSE()),"")</f>
        <v/>
      </c>
      <c r="E388" s="1" t="str">
        <f aca="false">IFERROR(VLOOKUP(A388,'company tracker'!$a:$s,MATCH("Jun 2026 Traffic",'company tracker'!$1:$1,0),FALSE()),"")</f>
        <v/>
      </c>
      <c r="F388" s="1" t="str">
        <f aca="false">IFERROR(VLOOKUP(A388,'company tracker'!$a:$s,MATCH("Traffic % Change",'company tracker'!$1:$1,0),FALSE()),"")</f>
        <v/>
      </c>
      <c r="G388" s="1" t="str">
        <f aca="false">IFERROR(VLOOKUP(A388,'company tracker'!$a:$s,MATCH("Jan 2025 Referring Domains",'company tracker'!$1:$1,0),FALSE()),"")</f>
        <v/>
      </c>
      <c r="H388" s="1" t="str">
        <f aca="false">IFERROR(VLOOKUP(A388,'company tracker'!$a:$s,MATCH("Jun 2026 Referring Domains",'company tracker'!$1:$1,0),FALSE()),"")</f>
        <v/>
      </c>
    </row>
    <row r="389" customFormat="false" ht="15" hidden="false" customHeight="true" outlineLevel="0" collapsed="false">
      <c r="B389" s="1" t="str">
        <f aca="false">IFERROR(VLOOKUP(A389,'company tracker'!$a:$s,MATCH("Category",'company tracker'!$1:$1,0),FALSE()),"")</f>
        <v/>
      </c>
      <c r="C389" s="1" t="str">
        <f aca="false">IFERROR(VLOOKUP(A389,'Pass 1 Archive'!$A:$AD,MATCH("LinkedIn Employee Count",'Pass 1 Archive'!$1:$1,0),FALSE()),"")</f>
        <v/>
      </c>
      <c r="D389" s="1" t="str">
        <f aca="false">IFERROR(VLOOKUP(A389,'company tracker'!$a:$s,MATCH("Jan 2025 Traffic",'company tracker'!$1:$1,0),FALSE()),"")</f>
        <v/>
      </c>
      <c r="E389" s="1" t="str">
        <f aca="false">IFERROR(VLOOKUP(A389,'company tracker'!$a:$s,MATCH("Jun 2026 Traffic",'company tracker'!$1:$1,0),FALSE()),"")</f>
        <v/>
      </c>
      <c r="F389" s="1" t="str">
        <f aca="false">IFERROR(VLOOKUP(A389,'company tracker'!$a:$s,MATCH("Traffic % Change",'company tracker'!$1:$1,0),FALSE()),"")</f>
        <v/>
      </c>
      <c r="G389" s="1" t="str">
        <f aca="false">IFERROR(VLOOKUP(A389,'company tracker'!$a:$s,MATCH("Jan 2025 Referring Domains",'company tracker'!$1:$1,0),FALSE()),"")</f>
        <v/>
      </c>
      <c r="H389" s="1" t="str">
        <f aca="false">IFERROR(VLOOKUP(A389,'company tracker'!$a:$s,MATCH("Jun 2026 Referring Domains",'company tracker'!$1:$1,0),FALSE()),"")</f>
        <v/>
      </c>
    </row>
    <row r="390" customFormat="false" ht="15" hidden="false" customHeight="true" outlineLevel="0" collapsed="false">
      <c r="B390" s="1" t="str">
        <f aca="false">IFERROR(VLOOKUP(A390,'company tracker'!$a:$s,MATCH("Category",'company tracker'!$1:$1,0),FALSE()),"")</f>
        <v/>
      </c>
      <c r="C390" s="1" t="str">
        <f aca="false">IFERROR(VLOOKUP(A390,'Pass 1 Archive'!$A:$AD,MATCH("LinkedIn Employee Count",'Pass 1 Archive'!$1:$1,0),FALSE()),"")</f>
        <v/>
      </c>
      <c r="D390" s="1" t="str">
        <f aca="false">IFERROR(VLOOKUP(A390,'company tracker'!$a:$s,MATCH("Jan 2025 Traffic",'company tracker'!$1:$1,0),FALSE()),"")</f>
        <v/>
      </c>
      <c r="E390" s="1" t="str">
        <f aca="false">IFERROR(VLOOKUP(A390,'company tracker'!$a:$s,MATCH("Jun 2026 Traffic",'company tracker'!$1:$1,0),FALSE()),"")</f>
        <v/>
      </c>
      <c r="F390" s="1" t="str">
        <f aca="false">IFERROR(VLOOKUP(A390,'company tracker'!$a:$s,MATCH("Traffic % Change",'company tracker'!$1:$1,0),FALSE()),"")</f>
        <v/>
      </c>
      <c r="G390" s="1" t="str">
        <f aca="false">IFERROR(VLOOKUP(A390,'company tracker'!$a:$s,MATCH("Jan 2025 Referring Domains",'company tracker'!$1:$1,0),FALSE()),"")</f>
        <v/>
      </c>
      <c r="H390" s="1" t="str">
        <f aca="false">IFERROR(VLOOKUP(A390,'company tracker'!$a:$s,MATCH("Jun 2026 Referring Domains",'company tracker'!$1:$1,0),FALSE()),"")</f>
        <v/>
      </c>
    </row>
    <row r="391" customFormat="false" ht="15" hidden="false" customHeight="true" outlineLevel="0" collapsed="false">
      <c r="B391" s="1" t="str">
        <f aca="false">IFERROR(VLOOKUP(A391,'company tracker'!$a:$s,MATCH("Category",'company tracker'!$1:$1,0),FALSE()),"")</f>
        <v/>
      </c>
      <c r="C391" s="1" t="str">
        <f aca="false">IFERROR(VLOOKUP(A391,'Pass 1 Archive'!$A:$AD,MATCH("LinkedIn Employee Count",'Pass 1 Archive'!$1:$1,0),FALSE()),"")</f>
        <v/>
      </c>
      <c r="D391" s="1" t="str">
        <f aca="false">IFERROR(VLOOKUP(A391,'company tracker'!$a:$s,MATCH("Jan 2025 Traffic",'company tracker'!$1:$1,0),FALSE()),"")</f>
        <v/>
      </c>
      <c r="E391" s="1" t="str">
        <f aca="false">IFERROR(VLOOKUP(A391,'company tracker'!$a:$s,MATCH("Jun 2026 Traffic",'company tracker'!$1:$1,0),FALSE()),"")</f>
        <v/>
      </c>
      <c r="F391" s="1" t="str">
        <f aca="false">IFERROR(VLOOKUP(A391,'company tracker'!$a:$s,MATCH("Traffic % Change",'company tracker'!$1:$1,0),FALSE()),"")</f>
        <v/>
      </c>
      <c r="G391" s="1" t="str">
        <f aca="false">IFERROR(VLOOKUP(A391,'company tracker'!$a:$s,MATCH("Jan 2025 Referring Domains",'company tracker'!$1:$1,0),FALSE()),"")</f>
        <v/>
      </c>
      <c r="H391" s="1" t="str">
        <f aca="false">IFERROR(VLOOKUP(A391,'company tracker'!$a:$s,MATCH("Jun 2026 Referring Domains",'company tracker'!$1:$1,0),FALSE()),"")</f>
        <v/>
      </c>
    </row>
    <row r="392" customFormat="false" ht="15" hidden="false" customHeight="true" outlineLevel="0" collapsed="false">
      <c r="B392" s="1" t="str">
        <f aca="false">IFERROR(VLOOKUP(A392,'company tracker'!$a:$s,MATCH("Category",'company tracker'!$1:$1,0),FALSE()),"")</f>
        <v/>
      </c>
      <c r="C392" s="1" t="str">
        <f aca="false">IFERROR(VLOOKUP(A392,'Pass 1 Archive'!$A:$AD,MATCH("LinkedIn Employee Count",'Pass 1 Archive'!$1:$1,0),FALSE()),"")</f>
        <v/>
      </c>
      <c r="D392" s="1" t="str">
        <f aca="false">IFERROR(VLOOKUP(A392,'company tracker'!$a:$s,MATCH("Jan 2025 Traffic",'company tracker'!$1:$1,0),FALSE()),"")</f>
        <v/>
      </c>
      <c r="E392" s="1" t="str">
        <f aca="false">IFERROR(VLOOKUP(A392,'company tracker'!$a:$s,MATCH("Jun 2026 Traffic",'company tracker'!$1:$1,0),FALSE()),"")</f>
        <v/>
      </c>
      <c r="F392" s="1" t="str">
        <f aca="false">IFERROR(VLOOKUP(A392,'company tracker'!$a:$s,MATCH("Traffic % Change",'company tracker'!$1:$1,0),FALSE()),"")</f>
        <v/>
      </c>
      <c r="G392" s="1" t="str">
        <f aca="false">IFERROR(VLOOKUP(A392,'company tracker'!$a:$s,MATCH("Jan 2025 Referring Domains",'company tracker'!$1:$1,0),FALSE()),"")</f>
        <v/>
      </c>
      <c r="H392" s="1" t="str">
        <f aca="false">IFERROR(VLOOKUP(A392,'company tracker'!$a:$s,MATCH("Jun 2026 Referring Domains",'company tracker'!$1:$1,0),FALSE()),"")</f>
        <v/>
      </c>
    </row>
    <row r="393" customFormat="false" ht="15" hidden="false" customHeight="true" outlineLevel="0" collapsed="false">
      <c r="B393" s="1" t="str">
        <f aca="false">IFERROR(VLOOKUP(A393,'company tracker'!$a:$s,MATCH("Category",'company tracker'!$1:$1,0),FALSE()),"")</f>
        <v/>
      </c>
      <c r="C393" s="1" t="str">
        <f aca="false">IFERROR(VLOOKUP(A393,'Pass 1 Archive'!$A:$AD,MATCH("LinkedIn Employee Count",'Pass 1 Archive'!$1:$1,0),FALSE()),"")</f>
        <v/>
      </c>
      <c r="D393" s="1" t="str">
        <f aca="false">IFERROR(VLOOKUP(A393,'company tracker'!$a:$s,MATCH("Jan 2025 Traffic",'company tracker'!$1:$1,0),FALSE()),"")</f>
        <v/>
      </c>
      <c r="E393" s="1" t="str">
        <f aca="false">IFERROR(VLOOKUP(A393,'company tracker'!$a:$s,MATCH("Jun 2026 Traffic",'company tracker'!$1:$1,0),FALSE()),"")</f>
        <v/>
      </c>
      <c r="F393" s="1" t="str">
        <f aca="false">IFERROR(VLOOKUP(A393,'company tracker'!$a:$s,MATCH("Traffic % Change",'company tracker'!$1:$1,0),FALSE()),"")</f>
        <v/>
      </c>
      <c r="G393" s="1" t="str">
        <f aca="false">IFERROR(VLOOKUP(A393,'company tracker'!$a:$s,MATCH("Jan 2025 Referring Domains",'company tracker'!$1:$1,0),FALSE()),"")</f>
        <v/>
      </c>
      <c r="H393" s="1" t="str">
        <f aca="false">IFERROR(VLOOKUP(A393,'company tracker'!$a:$s,MATCH("Jun 2026 Referring Domains",'company tracker'!$1:$1,0),FALSE()),"")</f>
        <v/>
      </c>
    </row>
    <row r="394" customFormat="false" ht="15" hidden="false" customHeight="true" outlineLevel="0" collapsed="false">
      <c r="B394" s="1" t="str">
        <f aca="false">IFERROR(VLOOKUP(A394,'company tracker'!$a:$s,MATCH("Category",'company tracker'!$1:$1,0),FALSE()),"")</f>
        <v/>
      </c>
      <c r="C394" s="1" t="str">
        <f aca="false">IFERROR(VLOOKUP(A394,'Pass 1 Archive'!$A:$AD,MATCH("LinkedIn Employee Count",'Pass 1 Archive'!$1:$1,0),FALSE()),"")</f>
        <v/>
      </c>
      <c r="D394" s="1" t="str">
        <f aca="false">IFERROR(VLOOKUP(A394,'company tracker'!$a:$s,MATCH("Jan 2025 Traffic",'company tracker'!$1:$1,0),FALSE()),"")</f>
        <v/>
      </c>
      <c r="E394" s="1" t="str">
        <f aca="false">IFERROR(VLOOKUP(A394,'company tracker'!$a:$s,MATCH("Jun 2026 Traffic",'company tracker'!$1:$1,0),FALSE()),"")</f>
        <v/>
      </c>
      <c r="F394" s="1" t="str">
        <f aca="false">IFERROR(VLOOKUP(A394,'company tracker'!$a:$s,MATCH("Traffic % Change",'company tracker'!$1:$1,0),FALSE()),"")</f>
        <v/>
      </c>
      <c r="G394" s="1" t="str">
        <f aca="false">IFERROR(VLOOKUP(A394,'company tracker'!$a:$s,MATCH("Jan 2025 Referring Domains",'company tracker'!$1:$1,0),FALSE()),"")</f>
        <v/>
      </c>
      <c r="H394" s="1" t="str">
        <f aca="false">IFERROR(VLOOKUP(A394,'company tracker'!$a:$s,MATCH("Jun 2026 Referring Domains",'company tracker'!$1:$1,0),FALSE()),"")</f>
        <v/>
      </c>
    </row>
    <row r="395" customFormat="false" ht="15" hidden="false" customHeight="true" outlineLevel="0" collapsed="false">
      <c r="B395" s="1" t="str">
        <f aca="false">IFERROR(VLOOKUP(A395,'company tracker'!$a:$s,MATCH("Category",'company tracker'!$1:$1,0),FALSE()),"")</f>
        <v/>
      </c>
      <c r="C395" s="1" t="str">
        <f aca="false">IFERROR(VLOOKUP(A395,'Pass 1 Archive'!$A:$AD,MATCH("LinkedIn Employee Count",'Pass 1 Archive'!$1:$1,0),FALSE()),"")</f>
        <v/>
      </c>
      <c r="D395" s="1" t="str">
        <f aca="false">IFERROR(VLOOKUP(A395,'company tracker'!$a:$s,MATCH("Jan 2025 Traffic",'company tracker'!$1:$1,0),FALSE()),"")</f>
        <v/>
      </c>
      <c r="E395" s="1" t="str">
        <f aca="false">IFERROR(VLOOKUP(A395,'company tracker'!$a:$s,MATCH("Jun 2026 Traffic",'company tracker'!$1:$1,0),FALSE()),"")</f>
        <v/>
      </c>
      <c r="F395" s="1" t="str">
        <f aca="false">IFERROR(VLOOKUP(A395,'company tracker'!$a:$s,MATCH("Traffic % Change",'company tracker'!$1:$1,0),FALSE()),"")</f>
        <v/>
      </c>
      <c r="G395" s="1" t="str">
        <f aca="false">IFERROR(VLOOKUP(A395,'company tracker'!$a:$s,MATCH("Jan 2025 Referring Domains",'company tracker'!$1:$1,0),FALSE()),"")</f>
        <v/>
      </c>
      <c r="H395" s="1" t="str">
        <f aca="false">IFERROR(VLOOKUP(A395,'company tracker'!$a:$s,MATCH("Jun 2026 Referring Domains",'company tracker'!$1:$1,0),FALSE()),"")</f>
        <v/>
      </c>
    </row>
    <row r="396" customFormat="false" ht="15" hidden="false" customHeight="true" outlineLevel="0" collapsed="false">
      <c r="B396" s="1" t="str">
        <f aca="false">IFERROR(VLOOKUP(A396,'company tracker'!$a:$s,MATCH("Category",'company tracker'!$1:$1,0),FALSE()),"")</f>
        <v/>
      </c>
      <c r="C396" s="1" t="str">
        <f aca="false">IFERROR(VLOOKUP(A396,'Pass 1 Archive'!$A:$AD,MATCH("LinkedIn Employee Count",'Pass 1 Archive'!$1:$1,0),FALSE()),"")</f>
        <v/>
      </c>
      <c r="D396" s="1" t="str">
        <f aca="false">IFERROR(VLOOKUP(A396,'company tracker'!$a:$s,MATCH("Jan 2025 Traffic",'company tracker'!$1:$1,0),FALSE()),"")</f>
        <v/>
      </c>
      <c r="E396" s="1" t="str">
        <f aca="false">IFERROR(VLOOKUP(A396,'company tracker'!$a:$s,MATCH("Jun 2026 Traffic",'company tracker'!$1:$1,0),FALSE()),"")</f>
        <v/>
      </c>
      <c r="F396" s="1" t="str">
        <f aca="false">IFERROR(VLOOKUP(A396,'company tracker'!$a:$s,MATCH("Traffic % Change",'company tracker'!$1:$1,0),FALSE()),"")</f>
        <v/>
      </c>
      <c r="G396" s="1" t="str">
        <f aca="false">IFERROR(VLOOKUP(A396,'company tracker'!$a:$s,MATCH("Jan 2025 Referring Domains",'company tracker'!$1:$1,0),FALSE()),"")</f>
        <v/>
      </c>
      <c r="H396" s="1" t="str">
        <f aca="false">IFERROR(VLOOKUP(A396,'company tracker'!$a:$s,MATCH("Jun 2026 Referring Domains",'company tracker'!$1:$1,0),FALSE()),"")</f>
        <v/>
      </c>
    </row>
    <row r="397" customFormat="false" ht="15" hidden="false" customHeight="true" outlineLevel="0" collapsed="false">
      <c r="B397" s="1" t="str">
        <f aca="false">IFERROR(VLOOKUP(A397,'company tracker'!$a:$s,MATCH("Category",'company tracker'!$1:$1,0),FALSE()),"")</f>
        <v/>
      </c>
      <c r="C397" s="1" t="str">
        <f aca="false">IFERROR(VLOOKUP(A397,'Pass 1 Archive'!$A:$AD,MATCH("LinkedIn Employee Count",'Pass 1 Archive'!$1:$1,0),FALSE()),"")</f>
        <v/>
      </c>
      <c r="D397" s="1" t="str">
        <f aca="false">IFERROR(VLOOKUP(A397,'company tracker'!$a:$s,MATCH("Jan 2025 Traffic",'company tracker'!$1:$1,0),FALSE()),"")</f>
        <v/>
      </c>
      <c r="E397" s="1" t="str">
        <f aca="false">IFERROR(VLOOKUP(A397,'company tracker'!$a:$s,MATCH("Jun 2026 Traffic",'company tracker'!$1:$1,0),FALSE()),"")</f>
        <v/>
      </c>
      <c r="F397" s="1" t="str">
        <f aca="false">IFERROR(VLOOKUP(A397,'company tracker'!$a:$s,MATCH("Traffic % Change",'company tracker'!$1:$1,0),FALSE()),"")</f>
        <v/>
      </c>
      <c r="G397" s="1" t="str">
        <f aca="false">IFERROR(VLOOKUP(A397,'company tracker'!$a:$s,MATCH("Jan 2025 Referring Domains",'company tracker'!$1:$1,0),FALSE()),"")</f>
        <v/>
      </c>
      <c r="H397" s="1" t="str">
        <f aca="false">IFERROR(VLOOKUP(A397,'company tracker'!$a:$s,MATCH("Jun 2026 Referring Domains",'company tracker'!$1:$1,0),FALSE()),"")</f>
        <v/>
      </c>
    </row>
    <row r="398" customFormat="false" ht="15" hidden="false" customHeight="true" outlineLevel="0" collapsed="false">
      <c r="B398" s="1" t="str">
        <f aca="false">IFERROR(VLOOKUP(A398,'company tracker'!$a:$s,MATCH("Category",'company tracker'!$1:$1,0),FALSE()),"")</f>
        <v/>
      </c>
      <c r="C398" s="1" t="str">
        <f aca="false">IFERROR(VLOOKUP(A398,'Pass 1 Archive'!$A:$AD,MATCH("LinkedIn Employee Count",'Pass 1 Archive'!$1:$1,0),FALSE()),"")</f>
        <v/>
      </c>
      <c r="D398" s="1" t="str">
        <f aca="false">IFERROR(VLOOKUP(A398,'company tracker'!$a:$s,MATCH("Jan 2025 Traffic",'company tracker'!$1:$1,0),FALSE()),"")</f>
        <v/>
      </c>
      <c r="E398" s="1" t="str">
        <f aca="false">IFERROR(VLOOKUP(A398,'company tracker'!$a:$s,MATCH("Jun 2026 Traffic",'company tracker'!$1:$1,0),FALSE()),"")</f>
        <v/>
      </c>
      <c r="F398" s="1" t="str">
        <f aca="false">IFERROR(VLOOKUP(A398,'company tracker'!$a:$s,MATCH("Traffic % Change",'company tracker'!$1:$1,0),FALSE()),"")</f>
        <v/>
      </c>
      <c r="G398" s="1" t="str">
        <f aca="false">IFERROR(VLOOKUP(A398,'company tracker'!$a:$s,MATCH("Jan 2025 Referring Domains",'company tracker'!$1:$1,0),FALSE()),"")</f>
        <v/>
      </c>
      <c r="H398" s="1" t="str">
        <f aca="false">IFERROR(VLOOKUP(A398,'company tracker'!$a:$s,MATCH("Jun 2026 Referring Domains",'company tracker'!$1:$1,0),FALSE()),"")</f>
        <v/>
      </c>
    </row>
    <row r="399" customFormat="false" ht="15" hidden="false" customHeight="true" outlineLevel="0" collapsed="false">
      <c r="B399" s="1" t="str">
        <f aca="false">IFERROR(VLOOKUP(A399,'company tracker'!$a:$s,MATCH("Category",'company tracker'!$1:$1,0),FALSE()),"")</f>
        <v/>
      </c>
      <c r="C399" s="1" t="str">
        <f aca="false">IFERROR(VLOOKUP(A399,'Pass 1 Archive'!$A:$AD,MATCH("LinkedIn Employee Count",'Pass 1 Archive'!$1:$1,0),FALSE()),"")</f>
        <v/>
      </c>
      <c r="D399" s="1" t="str">
        <f aca="false">IFERROR(VLOOKUP(A399,'company tracker'!$a:$s,MATCH("Jan 2025 Traffic",'company tracker'!$1:$1,0),FALSE()),"")</f>
        <v/>
      </c>
      <c r="E399" s="1" t="str">
        <f aca="false">IFERROR(VLOOKUP(A399,'company tracker'!$a:$s,MATCH("Jun 2026 Traffic",'company tracker'!$1:$1,0),FALSE()),"")</f>
        <v/>
      </c>
      <c r="F399" s="1" t="str">
        <f aca="false">IFERROR(VLOOKUP(A399,'company tracker'!$a:$s,MATCH("Traffic % Change",'company tracker'!$1:$1,0),FALSE()),"")</f>
        <v/>
      </c>
      <c r="G399" s="1" t="str">
        <f aca="false">IFERROR(VLOOKUP(A399,'company tracker'!$a:$s,MATCH("Jan 2025 Referring Domains",'company tracker'!$1:$1,0),FALSE()),"")</f>
        <v/>
      </c>
      <c r="H399" s="1" t="str">
        <f aca="false">IFERROR(VLOOKUP(A399,'company tracker'!$a:$s,MATCH("Jun 2026 Referring Domains",'company tracker'!$1:$1,0),FALSE()),"")</f>
        <v/>
      </c>
    </row>
    <row r="400" customFormat="false" ht="15" hidden="false" customHeight="true" outlineLevel="0" collapsed="false">
      <c r="B400" s="1" t="str">
        <f aca="false">IFERROR(VLOOKUP(A400,'company tracker'!$a:$s,MATCH("Category",'company tracker'!$1:$1,0),FALSE()),"")</f>
        <v/>
      </c>
      <c r="C400" s="1" t="str">
        <f aca="false">IFERROR(VLOOKUP(A400,'Pass 1 Archive'!$A:$AD,MATCH("LinkedIn Employee Count",'Pass 1 Archive'!$1:$1,0),FALSE()),"")</f>
        <v/>
      </c>
      <c r="D400" s="1" t="str">
        <f aca="false">IFERROR(VLOOKUP(A400,'company tracker'!$a:$s,MATCH("Jan 2025 Traffic",'company tracker'!$1:$1,0),FALSE()),"")</f>
        <v/>
      </c>
      <c r="E400" s="1" t="str">
        <f aca="false">IFERROR(VLOOKUP(A400,'company tracker'!$a:$s,MATCH("Jun 2026 Traffic",'company tracker'!$1:$1,0),FALSE()),"")</f>
        <v/>
      </c>
      <c r="F400" s="1" t="str">
        <f aca="false">IFERROR(VLOOKUP(A400,'company tracker'!$a:$s,MATCH("Traffic % Change",'company tracker'!$1:$1,0),FALSE()),"")</f>
        <v/>
      </c>
      <c r="G400" s="1" t="str">
        <f aca="false">IFERROR(VLOOKUP(A400,'company tracker'!$a:$s,MATCH("Jan 2025 Referring Domains",'company tracker'!$1:$1,0),FALSE()),"")</f>
        <v/>
      </c>
      <c r="H400" s="1" t="str">
        <f aca="false">IFERROR(VLOOKUP(A400,'company tracker'!$a:$s,MATCH("Jun 2026 Referring Domains",'company tracker'!$1:$1,0),FALSE()),"")</f>
        <v/>
      </c>
    </row>
    <row r="401" customFormat="false" ht="15" hidden="false" customHeight="true" outlineLevel="0" collapsed="false">
      <c r="B401" s="1" t="str">
        <f aca="false">IFERROR(VLOOKUP(A401,'company tracker'!$a:$s,MATCH("Category",'company tracker'!$1:$1,0),FALSE()),"")</f>
        <v/>
      </c>
      <c r="C401" s="1" t="str">
        <f aca="false">IFERROR(VLOOKUP(A401,'Pass 1 Archive'!$A:$AD,MATCH("LinkedIn Employee Count",'Pass 1 Archive'!$1:$1,0),FALSE()),"")</f>
        <v/>
      </c>
      <c r="D401" s="1" t="str">
        <f aca="false">IFERROR(VLOOKUP(A401,'company tracker'!$a:$s,MATCH("Jan 2025 Traffic",'company tracker'!$1:$1,0),FALSE()),"")</f>
        <v/>
      </c>
      <c r="E401" s="1" t="str">
        <f aca="false">IFERROR(VLOOKUP(A401,'company tracker'!$a:$s,MATCH("Jun 2026 Traffic",'company tracker'!$1:$1,0),FALSE()),"")</f>
        <v/>
      </c>
      <c r="F401" s="1" t="str">
        <f aca="false">IFERROR(VLOOKUP(A401,'company tracker'!$a:$s,MATCH("Traffic % Change",'company tracker'!$1:$1,0),FALSE()),"")</f>
        <v/>
      </c>
      <c r="G401" s="1" t="str">
        <f aca="false">IFERROR(VLOOKUP(A401,'company tracker'!$a:$s,MATCH("Jan 2025 Referring Domains",'company tracker'!$1:$1,0),FALSE()),"")</f>
        <v/>
      </c>
      <c r="H401" s="1" t="str">
        <f aca="false">IFERROR(VLOOKUP(A401,'company tracker'!$a:$s,MATCH("Jun 2026 Referring Domains",'company tracker'!$1:$1,0),FALSE()),"")</f>
        <v/>
      </c>
    </row>
    <row r="402" customFormat="false" ht="15" hidden="false" customHeight="true" outlineLevel="0" collapsed="false">
      <c r="B402" s="1" t="str">
        <f aca="false">IFERROR(VLOOKUP(A402,'company tracker'!$a:$s,MATCH("Category",'company tracker'!$1:$1,0),FALSE()),"")</f>
        <v/>
      </c>
      <c r="C402" s="1" t="str">
        <f aca="false">IFERROR(VLOOKUP(A402,'Pass 1 Archive'!$A:$AD,MATCH("LinkedIn Employee Count",'Pass 1 Archive'!$1:$1,0),FALSE()),"")</f>
        <v/>
      </c>
      <c r="D402" s="1" t="str">
        <f aca="false">IFERROR(VLOOKUP(A402,'company tracker'!$a:$s,MATCH("Jan 2025 Traffic",'company tracker'!$1:$1,0),FALSE()),"")</f>
        <v/>
      </c>
      <c r="E402" s="1" t="str">
        <f aca="false">IFERROR(VLOOKUP(A402,'company tracker'!$a:$s,MATCH("Jun 2026 Traffic",'company tracker'!$1:$1,0),FALSE()),"")</f>
        <v/>
      </c>
      <c r="F402" s="1" t="str">
        <f aca="false">IFERROR(VLOOKUP(A402,'company tracker'!$a:$s,MATCH("Traffic % Change",'company tracker'!$1:$1,0),FALSE()),"")</f>
        <v/>
      </c>
      <c r="G402" s="1" t="str">
        <f aca="false">IFERROR(VLOOKUP(A402,'company tracker'!$a:$s,MATCH("Jan 2025 Referring Domains",'company tracker'!$1:$1,0),FALSE()),"")</f>
        <v/>
      </c>
      <c r="H402" s="1" t="str">
        <f aca="false">IFERROR(VLOOKUP(A402,'company tracker'!$a:$s,MATCH("Jun 2026 Referring Domains",'company tracker'!$1:$1,0),FALSE()),"")</f>
        <v/>
      </c>
    </row>
    <row r="403" customFormat="false" ht="15" hidden="false" customHeight="true" outlineLevel="0" collapsed="false">
      <c r="B403" s="1" t="str">
        <f aca="false">IFERROR(VLOOKUP(A403,'company tracker'!$a:$s,MATCH("Category",'company tracker'!$1:$1,0),FALSE()),"")</f>
        <v/>
      </c>
      <c r="C403" s="1" t="str">
        <f aca="false">IFERROR(VLOOKUP(A403,'Pass 1 Archive'!$A:$AD,MATCH("LinkedIn Employee Count",'Pass 1 Archive'!$1:$1,0),FALSE()),"")</f>
        <v/>
      </c>
      <c r="D403" s="1" t="str">
        <f aca="false">IFERROR(VLOOKUP(A403,'company tracker'!$a:$s,MATCH("Jan 2025 Traffic",'company tracker'!$1:$1,0),FALSE()),"")</f>
        <v/>
      </c>
      <c r="E403" s="1" t="str">
        <f aca="false">IFERROR(VLOOKUP(A403,'company tracker'!$a:$s,MATCH("Jun 2026 Traffic",'company tracker'!$1:$1,0),FALSE()),"")</f>
        <v/>
      </c>
      <c r="F403" s="1" t="str">
        <f aca="false">IFERROR(VLOOKUP(A403,'company tracker'!$a:$s,MATCH("Traffic % Change",'company tracker'!$1:$1,0),FALSE()),"")</f>
        <v/>
      </c>
      <c r="G403" s="1" t="str">
        <f aca="false">IFERROR(VLOOKUP(A403,'company tracker'!$a:$s,MATCH("Jan 2025 Referring Domains",'company tracker'!$1:$1,0),FALSE()),"")</f>
        <v/>
      </c>
      <c r="H403" s="1" t="str">
        <f aca="false">IFERROR(VLOOKUP(A403,'company tracker'!$a:$s,MATCH("Jun 2026 Referring Domains",'company tracker'!$1:$1,0),FALSE()),"")</f>
        <v/>
      </c>
    </row>
    <row r="404" customFormat="false" ht="15" hidden="false" customHeight="true" outlineLevel="0" collapsed="false">
      <c r="B404" s="1" t="str">
        <f aca="false">IFERROR(VLOOKUP(A404,'company tracker'!$a:$s,MATCH("Category",'company tracker'!$1:$1,0),FALSE()),"")</f>
        <v/>
      </c>
      <c r="C404" s="1" t="str">
        <f aca="false">IFERROR(VLOOKUP(A404,'Pass 1 Archive'!$A:$AD,MATCH("LinkedIn Employee Count",'Pass 1 Archive'!$1:$1,0),FALSE()),"")</f>
        <v/>
      </c>
      <c r="D404" s="1" t="str">
        <f aca="false">IFERROR(VLOOKUP(A404,'company tracker'!$a:$s,MATCH("Jan 2025 Traffic",'company tracker'!$1:$1,0),FALSE()),"")</f>
        <v/>
      </c>
      <c r="E404" s="1" t="str">
        <f aca="false">IFERROR(VLOOKUP(A404,'company tracker'!$a:$s,MATCH("Jun 2026 Traffic",'company tracker'!$1:$1,0),FALSE()),"")</f>
        <v/>
      </c>
      <c r="F404" s="1" t="str">
        <f aca="false">IFERROR(VLOOKUP(A404,'company tracker'!$a:$s,MATCH("Traffic % Change",'company tracker'!$1:$1,0),FALSE()),"")</f>
        <v/>
      </c>
      <c r="G404" s="1" t="str">
        <f aca="false">IFERROR(VLOOKUP(A404,'company tracker'!$a:$s,MATCH("Jan 2025 Referring Domains",'company tracker'!$1:$1,0),FALSE()),"")</f>
        <v/>
      </c>
      <c r="H404" s="1" t="str">
        <f aca="false">IFERROR(VLOOKUP(A404,'company tracker'!$a:$s,MATCH("Jun 2026 Referring Domains",'company tracker'!$1:$1,0),FALSE()),"")</f>
        <v/>
      </c>
    </row>
    <row r="405" customFormat="false" ht="15" hidden="false" customHeight="true" outlineLevel="0" collapsed="false">
      <c r="B405" s="1" t="str">
        <f aca="false">IFERROR(VLOOKUP(A405,'company tracker'!$a:$s,MATCH("Category",'company tracker'!$1:$1,0),FALSE()),"")</f>
        <v/>
      </c>
      <c r="C405" s="1" t="str">
        <f aca="false">IFERROR(VLOOKUP(A405,'Pass 1 Archive'!$A:$AD,MATCH("LinkedIn Employee Count",'Pass 1 Archive'!$1:$1,0),FALSE()),"")</f>
        <v/>
      </c>
      <c r="D405" s="1" t="str">
        <f aca="false">IFERROR(VLOOKUP(A405,'company tracker'!$a:$s,MATCH("Jan 2025 Traffic",'company tracker'!$1:$1,0),FALSE()),"")</f>
        <v/>
      </c>
      <c r="E405" s="1" t="str">
        <f aca="false">IFERROR(VLOOKUP(A405,'company tracker'!$a:$s,MATCH("Jun 2026 Traffic",'company tracker'!$1:$1,0),FALSE()),"")</f>
        <v/>
      </c>
      <c r="F405" s="1" t="str">
        <f aca="false">IFERROR(VLOOKUP(A405,'company tracker'!$a:$s,MATCH("Traffic % Change",'company tracker'!$1:$1,0),FALSE()),"")</f>
        <v/>
      </c>
      <c r="G405" s="1" t="str">
        <f aca="false">IFERROR(VLOOKUP(A405,'company tracker'!$a:$s,MATCH("Jan 2025 Referring Domains",'company tracker'!$1:$1,0),FALSE()),"")</f>
        <v/>
      </c>
      <c r="H405" s="1" t="str">
        <f aca="false">IFERROR(VLOOKUP(A405,'company tracker'!$a:$s,MATCH("Jun 2026 Referring Domains",'company tracker'!$1:$1,0),FALSE()),"")</f>
        <v/>
      </c>
    </row>
    <row r="406" customFormat="false" ht="15" hidden="false" customHeight="true" outlineLevel="0" collapsed="false">
      <c r="B406" s="1" t="str">
        <f aca="false">IFERROR(VLOOKUP(A406,'company tracker'!$a:$s,MATCH("Category",'company tracker'!$1:$1,0),FALSE()),"")</f>
        <v/>
      </c>
      <c r="C406" s="1" t="str">
        <f aca="false">IFERROR(VLOOKUP(A406,'Pass 1 Archive'!$A:$AD,MATCH("LinkedIn Employee Count",'Pass 1 Archive'!$1:$1,0),FALSE()),"")</f>
        <v/>
      </c>
      <c r="D406" s="1" t="str">
        <f aca="false">IFERROR(VLOOKUP(A406,'company tracker'!$a:$s,MATCH("Jan 2025 Traffic",'company tracker'!$1:$1,0),FALSE()),"")</f>
        <v/>
      </c>
      <c r="E406" s="1" t="str">
        <f aca="false">IFERROR(VLOOKUP(A406,'company tracker'!$a:$s,MATCH("Jun 2026 Traffic",'company tracker'!$1:$1,0),FALSE()),"")</f>
        <v/>
      </c>
      <c r="F406" s="1" t="str">
        <f aca="false">IFERROR(VLOOKUP(A406,'company tracker'!$a:$s,MATCH("Traffic % Change",'company tracker'!$1:$1,0),FALSE()),"")</f>
        <v/>
      </c>
      <c r="G406" s="1" t="str">
        <f aca="false">IFERROR(VLOOKUP(A406,'company tracker'!$a:$s,MATCH("Jan 2025 Referring Domains",'company tracker'!$1:$1,0),FALSE()),"")</f>
        <v/>
      </c>
      <c r="H406" s="1" t="str">
        <f aca="false">IFERROR(VLOOKUP(A406,'company tracker'!$a:$s,MATCH("Jun 2026 Referring Domains",'company tracker'!$1:$1,0),FALSE()),"")</f>
        <v/>
      </c>
    </row>
    <row r="407" customFormat="false" ht="15" hidden="false" customHeight="true" outlineLevel="0" collapsed="false">
      <c r="B407" s="1" t="str">
        <f aca="false">IFERROR(VLOOKUP(A407,'company tracker'!$a:$s,MATCH("Category",'company tracker'!$1:$1,0),FALSE()),"")</f>
        <v/>
      </c>
      <c r="C407" s="1" t="str">
        <f aca="false">IFERROR(VLOOKUP(A407,'Pass 1 Archive'!$A:$AD,MATCH("LinkedIn Employee Count",'Pass 1 Archive'!$1:$1,0),FALSE()),"")</f>
        <v/>
      </c>
      <c r="D407" s="1" t="str">
        <f aca="false">IFERROR(VLOOKUP(A407,'company tracker'!$a:$s,MATCH("Jan 2025 Traffic",'company tracker'!$1:$1,0),FALSE()),"")</f>
        <v/>
      </c>
      <c r="E407" s="1" t="str">
        <f aca="false">IFERROR(VLOOKUP(A407,'company tracker'!$a:$s,MATCH("Jun 2026 Traffic",'company tracker'!$1:$1,0),FALSE()),"")</f>
        <v/>
      </c>
      <c r="F407" s="1" t="str">
        <f aca="false">IFERROR(VLOOKUP(A407,'company tracker'!$a:$s,MATCH("Traffic % Change",'company tracker'!$1:$1,0),FALSE()),"")</f>
        <v/>
      </c>
      <c r="G407" s="1" t="str">
        <f aca="false">IFERROR(VLOOKUP(A407,'company tracker'!$a:$s,MATCH("Jan 2025 Referring Domains",'company tracker'!$1:$1,0),FALSE()),"")</f>
        <v/>
      </c>
      <c r="H407" s="1" t="str">
        <f aca="false">IFERROR(VLOOKUP(A407,'company tracker'!$a:$s,MATCH("Jun 2026 Referring Domains",'company tracker'!$1:$1,0),FALSE()),"")</f>
        <v/>
      </c>
    </row>
    <row r="408" customFormat="false" ht="15" hidden="false" customHeight="true" outlineLevel="0" collapsed="false">
      <c r="B408" s="1" t="str">
        <f aca="false">IFERROR(VLOOKUP(A408,'company tracker'!$a:$s,MATCH("Category",'company tracker'!$1:$1,0),FALSE()),"")</f>
        <v/>
      </c>
      <c r="C408" s="1" t="str">
        <f aca="false">IFERROR(VLOOKUP(A408,'Pass 1 Archive'!$A:$AD,MATCH("LinkedIn Employee Count",'Pass 1 Archive'!$1:$1,0),FALSE()),"")</f>
        <v/>
      </c>
      <c r="D408" s="1" t="str">
        <f aca="false">IFERROR(VLOOKUP(A408,'company tracker'!$a:$s,MATCH("Jan 2025 Traffic",'company tracker'!$1:$1,0),FALSE()),"")</f>
        <v/>
      </c>
      <c r="E408" s="1" t="str">
        <f aca="false">IFERROR(VLOOKUP(A408,'company tracker'!$a:$s,MATCH("Jun 2026 Traffic",'company tracker'!$1:$1,0),FALSE()),"")</f>
        <v/>
      </c>
      <c r="F408" s="1" t="str">
        <f aca="false">IFERROR(VLOOKUP(A408,'company tracker'!$a:$s,MATCH("Traffic % Change",'company tracker'!$1:$1,0),FALSE()),"")</f>
        <v/>
      </c>
      <c r="G408" s="1" t="str">
        <f aca="false">IFERROR(VLOOKUP(A408,'company tracker'!$a:$s,MATCH("Jan 2025 Referring Domains",'company tracker'!$1:$1,0),FALSE()),"")</f>
        <v/>
      </c>
      <c r="H408" s="1" t="str">
        <f aca="false">IFERROR(VLOOKUP(A408,'company tracker'!$a:$s,MATCH("Jun 2026 Referring Domains",'company tracker'!$1:$1,0),FALSE()),"")</f>
        <v/>
      </c>
    </row>
    <row r="409" customFormat="false" ht="15" hidden="false" customHeight="true" outlineLevel="0" collapsed="false">
      <c r="B409" s="1" t="str">
        <f aca="false">IFERROR(VLOOKUP(A409,'company tracker'!$a:$s,MATCH("Category",'company tracker'!$1:$1,0),FALSE()),"")</f>
        <v/>
      </c>
      <c r="C409" s="1" t="str">
        <f aca="false">IFERROR(VLOOKUP(A409,'Pass 1 Archive'!$A:$AD,MATCH("LinkedIn Employee Count",'Pass 1 Archive'!$1:$1,0),FALSE()),"")</f>
        <v/>
      </c>
      <c r="D409" s="1" t="str">
        <f aca="false">IFERROR(VLOOKUP(A409,'company tracker'!$a:$s,MATCH("Jan 2025 Traffic",'company tracker'!$1:$1,0),FALSE()),"")</f>
        <v/>
      </c>
      <c r="E409" s="1" t="str">
        <f aca="false">IFERROR(VLOOKUP(A409,'company tracker'!$a:$s,MATCH("Jun 2026 Traffic",'company tracker'!$1:$1,0),FALSE()),"")</f>
        <v/>
      </c>
      <c r="F409" s="1" t="str">
        <f aca="false">IFERROR(VLOOKUP(A409,'company tracker'!$a:$s,MATCH("Traffic % Change",'company tracker'!$1:$1,0),FALSE()),"")</f>
        <v/>
      </c>
      <c r="G409" s="1" t="str">
        <f aca="false">IFERROR(VLOOKUP(A409,'company tracker'!$a:$s,MATCH("Jan 2025 Referring Domains",'company tracker'!$1:$1,0),FALSE()),"")</f>
        <v/>
      </c>
      <c r="H409" s="1" t="str">
        <f aca="false">IFERROR(VLOOKUP(A409,'company tracker'!$a:$s,MATCH("Jun 2026 Referring Domains",'company tracker'!$1:$1,0),FALSE()),"")</f>
        <v/>
      </c>
    </row>
    <row r="410" customFormat="false" ht="15" hidden="false" customHeight="true" outlineLevel="0" collapsed="false">
      <c r="B410" s="1" t="str">
        <f aca="false">IFERROR(VLOOKUP(A410,'company tracker'!$a:$s,MATCH("Category",'company tracker'!$1:$1,0),FALSE()),"")</f>
        <v/>
      </c>
      <c r="C410" s="1" t="str">
        <f aca="false">IFERROR(VLOOKUP(A410,'Pass 1 Archive'!$A:$AD,MATCH("LinkedIn Employee Count",'Pass 1 Archive'!$1:$1,0),FALSE()),"")</f>
        <v/>
      </c>
      <c r="D410" s="1" t="str">
        <f aca="false">IFERROR(VLOOKUP(A410,'company tracker'!$a:$s,MATCH("Jan 2025 Traffic",'company tracker'!$1:$1,0),FALSE()),"")</f>
        <v/>
      </c>
      <c r="E410" s="1" t="str">
        <f aca="false">IFERROR(VLOOKUP(A410,'company tracker'!$a:$s,MATCH("Jun 2026 Traffic",'company tracker'!$1:$1,0),FALSE()),"")</f>
        <v/>
      </c>
      <c r="F410" s="1" t="str">
        <f aca="false">IFERROR(VLOOKUP(A410,'company tracker'!$a:$s,MATCH("Traffic % Change",'company tracker'!$1:$1,0),FALSE()),"")</f>
        <v/>
      </c>
      <c r="G410" s="1" t="str">
        <f aca="false">IFERROR(VLOOKUP(A410,'company tracker'!$a:$s,MATCH("Jan 2025 Referring Domains",'company tracker'!$1:$1,0),FALSE()),"")</f>
        <v/>
      </c>
      <c r="H410" s="1" t="str">
        <f aca="false">IFERROR(VLOOKUP(A410,'company tracker'!$a:$s,MATCH("Jun 2026 Referring Domains",'company tracker'!$1:$1,0),FALSE()),"")</f>
        <v/>
      </c>
    </row>
    <row r="411" customFormat="false" ht="15" hidden="false" customHeight="true" outlineLevel="0" collapsed="false">
      <c r="B411" s="1" t="str">
        <f aca="false">IFERROR(VLOOKUP(A411,'company tracker'!$a:$s,MATCH("Category",'company tracker'!$1:$1,0),FALSE()),"")</f>
        <v/>
      </c>
      <c r="C411" s="1" t="str">
        <f aca="false">IFERROR(VLOOKUP(A411,'Pass 1 Archive'!$A:$AD,MATCH("LinkedIn Employee Count",'Pass 1 Archive'!$1:$1,0),FALSE()),"")</f>
        <v/>
      </c>
      <c r="D411" s="1" t="str">
        <f aca="false">IFERROR(VLOOKUP(A411,'company tracker'!$a:$s,MATCH("Jan 2025 Traffic",'company tracker'!$1:$1,0),FALSE()),"")</f>
        <v/>
      </c>
      <c r="E411" s="1" t="str">
        <f aca="false">IFERROR(VLOOKUP(A411,'company tracker'!$a:$s,MATCH("Jun 2026 Traffic",'company tracker'!$1:$1,0),FALSE()),"")</f>
        <v/>
      </c>
      <c r="F411" s="1" t="str">
        <f aca="false">IFERROR(VLOOKUP(A411,'company tracker'!$a:$s,MATCH("Traffic % Change",'company tracker'!$1:$1,0),FALSE()),"")</f>
        <v/>
      </c>
      <c r="G411" s="1" t="str">
        <f aca="false">IFERROR(VLOOKUP(A411,'company tracker'!$a:$s,MATCH("Jan 2025 Referring Domains",'company tracker'!$1:$1,0),FALSE()),"")</f>
        <v/>
      </c>
      <c r="H411" s="1" t="str">
        <f aca="false">IFERROR(VLOOKUP(A411,'company tracker'!$a:$s,MATCH("Jun 2026 Referring Domains",'company tracker'!$1:$1,0),FALSE()),"")</f>
        <v/>
      </c>
    </row>
    <row r="412" customFormat="false" ht="15" hidden="false" customHeight="true" outlineLevel="0" collapsed="false">
      <c r="B412" s="1" t="str">
        <f aca="false">IFERROR(VLOOKUP(A412,'company tracker'!$a:$s,MATCH("Category",'company tracker'!$1:$1,0),FALSE()),"")</f>
        <v/>
      </c>
      <c r="C412" s="1" t="str">
        <f aca="false">IFERROR(VLOOKUP(A412,'Pass 1 Archive'!$A:$AD,MATCH("LinkedIn Employee Count",'Pass 1 Archive'!$1:$1,0),FALSE()),"")</f>
        <v/>
      </c>
      <c r="D412" s="1" t="str">
        <f aca="false">IFERROR(VLOOKUP(A412,'company tracker'!$a:$s,MATCH("Jan 2025 Traffic",'company tracker'!$1:$1,0),FALSE()),"")</f>
        <v/>
      </c>
      <c r="E412" s="1" t="str">
        <f aca="false">IFERROR(VLOOKUP(A412,'company tracker'!$a:$s,MATCH("Jun 2026 Traffic",'company tracker'!$1:$1,0),FALSE()),"")</f>
        <v/>
      </c>
      <c r="F412" s="1" t="str">
        <f aca="false">IFERROR(VLOOKUP(A412,'company tracker'!$a:$s,MATCH("Traffic % Change",'company tracker'!$1:$1,0),FALSE()),"")</f>
        <v/>
      </c>
      <c r="G412" s="1" t="str">
        <f aca="false">IFERROR(VLOOKUP(A412,'company tracker'!$a:$s,MATCH("Jan 2025 Referring Domains",'company tracker'!$1:$1,0),FALSE()),"")</f>
        <v/>
      </c>
      <c r="H412" s="1" t="str">
        <f aca="false">IFERROR(VLOOKUP(A412,'company tracker'!$a:$s,MATCH("Jun 2026 Referring Domains",'company tracker'!$1:$1,0),FALSE()),"")</f>
        <v/>
      </c>
    </row>
    <row r="413" customFormat="false" ht="15" hidden="false" customHeight="true" outlineLevel="0" collapsed="false">
      <c r="B413" s="1" t="str">
        <f aca="false">IFERROR(VLOOKUP(A413,'company tracker'!$a:$s,MATCH("Category",'company tracker'!$1:$1,0),FALSE()),"")</f>
        <v/>
      </c>
      <c r="C413" s="1" t="str">
        <f aca="false">IFERROR(VLOOKUP(A413,'Pass 1 Archive'!$A:$AD,MATCH("LinkedIn Employee Count",'Pass 1 Archive'!$1:$1,0),FALSE()),"")</f>
        <v/>
      </c>
      <c r="D413" s="1" t="str">
        <f aca="false">IFERROR(VLOOKUP(A413,'company tracker'!$a:$s,MATCH("Jan 2025 Traffic",'company tracker'!$1:$1,0),FALSE()),"")</f>
        <v/>
      </c>
      <c r="E413" s="1" t="str">
        <f aca="false">IFERROR(VLOOKUP(A413,'company tracker'!$a:$s,MATCH("Jun 2026 Traffic",'company tracker'!$1:$1,0),FALSE()),"")</f>
        <v/>
      </c>
      <c r="F413" s="1" t="str">
        <f aca="false">IFERROR(VLOOKUP(A413,'company tracker'!$a:$s,MATCH("Traffic % Change",'company tracker'!$1:$1,0),FALSE()),"")</f>
        <v/>
      </c>
      <c r="G413" s="1" t="str">
        <f aca="false">IFERROR(VLOOKUP(A413,'company tracker'!$a:$s,MATCH("Jan 2025 Referring Domains",'company tracker'!$1:$1,0),FALSE()),"")</f>
        <v/>
      </c>
      <c r="H413" s="1" t="str">
        <f aca="false">IFERROR(VLOOKUP(A413,'company tracker'!$a:$s,MATCH("Jun 2026 Referring Domains",'company tracker'!$1:$1,0),FALSE()),"")</f>
        <v/>
      </c>
    </row>
    <row r="414" customFormat="false" ht="15" hidden="false" customHeight="true" outlineLevel="0" collapsed="false">
      <c r="B414" s="1" t="str">
        <f aca="false">IFERROR(VLOOKUP(A414,'company tracker'!$a:$s,MATCH("Category",'company tracker'!$1:$1,0),FALSE()),"")</f>
        <v/>
      </c>
      <c r="C414" s="1" t="str">
        <f aca="false">IFERROR(VLOOKUP(A414,'Pass 1 Archive'!$A:$AD,MATCH("LinkedIn Employee Count",'Pass 1 Archive'!$1:$1,0),FALSE()),"")</f>
        <v/>
      </c>
      <c r="D414" s="1" t="str">
        <f aca="false">IFERROR(VLOOKUP(A414,'company tracker'!$a:$s,MATCH("Jan 2025 Traffic",'company tracker'!$1:$1,0),FALSE()),"")</f>
        <v/>
      </c>
      <c r="E414" s="1" t="str">
        <f aca="false">IFERROR(VLOOKUP(A414,'company tracker'!$a:$s,MATCH("Jun 2026 Traffic",'company tracker'!$1:$1,0),FALSE()),"")</f>
        <v/>
      </c>
      <c r="F414" s="1" t="str">
        <f aca="false">IFERROR(VLOOKUP(A414,'company tracker'!$a:$s,MATCH("Traffic % Change",'company tracker'!$1:$1,0),FALSE()),"")</f>
        <v/>
      </c>
      <c r="G414" s="1" t="str">
        <f aca="false">IFERROR(VLOOKUP(A414,'company tracker'!$a:$s,MATCH("Jan 2025 Referring Domains",'company tracker'!$1:$1,0),FALSE()),"")</f>
        <v/>
      </c>
      <c r="H414" s="1" t="str">
        <f aca="false">IFERROR(VLOOKUP(A414,'company tracker'!$a:$s,MATCH("Jun 2026 Referring Domains",'company tracker'!$1:$1,0),FALSE()),"")</f>
        <v/>
      </c>
    </row>
    <row r="415" customFormat="false" ht="15" hidden="false" customHeight="true" outlineLevel="0" collapsed="false">
      <c r="B415" s="1" t="str">
        <f aca="false">IFERROR(VLOOKUP(A415,'company tracker'!$a:$s,MATCH("Category",'company tracker'!$1:$1,0),FALSE()),"")</f>
        <v/>
      </c>
      <c r="C415" s="1" t="str">
        <f aca="false">IFERROR(VLOOKUP(A415,'Pass 1 Archive'!$A:$AD,MATCH("LinkedIn Employee Count",'Pass 1 Archive'!$1:$1,0),FALSE()),"")</f>
        <v/>
      </c>
      <c r="D415" s="1" t="str">
        <f aca="false">IFERROR(VLOOKUP(A415,'company tracker'!$a:$s,MATCH("Jan 2025 Traffic",'company tracker'!$1:$1,0),FALSE()),"")</f>
        <v/>
      </c>
      <c r="E415" s="1" t="str">
        <f aca="false">IFERROR(VLOOKUP(A415,'company tracker'!$a:$s,MATCH("Jun 2026 Traffic",'company tracker'!$1:$1,0),FALSE()),"")</f>
        <v/>
      </c>
      <c r="F415" s="1" t="str">
        <f aca="false">IFERROR(VLOOKUP(A415,'company tracker'!$a:$s,MATCH("Traffic % Change",'company tracker'!$1:$1,0),FALSE()),"")</f>
        <v/>
      </c>
      <c r="G415" s="1" t="str">
        <f aca="false">IFERROR(VLOOKUP(A415,'company tracker'!$a:$s,MATCH("Jan 2025 Referring Domains",'company tracker'!$1:$1,0),FALSE()),"")</f>
        <v/>
      </c>
      <c r="H415" s="1" t="str">
        <f aca="false">IFERROR(VLOOKUP(A415,'company tracker'!$a:$s,MATCH("Jun 2026 Referring Domains",'company tracker'!$1:$1,0),FALSE()),"")</f>
        <v/>
      </c>
    </row>
    <row r="416" customFormat="false" ht="15" hidden="false" customHeight="true" outlineLevel="0" collapsed="false">
      <c r="B416" s="1" t="str">
        <f aca="false">IFERROR(VLOOKUP(A416,'company tracker'!$a:$s,MATCH("Category",'company tracker'!$1:$1,0),FALSE()),"")</f>
        <v/>
      </c>
      <c r="C416" s="1" t="str">
        <f aca="false">IFERROR(VLOOKUP(A416,'Pass 1 Archive'!$A:$AD,MATCH("LinkedIn Employee Count",'Pass 1 Archive'!$1:$1,0),FALSE()),"")</f>
        <v/>
      </c>
      <c r="D416" s="1" t="str">
        <f aca="false">IFERROR(VLOOKUP(A416,'company tracker'!$a:$s,MATCH("Jan 2025 Traffic",'company tracker'!$1:$1,0),FALSE()),"")</f>
        <v/>
      </c>
      <c r="E416" s="1" t="str">
        <f aca="false">IFERROR(VLOOKUP(A416,'company tracker'!$a:$s,MATCH("Jun 2026 Traffic",'company tracker'!$1:$1,0),FALSE()),"")</f>
        <v/>
      </c>
      <c r="F416" s="1" t="str">
        <f aca="false">IFERROR(VLOOKUP(A416,'company tracker'!$a:$s,MATCH("Traffic % Change",'company tracker'!$1:$1,0),FALSE()),"")</f>
        <v/>
      </c>
      <c r="G416" s="1" t="str">
        <f aca="false">IFERROR(VLOOKUP(A416,'company tracker'!$a:$s,MATCH("Jan 2025 Referring Domains",'company tracker'!$1:$1,0),FALSE()),"")</f>
        <v/>
      </c>
      <c r="H416" s="1" t="str">
        <f aca="false">IFERROR(VLOOKUP(A416,'company tracker'!$a:$s,MATCH("Jun 2026 Referring Domains",'company tracker'!$1:$1,0),FALSE()),"")</f>
        <v/>
      </c>
    </row>
    <row r="417" customFormat="false" ht="15" hidden="false" customHeight="true" outlineLevel="0" collapsed="false">
      <c r="B417" s="1" t="str">
        <f aca="false">IFERROR(VLOOKUP(A417,'company tracker'!$a:$s,MATCH("Category",'company tracker'!$1:$1,0),FALSE()),"")</f>
        <v/>
      </c>
      <c r="C417" s="1" t="str">
        <f aca="false">IFERROR(VLOOKUP(A417,'Pass 1 Archive'!$A:$AD,MATCH("LinkedIn Employee Count",'Pass 1 Archive'!$1:$1,0),FALSE()),"")</f>
        <v/>
      </c>
      <c r="D417" s="1" t="str">
        <f aca="false">IFERROR(VLOOKUP(A417,'company tracker'!$a:$s,MATCH("Jan 2025 Traffic",'company tracker'!$1:$1,0),FALSE()),"")</f>
        <v/>
      </c>
      <c r="E417" s="1" t="str">
        <f aca="false">IFERROR(VLOOKUP(A417,'company tracker'!$a:$s,MATCH("Jun 2026 Traffic",'company tracker'!$1:$1,0),FALSE()),"")</f>
        <v/>
      </c>
      <c r="F417" s="1" t="str">
        <f aca="false">IFERROR(VLOOKUP(A417,'company tracker'!$a:$s,MATCH("Traffic % Change",'company tracker'!$1:$1,0),FALSE()),"")</f>
        <v/>
      </c>
      <c r="G417" s="1" t="str">
        <f aca="false">IFERROR(VLOOKUP(A417,'company tracker'!$a:$s,MATCH("Jan 2025 Referring Domains",'company tracker'!$1:$1,0),FALSE()),"")</f>
        <v/>
      </c>
      <c r="H417" s="1" t="str">
        <f aca="false">IFERROR(VLOOKUP(A417,'company tracker'!$a:$s,MATCH("Jun 2026 Referring Domains",'company tracker'!$1:$1,0),FALSE()),"")</f>
        <v/>
      </c>
    </row>
    <row r="418" customFormat="false" ht="15" hidden="false" customHeight="true" outlineLevel="0" collapsed="false">
      <c r="B418" s="1" t="str">
        <f aca="false">IFERROR(VLOOKUP(A418,'company tracker'!$a:$s,MATCH("Category",'company tracker'!$1:$1,0),FALSE()),"")</f>
        <v/>
      </c>
      <c r="C418" s="1" t="str">
        <f aca="false">IFERROR(VLOOKUP(A418,'Pass 1 Archive'!$A:$AD,MATCH("LinkedIn Employee Count",'Pass 1 Archive'!$1:$1,0),FALSE()),"")</f>
        <v/>
      </c>
      <c r="D418" s="1" t="str">
        <f aca="false">IFERROR(VLOOKUP(A418,'company tracker'!$a:$s,MATCH("Jan 2025 Traffic",'company tracker'!$1:$1,0),FALSE()),"")</f>
        <v/>
      </c>
      <c r="E418" s="1" t="str">
        <f aca="false">IFERROR(VLOOKUP(A418,'company tracker'!$a:$s,MATCH("Jun 2026 Traffic",'company tracker'!$1:$1,0),FALSE()),"")</f>
        <v/>
      </c>
      <c r="F418" s="1" t="str">
        <f aca="false">IFERROR(VLOOKUP(A418,'company tracker'!$a:$s,MATCH("Traffic % Change",'company tracker'!$1:$1,0),FALSE()),"")</f>
        <v/>
      </c>
      <c r="G418" s="1" t="str">
        <f aca="false">IFERROR(VLOOKUP(A418,'company tracker'!$a:$s,MATCH("Jan 2025 Referring Domains",'company tracker'!$1:$1,0),FALSE()),"")</f>
        <v/>
      </c>
      <c r="H418" s="1" t="str">
        <f aca="false">IFERROR(VLOOKUP(A418,'company tracker'!$a:$s,MATCH("Jun 2026 Referring Domains",'company tracker'!$1:$1,0),FALSE()),"")</f>
        <v/>
      </c>
    </row>
    <row r="419" customFormat="false" ht="15" hidden="false" customHeight="true" outlineLevel="0" collapsed="false">
      <c r="B419" s="1" t="str">
        <f aca="false">IFERROR(VLOOKUP(A419,'company tracker'!$a:$s,MATCH("Category",'company tracker'!$1:$1,0),FALSE()),"")</f>
        <v/>
      </c>
      <c r="C419" s="1" t="str">
        <f aca="false">IFERROR(VLOOKUP(A419,'Pass 1 Archive'!$A:$AD,MATCH("LinkedIn Employee Count",'Pass 1 Archive'!$1:$1,0),FALSE()),"")</f>
        <v/>
      </c>
      <c r="D419" s="1" t="str">
        <f aca="false">IFERROR(VLOOKUP(A419,'company tracker'!$a:$s,MATCH("Jan 2025 Traffic",'company tracker'!$1:$1,0),FALSE()),"")</f>
        <v/>
      </c>
      <c r="E419" s="1" t="str">
        <f aca="false">IFERROR(VLOOKUP(A419,'company tracker'!$a:$s,MATCH("Jun 2026 Traffic",'company tracker'!$1:$1,0),FALSE()),"")</f>
        <v/>
      </c>
      <c r="F419" s="1" t="str">
        <f aca="false">IFERROR(VLOOKUP(A419,'company tracker'!$a:$s,MATCH("Traffic % Change",'company tracker'!$1:$1,0),FALSE()),"")</f>
        <v/>
      </c>
      <c r="G419" s="1" t="str">
        <f aca="false">IFERROR(VLOOKUP(A419,'company tracker'!$a:$s,MATCH("Jan 2025 Referring Domains",'company tracker'!$1:$1,0),FALSE()),"")</f>
        <v/>
      </c>
      <c r="H419" s="1" t="str">
        <f aca="false">IFERROR(VLOOKUP(A419,'company tracker'!$a:$s,MATCH("Jun 2026 Referring Domains",'company tracker'!$1:$1,0),FALSE()),"")</f>
        <v/>
      </c>
    </row>
    <row r="420" customFormat="false" ht="15" hidden="false" customHeight="true" outlineLevel="0" collapsed="false">
      <c r="B420" s="1" t="str">
        <f aca="false">IFERROR(VLOOKUP(A420,'company tracker'!$a:$s,MATCH("Category",'company tracker'!$1:$1,0),FALSE()),"")</f>
        <v/>
      </c>
      <c r="C420" s="1" t="str">
        <f aca="false">IFERROR(VLOOKUP(A420,'Pass 1 Archive'!$A:$AD,MATCH("LinkedIn Employee Count",'Pass 1 Archive'!$1:$1,0),FALSE()),"")</f>
        <v/>
      </c>
      <c r="D420" s="1" t="str">
        <f aca="false">IFERROR(VLOOKUP(A420,'company tracker'!$a:$s,MATCH("Jan 2025 Traffic",'company tracker'!$1:$1,0),FALSE()),"")</f>
        <v/>
      </c>
      <c r="E420" s="1" t="str">
        <f aca="false">IFERROR(VLOOKUP(A420,'company tracker'!$a:$s,MATCH("Jun 2026 Traffic",'company tracker'!$1:$1,0),FALSE()),"")</f>
        <v/>
      </c>
      <c r="F420" s="1" t="str">
        <f aca="false">IFERROR(VLOOKUP(A420,'company tracker'!$a:$s,MATCH("Traffic % Change",'company tracker'!$1:$1,0),FALSE()),"")</f>
        <v/>
      </c>
      <c r="G420" s="1" t="str">
        <f aca="false">IFERROR(VLOOKUP(A420,'company tracker'!$a:$s,MATCH("Jan 2025 Referring Domains",'company tracker'!$1:$1,0),FALSE()),"")</f>
        <v/>
      </c>
      <c r="H420" s="1" t="str">
        <f aca="false">IFERROR(VLOOKUP(A420,'company tracker'!$a:$s,MATCH("Jun 2026 Referring Domains",'company tracker'!$1:$1,0),FALSE()),"")</f>
        <v/>
      </c>
    </row>
    <row r="421" customFormat="false" ht="15" hidden="false" customHeight="true" outlineLevel="0" collapsed="false">
      <c r="B421" s="1" t="str">
        <f aca="false">IFERROR(VLOOKUP(A421,'company tracker'!$a:$s,MATCH("Category",'company tracker'!$1:$1,0),FALSE()),"")</f>
        <v/>
      </c>
      <c r="C421" s="1" t="str">
        <f aca="false">IFERROR(VLOOKUP(A421,'Pass 1 Archive'!$A:$AD,MATCH("LinkedIn Employee Count",'Pass 1 Archive'!$1:$1,0),FALSE()),"")</f>
        <v/>
      </c>
      <c r="D421" s="1" t="str">
        <f aca="false">IFERROR(VLOOKUP(A421,'company tracker'!$a:$s,MATCH("Jan 2025 Traffic",'company tracker'!$1:$1,0),FALSE()),"")</f>
        <v/>
      </c>
      <c r="E421" s="1" t="str">
        <f aca="false">IFERROR(VLOOKUP(A421,'company tracker'!$a:$s,MATCH("Jun 2026 Traffic",'company tracker'!$1:$1,0),FALSE()),"")</f>
        <v/>
      </c>
      <c r="F421" s="1" t="str">
        <f aca="false">IFERROR(VLOOKUP(A421,'company tracker'!$a:$s,MATCH("Traffic % Change",'company tracker'!$1:$1,0),FALSE()),"")</f>
        <v/>
      </c>
      <c r="G421" s="1" t="str">
        <f aca="false">IFERROR(VLOOKUP(A421,'company tracker'!$a:$s,MATCH("Jan 2025 Referring Domains",'company tracker'!$1:$1,0),FALSE()),"")</f>
        <v/>
      </c>
      <c r="H421" s="1" t="str">
        <f aca="false">IFERROR(VLOOKUP(A421,'company tracker'!$a:$s,MATCH("Jun 2026 Referring Domains",'company tracker'!$1:$1,0),FALSE()),"")</f>
        <v/>
      </c>
    </row>
    <row r="422" customFormat="false" ht="15" hidden="false" customHeight="true" outlineLevel="0" collapsed="false">
      <c r="B422" s="1" t="str">
        <f aca="false">IFERROR(VLOOKUP(A422,'company tracker'!$a:$s,MATCH("Category",'company tracker'!$1:$1,0),FALSE()),"")</f>
        <v/>
      </c>
      <c r="C422" s="1" t="str">
        <f aca="false">IFERROR(VLOOKUP(A422,'Pass 1 Archive'!$A:$AD,MATCH("LinkedIn Employee Count",'Pass 1 Archive'!$1:$1,0),FALSE()),"")</f>
        <v/>
      </c>
      <c r="D422" s="1" t="str">
        <f aca="false">IFERROR(VLOOKUP(A422,'company tracker'!$a:$s,MATCH("Jan 2025 Traffic",'company tracker'!$1:$1,0),FALSE()),"")</f>
        <v/>
      </c>
      <c r="E422" s="1" t="str">
        <f aca="false">IFERROR(VLOOKUP(A422,'company tracker'!$a:$s,MATCH("Jun 2026 Traffic",'company tracker'!$1:$1,0),FALSE()),"")</f>
        <v/>
      </c>
      <c r="F422" s="1" t="str">
        <f aca="false">IFERROR(VLOOKUP(A422,'company tracker'!$a:$s,MATCH("Traffic % Change",'company tracker'!$1:$1,0),FALSE()),"")</f>
        <v/>
      </c>
      <c r="G422" s="1" t="str">
        <f aca="false">IFERROR(VLOOKUP(A422,'company tracker'!$a:$s,MATCH("Jan 2025 Referring Domains",'company tracker'!$1:$1,0),FALSE()),"")</f>
        <v/>
      </c>
      <c r="H422" s="1" t="str">
        <f aca="false">IFERROR(VLOOKUP(A422,'company tracker'!$a:$s,MATCH("Jun 2026 Referring Domains",'company tracker'!$1:$1,0),FALSE()),"")</f>
        <v/>
      </c>
    </row>
    <row r="423" customFormat="false" ht="15" hidden="false" customHeight="true" outlineLevel="0" collapsed="false">
      <c r="B423" s="1" t="str">
        <f aca="false">IFERROR(VLOOKUP(A423,'company tracker'!$a:$s,MATCH("Category",'company tracker'!$1:$1,0),FALSE()),"")</f>
        <v/>
      </c>
      <c r="C423" s="1" t="str">
        <f aca="false">IFERROR(VLOOKUP(A423,'Pass 1 Archive'!$A:$AD,MATCH("LinkedIn Employee Count",'Pass 1 Archive'!$1:$1,0),FALSE()),"")</f>
        <v/>
      </c>
      <c r="D423" s="1" t="str">
        <f aca="false">IFERROR(VLOOKUP(A423,'company tracker'!$a:$s,MATCH("Jan 2025 Traffic",'company tracker'!$1:$1,0),FALSE()),"")</f>
        <v/>
      </c>
      <c r="E423" s="1" t="str">
        <f aca="false">IFERROR(VLOOKUP(A423,'company tracker'!$a:$s,MATCH("Jun 2026 Traffic",'company tracker'!$1:$1,0),FALSE()),"")</f>
        <v/>
      </c>
      <c r="F423" s="1" t="str">
        <f aca="false">IFERROR(VLOOKUP(A423,'company tracker'!$a:$s,MATCH("Traffic % Change",'company tracker'!$1:$1,0),FALSE()),"")</f>
        <v/>
      </c>
      <c r="G423" s="1" t="str">
        <f aca="false">IFERROR(VLOOKUP(A423,'company tracker'!$a:$s,MATCH("Jan 2025 Referring Domains",'company tracker'!$1:$1,0),FALSE()),"")</f>
        <v/>
      </c>
      <c r="H423" s="1" t="str">
        <f aca="false">IFERROR(VLOOKUP(A423,'company tracker'!$a:$s,MATCH("Jun 2026 Referring Domains",'company tracker'!$1:$1,0),FALSE()),"")</f>
        <v/>
      </c>
    </row>
    <row r="424" customFormat="false" ht="15" hidden="false" customHeight="true" outlineLevel="0" collapsed="false">
      <c r="B424" s="1" t="str">
        <f aca="false">IFERROR(VLOOKUP(A424,'company tracker'!$a:$s,MATCH("Category",'company tracker'!$1:$1,0),FALSE()),"")</f>
        <v/>
      </c>
      <c r="C424" s="1" t="str">
        <f aca="false">IFERROR(VLOOKUP(A424,'Pass 1 Archive'!$A:$AD,MATCH("LinkedIn Employee Count",'Pass 1 Archive'!$1:$1,0),FALSE()),"")</f>
        <v/>
      </c>
      <c r="D424" s="1" t="str">
        <f aca="false">IFERROR(VLOOKUP(A424,'company tracker'!$a:$s,MATCH("Jan 2025 Traffic",'company tracker'!$1:$1,0),FALSE()),"")</f>
        <v/>
      </c>
      <c r="E424" s="1" t="str">
        <f aca="false">IFERROR(VLOOKUP(A424,'company tracker'!$a:$s,MATCH("Jun 2026 Traffic",'company tracker'!$1:$1,0),FALSE()),"")</f>
        <v/>
      </c>
      <c r="F424" s="1" t="str">
        <f aca="false">IFERROR(VLOOKUP(A424,'company tracker'!$a:$s,MATCH("Traffic % Change",'company tracker'!$1:$1,0),FALSE()),"")</f>
        <v/>
      </c>
      <c r="G424" s="1" t="str">
        <f aca="false">IFERROR(VLOOKUP(A424,'company tracker'!$a:$s,MATCH("Jan 2025 Referring Domains",'company tracker'!$1:$1,0),FALSE()),"")</f>
        <v/>
      </c>
      <c r="H424" s="1" t="str">
        <f aca="false">IFERROR(VLOOKUP(A424,'company tracker'!$a:$s,MATCH("Jun 2026 Referring Domains",'company tracker'!$1:$1,0),FALSE()),"")</f>
        <v/>
      </c>
    </row>
    <row r="425" customFormat="false" ht="15" hidden="false" customHeight="true" outlineLevel="0" collapsed="false">
      <c r="B425" s="1" t="str">
        <f aca="false">IFERROR(VLOOKUP(A425,'company tracker'!$a:$s,MATCH("Category",'company tracker'!$1:$1,0),FALSE()),"")</f>
        <v/>
      </c>
      <c r="C425" s="1" t="str">
        <f aca="false">IFERROR(VLOOKUP(A425,'Pass 1 Archive'!$A:$AD,MATCH("LinkedIn Employee Count",'Pass 1 Archive'!$1:$1,0),FALSE()),"")</f>
        <v/>
      </c>
      <c r="D425" s="1" t="str">
        <f aca="false">IFERROR(VLOOKUP(A425,'company tracker'!$a:$s,MATCH("Jan 2025 Traffic",'company tracker'!$1:$1,0),FALSE()),"")</f>
        <v/>
      </c>
      <c r="E425" s="1" t="str">
        <f aca="false">IFERROR(VLOOKUP(A425,'company tracker'!$a:$s,MATCH("Jun 2026 Traffic",'company tracker'!$1:$1,0),FALSE()),"")</f>
        <v/>
      </c>
      <c r="F425" s="1" t="str">
        <f aca="false">IFERROR(VLOOKUP(A425,'company tracker'!$a:$s,MATCH("Traffic % Change",'company tracker'!$1:$1,0),FALSE()),"")</f>
        <v/>
      </c>
      <c r="G425" s="1" t="str">
        <f aca="false">IFERROR(VLOOKUP(A425,'company tracker'!$a:$s,MATCH("Jan 2025 Referring Domains",'company tracker'!$1:$1,0),FALSE()),"")</f>
        <v/>
      </c>
      <c r="H425" s="1" t="str">
        <f aca="false">IFERROR(VLOOKUP(A425,'company tracker'!$a:$s,MATCH("Jun 2026 Referring Domains",'company tracker'!$1:$1,0),FALSE()),"")</f>
        <v/>
      </c>
    </row>
    <row r="426" customFormat="false" ht="15" hidden="false" customHeight="true" outlineLevel="0" collapsed="false">
      <c r="B426" s="1" t="str">
        <f aca="false">IFERROR(VLOOKUP(A426,'company tracker'!$a:$s,MATCH("Category",'company tracker'!$1:$1,0),FALSE()),"")</f>
        <v/>
      </c>
      <c r="C426" s="1" t="str">
        <f aca="false">IFERROR(VLOOKUP(A426,'Pass 1 Archive'!$A:$AD,MATCH("LinkedIn Employee Count",'Pass 1 Archive'!$1:$1,0),FALSE()),"")</f>
        <v/>
      </c>
      <c r="D426" s="1" t="str">
        <f aca="false">IFERROR(VLOOKUP(A426,'company tracker'!$a:$s,MATCH("Jan 2025 Traffic",'company tracker'!$1:$1,0),FALSE()),"")</f>
        <v/>
      </c>
      <c r="E426" s="1" t="str">
        <f aca="false">IFERROR(VLOOKUP(A426,'company tracker'!$a:$s,MATCH("Jun 2026 Traffic",'company tracker'!$1:$1,0),FALSE()),"")</f>
        <v/>
      </c>
      <c r="F426" s="1" t="str">
        <f aca="false">IFERROR(VLOOKUP(A426,'company tracker'!$a:$s,MATCH("Traffic % Change",'company tracker'!$1:$1,0),FALSE()),"")</f>
        <v/>
      </c>
      <c r="G426" s="1" t="str">
        <f aca="false">IFERROR(VLOOKUP(A426,'company tracker'!$a:$s,MATCH("Jan 2025 Referring Domains",'company tracker'!$1:$1,0),FALSE()),"")</f>
        <v/>
      </c>
      <c r="H426" s="1" t="str">
        <f aca="false">IFERROR(VLOOKUP(A426,'company tracker'!$a:$s,MATCH("Jun 2026 Referring Domains",'company tracker'!$1:$1,0),FALSE()),"")</f>
        <v/>
      </c>
    </row>
    <row r="427" customFormat="false" ht="15" hidden="false" customHeight="true" outlineLevel="0" collapsed="false">
      <c r="B427" s="1" t="str">
        <f aca="false">IFERROR(VLOOKUP(A427,'company tracker'!$a:$s,MATCH("Category",'company tracker'!$1:$1,0),FALSE()),"")</f>
        <v/>
      </c>
      <c r="C427" s="1" t="str">
        <f aca="false">IFERROR(VLOOKUP(A427,'Pass 1 Archive'!$A:$AD,MATCH("LinkedIn Employee Count",'Pass 1 Archive'!$1:$1,0),FALSE()),"")</f>
        <v/>
      </c>
      <c r="D427" s="1" t="str">
        <f aca="false">IFERROR(VLOOKUP(A427,'company tracker'!$a:$s,MATCH("Jan 2025 Traffic",'company tracker'!$1:$1,0),FALSE()),"")</f>
        <v/>
      </c>
      <c r="E427" s="1" t="str">
        <f aca="false">IFERROR(VLOOKUP(A427,'company tracker'!$a:$s,MATCH("Jun 2026 Traffic",'company tracker'!$1:$1,0),FALSE()),"")</f>
        <v/>
      </c>
      <c r="F427" s="1" t="str">
        <f aca="false">IFERROR(VLOOKUP(A427,'company tracker'!$a:$s,MATCH("Traffic % Change",'company tracker'!$1:$1,0),FALSE()),"")</f>
        <v/>
      </c>
      <c r="G427" s="1" t="str">
        <f aca="false">IFERROR(VLOOKUP(A427,'company tracker'!$a:$s,MATCH("Jan 2025 Referring Domains",'company tracker'!$1:$1,0),FALSE()),"")</f>
        <v/>
      </c>
      <c r="H427" s="1" t="str">
        <f aca="false">IFERROR(VLOOKUP(A427,'company tracker'!$a:$s,MATCH("Jun 2026 Referring Domains",'company tracker'!$1:$1,0),FALSE()),"")</f>
        <v/>
      </c>
    </row>
    <row r="428" customFormat="false" ht="15" hidden="false" customHeight="true" outlineLevel="0" collapsed="false">
      <c r="B428" s="1" t="str">
        <f aca="false">IFERROR(VLOOKUP(A428,'company tracker'!$a:$s,MATCH("Category",'company tracker'!$1:$1,0),FALSE()),"")</f>
        <v/>
      </c>
      <c r="C428" s="1" t="str">
        <f aca="false">IFERROR(VLOOKUP(A428,'Pass 1 Archive'!$A:$AD,MATCH("LinkedIn Employee Count",'Pass 1 Archive'!$1:$1,0),FALSE()),"")</f>
        <v/>
      </c>
      <c r="D428" s="1" t="str">
        <f aca="false">IFERROR(VLOOKUP(A428,'company tracker'!$a:$s,MATCH("Jan 2025 Traffic",'company tracker'!$1:$1,0),FALSE()),"")</f>
        <v/>
      </c>
      <c r="E428" s="1" t="str">
        <f aca="false">IFERROR(VLOOKUP(A428,'company tracker'!$a:$s,MATCH("Jun 2026 Traffic",'company tracker'!$1:$1,0),FALSE()),"")</f>
        <v/>
      </c>
      <c r="F428" s="1" t="str">
        <f aca="false">IFERROR(VLOOKUP(A428,'company tracker'!$a:$s,MATCH("Traffic % Change",'company tracker'!$1:$1,0),FALSE()),"")</f>
        <v/>
      </c>
      <c r="G428" s="1" t="str">
        <f aca="false">IFERROR(VLOOKUP(A428,'company tracker'!$a:$s,MATCH("Jan 2025 Referring Domains",'company tracker'!$1:$1,0),FALSE()),"")</f>
        <v/>
      </c>
      <c r="H428" s="1" t="str">
        <f aca="false">IFERROR(VLOOKUP(A428,'company tracker'!$a:$s,MATCH("Jun 2026 Referring Domains",'company tracker'!$1:$1,0),FALSE()),"")</f>
        <v/>
      </c>
    </row>
    <row r="429" customFormat="false" ht="15" hidden="false" customHeight="true" outlineLevel="0" collapsed="false">
      <c r="B429" s="1" t="str">
        <f aca="false">IFERROR(VLOOKUP(A429,'company tracker'!$a:$s,MATCH("Category",'company tracker'!$1:$1,0),FALSE()),"")</f>
        <v/>
      </c>
      <c r="C429" s="1" t="str">
        <f aca="false">IFERROR(VLOOKUP(A429,'Pass 1 Archive'!$A:$AD,MATCH("LinkedIn Employee Count",'Pass 1 Archive'!$1:$1,0),FALSE()),"")</f>
        <v/>
      </c>
      <c r="D429" s="1" t="str">
        <f aca="false">IFERROR(VLOOKUP(A429,'company tracker'!$a:$s,MATCH("Jan 2025 Traffic",'company tracker'!$1:$1,0),FALSE()),"")</f>
        <v/>
      </c>
      <c r="E429" s="1" t="str">
        <f aca="false">IFERROR(VLOOKUP(A429,'company tracker'!$a:$s,MATCH("Jun 2026 Traffic",'company tracker'!$1:$1,0),FALSE()),"")</f>
        <v/>
      </c>
      <c r="F429" s="1" t="str">
        <f aca="false">IFERROR(VLOOKUP(A429,'company tracker'!$a:$s,MATCH("Traffic % Change",'company tracker'!$1:$1,0),FALSE()),"")</f>
        <v/>
      </c>
      <c r="G429" s="1" t="str">
        <f aca="false">IFERROR(VLOOKUP(A429,'company tracker'!$a:$s,MATCH("Jan 2025 Referring Domains",'company tracker'!$1:$1,0),FALSE()),"")</f>
        <v/>
      </c>
      <c r="H429" s="1" t="str">
        <f aca="false">IFERROR(VLOOKUP(A429,'company tracker'!$a:$s,MATCH("Jun 2026 Referring Domains",'company tracker'!$1:$1,0),FALSE()),"")</f>
        <v/>
      </c>
    </row>
    <row r="430" customFormat="false" ht="15" hidden="false" customHeight="true" outlineLevel="0" collapsed="false">
      <c r="B430" s="1" t="str">
        <f aca="false">IFERROR(VLOOKUP(A430,'company tracker'!$a:$s,MATCH("Category",'company tracker'!$1:$1,0),FALSE()),"")</f>
        <v/>
      </c>
      <c r="C430" s="1" t="str">
        <f aca="false">IFERROR(VLOOKUP(A430,'Pass 1 Archive'!$A:$AD,MATCH("LinkedIn Employee Count",'Pass 1 Archive'!$1:$1,0),FALSE()),"")</f>
        <v/>
      </c>
      <c r="D430" s="1" t="str">
        <f aca="false">IFERROR(VLOOKUP(A430,'company tracker'!$a:$s,MATCH("Jan 2025 Traffic",'company tracker'!$1:$1,0),FALSE()),"")</f>
        <v/>
      </c>
      <c r="E430" s="1" t="str">
        <f aca="false">IFERROR(VLOOKUP(A430,'company tracker'!$a:$s,MATCH("Jun 2026 Traffic",'company tracker'!$1:$1,0),FALSE()),"")</f>
        <v/>
      </c>
      <c r="F430" s="1" t="str">
        <f aca="false">IFERROR(VLOOKUP(A430,'company tracker'!$a:$s,MATCH("Traffic % Change",'company tracker'!$1:$1,0),FALSE()),"")</f>
        <v/>
      </c>
      <c r="G430" s="1" t="str">
        <f aca="false">IFERROR(VLOOKUP(A430,'company tracker'!$a:$s,MATCH("Jan 2025 Referring Domains",'company tracker'!$1:$1,0),FALSE()),"")</f>
        <v/>
      </c>
      <c r="H430" s="1" t="str">
        <f aca="false">IFERROR(VLOOKUP(A430,'company tracker'!$a:$s,MATCH("Jun 2026 Referring Domains",'company tracker'!$1:$1,0),FALSE()),"")</f>
        <v/>
      </c>
    </row>
    <row r="431" customFormat="false" ht="15" hidden="false" customHeight="true" outlineLevel="0" collapsed="false">
      <c r="B431" s="1" t="str">
        <f aca="false">IFERROR(VLOOKUP(A431,'company tracker'!$a:$s,MATCH("Category",'company tracker'!$1:$1,0),FALSE()),"")</f>
        <v/>
      </c>
      <c r="C431" s="1" t="str">
        <f aca="false">IFERROR(VLOOKUP(A431,'Pass 1 Archive'!$A:$AD,MATCH("LinkedIn Employee Count",'Pass 1 Archive'!$1:$1,0),FALSE()),"")</f>
        <v/>
      </c>
      <c r="D431" s="1" t="str">
        <f aca="false">IFERROR(VLOOKUP(A431,'company tracker'!$a:$s,MATCH("Jan 2025 Traffic",'company tracker'!$1:$1,0),FALSE()),"")</f>
        <v/>
      </c>
      <c r="E431" s="1" t="str">
        <f aca="false">IFERROR(VLOOKUP(A431,'company tracker'!$a:$s,MATCH("Jun 2026 Traffic",'company tracker'!$1:$1,0),FALSE()),"")</f>
        <v/>
      </c>
      <c r="F431" s="1" t="str">
        <f aca="false">IFERROR(VLOOKUP(A431,'company tracker'!$a:$s,MATCH("Traffic % Change",'company tracker'!$1:$1,0),FALSE()),"")</f>
        <v/>
      </c>
      <c r="G431" s="1" t="str">
        <f aca="false">IFERROR(VLOOKUP(A431,'company tracker'!$a:$s,MATCH("Jan 2025 Referring Domains",'company tracker'!$1:$1,0),FALSE()),"")</f>
        <v/>
      </c>
      <c r="H431" s="1" t="str">
        <f aca="false">IFERROR(VLOOKUP(A431,'company tracker'!$a:$s,MATCH("Jun 2026 Referring Domains",'company tracker'!$1:$1,0),FALSE()),"")</f>
        <v/>
      </c>
    </row>
    <row r="432" customFormat="false" ht="15" hidden="false" customHeight="true" outlineLevel="0" collapsed="false">
      <c r="B432" s="1" t="str">
        <f aca="false">IFERROR(VLOOKUP(A432,'company tracker'!$a:$s,MATCH("Category",'company tracker'!$1:$1,0),FALSE()),"")</f>
        <v/>
      </c>
      <c r="C432" s="1" t="str">
        <f aca="false">IFERROR(VLOOKUP(A432,'Pass 1 Archive'!$A:$AD,MATCH("LinkedIn Employee Count",'Pass 1 Archive'!$1:$1,0),FALSE()),"")</f>
        <v/>
      </c>
      <c r="D432" s="1" t="str">
        <f aca="false">IFERROR(VLOOKUP(A432,'company tracker'!$a:$s,MATCH("Jan 2025 Traffic",'company tracker'!$1:$1,0),FALSE()),"")</f>
        <v/>
      </c>
      <c r="E432" s="1" t="str">
        <f aca="false">IFERROR(VLOOKUP(A432,'company tracker'!$a:$s,MATCH("Jun 2026 Traffic",'company tracker'!$1:$1,0),FALSE()),"")</f>
        <v/>
      </c>
      <c r="F432" s="1" t="str">
        <f aca="false">IFERROR(VLOOKUP(A432,'company tracker'!$a:$s,MATCH("Traffic % Change",'company tracker'!$1:$1,0),FALSE()),"")</f>
        <v/>
      </c>
      <c r="G432" s="1" t="str">
        <f aca="false">IFERROR(VLOOKUP(A432,'company tracker'!$a:$s,MATCH("Jan 2025 Referring Domains",'company tracker'!$1:$1,0),FALSE()),"")</f>
        <v/>
      </c>
      <c r="H432" s="1" t="str">
        <f aca="false">IFERROR(VLOOKUP(A432,'company tracker'!$a:$s,MATCH("Jun 2026 Referring Domains",'company tracker'!$1:$1,0),FALSE()),"")</f>
        <v/>
      </c>
    </row>
    <row r="433" customFormat="false" ht="15" hidden="false" customHeight="true" outlineLevel="0" collapsed="false">
      <c r="B433" s="1" t="str">
        <f aca="false">IFERROR(VLOOKUP(A433,'company tracker'!$a:$s,MATCH("Category",'company tracker'!$1:$1,0),FALSE()),"")</f>
        <v/>
      </c>
      <c r="C433" s="1" t="str">
        <f aca="false">IFERROR(VLOOKUP(A433,'Pass 1 Archive'!$A:$AD,MATCH("LinkedIn Employee Count",'Pass 1 Archive'!$1:$1,0),FALSE()),"")</f>
        <v/>
      </c>
      <c r="D433" s="1" t="str">
        <f aca="false">IFERROR(VLOOKUP(A433,'company tracker'!$a:$s,MATCH("Jan 2025 Traffic",'company tracker'!$1:$1,0),FALSE()),"")</f>
        <v/>
      </c>
      <c r="E433" s="1" t="str">
        <f aca="false">IFERROR(VLOOKUP(A433,'company tracker'!$a:$s,MATCH("Jun 2026 Traffic",'company tracker'!$1:$1,0),FALSE()),"")</f>
        <v/>
      </c>
      <c r="F433" s="1" t="str">
        <f aca="false">IFERROR(VLOOKUP(A433,'company tracker'!$a:$s,MATCH("Traffic % Change",'company tracker'!$1:$1,0),FALSE()),"")</f>
        <v/>
      </c>
      <c r="G433" s="1" t="str">
        <f aca="false">IFERROR(VLOOKUP(A433,'company tracker'!$a:$s,MATCH("Jan 2025 Referring Domains",'company tracker'!$1:$1,0),FALSE()),"")</f>
        <v/>
      </c>
      <c r="H433" s="1" t="str">
        <f aca="false">IFERROR(VLOOKUP(A433,'company tracker'!$a:$s,MATCH("Jun 2026 Referring Domains",'company tracker'!$1:$1,0),FALSE()),"")</f>
        <v/>
      </c>
    </row>
    <row r="434" customFormat="false" ht="15" hidden="false" customHeight="true" outlineLevel="0" collapsed="false">
      <c r="B434" s="1" t="str">
        <f aca="false">IFERROR(VLOOKUP(A434,'company tracker'!$a:$s,MATCH("Category",'company tracker'!$1:$1,0),FALSE()),"")</f>
        <v/>
      </c>
      <c r="C434" s="1" t="str">
        <f aca="false">IFERROR(VLOOKUP(A434,'Pass 1 Archive'!$A:$AD,MATCH("LinkedIn Employee Count",'Pass 1 Archive'!$1:$1,0),FALSE()),"")</f>
        <v/>
      </c>
      <c r="D434" s="1" t="str">
        <f aca="false">IFERROR(VLOOKUP(A434,'company tracker'!$a:$s,MATCH("Jan 2025 Traffic",'company tracker'!$1:$1,0),FALSE()),"")</f>
        <v/>
      </c>
      <c r="E434" s="1" t="str">
        <f aca="false">IFERROR(VLOOKUP(A434,'company tracker'!$a:$s,MATCH("Jun 2026 Traffic",'company tracker'!$1:$1,0),FALSE()),"")</f>
        <v/>
      </c>
      <c r="F434" s="1" t="str">
        <f aca="false">IFERROR(VLOOKUP(A434,'company tracker'!$a:$s,MATCH("Traffic % Change",'company tracker'!$1:$1,0),FALSE()),"")</f>
        <v/>
      </c>
      <c r="G434" s="1" t="str">
        <f aca="false">IFERROR(VLOOKUP(A434,'company tracker'!$a:$s,MATCH("Jan 2025 Referring Domains",'company tracker'!$1:$1,0),FALSE()),"")</f>
        <v/>
      </c>
      <c r="H434" s="1" t="str">
        <f aca="false">IFERROR(VLOOKUP(A434,'company tracker'!$a:$s,MATCH("Jun 2026 Referring Domains",'company tracker'!$1:$1,0),FALSE()),"")</f>
        <v/>
      </c>
    </row>
    <row r="435" customFormat="false" ht="15" hidden="false" customHeight="true" outlineLevel="0" collapsed="false">
      <c r="B435" s="1" t="str">
        <f aca="false">IFERROR(VLOOKUP(A435,'company tracker'!$a:$s,MATCH("Category",'company tracker'!$1:$1,0),FALSE()),"")</f>
        <v/>
      </c>
      <c r="C435" s="1" t="str">
        <f aca="false">IFERROR(VLOOKUP(A435,'Pass 1 Archive'!$A:$AD,MATCH("LinkedIn Employee Count",'Pass 1 Archive'!$1:$1,0),FALSE()),"")</f>
        <v/>
      </c>
      <c r="D435" s="1" t="str">
        <f aca="false">IFERROR(VLOOKUP(A435,'company tracker'!$a:$s,MATCH("Jan 2025 Traffic",'company tracker'!$1:$1,0),FALSE()),"")</f>
        <v/>
      </c>
      <c r="E435" s="1" t="str">
        <f aca="false">IFERROR(VLOOKUP(A435,'company tracker'!$a:$s,MATCH("Jun 2026 Traffic",'company tracker'!$1:$1,0),FALSE()),"")</f>
        <v/>
      </c>
      <c r="F435" s="1" t="str">
        <f aca="false">IFERROR(VLOOKUP(A435,'company tracker'!$a:$s,MATCH("Traffic % Change",'company tracker'!$1:$1,0),FALSE()),"")</f>
        <v/>
      </c>
      <c r="G435" s="1" t="str">
        <f aca="false">IFERROR(VLOOKUP(A435,'company tracker'!$a:$s,MATCH("Jan 2025 Referring Domains",'company tracker'!$1:$1,0),FALSE()),"")</f>
        <v/>
      </c>
      <c r="H435" s="1" t="str">
        <f aca="false">IFERROR(VLOOKUP(A435,'company tracker'!$a:$s,MATCH("Jun 2026 Referring Domains",'company tracker'!$1:$1,0),FALSE()),"")</f>
        <v/>
      </c>
    </row>
    <row r="436" customFormat="false" ht="15" hidden="false" customHeight="true" outlineLevel="0" collapsed="false">
      <c r="B436" s="1" t="str">
        <f aca="false">IFERROR(VLOOKUP(A436,'company tracker'!$a:$s,MATCH("Category",'company tracker'!$1:$1,0),FALSE()),"")</f>
        <v/>
      </c>
      <c r="C436" s="1" t="str">
        <f aca="false">IFERROR(VLOOKUP(A436,'Pass 1 Archive'!$A:$AD,MATCH("LinkedIn Employee Count",'Pass 1 Archive'!$1:$1,0),FALSE()),"")</f>
        <v/>
      </c>
      <c r="D436" s="1" t="str">
        <f aca="false">IFERROR(VLOOKUP(A436,'company tracker'!$a:$s,MATCH("Jan 2025 Traffic",'company tracker'!$1:$1,0),FALSE()),"")</f>
        <v/>
      </c>
      <c r="E436" s="1" t="str">
        <f aca="false">IFERROR(VLOOKUP(A436,'company tracker'!$a:$s,MATCH("Jun 2026 Traffic",'company tracker'!$1:$1,0),FALSE()),"")</f>
        <v/>
      </c>
      <c r="F436" s="1" t="str">
        <f aca="false">IFERROR(VLOOKUP(A436,'company tracker'!$a:$s,MATCH("Traffic % Change",'company tracker'!$1:$1,0),FALSE()),"")</f>
        <v/>
      </c>
      <c r="G436" s="1" t="str">
        <f aca="false">IFERROR(VLOOKUP(A436,'company tracker'!$a:$s,MATCH("Jan 2025 Referring Domains",'company tracker'!$1:$1,0),FALSE()),"")</f>
        <v/>
      </c>
      <c r="H436" s="1" t="str">
        <f aca="false">IFERROR(VLOOKUP(A436,'company tracker'!$a:$s,MATCH("Jun 2026 Referring Domains",'company tracker'!$1:$1,0),FALSE()),"")</f>
        <v/>
      </c>
    </row>
    <row r="437" customFormat="false" ht="15" hidden="false" customHeight="true" outlineLevel="0" collapsed="false">
      <c r="B437" s="1" t="str">
        <f aca="false">IFERROR(VLOOKUP(A437,'company tracker'!$a:$s,MATCH("Category",'company tracker'!$1:$1,0),FALSE()),"")</f>
        <v/>
      </c>
      <c r="C437" s="1" t="str">
        <f aca="false">IFERROR(VLOOKUP(A437,'Pass 1 Archive'!$A:$AD,MATCH("LinkedIn Employee Count",'Pass 1 Archive'!$1:$1,0),FALSE()),"")</f>
        <v/>
      </c>
      <c r="D437" s="1" t="str">
        <f aca="false">IFERROR(VLOOKUP(A437,'company tracker'!$a:$s,MATCH("Jan 2025 Traffic",'company tracker'!$1:$1,0),FALSE()),"")</f>
        <v/>
      </c>
      <c r="E437" s="1" t="str">
        <f aca="false">IFERROR(VLOOKUP(A437,'company tracker'!$a:$s,MATCH("Jun 2026 Traffic",'company tracker'!$1:$1,0),FALSE()),"")</f>
        <v/>
      </c>
      <c r="F437" s="1" t="str">
        <f aca="false">IFERROR(VLOOKUP(A437,'company tracker'!$a:$s,MATCH("Traffic % Change",'company tracker'!$1:$1,0),FALSE()),"")</f>
        <v/>
      </c>
      <c r="G437" s="1" t="str">
        <f aca="false">IFERROR(VLOOKUP(A437,'company tracker'!$a:$s,MATCH("Jan 2025 Referring Domains",'company tracker'!$1:$1,0),FALSE()),"")</f>
        <v/>
      </c>
      <c r="H437" s="1" t="str">
        <f aca="false">IFERROR(VLOOKUP(A437,'company tracker'!$a:$s,MATCH("Jun 2026 Referring Domains",'company tracker'!$1:$1,0),FALSE()),"")</f>
        <v/>
      </c>
    </row>
    <row r="438" customFormat="false" ht="15" hidden="false" customHeight="true" outlineLevel="0" collapsed="false">
      <c r="B438" s="1" t="str">
        <f aca="false">IFERROR(VLOOKUP(A438,'company tracker'!$a:$s,MATCH("Category",'company tracker'!$1:$1,0),FALSE()),"")</f>
        <v/>
      </c>
      <c r="C438" s="1" t="str">
        <f aca="false">IFERROR(VLOOKUP(A438,'Pass 1 Archive'!$A:$AD,MATCH("LinkedIn Employee Count",'Pass 1 Archive'!$1:$1,0),FALSE()),"")</f>
        <v/>
      </c>
      <c r="D438" s="1" t="str">
        <f aca="false">IFERROR(VLOOKUP(A438,'company tracker'!$a:$s,MATCH("Jan 2025 Traffic",'company tracker'!$1:$1,0),FALSE()),"")</f>
        <v/>
      </c>
      <c r="E438" s="1" t="str">
        <f aca="false">IFERROR(VLOOKUP(A438,'company tracker'!$a:$s,MATCH("Jun 2026 Traffic",'company tracker'!$1:$1,0),FALSE()),"")</f>
        <v/>
      </c>
      <c r="F438" s="1" t="str">
        <f aca="false">IFERROR(VLOOKUP(A438,'company tracker'!$a:$s,MATCH("Traffic % Change",'company tracker'!$1:$1,0),FALSE()),"")</f>
        <v/>
      </c>
      <c r="G438" s="1" t="str">
        <f aca="false">IFERROR(VLOOKUP(A438,'company tracker'!$a:$s,MATCH("Jan 2025 Referring Domains",'company tracker'!$1:$1,0),FALSE()),"")</f>
        <v/>
      </c>
      <c r="H438" s="1" t="str">
        <f aca="false">IFERROR(VLOOKUP(A438,'company tracker'!$a:$s,MATCH("Jun 2026 Referring Domains",'company tracker'!$1:$1,0),FALSE()),"")</f>
        <v/>
      </c>
    </row>
    <row r="439" customFormat="false" ht="15" hidden="false" customHeight="true" outlineLevel="0" collapsed="false">
      <c r="B439" s="1" t="str">
        <f aca="false">IFERROR(VLOOKUP(A439,'company tracker'!$a:$s,MATCH("Category",'company tracker'!$1:$1,0),FALSE()),"")</f>
        <v/>
      </c>
      <c r="C439" s="1" t="str">
        <f aca="false">IFERROR(VLOOKUP(A439,'Pass 1 Archive'!$A:$AD,MATCH("LinkedIn Employee Count",'Pass 1 Archive'!$1:$1,0),FALSE()),"")</f>
        <v/>
      </c>
      <c r="D439" s="1" t="str">
        <f aca="false">IFERROR(VLOOKUP(A439,'company tracker'!$a:$s,MATCH("Jan 2025 Traffic",'company tracker'!$1:$1,0),FALSE()),"")</f>
        <v/>
      </c>
      <c r="E439" s="1" t="str">
        <f aca="false">IFERROR(VLOOKUP(A439,'company tracker'!$a:$s,MATCH("Jun 2026 Traffic",'company tracker'!$1:$1,0),FALSE()),"")</f>
        <v/>
      </c>
      <c r="F439" s="1" t="str">
        <f aca="false">IFERROR(VLOOKUP(A439,'company tracker'!$a:$s,MATCH("Traffic % Change",'company tracker'!$1:$1,0),FALSE()),"")</f>
        <v/>
      </c>
      <c r="G439" s="1" t="str">
        <f aca="false">IFERROR(VLOOKUP(A439,'company tracker'!$a:$s,MATCH("Jan 2025 Referring Domains",'company tracker'!$1:$1,0),FALSE()),"")</f>
        <v/>
      </c>
      <c r="H439" s="1" t="str">
        <f aca="false">IFERROR(VLOOKUP(A439,'company tracker'!$a:$s,MATCH("Jun 2026 Referring Domains",'company tracker'!$1:$1,0),FALSE()),"")</f>
        <v/>
      </c>
    </row>
    <row r="440" customFormat="false" ht="15" hidden="false" customHeight="true" outlineLevel="0" collapsed="false">
      <c r="B440" s="1" t="str">
        <f aca="false">IFERROR(VLOOKUP(A440,'company tracker'!$a:$s,MATCH("Category",'company tracker'!$1:$1,0),FALSE()),"")</f>
        <v/>
      </c>
      <c r="C440" s="1" t="str">
        <f aca="false">IFERROR(VLOOKUP(A440,'Pass 1 Archive'!$A:$AD,MATCH("LinkedIn Employee Count",'Pass 1 Archive'!$1:$1,0),FALSE()),"")</f>
        <v/>
      </c>
      <c r="D440" s="1" t="str">
        <f aca="false">IFERROR(VLOOKUP(A440,'company tracker'!$a:$s,MATCH("Jan 2025 Traffic",'company tracker'!$1:$1,0),FALSE()),"")</f>
        <v/>
      </c>
      <c r="E440" s="1" t="str">
        <f aca="false">IFERROR(VLOOKUP(A440,'company tracker'!$a:$s,MATCH("Jun 2026 Traffic",'company tracker'!$1:$1,0),FALSE()),"")</f>
        <v/>
      </c>
      <c r="F440" s="1" t="str">
        <f aca="false">IFERROR(VLOOKUP(A440,'company tracker'!$a:$s,MATCH("Traffic % Change",'company tracker'!$1:$1,0),FALSE()),"")</f>
        <v/>
      </c>
      <c r="G440" s="1" t="str">
        <f aca="false">IFERROR(VLOOKUP(A440,'company tracker'!$a:$s,MATCH("Jan 2025 Referring Domains",'company tracker'!$1:$1,0),FALSE()),"")</f>
        <v/>
      </c>
      <c r="H440" s="1" t="str">
        <f aca="false">IFERROR(VLOOKUP(A440,'company tracker'!$a:$s,MATCH("Jun 2026 Referring Domains",'company tracker'!$1:$1,0),FALSE()),"")</f>
        <v/>
      </c>
    </row>
    <row r="441" customFormat="false" ht="15" hidden="false" customHeight="true" outlineLevel="0" collapsed="false">
      <c r="B441" s="1" t="str">
        <f aca="false">IFERROR(VLOOKUP(A441,'company tracker'!$a:$s,MATCH("Category",'company tracker'!$1:$1,0),FALSE()),"")</f>
        <v/>
      </c>
      <c r="C441" s="1" t="str">
        <f aca="false">IFERROR(VLOOKUP(A441,'Pass 1 Archive'!$A:$AD,MATCH("LinkedIn Employee Count",'Pass 1 Archive'!$1:$1,0),FALSE()),"")</f>
        <v/>
      </c>
      <c r="D441" s="1" t="str">
        <f aca="false">IFERROR(VLOOKUP(A441,'company tracker'!$a:$s,MATCH("Jan 2025 Traffic",'company tracker'!$1:$1,0),FALSE()),"")</f>
        <v/>
      </c>
      <c r="E441" s="1" t="str">
        <f aca="false">IFERROR(VLOOKUP(A441,'company tracker'!$a:$s,MATCH("Jun 2026 Traffic",'company tracker'!$1:$1,0),FALSE()),"")</f>
        <v/>
      </c>
      <c r="F441" s="1" t="str">
        <f aca="false">IFERROR(VLOOKUP(A441,'company tracker'!$a:$s,MATCH("Traffic % Change",'company tracker'!$1:$1,0),FALSE()),"")</f>
        <v/>
      </c>
      <c r="G441" s="1" t="str">
        <f aca="false">IFERROR(VLOOKUP(A441,'company tracker'!$a:$s,MATCH("Jan 2025 Referring Domains",'company tracker'!$1:$1,0),FALSE()),"")</f>
        <v/>
      </c>
      <c r="H441" s="1" t="str">
        <f aca="false">IFERROR(VLOOKUP(A441,'company tracker'!$a:$s,MATCH("Jun 2026 Referring Domains",'company tracker'!$1:$1,0),FALSE()),"")</f>
        <v/>
      </c>
    </row>
    <row r="442" customFormat="false" ht="15" hidden="false" customHeight="true" outlineLevel="0" collapsed="false">
      <c r="B442" s="1" t="str">
        <f aca="false">IFERROR(VLOOKUP(A442,'company tracker'!$a:$s,MATCH("Category",'company tracker'!$1:$1,0),FALSE()),"")</f>
        <v/>
      </c>
      <c r="C442" s="1" t="str">
        <f aca="false">IFERROR(VLOOKUP(A442,'Pass 1 Archive'!$A:$AD,MATCH("LinkedIn Employee Count",'Pass 1 Archive'!$1:$1,0),FALSE()),"")</f>
        <v/>
      </c>
      <c r="D442" s="1" t="str">
        <f aca="false">IFERROR(VLOOKUP(A442,'company tracker'!$a:$s,MATCH("Jan 2025 Traffic",'company tracker'!$1:$1,0),FALSE()),"")</f>
        <v/>
      </c>
      <c r="E442" s="1" t="str">
        <f aca="false">IFERROR(VLOOKUP(A442,'company tracker'!$a:$s,MATCH("Jun 2026 Traffic",'company tracker'!$1:$1,0),FALSE()),"")</f>
        <v/>
      </c>
      <c r="F442" s="1" t="str">
        <f aca="false">IFERROR(VLOOKUP(A442,'company tracker'!$a:$s,MATCH("Traffic % Change",'company tracker'!$1:$1,0),FALSE()),"")</f>
        <v/>
      </c>
      <c r="G442" s="1" t="str">
        <f aca="false">IFERROR(VLOOKUP(A442,'company tracker'!$a:$s,MATCH("Jan 2025 Referring Domains",'company tracker'!$1:$1,0),FALSE()),"")</f>
        <v/>
      </c>
      <c r="H442" s="1" t="str">
        <f aca="false">IFERROR(VLOOKUP(A442,'company tracker'!$a:$s,MATCH("Jun 2026 Referring Domains",'company tracker'!$1:$1,0),FALSE()),"")</f>
        <v/>
      </c>
    </row>
    <row r="443" customFormat="false" ht="15" hidden="false" customHeight="true" outlineLevel="0" collapsed="false">
      <c r="B443" s="1" t="str">
        <f aca="false">IFERROR(VLOOKUP(A443,'company tracker'!$a:$s,MATCH("Category",'company tracker'!$1:$1,0),FALSE()),"")</f>
        <v/>
      </c>
      <c r="C443" s="1" t="str">
        <f aca="false">IFERROR(VLOOKUP(A443,'Pass 1 Archive'!$A:$AD,MATCH("LinkedIn Employee Count",'Pass 1 Archive'!$1:$1,0),FALSE()),"")</f>
        <v/>
      </c>
      <c r="D443" s="1" t="str">
        <f aca="false">IFERROR(VLOOKUP(A443,'company tracker'!$a:$s,MATCH("Jan 2025 Traffic",'company tracker'!$1:$1,0),FALSE()),"")</f>
        <v/>
      </c>
      <c r="E443" s="1" t="str">
        <f aca="false">IFERROR(VLOOKUP(A443,'company tracker'!$a:$s,MATCH("Jun 2026 Traffic",'company tracker'!$1:$1,0),FALSE()),"")</f>
        <v/>
      </c>
      <c r="F443" s="1" t="str">
        <f aca="false">IFERROR(VLOOKUP(A443,'company tracker'!$a:$s,MATCH("Traffic % Change",'company tracker'!$1:$1,0),FALSE()),"")</f>
        <v/>
      </c>
      <c r="G443" s="1" t="str">
        <f aca="false">IFERROR(VLOOKUP(A443,'company tracker'!$a:$s,MATCH("Jan 2025 Referring Domains",'company tracker'!$1:$1,0),FALSE()),"")</f>
        <v/>
      </c>
      <c r="H443" s="1" t="str">
        <f aca="false">IFERROR(VLOOKUP(A443,'company tracker'!$a:$s,MATCH("Jun 2026 Referring Domains",'company tracker'!$1:$1,0),FALSE()),"")</f>
        <v/>
      </c>
    </row>
    <row r="444" customFormat="false" ht="15" hidden="false" customHeight="true" outlineLevel="0" collapsed="false">
      <c r="B444" s="1" t="str">
        <f aca="false">IFERROR(VLOOKUP(A444,'company tracker'!$a:$s,MATCH("Category",'company tracker'!$1:$1,0),FALSE()),"")</f>
        <v/>
      </c>
      <c r="C444" s="1" t="str">
        <f aca="false">IFERROR(VLOOKUP(A444,'Pass 1 Archive'!$A:$AD,MATCH("LinkedIn Employee Count",'Pass 1 Archive'!$1:$1,0),FALSE()),"")</f>
        <v/>
      </c>
      <c r="D444" s="1" t="str">
        <f aca="false">IFERROR(VLOOKUP(A444,'company tracker'!$a:$s,MATCH("Jan 2025 Traffic",'company tracker'!$1:$1,0),FALSE()),"")</f>
        <v/>
      </c>
      <c r="E444" s="1" t="str">
        <f aca="false">IFERROR(VLOOKUP(A444,'company tracker'!$a:$s,MATCH("Jun 2026 Traffic",'company tracker'!$1:$1,0),FALSE()),"")</f>
        <v/>
      </c>
      <c r="F444" s="1" t="str">
        <f aca="false">IFERROR(VLOOKUP(A444,'company tracker'!$a:$s,MATCH("Traffic % Change",'company tracker'!$1:$1,0),FALSE()),"")</f>
        <v/>
      </c>
      <c r="G444" s="1" t="str">
        <f aca="false">IFERROR(VLOOKUP(A444,'company tracker'!$a:$s,MATCH("Jan 2025 Referring Domains",'company tracker'!$1:$1,0),FALSE()),"")</f>
        <v/>
      </c>
      <c r="H444" s="1" t="str">
        <f aca="false">IFERROR(VLOOKUP(A444,'company tracker'!$a:$s,MATCH("Jun 2026 Referring Domains",'company tracker'!$1:$1,0),FALSE()),"")</f>
        <v/>
      </c>
    </row>
    <row r="445" customFormat="false" ht="15" hidden="false" customHeight="true" outlineLevel="0" collapsed="false">
      <c r="B445" s="1" t="str">
        <f aca="false">IFERROR(VLOOKUP(A445,'company tracker'!$a:$s,MATCH("Category",'company tracker'!$1:$1,0),FALSE()),"")</f>
        <v/>
      </c>
      <c r="C445" s="1" t="str">
        <f aca="false">IFERROR(VLOOKUP(A445,'Pass 1 Archive'!$A:$AD,MATCH("LinkedIn Employee Count",'Pass 1 Archive'!$1:$1,0),FALSE()),"")</f>
        <v/>
      </c>
      <c r="D445" s="1" t="str">
        <f aca="false">IFERROR(VLOOKUP(A445,'company tracker'!$a:$s,MATCH("Jan 2025 Traffic",'company tracker'!$1:$1,0),FALSE()),"")</f>
        <v/>
      </c>
      <c r="E445" s="1" t="str">
        <f aca="false">IFERROR(VLOOKUP(A445,'company tracker'!$a:$s,MATCH("Jun 2026 Traffic",'company tracker'!$1:$1,0),FALSE()),"")</f>
        <v/>
      </c>
      <c r="F445" s="1" t="str">
        <f aca="false">IFERROR(VLOOKUP(A445,'company tracker'!$a:$s,MATCH("Traffic % Change",'company tracker'!$1:$1,0),FALSE()),"")</f>
        <v/>
      </c>
      <c r="G445" s="1" t="str">
        <f aca="false">IFERROR(VLOOKUP(A445,'company tracker'!$a:$s,MATCH("Jan 2025 Referring Domains",'company tracker'!$1:$1,0),FALSE()),"")</f>
        <v/>
      </c>
      <c r="H445" s="1" t="str">
        <f aca="false">IFERROR(VLOOKUP(A445,'company tracker'!$a:$s,MATCH("Jun 2026 Referring Domains",'company tracker'!$1:$1,0),FALSE()),"")</f>
        <v/>
      </c>
    </row>
    <row r="446" customFormat="false" ht="15" hidden="false" customHeight="true" outlineLevel="0" collapsed="false">
      <c r="B446" s="1" t="str">
        <f aca="false">IFERROR(VLOOKUP(A446,'company tracker'!$a:$s,MATCH("Category",'company tracker'!$1:$1,0),FALSE()),"")</f>
        <v/>
      </c>
      <c r="C446" s="1" t="str">
        <f aca="false">IFERROR(VLOOKUP(A446,'Pass 1 Archive'!$A:$AD,MATCH("LinkedIn Employee Count",'Pass 1 Archive'!$1:$1,0),FALSE()),"")</f>
        <v/>
      </c>
      <c r="D446" s="1" t="str">
        <f aca="false">IFERROR(VLOOKUP(A446,'company tracker'!$a:$s,MATCH("Jan 2025 Traffic",'company tracker'!$1:$1,0),FALSE()),"")</f>
        <v/>
      </c>
      <c r="E446" s="1" t="str">
        <f aca="false">IFERROR(VLOOKUP(A446,'company tracker'!$a:$s,MATCH("Jun 2026 Traffic",'company tracker'!$1:$1,0),FALSE()),"")</f>
        <v/>
      </c>
      <c r="F446" s="1" t="str">
        <f aca="false">IFERROR(VLOOKUP(A446,'company tracker'!$a:$s,MATCH("Traffic % Change",'company tracker'!$1:$1,0),FALSE()),"")</f>
        <v/>
      </c>
      <c r="G446" s="1" t="str">
        <f aca="false">IFERROR(VLOOKUP(A446,'company tracker'!$a:$s,MATCH("Jan 2025 Referring Domains",'company tracker'!$1:$1,0),FALSE()),"")</f>
        <v/>
      </c>
      <c r="H446" s="1" t="str">
        <f aca="false">IFERROR(VLOOKUP(A446,'company tracker'!$a:$s,MATCH("Jun 2026 Referring Domains",'company tracker'!$1:$1,0),FALSE()),"")</f>
        <v/>
      </c>
    </row>
    <row r="447" customFormat="false" ht="15" hidden="false" customHeight="true" outlineLevel="0" collapsed="false">
      <c r="B447" s="1" t="str">
        <f aca="false">IFERROR(VLOOKUP(A447,'company tracker'!$a:$s,MATCH("Category",'company tracker'!$1:$1,0),FALSE()),"")</f>
        <v/>
      </c>
      <c r="C447" s="1" t="str">
        <f aca="false">IFERROR(VLOOKUP(A447,'Pass 1 Archive'!$A:$AD,MATCH("LinkedIn Employee Count",'Pass 1 Archive'!$1:$1,0),FALSE()),"")</f>
        <v/>
      </c>
      <c r="D447" s="1" t="str">
        <f aca="false">IFERROR(VLOOKUP(A447,'company tracker'!$a:$s,MATCH("Jan 2025 Traffic",'company tracker'!$1:$1,0),FALSE()),"")</f>
        <v/>
      </c>
      <c r="E447" s="1" t="str">
        <f aca="false">IFERROR(VLOOKUP(A447,'company tracker'!$a:$s,MATCH("Jun 2026 Traffic",'company tracker'!$1:$1,0),FALSE()),"")</f>
        <v/>
      </c>
      <c r="F447" s="1" t="str">
        <f aca="false">IFERROR(VLOOKUP(A447,'company tracker'!$a:$s,MATCH("Traffic % Change",'company tracker'!$1:$1,0),FALSE()),"")</f>
        <v/>
      </c>
      <c r="G447" s="1" t="str">
        <f aca="false">IFERROR(VLOOKUP(A447,'company tracker'!$a:$s,MATCH("Jan 2025 Referring Domains",'company tracker'!$1:$1,0),FALSE()),"")</f>
        <v/>
      </c>
      <c r="H447" s="1" t="str">
        <f aca="false">IFERROR(VLOOKUP(A447,'company tracker'!$a:$s,MATCH("Jun 2026 Referring Domains",'company tracker'!$1:$1,0),FALSE()),"")</f>
        <v/>
      </c>
    </row>
    <row r="448" customFormat="false" ht="15" hidden="false" customHeight="true" outlineLevel="0" collapsed="false">
      <c r="B448" s="1" t="str">
        <f aca="false">IFERROR(VLOOKUP(A448,'company tracker'!$a:$s,MATCH("Category",'company tracker'!$1:$1,0),FALSE()),"")</f>
        <v/>
      </c>
      <c r="C448" s="1" t="str">
        <f aca="false">IFERROR(VLOOKUP(A448,'Pass 1 Archive'!$A:$AD,MATCH("LinkedIn Employee Count",'Pass 1 Archive'!$1:$1,0),FALSE()),"")</f>
        <v/>
      </c>
      <c r="D448" s="1" t="str">
        <f aca="false">IFERROR(VLOOKUP(A448,'company tracker'!$a:$s,MATCH("Jan 2025 Traffic",'company tracker'!$1:$1,0),FALSE()),"")</f>
        <v/>
      </c>
      <c r="E448" s="1" t="str">
        <f aca="false">IFERROR(VLOOKUP(A448,'company tracker'!$a:$s,MATCH("Jun 2026 Traffic",'company tracker'!$1:$1,0),FALSE()),"")</f>
        <v/>
      </c>
      <c r="F448" s="1" t="str">
        <f aca="false">IFERROR(VLOOKUP(A448,'company tracker'!$a:$s,MATCH("Traffic % Change",'company tracker'!$1:$1,0),FALSE()),"")</f>
        <v/>
      </c>
      <c r="G448" s="1" t="str">
        <f aca="false">IFERROR(VLOOKUP(A448,'company tracker'!$a:$s,MATCH("Jan 2025 Referring Domains",'company tracker'!$1:$1,0),FALSE()),"")</f>
        <v/>
      </c>
      <c r="H448" s="1" t="str">
        <f aca="false">IFERROR(VLOOKUP(A448,'company tracker'!$a:$s,MATCH("Jun 2026 Referring Domains",'company tracker'!$1:$1,0),FALSE()),"")</f>
        <v/>
      </c>
    </row>
    <row r="449" customFormat="false" ht="15" hidden="false" customHeight="true" outlineLevel="0" collapsed="false">
      <c r="B449" s="1" t="str">
        <f aca="false">IFERROR(VLOOKUP(A449,'company tracker'!$a:$s,MATCH("Category",'company tracker'!$1:$1,0),FALSE()),"")</f>
        <v/>
      </c>
      <c r="C449" s="1" t="str">
        <f aca="false">IFERROR(VLOOKUP(A449,'Pass 1 Archive'!$A:$AD,MATCH("LinkedIn Employee Count",'Pass 1 Archive'!$1:$1,0),FALSE()),"")</f>
        <v/>
      </c>
      <c r="D449" s="1" t="str">
        <f aca="false">IFERROR(VLOOKUP(A449,'company tracker'!$a:$s,MATCH("Jan 2025 Traffic",'company tracker'!$1:$1,0),FALSE()),"")</f>
        <v/>
      </c>
      <c r="E449" s="1" t="str">
        <f aca="false">IFERROR(VLOOKUP(A449,'company tracker'!$a:$s,MATCH("Jun 2026 Traffic",'company tracker'!$1:$1,0),FALSE()),"")</f>
        <v/>
      </c>
      <c r="F449" s="1" t="str">
        <f aca="false">IFERROR(VLOOKUP(A449,'company tracker'!$a:$s,MATCH("Traffic % Change",'company tracker'!$1:$1,0),FALSE()),"")</f>
        <v/>
      </c>
      <c r="G449" s="1" t="str">
        <f aca="false">IFERROR(VLOOKUP(A449,'company tracker'!$a:$s,MATCH("Jan 2025 Referring Domains",'company tracker'!$1:$1,0),FALSE()),"")</f>
        <v/>
      </c>
      <c r="H449" s="1" t="str">
        <f aca="false">IFERROR(VLOOKUP(A449,'company tracker'!$a:$s,MATCH("Jun 2026 Referring Domains",'company tracker'!$1:$1,0),FALSE()),"")</f>
        <v/>
      </c>
    </row>
    <row r="450" customFormat="false" ht="15" hidden="false" customHeight="true" outlineLevel="0" collapsed="false">
      <c r="B450" s="1" t="str">
        <f aca="false">IFERROR(VLOOKUP(A450,'company tracker'!$a:$s,MATCH("Category",'company tracker'!$1:$1,0),FALSE()),"")</f>
        <v/>
      </c>
      <c r="C450" s="1" t="str">
        <f aca="false">IFERROR(VLOOKUP(A450,'Pass 1 Archive'!$A:$AD,MATCH("LinkedIn Employee Count",'Pass 1 Archive'!$1:$1,0),FALSE()),"")</f>
        <v/>
      </c>
      <c r="D450" s="1" t="str">
        <f aca="false">IFERROR(VLOOKUP(A450,'company tracker'!$a:$s,MATCH("Jan 2025 Traffic",'company tracker'!$1:$1,0),FALSE()),"")</f>
        <v/>
      </c>
      <c r="E450" s="1" t="str">
        <f aca="false">IFERROR(VLOOKUP(A450,'company tracker'!$a:$s,MATCH("Jun 2026 Traffic",'company tracker'!$1:$1,0),FALSE()),"")</f>
        <v/>
      </c>
      <c r="F450" s="1" t="str">
        <f aca="false">IFERROR(VLOOKUP(A450,'company tracker'!$a:$s,MATCH("Traffic % Change",'company tracker'!$1:$1,0),FALSE()),"")</f>
        <v/>
      </c>
      <c r="G450" s="1" t="str">
        <f aca="false">IFERROR(VLOOKUP(A450,'company tracker'!$a:$s,MATCH("Jan 2025 Referring Domains",'company tracker'!$1:$1,0),FALSE()),"")</f>
        <v/>
      </c>
      <c r="H450" s="1" t="str">
        <f aca="false">IFERROR(VLOOKUP(A450,'company tracker'!$a:$s,MATCH("Jun 2026 Referring Domains",'company tracker'!$1:$1,0),FALSE()),"")</f>
        <v/>
      </c>
    </row>
    <row r="451" customFormat="false" ht="15" hidden="false" customHeight="true" outlineLevel="0" collapsed="false">
      <c r="B451" s="1" t="str">
        <f aca="false">IFERROR(VLOOKUP(A451,'company tracker'!$a:$s,MATCH("Category",'company tracker'!$1:$1,0),FALSE()),"")</f>
        <v/>
      </c>
      <c r="C451" s="1" t="str">
        <f aca="false">IFERROR(VLOOKUP(A451,'Pass 1 Archive'!$A:$AD,MATCH("LinkedIn Employee Count",'Pass 1 Archive'!$1:$1,0),FALSE()),"")</f>
        <v/>
      </c>
      <c r="D451" s="1" t="str">
        <f aca="false">IFERROR(VLOOKUP(A451,'company tracker'!$a:$s,MATCH("Jan 2025 Traffic",'company tracker'!$1:$1,0),FALSE()),"")</f>
        <v/>
      </c>
      <c r="E451" s="1" t="str">
        <f aca="false">IFERROR(VLOOKUP(A451,'company tracker'!$a:$s,MATCH("Jun 2026 Traffic",'company tracker'!$1:$1,0),FALSE()),"")</f>
        <v/>
      </c>
      <c r="F451" s="1" t="str">
        <f aca="false">IFERROR(VLOOKUP(A451,'company tracker'!$a:$s,MATCH("Traffic % Change",'company tracker'!$1:$1,0),FALSE()),"")</f>
        <v/>
      </c>
      <c r="G451" s="1" t="str">
        <f aca="false">IFERROR(VLOOKUP(A451,'company tracker'!$a:$s,MATCH("Jan 2025 Referring Domains",'company tracker'!$1:$1,0),FALSE()),"")</f>
        <v/>
      </c>
      <c r="H451" s="1" t="str">
        <f aca="false">IFERROR(VLOOKUP(A451,'company tracker'!$a:$s,MATCH("Jun 2026 Referring Domains",'company tracker'!$1:$1,0),FALSE()),"")</f>
        <v/>
      </c>
    </row>
    <row r="452" customFormat="false" ht="15" hidden="false" customHeight="true" outlineLevel="0" collapsed="false">
      <c r="B452" s="1" t="str">
        <f aca="false">IFERROR(VLOOKUP(A452,'company tracker'!$a:$s,MATCH("Category",'company tracker'!$1:$1,0),FALSE()),"")</f>
        <v/>
      </c>
      <c r="C452" s="1" t="str">
        <f aca="false">IFERROR(VLOOKUP(A452,'Pass 1 Archive'!$A:$AD,MATCH("LinkedIn Employee Count",'Pass 1 Archive'!$1:$1,0),FALSE()),"")</f>
        <v/>
      </c>
      <c r="D452" s="1" t="str">
        <f aca="false">IFERROR(VLOOKUP(A452,'company tracker'!$a:$s,MATCH("Jan 2025 Traffic",'company tracker'!$1:$1,0),FALSE()),"")</f>
        <v/>
      </c>
      <c r="E452" s="1" t="str">
        <f aca="false">IFERROR(VLOOKUP(A452,'company tracker'!$a:$s,MATCH("Jun 2026 Traffic",'company tracker'!$1:$1,0),FALSE()),"")</f>
        <v/>
      </c>
      <c r="F452" s="1" t="str">
        <f aca="false">IFERROR(VLOOKUP(A452,'company tracker'!$a:$s,MATCH("Traffic % Change",'company tracker'!$1:$1,0),FALSE()),"")</f>
        <v/>
      </c>
      <c r="G452" s="1" t="str">
        <f aca="false">IFERROR(VLOOKUP(A452,'company tracker'!$a:$s,MATCH("Jan 2025 Referring Domains",'company tracker'!$1:$1,0),FALSE()),"")</f>
        <v/>
      </c>
      <c r="H452" s="1" t="str">
        <f aca="false">IFERROR(VLOOKUP(A452,'company tracker'!$a:$s,MATCH("Jun 2026 Referring Domains",'company tracker'!$1:$1,0),FALSE()),"")</f>
        <v/>
      </c>
    </row>
    <row r="453" customFormat="false" ht="15" hidden="false" customHeight="true" outlineLevel="0" collapsed="false">
      <c r="B453" s="1" t="str">
        <f aca="false">IFERROR(VLOOKUP(A453,'company tracker'!$a:$s,MATCH("Category",'company tracker'!$1:$1,0),FALSE()),"")</f>
        <v/>
      </c>
      <c r="C453" s="1" t="str">
        <f aca="false">IFERROR(VLOOKUP(A453,'Pass 1 Archive'!$A:$AD,MATCH("LinkedIn Employee Count",'Pass 1 Archive'!$1:$1,0),FALSE()),"")</f>
        <v/>
      </c>
      <c r="D453" s="1" t="str">
        <f aca="false">IFERROR(VLOOKUP(A453,'company tracker'!$a:$s,MATCH("Jan 2025 Traffic",'company tracker'!$1:$1,0),FALSE()),"")</f>
        <v/>
      </c>
      <c r="E453" s="1" t="str">
        <f aca="false">IFERROR(VLOOKUP(A453,'company tracker'!$a:$s,MATCH("Jun 2026 Traffic",'company tracker'!$1:$1,0),FALSE()),"")</f>
        <v/>
      </c>
      <c r="F453" s="1" t="str">
        <f aca="false">IFERROR(VLOOKUP(A453,'company tracker'!$a:$s,MATCH("Traffic % Change",'company tracker'!$1:$1,0),FALSE()),"")</f>
        <v/>
      </c>
      <c r="G453" s="1" t="str">
        <f aca="false">IFERROR(VLOOKUP(A453,'company tracker'!$a:$s,MATCH("Jan 2025 Referring Domains",'company tracker'!$1:$1,0),FALSE()),"")</f>
        <v/>
      </c>
      <c r="H453" s="1" t="str">
        <f aca="false">IFERROR(VLOOKUP(A453,'company tracker'!$a:$s,MATCH("Jun 2026 Referring Domains",'company tracker'!$1:$1,0),FALSE()),"")</f>
        <v/>
      </c>
    </row>
    <row r="454" customFormat="false" ht="15" hidden="false" customHeight="true" outlineLevel="0" collapsed="false">
      <c r="B454" s="1" t="str">
        <f aca="false">IFERROR(VLOOKUP(A454,'company tracker'!$a:$s,MATCH("Category",'company tracker'!$1:$1,0),FALSE()),"")</f>
        <v/>
      </c>
      <c r="C454" s="1" t="str">
        <f aca="false">IFERROR(VLOOKUP(A454,'Pass 1 Archive'!$A:$AD,MATCH("LinkedIn Employee Count",'Pass 1 Archive'!$1:$1,0),FALSE()),"")</f>
        <v/>
      </c>
      <c r="D454" s="1" t="str">
        <f aca="false">IFERROR(VLOOKUP(A454,'company tracker'!$a:$s,MATCH("Jan 2025 Traffic",'company tracker'!$1:$1,0),FALSE()),"")</f>
        <v/>
      </c>
      <c r="E454" s="1" t="str">
        <f aca="false">IFERROR(VLOOKUP(A454,'company tracker'!$a:$s,MATCH("Jun 2026 Traffic",'company tracker'!$1:$1,0),FALSE()),"")</f>
        <v/>
      </c>
      <c r="F454" s="1" t="str">
        <f aca="false">IFERROR(VLOOKUP(A454,'company tracker'!$a:$s,MATCH("Traffic % Change",'company tracker'!$1:$1,0),FALSE()),"")</f>
        <v/>
      </c>
      <c r="G454" s="1" t="str">
        <f aca="false">IFERROR(VLOOKUP(A454,'company tracker'!$a:$s,MATCH("Jan 2025 Referring Domains",'company tracker'!$1:$1,0),FALSE()),"")</f>
        <v/>
      </c>
      <c r="H454" s="1" t="str">
        <f aca="false">IFERROR(VLOOKUP(A454,'company tracker'!$a:$s,MATCH("Jun 2026 Referring Domains",'company tracker'!$1:$1,0),FALSE()),"")</f>
        <v/>
      </c>
    </row>
    <row r="455" customFormat="false" ht="15" hidden="false" customHeight="true" outlineLevel="0" collapsed="false">
      <c r="B455" s="1" t="str">
        <f aca="false">IFERROR(VLOOKUP(A455,'company tracker'!$a:$s,MATCH("Category",'company tracker'!$1:$1,0),FALSE()),"")</f>
        <v/>
      </c>
      <c r="C455" s="1" t="str">
        <f aca="false">IFERROR(VLOOKUP(A455,'Pass 1 Archive'!$A:$AD,MATCH("LinkedIn Employee Count",'Pass 1 Archive'!$1:$1,0),FALSE()),"")</f>
        <v/>
      </c>
      <c r="D455" s="1" t="str">
        <f aca="false">IFERROR(VLOOKUP(A455,'company tracker'!$a:$s,MATCH("Jan 2025 Traffic",'company tracker'!$1:$1,0),FALSE()),"")</f>
        <v/>
      </c>
      <c r="E455" s="1" t="str">
        <f aca="false">IFERROR(VLOOKUP(A455,'company tracker'!$a:$s,MATCH("Jun 2026 Traffic",'company tracker'!$1:$1,0),FALSE()),"")</f>
        <v/>
      </c>
      <c r="F455" s="1" t="str">
        <f aca="false">IFERROR(VLOOKUP(A455,'company tracker'!$a:$s,MATCH("Traffic % Change",'company tracker'!$1:$1,0),FALSE()),"")</f>
        <v/>
      </c>
      <c r="G455" s="1" t="str">
        <f aca="false">IFERROR(VLOOKUP(A455,'company tracker'!$a:$s,MATCH("Jan 2025 Referring Domains",'company tracker'!$1:$1,0),FALSE()),"")</f>
        <v/>
      </c>
      <c r="H455" s="1" t="str">
        <f aca="false">IFERROR(VLOOKUP(A455,'company tracker'!$a:$s,MATCH("Jun 2026 Referring Domains",'company tracker'!$1:$1,0),FALSE()),"")</f>
        <v/>
      </c>
    </row>
    <row r="456" customFormat="false" ht="15" hidden="false" customHeight="true" outlineLevel="0" collapsed="false">
      <c r="B456" s="1" t="str">
        <f aca="false">IFERROR(VLOOKUP(A456,'company tracker'!$a:$s,MATCH("Category",'company tracker'!$1:$1,0),FALSE()),"")</f>
        <v/>
      </c>
      <c r="C456" s="1" t="str">
        <f aca="false">IFERROR(VLOOKUP(A456,'Pass 1 Archive'!$A:$AD,MATCH("LinkedIn Employee Count",'Pass 1 Archive'!$1:$1,0),FALSE()),"")</f>
        <v/>
      </c>
      <c r="D456" s="1" t="str">
        <f aca="false">IFERROR(VLOOKUP(A456,'company tracker'!$a:$s,MATCH("Jan 2025 Traffic",'company tracker'!$1:$1,0),FALSE()),"")</f>
        <v/>
      </c>
      <c r="E456" s="1" t="str">
        <f aca="false">IFERROR(VLOOKUP(A456,'company tracker'!$a:$s,MATCH("Jun 2026 Traffic",'company tracker'!$1:$1,0),FALSE()),"")</f>
        <v/>
      </c>
      <c r="F456" s="1" t="str">
        <f aca="false">IFERROR(VLOOKUP(A456,'company tracker'!$a:$s,MATCH("Traffic % Change",'company tracker'!$1:$1,0),FALSE()),"")</f>
        <v/>
      </c>
      <c r="G456" s="1" t="str">
        <f aca="false">IFERROR(VLOOKUP(A456,'company tracker'!$a:$s,MATCH("Jan 2025 Referring Domains",'company tracker'!$1:$1,0),FALSE()),"")</f>
        <v/>
      </c>
      <c r="H456" s="1" t="str">
        <f aca="false">IFERROR(VLOOKUP(A456,'company tracker'!$a:$s,MATCH("Jun 2026 Referring Domains",'company tracker'!$1:$1,0),FALSE()),"")</f>
        <v/>
      </c>
    </row>
    <row r="457" customFormat="false" ht="15" hidden="false" customHeight="true" outlineLevel="0" collapsed="false">
      <c r="B457" s="1" t="str">
        <f aca="false">IFERROR(VLOOKUP(A457,'company tracker'!$a:$s,MATCH("Category",'company tracker'!$1:$1,0),FALSE()),"")</f>
        <v/>
      </c>
      <c r="C457" s="1" t="str">
        <f aca="false">IFERROR(VLOOKUP(A457,'Pass 1 Archive'!$A:$AD,MATCH("LinkedIn Employee Count",'Pass 1 Archive'!$1:$1,0),FALSE()),"")</f>
        <v/>
      </c>
      <c r="D457" s="1" t="str">
        <f aca="false">IFERROR(VLOOKUP(A457,'company tracker'!$a:$s,MATCH("Jan 2025 Traffic",'company tracker'!$1:$1,0),FALSE()),"")</f>
        <v/>
      </c>
      <c r="E457" s="1" t="str">
        <f aca="false">IFERROR(VLOOKUP(A457,'company tracker'!$a:$s,MATCH("Jun 2026 Traffic",'company tracker'!$1:$1,0),FALSE()),"")</f>
        <v/>
      </c>
      <c r="F457" s="1" t="str">
        <f aca="false">IFERROR(VLOOKUP(A457,'company tracker'!$a:$s,MATCH("Traffic % Change",'company tracker'!$1:$1,0),FALSE()),"")</f>
        <v/>
      </c>
      <c r="G457" s="1" t="str">
        <f aca="false">IFERROR(VLOOKUP(A457,'company tracker'!$a:$s,MATCH("Jan 2025 Referring Domains",'company tracker'!$1:$1,0),FALSE()),"")</f>
        <v/>
      </c>
      <c r="H457" s="1" t="str">
        <f aca="false">IFERROR(VLOOKUP(A457,'company tracker'!$a:$s,MATCH("Jun 2026 Referring Domains",'company tracker'!$1:$1,0),FALSE()),"")</f>
        <v/>
      </c>
    </row>
    <row r="458" customFormat="false" ht="15" hidden="false" customHeight="true" outlineLevel="0" collapsed="false">
      <c r="B458" s="1" t="str">
        <f aca="false">IFERROR(VLOOKUP(A458,'company tracker'!$a:$s,MATCH("Category",'company tracker'!$1:$1,0),FALSE()),"")</f>
        <v/>
      </c>
      <c r="C458" s="1" t="str">
        <f aca="false">IFERROR(VLOOKUP(A458,'Pass 1 Archive'!$A:$AD,MATCH("LinkedIn Employee Count",'Pass 1 Archive'!$1:$1,0),FALSE()),"")</f>
        <v/>
      </c>
      <c r="D458" s="1" t="str">
        <f aca="false">IFERROR(VLOOKUP(A458,'company tracker'!$a:$s,MATCH("Jan 2025 Traffic",'company tracker'!$1:$1,0),FALSE()),"")</f>
        <v/>
      </c>
      <c r="E458" s="1" t="str">
        <f aca="false">IFERROR(VLOOKUP(A458,'company tracker'!$a:$s,MATCH("Jun 2026 Traffic",'company tracker'!$1:$1,0),FALSE()),"")</f>
        <v/>
      </c>
      <c r="F458" s="1" t="str">
        <f aca="false">IFERROR(VLOOKUP(A458,'company tracker'!$a:$s,MATCH("Traffic % Change",'company tracker'!$1:$1,0),FALSE()),"")</f>
        <v/>
      </c>
      <c r="G458" s="1" t="str">
        <f aca="false">IFERROR(VLOOKUP(A458,'company tracker'!$a:$s,MATCH("Jan 2025 Referring Domains",'company tracker'!$1:$1,0),FALSE()),"")</f>
        <v/>
      </c>
      <c r="H458" s="1" t="str">
        <f aca="false">IFERROR(VLOOKUP(A458,'company tracker'!$a:$s,MATCH("Jun 2026 Referring Domains",'company tracker'!$1:$1,0),FALSE()),"")</f>
        <v/>
      </c>
    </row>
    <row r="459" customFormat="false" ht="15" hidden="false" customHeight="true" outlineLevel="0" collapsed="false">
      <c r="B459" s="1" t="str">
        <f aca="false">IFERROR(VLOOKUP(A459,'company tracker'!$a:$s,MATCH("Category",'company tracker'!$1:$1,0),FALSE()),"")</f>
        <v/>
      </c>
      <c r="C459" s="1" t="str">
        <f aca="false">IFERROR(VLOOKUP(A459,'Pass 1 Archive'!$A:$AD,MATCH("LinkedIn Employee Count",'Pass 1 Archive'!$1:$1,0),FALSE()),"")</f>
        <v/>
      </c>
      <c r="D459" s="1" t="str">
        <f aca="false">IFERROR(VLOOKUP(A459,'company tracker'!$a:$s,MATCH("Jan 2025 Traffic",'company tracker'!$1:$1,0),FALSE()),"")</f>
        <v/>
      </c>
      <c r="E459" s="1" t="str">
        <f aca="false">IFERROR(VLOOKUP(A459,'company tracker'!$a:$s,MATCH("Jun 2026 Traffic",'company tracker'!$1:$1,0),FALSE()),"")</f>
        <v/>
      </c>
      <c r="F459" s="1" t="str">
        <f aca="false">IFERROR(VLOOKUP(A459,'company tracker'!$a:$s,MATCH("Traffic % Change",'company tracker'!$1:$1,0),FALSE()),"")</f>
        <v/>
      </c>
      <c r="G459" s="1" t="str">
        <f aca="false">IFERROR(VLOOKUP(A459,'company tracker'!$a:$s,MATCH("Jan 2025 Referring Domains",'company tracker'!$1:$1,0),FALSE()),"")</f>
        <v/>
      </c>
      <c r="H459" s="1" t="str">
        <f aca="false">IFERROR(VLOOKUP(A459,'company tracker'!$a:$s,MATCH("Jun 2026 Referring Domains",'company tracker'!$1:$1,0),FALSE()),"")</f>
        <v/>
      </c>
    </row>
    <row r="460" customFormat="false" ht="15" hidden="false" customHeight="true" outlineLevel="0" collapsed="false">
      <c r="B460" s="1" t="str">
        <f aca="false">IFERROR(VLOOKUP(A460,'company tracker'!$a:$s,MATCH("Category",'company tracker'!$1:$1,0),FALSE()),"")</f>
        <v/>
      </c>
      <c r="C460" s="1" t="str">
        <f aca="false">IFERROR(VLOOKUP(A460,'Pass 1 Archive'!$A:$AD,MATCH("LinkedIn Employee Count",'Pass 1 Archive'!$1:$1,0),FALSE()),"")</f>
        <v/>
      </c>
      <c r="D460" s="1" t="str">
        <f aca="false">IFERROR(VLOOKUP(A460,'company tracker'!$a:$s,MATCH("Jan 2025 Traffic",'company tracker'!$1:$1,0),FALSE()),"")</f>
        <v/>
      </c>
      <c r="E460" s="1" t="str">
        <f aca="false">IFERROR(VLOOKUP(A460,'company tracker'!$a:$s,MATCH("Jun 2026 Traffic",'company tracker'!$1:$1,0),FALSE()),"")</f>
        <v/>
      </c>
      <c r="F460" s="1" t="str">
        <f aca="false">IFERROR(VLOOKUP(A460,'company tracker'!$a:$s,MATCH("Traffic % Change",'company tracker'!$1:$1,0),FALSE()),"")</f>
        <v/>
      </c>
      <c r="G460" s="1" t="str">
        <f aca="false">IFERROR(VLOOKUP(A460,'company tracker'!$a:$s,MATCH("Jan 2025 Referring Domains",'company tracker'!$1:$1,0),FALSE()),"")</f>
        <v/>
      </c>
      <c r="H460" s="1" t="str">
        <f aca="false">IFERROR(VLOOKUP(A460,'company tracker'!$a:$s,MATCH("Jun 2026 Referring Domains",'company tracker'!$1:$1,0),FALSE()),"")</f>
        <v/>
      </c>
    </row>
    <row r="461" customFormat="false" ht="15" hidden="false" customHeight="true" outlineLevel="0" collapsed="false">
      <c r="B461" s="1" t="str">
        <f aca="false">IFERROR(VLOOKUP(A461,'company tracker'!$a:$s,MATCH("Category",'company tracker'!$1:$1,0),FALSE()),"")</f>
        <v/>
      </c>
      <c r="C461" s="1" t="str">
        <f aca="false">IFERROR(VLOOKUP(A461,'Pass 1 Archive'!$A:$AD,MATCH("LinkedIn Employee Count",'Pass 1 Archive'!$1:$1,0),FALSE()),"")</f>
        <v/>
      </c>
      <c r="D461" s="1" t="str">
        <f aca="false">IFERROR(VLOOKUP(A461,'company tracker'!$a:$s,MATCH("Jan 2025 Traffic",'company tracker'!$1:$1,0),FALSE()),"")</f>
        <v/>
      </c>
      <c r="E461" s="1" t="str">
        <f aca="false">IFERROR(VLOOKUP(A461,'company tracker'!$a:$s,MATCH("Jun 2026 Traffic",'company tracker'!$1:$1,0),FALSE()),"")</f>
        <v/>
      </c>
      <c r="F461" s="1" t="str">
        <f aca="false">IFERROR(VLOOKUP(A461,'company tracker'!$a:$s,MATCH("Traffic % Change",'company tracker'!$1:$1,0),FALSE()),"")</f>
        <v/>
      </c>
      <c r="G461" s="1" t="str">
        <f aca="false">IFERROR(VLOOKUP(A461,'company tracker'!$a:$s,MATCH("Jan 2025 Referring Domains",'company tracker'!$1:$1,0),FALSE()),"")</f>
        <v/>
      </c>
      <c r="H461" s="1" t="str">
        <f aca="false">IFERROR(VLOOKUP(A461,'company tracker'!$a:$s,MATCH("Jun 2026 Referring Domains",'company tracker'!$1:$1,0),FALSE()),"")</f>
        <v/>
      </c>
    </row>
    <row r="462" customFormat="false" ht="15" hidden="false" customHeight="true" outlineLevel="0" collapsed="false">
      <c r="B462" s="1" t="str">
        <f aca="false">IFERROR(VLOOKUP(A462,'company tracker'!$a:$s,MATCH("Category",'company tracker'!$1:$1,0),FALSE()),"")</f>
        <v/>
      </c>
      <c r="C462" s="1" t="str">
        <f aca="false">IFERROR(VLOOKUP(A462,'Pass 1 Archive'!$A:$AD,MATCH("LinkedIn Employee Count",'Pass 1 Archive'!$1:$1,0),FALSE()),"")</f>
        <v/>
      </c>
      <c r="D462" s="1" t="str">
        <f aca="false">IFERROR(VLOOKUP(A462,'company tracker'!$a:$s,MATCH("Jan 2025 Traffic",'company tracker'!$1:$1,0),FALSE()),"")</f>
        <v/>
      </c>
      <c r="E462" s="1" t="str">
        <f aca="false">IFERROR(VLOOKUP(A462,'company tracker'!$a:$s,MATCH("Jun 2026 Traffic",'company tracker'!$1:$1,0),FALSE()),"")</f>
        <v/>
      </c>
      <c r="F462" s="1" t="str">
        <f aca="false">IFERROR(VLOOKUP(A462,'company tracker'!$a:$s,MATCH("Traffic % Change",'company tracker'!$1:$1,0),FALSE()),"")</f>
        <v/>
      </c>
      <c r="G462" s="1" t="str">
        <f aca="false">IFERROR(VLOOKUP(A462,'company tracker'!$a:$s,MATCH("Jan 2025 Referring Domains",'company tracker'!$1:$1,0),FALSE()),"")</f>
        <v/>
      </c>
      <c r="H462" s="1" t="str">
        <f aca="false">IFERROR(VLOOKUP(A462,'company tracker'!$a:$s,MATCH("Jun 2026 Referring Domains",'company tracker'!$1:$1,0),FALSE()),"")</f>
        <v/>
      </c>
    </row>
    <row r="463" customFormat="false" ht="15" hidden="false" customHeight="true" outlineLevel="0" collapsed="false">
      <c r="B463" s="1" t="str">
        <f aca="false">IFERROR(VLOOKUP(A463,'company tracker'!$a:$s,MATCH("Category",'company tracker'!$1:$1,0),FALSE()),"")</f>
        <v/>
      </c>
      <c r="C463" s="1" t="str">
        <f aca="false">IFERROR(VLOOKUP(A463,'Pass 1 Archive'!$A:$AD,MATCH("LinkedIn Employee Count",'Pass 1 Archive'!$1:$1,0),FALSE()),"")</f>
        <v/>
      </c>
      <c r="D463" s="1" t="str">
        <f aca="false">IFERROR(VLOOKUP(A463,'company tracker'!$a:$s,MATCH("Jan 2025 Traffic",'company tracker'!$1:$1,0),FALSE()),"")</f>
        <v/>
      </c>
      <c r="E463" s="1" t="str">
        <f aca="false">IFERROR(VLOOKUP(A463,'company tracker'!$a:$s,MATCH("Jun 2026 Traffic",'company tracker'!$1:$1,0),FALSE()),"")</f>
        <v/>
      </c>
      <c r="F463" s="1" t="str">
        <f aca="false">IFERROR(VLOOKUP(A463,'company tracker'!$a:$s,MATCH("Traffic % Change",'company tracker'!$1:$1,0),FALSE()),"")</f>
        <v/>
      </c>
      <c r="G463" s="1" t="str">
        <f aca="false">IFERROR(VLOOKUP(A463,'company tracker'!$a:$s,MATCH("Jan 2025 Referring Domains",'company tracker'!$1:$1,0),FALSE()),"")</f>
        <v/>
      </c>
      <c r="H463" s="1" t="str">
        <f aca="false">IFERROR(VLOOKUP(A463,'company tracker'!$a:$s,MATCH("Jun 2026 Referring Domains",'company tracker'!$1:$1,0),FALSE()),"")</f>
        <v/>
      </c>
    </row>
    <row r="464" customFormat="false" ht="15" hidden="false" customHeight="true" outlineLevel="0" collapsed="false">
      <c r="B464" s="1" t="str">
        <f aca="false">IFERROR(VLOOKUP(A464,'company tracker'!$a:$s,MATCH("Category",'company tracker'!$1:$1,0),FALSE()),"")</f>
        <v/>
      </c>
      <c r="C464" s="1" t="str">
        <f aca="false">IFERROR(VLOOKUP(A464,'Pass 1 Archive'!$A:$AD,MATCH("LinkedIn Employee Count",'Pass 1 Archive'!$1:$1,0),FALSE()),"")</f>
        <v/>
      </c>
      <c r="D464" s="1" t="str">
        <f aca="false">IFERROR(VLOOKUP(A464,'company tracker'!$a:$s,MATCH("Jan 2025 Traffic",'company tracker'!$1:$1,0),FALSE()),"")</f>
        <v/>
      </c>
      <c r="E464" s="1" t="str">
        <f aca="false">IFERROR(VLOOKUP(A464,'company tracker'!$a:$s,MATCH("Jun 2026 Traffic",'company tracker'!$1:$1,0),FALSE()),"")</f>
        <v/>
      </c>
      <c r="F464" s="1" t="str">
        <f aca="false">IFERROR(VLOOKUP(A464,'company tracker'!$a:$s,MATCH("Traffic % Change",'company tracker'!$1:$1,0),FALSE()),"")</f>
        <v/>
      </c>
      <c r="G464" s="1" t="str">
        <f aca="false">IFERROR(VLOOKUP(A464,'company tracker'!$a:$s,MATCH("Jan 2025 Referring Domains",'company tracker'!$1:$1,0),FALSE()),"")</f>
        <v/>
      </c>
      <c r="H464" s="1" t="str">
        <f aca="false">IFERROR(VLOOKUP(A464,'company tracker'!$a:$s,MATCH("Jun 2026 Referring Domains",'company tracker'!$1:$1,0),FALSE()),"")</f>
        <v/>
      </c>
    </row>
    <row r="465" customFormat="false" ht="15" hidden="false" customHeight="true" outlineLevel="0" collapsed="false">
      <c r="B465" s="1" t="str">
        <f aca="false">IFERROR(VLOOKUP(A465,'company tracker'!$a:$s,MATCH("Category",'company tracker'!$1:$1,0),FALSE()),"")</f>
        <v/>
      </c>
      <c r="C465" s="1" t="str">
        <f aca="false">IFERROR(VLOOKUP(A465,'Pass 1 Archive'!$A:$AD,MATCH("LinkedIn Employee Count",'Pass 1 Archive'!$1:$1,0),FALSE()),"")</f>
        <v/>
      </c>
      <c r="D465" s="1" t="str">
        <f aca="false">IFERROR(VLOOKUP(A465,'company tracker'!$a:$s,MATCH("Jan 2025 Traffic",'company tracker'!$1:$1,0),FALSE()),"")</f>
        <v/>
      </c>
      <c r="E465" s="1" t="str">
        <f aca="false">IFERROR(VLOOKUP(A465,'company tracker'!$a:$s,MATCH("Jun 2026 Traffic",'company tracker'!$1:$1,0),FALSE()),"")</f>
        <v/>
      </c>
      <c r="F465" s="1" t="str">
        <f aca="false">IFERROR(VLOOKUP(A465,'company tracker'!$a:$s,MATCH("Traffic % Change",'company tracker'!$1:$1,0),FALSE()),"")</f>
        <v/>
      </c>
      <c r="G465" s="1" t="str">
        <f aca="false">IFERROR(VLOOKUP(A465,'company tracker'!$a:$s,MATCH("Jan 2025 Referring Domains",'company tracker'!$1:$1,0),FALSE()),"")</f>
        <v/>
      </c>
      <c r="H465" s="1" t="str">
        <f aca="false">IFERROR(VLOOKUP(A465,'company tracker'!$a:$s,MATCH("Jun 2026 Referring Domains",'company tracker'!$1:$1,0),FALSE()),"")</f>
        <v/>
      </c>
    </row>
    <row r="466" customFormat="false" ht="15" hidden="false" customHeight="true" outlineLevel="0" collapsed="false">
      <c r="B466" s="1" t="str">
        <f aca="false">IFERROR(VLOOKUP(A466,'company tracker'!$a:$s,MATCH("Category",'company tracker'!$1:$1,0),FALSE()),"")</f>
        <v/>
      </c>
      <c r="C466" s="1" t="str">
        <f aca="false">IFERROR(VLOOKUP(A466,'Pass 1 Archive'!$A:$AD,MATCH("LinkedIn Employee Count",'Pass 1 Archive'!$1:$1,0),FALSE()),"")</f>
        <v/>
      </c>
      <c r="D466" s="1" t="str">
        <f aca="false">IFERROR(VLOOKUP(A466,'company tracker'!$a:$s,MATCH("Jan 2025 Traffic",'company tracker'!$1:$1,0),FALSE()),"")</f>
        <v/>
      </c>
      <c r="E466" s="1" t="str">
        <f aca="false">IFERROR(VLOOKUP(A466,'company tracker'!$a:$s,MATCH("Jun 2026 Traffic",'company tracker'!$1:$1,0),FALSE()),"")</f>
        <v/>
      </c>
      <c r="F466" s="1" t="str">
        <f aca="false">IFERROR(VLOOKUP(A466,'company tracker'!$a:$s,MATCH("Traffic % Change",'company tracker'!$1:$1,0),FALSE()),"")</f>
        <v/>
      </c>
      <c r="G466" s="1" t="str">
        <f aca="false">IFERROR(VLOOKUP(A466,'company tracker'!$a:$s,MATCH("Jan 2025 Referring Domains",'company tracker'!$1:$1,0),FALSE()),"")</f>
        <v/>
      </c>
      <c r="H466" s="1" t="str">
        <f aca="false">IFERROR(VLOOKUP(A466,'company tracker'!$a:$s,MATCH("Jun 2026 Referring Domains",'company tracker'!$1:$1,0),FALSE()),"")</f>
        <v/>
      </c>
    </row>
    <row r="467" customFormat="false" ht="15" hidden="false" customHeight="true" outlineLevel="0" collapsed="false">
      <c r="B467" s="1" t="str">
        <f aca="false">IFERROR(VLOOKUP(A467,'company tracker'!$a:$s,MATCH("Category",'company tracker'!$1:$1,0),FALSE()),"")</f>
        <v/>
      </c>
      <c r="C467" s="1" t="str">
        <f aca="false">IFERROR(VLOOKUP(A467,'Pass 1 Archive'!$A:$AD,MATCH("LinkedIn Employee Count",'Pass 1 Archive'!$1:$1,0),FALSE()),"")</f>
        <v/>
      </c>
      <c r="D467" s="1" t="str">
        <f aca="false">IFERROR(VLOOKUP(A467,'company tracker'!$a:$s,MATCH("Jan 2025 Traffic",'company tracker'!$1:$1,0),FALSE()),"")</f>
        <v/>
      </c>
      <c r="E467" s="1" t="str">
        <f aca="false">IFERROR(VLOOKUP(A467,'company tracker'!$a:$s,MATCH("Jun 2026 Traffic",'company tracker'!$1:$1,0),FALSE()),"")</f>
        <v/>
      </c>
      <c r="F467" s="1" t="str">
        <f aca="false">IFERROR(VLOOKUP(A467,'company tracker'!$a:$s,MATCH("Traffic % Change",'company tracker'!$1:$1,0),FALSE()),"")</f>
        <v/>
      </c>
      <c r="G467" s="1" t="str">
        <f aca="false">IFERROR(VLOOKUP(A467,'company tracker'!$a:$s,MATCH("Jan 2025 Referring Domains",'company tracker'!$1:$1,0),FALSE()),"")</f>
        <v/>
      </c>
      <c r="H467" s="1" t="str">
        <f aca="false">IFERROR(VLOOKUP(A467,'company tracker'!$a:$s,MATCH("Jun 2026 Referring Domains",'company tracker'!$1:$1,0),FALSE()),"")</f>
        <v/>
      </c>
    </row>
    <row r="468" customFormat="false" ht="15" hidden="false" customHeight="true" outlineLevel="0" collapsed="false">
      <c r="B468" s="1" t="str">
        <f aca="false">IFERROR(VLOOKUP(A468,'company tracker'!$a:$s,MATCH("Category",'company tracker'!$1:$1,0),FALSE()),"")</f>
        <v/>
      </c>
      <c r="C468" s="1" t="str">
        <f aca="false">IFERROR(VLOOKUP(A468,'Pass 1 Archive'!$A:$AD,MATCH("LinkedIn Employee Count",'Pass 1 Archive'!$1:$1,0),FALSE()),"")</f>
        <v/>
      </c>
      <c r="D468" s="1" t="str">
        <f aca="false">IFERROR(VLOOKUP(A468,'company tracker'!$a:$s,MATCH("Jan 2025 Traffic",'company tracker'!$1:$1,0),FALSE()),"")</f>
        <v/>
      </c>
      <c r="E468" s="1" t="str">
        <f aca="false">IFERROR(VLOOKUP(A468,'company tracker'!$a:$s,MATCH("Jun 2026 Traffic",'company tracker'!$1:$1,0),FALSE()),"")</f>
        <v/>
      </c>
      <c r="F468" s="1" t="str">
        <f aca="false">IFERROR(VLOOKUP(A468,'company tracker'!$a:$s,MATCH("Traffic % Change",'company tracker'!$1:$1,0),FALSE()),"")</f>
        <v/>
      </c>
      <c r="G468" s="1" t="str">
        <f aca="false">IFERROR(VLOOKUP(A468,'company tracker'!$a:$s,MATCH("Jan 2025 Referring Domains",'company tracker'!$1:$1,0),FALSE()),"")</f>
        <v/>
      </c>
      <c r="H468" s="1" t="str">
        <f aca="false">IFERROR(VLOOKUP(A468,'company tracker'!$a:$s,MATCH("Jun 2026 Referring Domains",'company tracker'!$1:$1,0),FALSE()),"")</f>
        <v/>
      </c>
    </row>
    <row r="469" customFormat="false" ht="15" hidden="false" customHeight="true" outlineLevel="0" collapsed="false">
      <c r="B469" s="1" t="str">
        <f aca="false">IFERROR(VLOOKUP(A469,'company tracker'!$a:$s,MATCH("Category",'company tracker'!$1:$1,0),FALSE()),"")</f>
        <v/>
      </c>
      <c r="C469" s="1" t="str">
        <f aca="false">IFERROR(VLOOKUP(A469,'Pass 1 Archive'!$A:$AD,MATCH("LinkedIn Employee Count",'Pass 1 Archive'!$1:$1,0),FALSE()),"")</f>
        <v/>
      </c>
      <c r="D469" s="1" t="str">
        <f aca="false">IFERROR(VLOOKUP(A469,'company tracker'!$a:$s,MATCH("Jan 2025 Traffic",'company tracker'!$1:$1,0),FALSE()),"")</f>
        <v/>
      </c>
      <c r="E469" s="1" t="str">
        <f aca="false">IFERROR(VLOOKUP(A469,'company tracker'!$a:$s,MATCH("Jun 2026 Traffic",'company tracker'!$1:$1,0),FALSE()),"")</f>
        <v/>
      </c>
      <c r="F469" s="1" t="str">
        <f aca="false">IFERROR(VLOOKUP(A469,'company tracker'!$a:$s,MATCH("Traffic % Change",'company tracker'!$1:$1,0),FALSE()),"")</f>
        <v/>
      </c>
      <c r="G469" s="1" t="str">
        <f aca="false">IFERROR(VLOOKUP(A469,'company tracker'!$a:$s,MATCH("Jan 2025 Referring Domains",'company tracker'!$1:$1,0),FALSE()),"")</f>
        <v/>
      </c>
      <c r="H469" s="1" t="str">
        <f aca="false">IFERROR(VLOOKUP(A469,'company tracker'!$a:$s,MATCH("Jun 2026 Referring Domains",'company tracker'!$1:$1,0),FALSE()),"")</f>
        <v/>
      </c>
    </row>
    <row r="470" customFormat="false" ht="15" hidden="false" customHeight="true" outlineLevel="0" collapsed="false">
      <c r="B470" s="1" t="str">
        <f aca="false">IFERROR(VLOOKUP(A470,'company tracker'!$a:$s,MATCH("Category",'company tracker'!$1:$1,0),FALSE()),"")</f>
        <v/>
      </c>
      <c r="C470" s="1" t="str">
        <f aca="false">IFERROR(VLOOKUP(A470,'Pass 1 Archive'!$A:$AD,MATCH("LinkedIn Employee Count",'Pass 1 Archive'!$1:$1,0),FALSE()),"")</f>
        <v/>
      </c>
      <c r="D470" s="1" t="str">
        <f aca="false">IFERROR(VLOOKUP(A470,'company tracker'!$a:$s,MATCH("Jan 2025 Traffic",'company tracker'!$1:$1,0),FALSE()),"")</f>
        <v/>
      </c>
      <c r="E470" s="1" t="str">
        <f aca="false">IFERROR(VLOOKUP(A470,'company tracker'!$a:$s,MATCH("Jun 2026 Traffic",'company tracker'!$1:$1,0),FALSE()),"")</f>
        <v/>
      </c>
      <c r="F470" s="1" t="str">
        <f aca="false">IFERROR(VLOOKUP(A470,'company tracker'!$a:$s,MATCH("Traffic % Change",'company tracker'!$1:$1,0),FALSE()),"")</f>
        <v/>
      </c>
      <c r="G470" s="1" t="str">
        <f aca="false">IFERROR(VLOOKUP(A470,'company tracker'!$a:$s,MATCH("Jan 2025 Referring Domains",'company tracker'!$1:$1,0),FALSE()),"")</f>
        <v/>
      </c>
      <c r="H470" s="1" t="str">
        <f aca="false">IFERROR(VLOOKUP(A470,'company tracker'!$a:$s,MATCH("Jun 2026 Referring Domains",'company tracker'!$1:$1,0),FALSE()),"")</f>
        <v/>
      </c>
    </row>
    <row r="471" customFormat="false" ht="15" hidden="false" customHeight="true" outlineLevel="0" collapsed="false">
      <c r="B471" s="1" t="str">
        <f aca="false">IFERROR(VLOOKUP(A471,'company tracker'!$a:$s,MATCH("Category",'company tracker'!$1:$1,0),FALSE()),"")</f>
        <v/>
      </c>
      <c r="C471" s="1" t="str">
        <f aca="false">IFERROR(VLOOKUP(A471,'Pass 1 Archive'!$A:$AD,MATCH("LinkedIn Employee Count",'Pass 1 Archive'!$1:$1,0),FALSE()),"")</f>
        <v/>
      </c>
      <c r="D471" s="1" t="str">
        <f aca="false">IFERROR(VLOOKUP(A471,'company tracker'!$a:$s,MATCH("Jan 2025 Traffic",'company tracker'!$1:$1,0),FALSE()),"")</f>
        <v/>
      </c>
      <c r="E471" s="1" t="str">
        <f aca="false">IFERROR(VLOOKUP(A471,'company tracker'!$a:$s,MATCH("Jun 2026 Traffic",'company tracker'!$1:$1,0),FALSE()),"")</f>
        <v/>
      </c>
      <c r="F471" s="1" t="str">
        <f aca="false">IFERROR(VLOOKUP(A471,'company tracker'!$a:$s,MATCH("Traffic % Change",'company tracker'!$1:$1,0),FALSE()),"")</f>
        <v/>
      </c>
      <c r="G471" s="1" t="str">
        <f aca="false">IFERROR(VLOOKUP(A471,'company tracker'!$a:$s,MATCH("Jan 2025 Referring Domains",'company tracker'!$1:$1,0),FALSE()),"")</f>
        <v/>
      </c>
      <c r="H471" s="1" t="str">
        <f aca="false">IFERROR(VLOOKUP(A471,'company tracker'!$a:$s,MATCH("Jun 2026 Referring Domains",'company tracker'!$1:$1,0),FALSE()),"")</f>
        <v/>
      </c>
    </row>
    <row r="472" customFormat="false" ht="15" hidden="false" customHeight="true" outlineLevel="0" collapsed="false">
      <c r="B472" s="1" t="str">
        <f aca="false">IFERROR(VLOOKUP(A472,'company tracker'!$a:$s,MATCH("Category",'company tracker'!$1:$1,0),FALSE()),"")</f>
        <v/>
      </c>
      <c r="C472" s="1" t="str">
        <f aca="false">IFERROR(VLOOKUP(A472,'Pass 1 Archive'!$A:$AD,MATCH("LinkedIn Employee Count",'Pass 1 Archive'!$1:$1,0),FALSE()),"")</f>
        <v/>
      </c>
      <c r="D472" s="1" t="str">
        <f aca="false">IFERROR(VLOOKUP(A472,'company tracker'!$a:$s,MATCH("Jan 2025 Traffic",'company tracker'!$1:$1,0),FALSE()),"")</f>
        <v/>
      </c>
      <c r="E472" s="1" t="str">
        <f aca="false">IFERROR(VLOOKUP(A472,'company tracker'!$a:$s,MATCH("Jun 2026 Traffic",'company tracker'!$1:$1,0),FALSE()),"")</f>
        <v/>
      </c>
      <c r="F472" s="1" t="str">
        <f aca="false">IFERROR(VLOOKUP(A472,'company tracker'!$a:$s,MATCH("Traffic % Change",'company tracker'!$1:$1,0),FALSE()),"")</f>
        <v/>
      </c>
      <c r="G472" s="1" t="str">
        <f aca="false">IFERROR(VLOOKUP(A472,'company tracker'!$a:$s,MATCH("Jan 2025 Referring Domains",'company tracker'!$1:$1,0),FALSE()),"")</f>
        <v/>
      </c>
      <c r="H472" s="1" t="str">
        <f aca="false">IFERROR(VLOOKUP(A472,'company tracker'!$a:$s,MATCH("Jun 2026 Referring Domains",'company tracker'!$1:$1,0),FALSE()),"")</f>
        <v/>
      </c>
    </row>
    <row r="473" customFormat="false" ht="15" hidden="false" customHeight="true" outlineLevel="0" collapsed="false">
      <c r="B473" s="1" t="str">
        <f aca="false">IFERROR(VLOOKUP(A473,'company tracker'!$a:$s,MATCH("Category",'company tracker'!$1:$1,0),FALSE()),"")</f>
        <v/>
      </c>
      <c r="C473" s="1" t="str">
        <f aca="false">IFERROR(VLOOKUP(A473,'Pass 1 Archive'!$A:$AD,MATCH("LinkedIn Employee Count",'Pass 1 Archive'!$1:$1,0),FALSE()),"")</f>
        <v/>
      </c>
      <c r="D473" s="1" t="str">
        <f aca="false">IFERROR(VLOOKUP(A473,'company tracker'!$a:$s,MATCH("Jan 2025 Traffic",'company tracker'!$1:$1,0),FALSE()),"")</f>
        <v/>
      </c>
      <c r="E473" s="1" t="str">
        <f aca="false">IFERROR(VLOOKUP(A473,'company tracker'!$a:$s,MATCH("Jun 2026 Traffic",'company tracker'!$1:$1,0),FALSE()),"")</f>
        <v/>
      </c>
      <c r="F473" s="1" t="str">
        <f aca="false">IFERROR(VLOOKUP(A473,'company tracker'!$a:$s,MATCH("Traffic % Change",'company tracker'!$1:$1,0),FALSE()),"")</f>
        <v/>
      </c>
      <c r="G473" s="1" t="str">
        <f aca="false">IFERROR(VLOOKUP(A473,'company tracker'!$a:$s,MATCH("Jan 2025 Referring Domains",'company tracker'!$1:$1,0),FALSE()),"")</f>
        <v/>
      </c>
      <c r="H473" s="1" t="str">
        <f aca="false">IFERROR(VLOOKUP(A473,'company tracker'!$a:$s,MATCH("Jun 2026 Referring Domains",'company tracker'!$1:$1,0),FALSE()),"")</f>
        <v/>
      </c>
    </row>
    <row r="474" customFormat="false" ht="15" hidden="false" customHeight="true" outlineLevel="0" collapsed="false">
      <c r="B474" s="1" t="str">
        <f aca="false">IFERROR(VLOOKUP(A474,'company tracker'!$a:$s,MATCH("Category",'company tracker'!$1:$1,0),FALSE()),"")</f>
        <v/>
      </c>
      <c r="C474" s="1" t="str">
        <f aca="false">IFERROR(VLOOKUP(A474,'Pass 1 Archive'!$A:$AD,MATCH("LinkedIn Employee Count",'Pass 1 Archive'!$1:$1,0),FALSE()),"")</f>
        <v/>
      </c>
      <c r="D474" s="1" t="str">
        <f aca="false">IFERROR(VLOOKUP(A474,'company tracker'!$a:$s,MATCH("Jan 2025 Traffic",'company tracker'!$1:$1,0),FALSE()),"")</f>
        <v/>
      </c>
      <c r="E474" s="1" t="str">
        <f aca="false">IFERROR(VLOOKUP(A474,'company tracker'!$a:$s,MATCH("Jun 2026 Traffic",'company tracker'!$1:$1,0),FALSE()),"")</f>
        <v/>
      </c>
      <c r="F474" s="1" t="str">
        <f aca="false">IFERROR(VLOOKUP(A474,'company tracker'!$a:$s,MATCH("Traffic % Change",'company tracker'!$1:$1,0),FALSE()),"")</f>
        <v/>
      </c>
      <c r="G474" s="1" t="str">
        <f aca="false">IFERROR(VLOOKUP(A474,'company tracker'!$a:$s,MATCH("Jan 2025 Referring Domains",'company tracker'!$1:$1,0),FALSE()),"")</f>
        <v/>
      </c>
      <c r="H474" s="1" t="str">
        <f aca="false">IFERROR(VLOOKUP(A474,'company tracker'!$a:$s,MATCH("Jun 2026 Referring Domains",'company tracker'!$1:$1,0),FALSE()),"")</f>
        <v/>
      </c>
    </row>
    <row r="475" customFormat="false" ht="15" hidden="false" customHeight="true" outlineLevel="0" collapsed="false">
      <c r="B475" s="1" t="str">
        <f aca="false">IFERROR(VLOOKUP(A475,'company tracker'!$a:$s,MATCH("Category",'company tracker'!$1:$1,0),FALSE()),"")</f>
        <v/>
      </c>
      <c r="C475" s="1" t="str">
        <f aca="false">IFERROR(VLOOKUP(A475,'Pass 1 Archive'!$A:$AD,MATCH("LinkedIn Employee Count",'Pass 1 Archive'!$1:$1,0),FALSE()),"")</f>
        <v/>
      </c>
      <c r="D475" s="1" t="str">
        <f aca="false">IFERROR(VLOOKUP(A475,'company tracker'!$a:$s,MATCH("Jan 2025 Traffic",'company tracker'!$1:$1,0),FALSE()),"")</f>
        <v/>
      </c>
      <c r="E475" s="1" t="str">
        <f aca="false">IFERROR(VLOOKUP(A475,'company tracker'!$a:$s,MATCH("Jun 2026 Traffic",'company tracker'!$1:$1,0),FALSE()),"")</f>
        <v/>
      </c>
      <c r="F475" s="1" t="str">
        <f aca="false">IFERROR(VLOOKUP(A475,'company tracker'!$a:$s,MATCH("Traffic % Change",'company tracker'!$1:$1,0),FALSE()),"")</f>
        <v/>
      </c>
      <c r="G475" s="1" t="str">
        <f aca="false">IFERROR(VLOOKUP(A475,'company tracker'!$a:$s,MATCH("Jan 2025 Referring Domains",'company tracker'!$1:$1,0),FALSE()),"")</f>
        <v/>
      </c>
      <c r="H475" s="1" t="str">
        <f aca="false">IFERROR(VLOOKUP(A475,'company tracker'!$a:$s,MATCH("Jun 2026 Referring Domains",'company tracker'!$1:$1,0),FALSE()),"")</f>
        <v/>
      </c>
    </row>
    <row r="476" customFormat="false" ht="15" hidden="false" customHeight="true" outlineLevel="0" collapsed="false">
      <c r="B476" s="1" t="str">
        <f aca="false">IFERROR(VLOOKUP(A476,'company tracker'!$a:$s,MATCH("Category",'company tracker'!$1:$1,0),FALSE()),"")</f>
        <v/>
      </c>
      <c r="C476" s="1" t="str">
        <f aca="false">IFERROR(VLOOKUP(A476,'Pass 1 Archive'!$A:$AD,MATCH("LinkedIn Employee Count",'Pass 1 Archive'!$1:$1,0),FALSE()),"")</f>
        <v/>
      </c>
      <c r="D476" s="1" t="str">
        <f aca="false">IFERROR(VLOOKUP(A476,'company tracker'!$a:$s,MATCH("Jan 2025 Traffic",'company tracker'!$1:$1,0),FALSE()),"")</f>
        <v/>
      </c>
      <c r="E476" s="1" t="str">
        <f aca="false">IFERROR(VLOOKUP(A476,'company tracker'!$a:$s,MATCH("Jun 2026 Traffic",'company tracker'!$1:$1,0),FALSE()),"")</f>
        <v/>
      </c>
      <c r="F476" s="1" t="str">
        <f aca="false">IFERROR(VLOOKUP(A476,'company tracker'!$a:$s,MATCH("Traffic % Change",'company tracker'!$1:$1,0),FALSE()),"")</f>
        <v/>
      </c>
      <c r="G476" s="1" t="str">
        <f aca="false">IFERROR(VLOOKUP(A476,'company tracker'!$a:$s,MATCH("Jan 2025 Referring Domains",'company tracker'!$1:$1,0),FALSE()),"")</f>
        <v/>
      </c>
      <c r="H476" s="1" t="str">
        <f aca="false">IFERROR(VLOOKUP(A476,'company tracker'!$a:$s,MATCH("Jun 2026 Referring Domains",'company tracker'!$1:$1,0),FALSE()),"")</f>
        <v/>
      </c>
    </row>
    <row r="477" customFormat="false" ht="15" hidden="false" customHeight="true" outlineLevel="0" collapsed="false">
      <c r="B477" s="1" t="str">
        <f aca="false">IFERROR(VLOOKUP(A477,'company tracker'!$a:$s,MATCH("Category",'company tracker'!$1:$1,0),FALSE()),"")</f>
        <v/>
      </c>
      <c r="C477" s="1" t="str">
        <f aca="false">IFERROR(VLOOKUP(A477,'Pass 1 Archive'!$A:$AD,MATCH("LinkedIn Employee Count",'Pass 1 Archive'!$1:$1,0),FALSE()),"")</f>
        <v/>
      </c>
      <c r="D477" s="1" t="str">
        <f aca="false">IFERROR(VLOOKUP(A477,'company tracker'!$a:$s,MATCH("Jan 2025 Traffic",'company tracker'!$1:$1,0),FALSE()),"")</f>
        <v/>
      </c>
      <c r="E477" s="1" t="str">
        <f aca="false">IFERROR(VLOOKUP(A477,'company tracker'!$a:$s,MATCH("Jun 2026 Traffic",'company tracker'!$1:$1,0),FALSE()),"")</f>
        <v/>
      </c>
      <c r="F477" s="1" t="str">
        <f aca="false">IFERROR(VLOOKUP(A477,'company tracker'!$a:$s,MATCH("Traffic % Change",'company tracker'!$1:$1,0),FALSE()),"")</f>
        <v/>
      </c>
      <c r="G477" s="1" t="str">
        <f aca="false">IFERROR(VLOOKUP(A477,'company tracker'!$a:$s,MATCH("Jan 2025 Referring Domains",'company tracker'!$1:$1,0),FALSE()),"")</f>
        <v/>
      </c>
      <c r="H477" s="1" t="str">
        <f aca="false">IFERROR(VLOOKUP(A477,'company tracker'!$a:$s,MATCH("Jun 2026 Referring Domains",'company tracker'!$1:$1,0),FALSE()),"")</f>
        <v/>
      </c>
    </row>
    <row r="478" customFormat="false" ht="15" hidden="false" customHeight="true" outlineLevel="0" collapsed="false">
      <c r="B478" s="1" t="str">
        <f aca="false">IFERROR(VLOOKUP(A478,'company tracker'!$a:$s,MATCH("Category",'company tracker'!$1:$1,0),FALSE()),"")</f>
        <v/>
      </c>
      <c r="C478" s="1" t="str">
        <f aca="false">IFERROR(VLOOKUP(A478,'Pass 1 Archive'!$A:$AD,MATCH("LinkedIn Employee Count",'Pass 1 Archive'!$1:$1,0),FALSE()),"")</f>
        <v/>
      </c>
      <c r="D478" s="1" t="str">
        <f aca="false">IFERROR(VLOOKUP(A478,'company tracker'!$a:$s,MATCH("Jan 2025 Traffic",'company tracker'!$1:$1,0),FALSE()),"")</f>
        <v/>
      </c>
      <c r="E478" s="1" t="str">
        <f aca="false">IFERROR(VLOOKUP(A478,'company tracker'!$a:$s,MATCH("Jun 2026 Traffic",'company tracker'!$1:$1,0),FALSE()),"")</f>
        <v/>
      </c>
      <c r="F478" s="1" t="str">
        <f aca="false">IFERROR(VLOOKUP(A478,'company tracker'!$a:$s,MATCH("Traffic % Change",'company tracker'!$1:$1,0),FALSE()),"")</f>
        <v/>
      </c>
      <c r="G478" s="1" t="str">
        <f aca="false">IFERROR(VLOOKUP(A478,'company tracker'!$a:$s,MATCH("Jan 2025 Referring Domains",'company tracker'!$1:$1,0),FALSE()),"")</f>
        <v/>
      </c>
      <c r="H478" s="1" t="str">
        <f aca="false">IFERROR(VLOOKUP(A478,'company tracker'!$a:$s,MATCH("Jun 2026 Referring Domains",'company tracker'!$1:$1,0),FALSE()),"")</f>
        <v/>
      </c>
    </row>
    <row r="479" customFormat="false" ht="15" hidden="false" customHeight="true" outlineLevel="0" collapsed="false">
      <c r="B479" s="1" t="str">
        <f aca="false">IFERROR(VLOOKUP(A479,'company tracker'!$a:$s,MATCH("Category",'company tracker'!$1:$1,0),FALSE()),"")</f>
        <v/>
      </c>
      <c r="C479" s="1" t="str">
        <f aca="false">IFERROR(VLOOKUP(A479,'Pass 1 Archive'!$A:$AD,MATCH("LinkedIn Employee Count",'Pass 1 Archive'!$1:$1,0),FALSE()),"")</f>
        <v/>
      </c>
      <c r="D479" s="1" t="str">
        <f aca="false">IFERROR(VLOOKUP(A479,'company tracker'!$a:$s,MATCH("Jan 2025 Traffic",'company tracker'!$1:$1,0),FALSE()),"")</f>
        <v/>
      </c>
      <c r="E479" s="1" t="str">
        <f aca="false">IFERROR(VLOOKUP(A479,'company tracker'!$a:$s,MATCH("Jun 2026 Traffic",'company tracker'!$1:$1,0),FALSE()),"")</f>
        <v/>
      </c>
      <c r="F479" s="1" t="str">
        <f aca="false">IFERROR(VLOOKUP(A479,'company tracker'!$a:$s,MATCH("Traffic % Change",'company tracker'!$1:$1,0),FALSE()),"")</f>
        <v/>
      </c>
      <c r="G479" s="1" t="str">
        <f aca="false">IFERROR(VLOOKUP(A479,'company tracker'!$a:$s,MATCH("Jan 2025 Referring Domains",'company tracker'!$1:$1,0),FALSE()),"")</f>
        <v/>
      </c>
      <c r="H479" s="1" t="str">
        <f aca="false">IFERROR(VLOOKUP(A479,'company tracker'!$a:$s,MATCH("Jun 2026 Referring Domains",'company tracker'!$1:$1,0),FALSE()),"")</f>
        <v/>
      </c>
    </row>
    <row r="480" customFormat="false" ht="15" hidden="false" customHeight="true" outlineLevel="0" collapsed="false">
      <c r="B480" s="1" t="str">
        <f aca="false">IFERROR(VLOOKUP(A480,'company tracker'!$a:$s,MATCH("Category",'company tracker'!$1:$1,0),FALSE()),"")</f>
        <v/>
      </c>
      <c r="C480" s="1" t="str">
        <f aca="false">IFERROR(VLOOKUP(A480,'Pass 1 Archive'!$A:$AD,MATCH("LinkedIn Employee Count",'Pass 1 Archive'!$1:$1,0),FALSE()),"")</f>
        <v/>
      </c>
      <c r="D480" s="1" t="str">
        <f aca="false">IFERROR(VLOOKUP(A480,'company tracker'!$a:$s,MATCH("Jan 2025 Traffic",'company tracker'!$1:$1,0),FALSE()),"")</f>
        <v/>
      </c>
      <c r="E480" s="1" t="str">
        <f aca="false">IFERROR(VLOOKUP(A480,'company tracker'!$a:$s,MATCH("Jun 2026 Traffic",'company tracker'!$1:$1,0),FALSE()),"")</f>
        <v/>
      </c>
      <c r="F480" s="1" t="str">
        <f aca="false">IFERROR(VLOOKUP(A480,'company tracker'!$a:$s,MATCH("Traffic % Change",'company tracker'!$1:$1,0),FALSE()),"")</f>
        <v/>
      </c>
      <c r="G480" s="1" t="str">
        <f aca="false">IFERROR(VLOOKUP(A480,'company tracker'!$a:$s,MATCH("Jan 2025 Referring Domains",'company tracker'!$1:$1,0),FALSE()),"")</f>
        <v/>
      </c>
      <c r="H480" s="1" t="str">
        <f aca="false">IFERROR(VLOOKUP(A480,'company tracker'!$a:$s,MATCH("Jun 2026 Referring Domains",'company tracker'!$1:$1,0),FALSE()),"")</f>
        <v/>
      </c>
    </row>
    <row r="481" customFormat="false" ht="15" hidden="false" customHeight="true" outlineLevel="0" collapsed="false">
      <c r="B481" s="1" t="str">
        <f aca="false">IFERROR(VLOOKUP(A481,'company tracker'!$a:$s,MATCH("Category",'company tracker'!$1:$1,0),FALSE()),"")</f>
        <v/>
      </c>
      <c r="C481" s="1" t="str">
        <f aca="false">IFERROR(VLOOKUP(A481,'Pass 1 Archive'!$A:$AD,MATCH("LinkedIn Employee Count",'Pass 1 Archive'!$1:$1,0),FALSE()),"")</f>
        <v/>
      </c>
      <c r="D481" s="1" t="str">
        <f aca="false">IFERROR(VLOOKUP(A481,'company tracker'!$a:$s,MATCH("Jan 2025 Traffic",'company tracker'!$1:$1,0),FALSE()),"")</f>
        <v/>
      </c>
      <c r="E481" s="1" t="str">
        <f aca="false">IFERROR(VLOOKUP(A481,'company tracker'!$a:$s,MATCH("Jun 2026 Traffic",'company tracker'!$1:$1,0),FALSE()),"")</f>
        <v/>
      </c>
      <c r="F481" s="1" t="str">
        <f aca="false">IFERROR(VLOOKUP(A481,'company tracker'!$a:$s,MATCH("Traffic % Change",'company tracker'!$1:$1,0),FALSE()),"")</f>
        <v/>
      </c>
      <c r="G481" s="1" t="str">
        <f aca="false">IFERROR(VLOOKUP(A481,'company tracker'!$a:$s,MATCH("Jan 2025 Referring Domains",'company tracker'!$1:$1,0),FALSE()),"")</f>
        <v/>
      </c>
      <c r="H481" s="1" t="str">
        <f aca="false">IFERROR(VLOOKUP(A481,'company tracker'!$a:$s,MATCH("Jun 2026 Referring Domains",'company tracker'!$1:$1,0),FALSE()),"")</f>
        <v/>
      </c>
    </row>
    <row r="482" customFormat="false" ht="15" hidden="false" customHeight="true" outlineLevel="0" collapsed="false">
      <c r="B482" s="1" t="str">
        <f aca="false">IFERROR(VLOOKUP(A482,'company tracker'!$a:$s,MATCH("Category",'company tracker'!$1:$1,0),FALSE()),"")</f>
        <v/>
      </c>
      <c r="C482" s="1" t="str">
        <f aca="false">IFERROR(VLOOKUP(A482,'Pass 1 Archive'!$A:$AD,MATCH("LinkedIn Employee Count",'Pass 1 Archive'!$1:$1,0),FALSE()),"")</f>
        <v/>
      </c>
      <c r="D482" s="1" t="str">
        <f aca="false">IFERROR(VLOOKUP(A482,'company tracker'!$a:$s,MATCH("Jan 2025 Traffic",'company tracker'!$1:$1,0),FALSE()),"")</f>
        <v/>
      </c>
      <c r="E482" s="1" t="str">
        <f aca="false">IFERROR(VLOOKUP(A482,'company tracker'!$a:$s,MATCH("Jun 2026 Traffic",'company tracker'!$1:$1,0),FALSE()),"")</f>
        <v/>
      </c>
      <c r="F482" s="1" t="str">
        <f aca="false">IFERROR(VLOOKUP(A482,'company tracker'!$a:$s,MATCH("Traffic % Change",'company tracker'!$1:$1,0),FALSE()),"")</f>
        <v/>
      </c>
      <c r="G482" s="1" t="str">
        <f aca="false">IFERROR(VLOOKUP(A482,'company tracker'!$a:$s,MATCH("Jan 2025 Referring Domains",'company tracker'!$1:$1,0),FALSE()),"")</f>
        <v/>
      </c>
      <c r="H482" s="1" t="str">
        <f aca="false">IFERROR(VLOOKUP(A482,'company tracker'!$a:$s,MATCH("Jun 2026 Referring Domains",'company tracker'!$1:$1,0),FALSE()),"")</f>
        <v/>
      </c>
    </row>
    <row r="483" customFormat="false" ht="15" hidden="false" customHeight="true" outlineLevel="0" collapsed="false">
      <c r="B483" s="1" t="str">
        <f aca="false">IFERROR(VLOOKUP(A483,'company tracker'!$a:$s,MATCH("Category",'company tracker'!$1:$1,0),FALSE()),"")</f>
        <v/>
      </c>
      <c r="C483" s="1" t="str">
        <f aca="false">IFERROR(VLOOKUP(A483,'Pass 1 Archive'!$A:$AD,MATCH("LinkedIn Employee Count",'Pass 1 Archive'!$1:$1,0),FALSE()),"")</f>
        <v/>
      </c>
      <c r="D483" s="1" t="str">
        <f aca="false">IFERROR(VLOOKUP(A483,'company tracker'!$a:$s,MATCH("Jan 2025 Traffic",'company tracker'!$1:$1,0),FALSE()),"")</f>
        <v/>
      </c>
      <c r="E483" s="1" t="str">
        <f aca="false">IFERROR(VLOOKUP(A483,'company tracker'!$a:$s,MATCH("Jun 2026 Traffic",'company tracker'!$1:$1,0),FALSE()),"")</f>
        <v/>
      </c>
      <c r="F483" s="1" t="str">
        <f aca="false">IFERROR(VLOOKUP(A483,'company tracker'!$a:$s,MATCH("Traffic % Change",'company tracker'!$1:$1,0),FALSE()),"")</f>
        <v/>
      </c>
      <c r="G483" s="1" t="str">
        <f aca="false">IFERROR(VLOOKUP(A483,'company tracker'!$a:$s,MATCH("Jan 2025 Referring Domains",'company tracker'!$1:$1,0),FALSE()),"")</f>
        <v/>
      </c>
      <c r="H483" s="1" t="str">
        <f aca="false">IFERROR(VLOOKUP(A483,'company tracker'!$a:$s,MATCH("Jun 2026 Referring Domains",'company tracker'!$1:$1,0),FALSE()),"")</f>
        <v/>
      </c>
    </row>
    <row r="484" customFormat="false" ht="15" hidden="false" customHeight="true" outlineLevel="0" collapsed="false">
      <c r="B484" s="1" t="str">
        <f aca="false">IFERROR(VLOOKUP(A484,'company tracker'!$a:$s,MATCH("Category",'company tracker'!$1:$1,0),FALSE()),"")</f>
        <v/>
      </c>
      <c r="C484" s="1" t="str">
        <f aca="false">IFERROR(VLOOKUP(A484,'Pass 1 Archive'!$A:$AD,MATCH("LinkedIn Employee Count",'Pass 1 Archive'!$1:$1,0),FALSE()),"")</f>
        <v/>
      </c>
      <c r="D484" s="1" t="str">
        <f aca="false">IFERROR(VLOOKUP(A484,'company tracker'!$a:$s,MATCH("Jan 2025 Traffic",'company tracker'!$1:$1,0),FALSE()),"")</f>
        <v/>
      </c>
      <c r="E484" s="1" t="str">
        <f aca="false">IFERROR(VLOOKUP(A484,'company tracker'!$a:$s,MATCH("Jun 2026 Traffic",'company tracker'!$1:$1,0),FALSE()),"")</f>
        <v/>
      </c>
      <c r="F484" s="1" t="str">
        <f aca="false">IFERROR(VLOOKUP(A484,'company tracker'!$a:$s,MATCH("Traffic % Change",'company tracker'!$1:$1,0),FALSE()),"")</f>
        <v/>
      </c>
      <c r="G484" s="1" t="str">
        <f aca="false">IFERROR(VLOOKUP(A484,'company tracker'!$a:$s,MATCH("Jan 2025 Referring Domains",'company tracker'!$1:$1,0),FALSE()),"")</f>
        <v/>
      </c>
      <c r="H484" s="1" t="str">
        <f aca="false">IFERROR(VLOOKUP(A484,'company tracker'!$a:$s,MATCH("Jun 2026 Referring Domains",'company tracker'!$1:$1,0),FALSE()),"")</f>
        <v/>
      </c>
    </row>
    <row r="485" customFormat="false" ht="15" hidden="false" customHeight="true" outlineLevel="0" collapsed="false">
      <c r="B485" s="1" t="str">
        <f aca="false">IFERROR(VLOOKUP(A485,'company tracker'!$a:$s,MATCH("Category",'company tracker'!$1:$1,0),FALSE()),"")</f>
        <v/>
      </c>
      <c r="C485" s="1" t="str">
        <f aca="false">IFERROR(VLOOKUP(A485,'Pass 1 Archive'!$A:$AD,MATCH("LinkedIn Employee Count",'Pass 1 Archive'!$1:$1,0),FALSE()),"")</f>
        <v/>
      </c>
      <c r="D485" s="1" t="str">
        <f aca="false">IFERROR(VLOOKUP(A485,'company tracker'!$a:$s,MATCH("Jan 2025 Traffic",'company tracker'!$1:$1,0),FALSE()),"")</f>
        <v/>
      </c>
      <c r="E485" s="1" t="str">
        <f aca="false">IFERROR(VLOOKUP(A485,'company tracker'!$a:$s,MATCH("Jun 2026 Traffic",'company tracker'!$1:$1,0),FALSE()),"")</f>
        <v/>
      </c>
      <c r="F485" s="1" t="str">
        <f aca="false">IFERROR(VLOOKUP(A485,'company tracker'!$a:$s,MATCH("Traffic % Change",'company tracker'!$1:$1,0),FALSE()),"")</f>
        <v/>
      </c>
      <c r="G485" s="1" t="str">
        <f aca="false">IFERROR(VLOOKUP(A485,'company tracker'!$a:$s,MATCH("Jan 2025 Referring Domains",'company tracker'!$1:$1,0),FALSE()),"")</f>
        <v/>
      </c>
      <c r="H485" s="1" t="str">
        <f aca="false">IFERROR(VLOOKUP(A485,'company tracker'!$a:$s,MATCH("Jun 2026 Referring Domains",'company tracker'!$1:$1,0),FALSE()),"")</f>
        <v/>
      </c>
    </row>
    <row r="486" customFormat="false" ht="15" hidden="false" customHeight="true" outlineLevel="0" collapsed="false">
      <c r="B486" s="1" t="str">
        <f aca="false">IFERROR(VLOOKUP(A486,'company tracker'!$a:$s,MATCH("Category",'company tracker'!$1:$1,0),FALSE()),"")</f>
        <v/>
      </c>
      <c r="C486" s="1" t="str">
        <f aca="false">IFERROR(VLOOKUP(A486,'Pass 1 Archive'!$A:$AD,MATCH("LinkedIn Employee Count",'Pass 1 Archive'!$1:$1,0),FALSE()),"")</f>
        <v/>
      </c>
      <c r="D486" s="1" t="str">
        <f aca="false">IFERROR(VLOOKUP(A486,'company tracker'!$a:$s,MATCH("Jan 2025 Traffic",'company tracker'!$1:$1,0),FALSE()),"")</f>
        <v/>
      </c>
      <c r="E486" s="1" t="str">
        <f aca="false">IFERROR(VLOOKUP(A486,'company tracker'!$a:$s,MATCH("Jun 2026 Traffic",'company tracker'!$1:$1,0),FALSE()),"")</f>
        <v/>
      </c>
      <c r="F486" s="1" t="str">
        <f aca="false">IFERROR(VLOOKUP(A486,'company tracker'!$a:$s,MATCH("Traffic % Change",'company tracker'!$1:$1,0),FALSE()),"")</f>
        <v/>
      </c>
      <c r="G486" s="1" t="str">
        <f aca="false">IFERROR(VLOOKUP(A486,'company tracker'!$a:$s,MATCH("Jan 2025 Referring Domains",'company tracker'!$1:$1,0),FALSE()),"")</f>
        <v/>
      </c>
      <c r="H486" s="1" t="str">
        <f aca="false">IFERROR(VLOOKUP(A486,'company tracker'!$a:$s,MATCH("Jun 2026 Referring Domains",'company tracker'!$1:$1,0),FALSE()),"")</f>
        <v/>
      </c>
    </row>
    <row r="487" customFormat="false" ht="15" hidden="false" customHeight="true" outlineLevel="0" collapsed="false">
      <c r="B487" s="1" t="str">
        <f aca="false">IFERROR(VLOOKUP(A487,'company tracker'!$a:$s,MATCH("Category",'company tracker'!$1:$1,0),FALSE()),"")</f>
        <v/>
      </c>
      <c r="C487" s="1" t="str">
        <f aca="false">IFERROR(VLOOKUP(A487,'Pass 1 Archive'!$A:$AD,MATCH("LinkedIn Employee Count",'Pass 1 Archive'!$1:$1,0),FALSE()),"")</f>
        <v/>
      </c>
      <c r="D487" s="1" t="str">
        <f aca="false">IFERROR(VLOOKUP(A487,'company tracker'!$a:$s,MATCH("Jan 2025 Traffic",'company tracker'!$1:$1,0),FALSE()),"")</f>
        <v/>
      </c>
      <c r="E487" s="1" t="str">
        <f aca="false">IFERROR(VLOOKUP(A487,'company tracker'!$a:$s,MATCH("Jun 2026 Traffic",'company tracker'!$1:$1,0),FALSE()),"")</f>
        <v/>
      </c>
      <c r="F487" s="1" t="str">
        <f aca="false">IFERROR(VLOOKUP(A487,'company tracker'!$a:$s,MATCH("Traffic % Change",'company tracker'!$1:$1,0),FALSE()),"")</f>
        <v/>
      </c>
      <c r="G487" s="1" t="str">
        <f aca="false">IFERROR(VLOOKUP(A487,'company tracker'!$a:$s,MATCH("Jan 2025 Referring Domains",'company tracker'!$1:$1,0),FALSE()),"")</f>
        <v/>
      </c>
      <c r="H487" s="1" t="str">
        <f aca="false">IFERROR(VLOOKUP(A487,'company tracker'!$a:$s,MATCH("Jun 2026 Referring Domains",'company tracker'!$1:$1,0),FALSE()),"")</f>
        <v/>
      </c>
    </row>
    <row r="488" customFormat="false" ht="15" hidden="false" customHeight="true" outlineLevel="0" collapsed="false">
      <c r="B488" s="1" t="str">
        <f aca="false">IFERROR(VLOOKUP(A488,'company tracker'!$a:$s,MATCH("Category",'company tracker'!$1:$1,0),FALSE()),"")</f>
        <v/>
      </c>
      <c r="C488" s="1" t="str">
        <f aca="false">IFERROR(VLOOKUP(A488,'Pass 1 Archive'!$A:$AD,MATCH("LinkedIn Employee Count",'Pass 1 Archive'!$1:$1,0),FALSE()),"")</f>
        <v/>
      </c>
      <c r="D488" s="1" t="str">
        <f aca="false">IFERROR(VLOOKUP(A488,'company tracker'!$a:$s,MATCH("Jan 2025 Traffic",'company tracker'!$1:$1,0),FALSE()),"")</f>
        <v/>
      </c>
      <c r="E488" s="1" t="str">
        <f aca="false">IFERROR(VLOOKUP(A488,'company tracker'!$a:$s,MATCH("Jun 2026 Traffic",'company tracker'!$1:$1,0),FALSE()),"")</f>
        <v/>
      </c>
      <c r="F488" s="1" t="str">
        <f aca="false">IFERROR(VLOOKUP(A488,'company tracker'!$a:$s,MATCH("Traffic % Change",'company tracker'!$1:$1,0),FALSE()),"")</f>
        <v/>
      </c>
      <c r="G488" s="1" t="str">
        <f aca="false">IFERROR(VLOOKUP(A488,'company tracker'!$a:$s,MATCH("Jan 2025 Referring Domains",'company tracker'!$1:$1,0),FALSE()),"")</f>
        <v/>
      </c>
      <c r="H488" s="1" t="str">
        <f aca="false">IFERROR(VLOOKUP(A488,'company tracker'!$a:$s,MATCH("Jun 2026 Referring Domains",'company tracker'!$1:$1,0),FALSE()),"")</f>
        <v/>
      </c>
    </row>
    <row r="489" customFormat="false" ht="15" hidden="false" customHeight="true" outlineLevel="0" collapsed="false">
      <c r="B489" s="1" t="str">
        <f aca="false">IFERROR(VLOOKUP(A489,'company tracker'!$a:$s,MATCH("Category",'company tracker'!$1:$1,0),FALSE()),"")</f>
        <v/>
      </c>
      <c r="C489" s="1" t="str">
        <f aca="false">IFERROR(VLOOKUP(A489,'Pass 1 Archive'!$A:$AD,MATCH("LinkedIn Employee Count",'Pass 1 Archive'!$1:$1,0),FALSE()),"")</f>
        <v/>
      </c>
      <c r="D489" s="1" t="str">
        <f aca="false">IFERROR(VLOOKUP(A489,'company tracker'!$a:$s,MATCH("Jan 2025 Traffic",'company tracker'!$1:$1,0),FALSE()),"")</f>
        <v/>
      </c>
      <c r="E489" s="1" t="str">
        <f aca="false">IFERROR(VLOOKUP(A489,'company tracker'!$a:$s,MATCH("Jun 2026 Traffic",'company tracker'!$1:$1,0),FALSE()),"")</f>
        <v/>
      </c>
      <c r="F489" s="1" t="str">
        <f aca="false">IFERROR(VLOOKUP(A489,'company tracker'!$a:$s,MATCH("Traffic % Change",'company tracker'!$1:$1,0),FALSE()),"")</f>
        <v/>
      </c>
      <c r="G489" s="1" t="str">
        <f aca="false">IFERROR(VLOOKUP(A489,'company tracker'!$a:$s,MATCH("Jan 2025 Referring Domains",'company tracker'!$1:$1,0),FALSE()),"")</f>
        <v/>
      </c>
      <c r="H489" s="1" t="str">
        <f aca="false">IFERROR(VLOOKUP(A489,'company tracker'!$a:$s,MATCH("Jun 2026 Referring Domains",'company tracker'!$1:$1,0),FALSE()),"")</f>
        <v/>
      </c>
    </row>
    <row r="490" customFormat="false" ht="15" hidden="false" customHeight="true" outlineLevel="0" collapsed="false">
      <c r="B490" s="1" t="str">
        <f aca="false">IFERROR(VLOOKUP(A490,'company tracker'!$a:$s,MATCH("Category",'company tracker'!$1:$1,0),FALSE()),"")</f>
        <v/>
      </c>
      <c r="C490" s="1" t="str">
        <f aca="false">IFERROR(VLOOKUP(A490,'Pass 1 Archive'!$A:$AD,MATCH("LinkedIn Employee Count",'Pass 1 Archive'!$1:$1,0),FALSE()),"")</f>
        <v/>
      </c>
      <c r="D490" s="1" t="str">
        <f aca="false">IFERROR(VLOOKUP(A490,'company tracker'!$a:$s,MATCH("Jan 2025 Traffic",'company tracker'!$1:$1,0),FALSE()),"")</f>
        <v/>
      </c>
      <c r="E490" s="1" t="str">
        <f aca="false">IFERROR(VLOOKUP(A490,'company tracker'!$a:$s,MATCH("Jun 2026 Traffic",'company tracker'!$1:$1,0),FALSE()),"")</f>
        <v/>
      </c>
      <c r="F490" s="1" t="str">
        <f aca="false">IFERROR(VLOOKUP(A490,'company tracker'!$a:$s,MATCH("Traffic % Change",'company tracker'!$1:$1,0),FALSE()),"")</f>
        <v/>
      </c>
      <c r="G490" s="1" t="str">
        <f aca="false">IFERROR(VLOOKUP(A490,'company tracker'!$a:$s,MATCH("Jan 2025 Referring Domains",'company tracker'!$1:$1,0),FALSE()),"")</f>
        <v/>
      </c>
      <c r="H490" s="1" t="str">
        <f aca="false">IFERROR(VLOOKUP(A490,'company tracker'!$a:$s,MATCH("Jun 2026 Referring Domains",'company tracker'!$1:$1,0),FALSE()),"")</f>
        <v/>
      </c>
    </row>
    <row r="491" customFormat="false" ht="15" hidden="false" customHeight="true" outlineLevel="0" collapsed="false">
      <c r="B491" s="1" t="str">
        <f aca="false">IFERROR(VLOOKUP(A491,'company tracker'!$a:$s,MATCH("Category",'company tracker'!$1:$1,0),FALSE()),"")</f>
        <v/>
      </c>
      <c r="C491" s="1" t="str">
        <f aca="false">IFERROR(VLOOKUP(A491,'Pass 1 Archive'!$A:$AD,MATCH("LinkedIn Employee Count",'Pass 1 Archive'!$1:$1,0),FALSE()),"")</f>
        <v/>
      </c>
      <c r="D491" s="1" t="str">
        <f aca="false">IFERROR(VLOOKUP(A491,'company tracker'!$a:$s,MATCH("Jan 2025 Traffic",'company tracker'!$1:$1,0),FALSE()),"")</f>
        <v/>
      </c>
      <c r="E491" s="1" t="str">
        <f aca="false">IFERROR(VLOOKUP(A491,'company tracker'!$a:$s,MATCH("Jun 2026 Traffic",'company tracker'!$1:$1,0),FALSE()),"")</f>
        <v/>
      </c>
      <c r="F491" s="1" t="str">
        <f aca="false">IFERROR(VLOOKUP(A491,'company tracker'!$a:$s,MATCH("Traffic % Change",'company tracker'!$1:$1,0),FALSE()),"")</f>
        <v/>
      </c>
      <c r="G491" s="1" t="str">
        <f aca="false">IFERROR(VLOOKUP(A491,'company tracker'!$a:$s,MATCH("Jan 2025 Referring Domains",'company tracker'!$1:$1,0),FALSE()),"")</f>
        <v/>
      </c>
      <c r="H491" s="1" t="str">
        <f aca="false">IFERROR(VLOOKUP(A491,'company tracker'!$a:$s,MATCH("Jun 2026 Referring Domains",'company tracker'!$1:$1,0),FALSE()),"")</f>
        <v/>
      </c>
    </row>
    <row r="492" customFormat="false" ht="15" hidden="false" customHeight="true" outlineLevel="0" collapsed="false">
      <c r="B492" s="1" t="str">
        <f aca="false">IFERROR(VLOOKUP(A492,'company tracker'!$a:$s,MATCH("Category",'company tracker'!$1:$1,0),FALSE()),"")</f>
        <v/>
      </c>
      <c r="C492" s="1" t="str">
        <f aca="false">IFERROR(VLOOKUP(A492,'Pass 1 Archive'!$A:$AD,MATCH("LinkedIn Employee Count",'Pass 1 Archive'!$1:$1,0),FALSE()),"")</f>
        <v/>
      </c>
      <c r="D492" s="1" t="str">
        <f aca="false">IFERROR(VLOOKUP(A492,'company tracker'!$a:$s,MATCH("Jan 2025 Traffic",'company tracker'!$1:$1,0),FALSE()),"")</f>
        <v/>
      </c>
      <c r="E492" s="1" t="str">
        <f aca="false">IFERROR(VLOOKUP(A492,'company tracker'!$a:$s,MATCH("Jun 2026 Traffic",'company tracker'!$1:$1,0),FALSE()),"")</f>
        <v/>
      </c>
      <c r="F492" s="1" t="str">
        <f aca="false">IFERROR(VLOOKUP(A492,'company tracker'!$a:$s,MATCH("Traffic % Change",'company tracker'!$1:$1,0),FALSE()),"")</f>
        <v/>
      </c>
      <c r="G492" s="1" t="str">
        <f aca="false">IFERROR(VLOOKUP(A492,'company tracker'!$a:$s,MATCH("Jan 2025 Referring Domains",'company tracker'!$1:$1,0),FALSE()),"")</f>
        <v/>
      </c>
      <c r="H492" s="1" t="str">
        <f aca="false">IFERROR(VLOOKUP(A492,'company tracker'!$a:$s,MATCH("Jun 2026 Referring Domains",'company tracker'!$1:$1,0),FALSE()),"")</f>
        <v/>
      </c>
    </row>
    <row r="493" customFormat="false" ht="15" hidden="false" customHeight="true" outlineLevel="0" collapsed="false">
      <c r="B493" s="1" t="str">
        <f aca="false">IFERROR(VLOOKUP(A493,'company tracker'!$a:$s,MATCH("Category",'company tracker'!$1:$1,0),FALSE()),"")</f>
        <v/>
      </c>
      <c r="C493" s="1" t="str">
        <f aca="false">IFERROR(VLOOKUP(A493,'Pass 1 Archive'!$A:$AD,MATCH("LinkedIn Employee Count",'Pass 1 Archive'!$1:$1,0),FALSE()),"")</f>
        <v/>
      </c>
      <c r="D493" s="1" t="str">
        <f aca="false">IFERROR(VLOOKUP(A493,'company tracker'!$a:$s,MATCH("Jan 2025 Traffic",'company tracker'!$1:$1,0),FALSE()),"")</f>
        <v/>
      </c>
      <c r="E493" s="1" t="str">
        <f aca="false">IFERROR(VLOOKUP(A493,'company tracker'!$a:$s,MATCH("Jun 2026 Traffic",'company tracker'!$1:$1,0),FALSE()),"")</f>
        <v/>
      </c>
      <c r="F493" s="1" t="str">
        <f aca="false">IFERROR(VLOOKUP(A493,'company tracker'!$a:$s,MATCH("Traffic % Change",'company tracker'!$1:$1,0),FALSE()),"")</f>
        <v/>
      </c>
      <c r="G493" s="1" t="str">
        <f aca="false">IFERROR(VLOOKUP(A493,'company tracker'!$a:$s,MATCH("Jan 2025 Referring Domains",'company tracker'!$1:$1,0),FALSE()),"")</f>
        <v/>
      </c>
      <c r="H493" s="1" t="str">
        <f aca="false">IFERROR(VLOOKUP(A493,'company tracker'!$a:$s,MATCH("Jun 2026 Referring Domains",'company tracker'!$1:$1,0),FALSE()),"")</f>
        <v/>
      </c>
    </row>
    <row r="494" customFormat="false" ht="15" hidden="false" customHeight="true" outlineLevel="0" collapsed="false">
      <c r="B494" s="1" t="str">
        <f aca="false">IFERROR(VLOOKUP(A494,'company tracker'!$a:$s,MATCH("Category",'company tracker'!$1:$1,0),FALSE()),"")</f>
        <v/>
      </c>
      <c r="C494" s="1" t="str">
        <f aca="false">IFERROR(VLOOKUP(A494,'Pass 1 Archive'!$A:$AD,MATCH("LinkedIn Employee Count",'Pass 1 Archive'!$1:$1,0),FALSE()),"")</f>
        <v/>
      </c>
      <c r="D494" s="1" t="str">
        <f aca="false">IFERROR(VLOOKUP(A494,'company tracker'!$a:$s,MATCH("Jan 2025 Traffic",'company tracker'!$1:$1,0),FALSE()),"")</f>
        <v/>
      </c>
      <c r="E494" s="1" t="str">
        <f aca="false">IFERROR(VLOOKUP(A494,'company tracker'!$a:$s,MATCH("Jun 2026 Traffic",'company tracker'!$1:$1,0),FALSE()),"")</f>
        <v/>
      </c>
      <c r="F494" s="1" t="str">
        <f aca="false">IFERROR(VLOOKUP(A494,'company tracker'!$a:$s,MATCH("Traffic % Change",'company tracker'!$1:$1,0),FALSE()),"")</f>
        <v/>
      </c>
      <c r="G494" s="1" t="str">
        <f aca="false">IFERROR(VLOOKUP(A494,'company tracker'!$a:$s,MATCH("Jan 2025 Referring Domains",'company tracker'!$1:$1,0),FALSE()),"")</f>
        <v/>
      </c>
      <c r="H494" s="1" t="str">
        <f aca="false">IFERROR(VLOOKUP(A494,'company tracker'!$a:$s,MATCH("Jun 2026 Referring Domains",'company tracker'!$1:$1,0),FALSE()),"")</f>
        <v/>
      </c>
    </row>
    <row r="495" customFormat="false" ht="15" hidden="false" customHeight="true" outlineLevel="0" collapsed="false">
      <c r="B495" s="1" t="str">
        <f aca="false">IFERROR(VLOOKUP(A495,'company tracker'!$a:$s,MATCH("Category",'company tracker'!$1:$1,0),FALSE()),"")</f>
        <v/>
      </c>
      <c r="C495" s="1" t="str">
        <f aca="false">IFERROR(VLOOKUP(A495,'Pass 1 Archive'!$A:$AD,MATCH("LinkedIn Employee Count",'Pass 1 Archive'!$1:$1,0),FALSE()),"")</f>
        <v/>
      </c>
      <c r="D495" s="1" t="str">
        <f aca="false">IFERROR(VLOOKUP(A495,'company tracker'!$a:$s,MATCH("Jan 2025 Traffic",'company tracker'!$1:$1,0),FALSE()),"")</f>
        <v/>
      </c>
      <c r="E495" s="1" t="str">
        <f aca="false">IFERROR(VLOOKUP(A495,'company tracker'!$a:$s,MATCH("Jun 2026 Traffic",'company tracker'!$1:$1,0),FALSE()),"")</f>
        <v/>
      </c>
      <c r="F495" s="1" t="str">
        <f aca="false">IFERROR(VLOOKUP(A495,'company tracker'!$a:$s,MATCH("Traffic % Change",'company tracker'!$1:$1,0),FALSE()),"")</f>
        <v/>
      </c>
      <c r="G495" s="1" t="str">
        <f aca="false">IFERROR(VLOOKUP(A495,'company tracker'!$a:$s,MATCH("Jan 2025 Referring Domains",'company tracker'!$1:$1,0),FALSE()),"")</f>
        <v/>
      </c>
      <c r="H495" s="1" t="str">
        <f aca="false">IFERROR(VLOOKUP(A495,'company tracker'!$a:$s,MATCH("Jun 2026 Referring Domains",'company tracker'!$1:$1,0),FALSE()),"")</f>
        <v/>
      </c>
    </row>
    <row r="496" customFormat="false" ht="15" hidden="false" customHeight="true" outlineLevel="0" collapsed="false">
      <c r="B496" s="1" t="str">
        <f aca="false">IFERROR(VLOOKUP(A496,'company tracker'!$a:$s,MATCH("Category",'company tracker'!$1:$1,0),FALSE()),"")</f>
        <v/>
      </c>
      <c r="C496" s="1" t="str">
        <f aca="false">IFERROR(VLOOKUP(A496,'Pass 1 Archive'!$A:$AD,MATCH("LinkedIn Employee Count",'Pass 1 Archive'!$1:$1,0),FALSE()),"")</f>
        <v/>
      </c>
      <c r="D496" s="1" t="str">
        <f aca="false">IFERROR(VLOOKUP(A496,'company tracker'!$a:$s,MATCH("Jan 2025 Traffic",'company tracker'!$1:$1,0),FALSE()),"")</f>
        <v/>
      </c>
      <c r="E496" s="1" t="str">
        <f aca="false">IFERROR(VLOOKUP(A496,'company tracker'!$a:$s,MATCH("Jun 2026 Traffic",'company tracker'!$1:$1,0),FALSE()),"")</f>
        <v/>
      </c>
      <c r="F496" s="1" t="str">
        <f aca="false">IFERROR(VLOOKUP(A496,'company tracker'!$a:$s,MATCH("Traffic % Change",'company tracker'!$1:$1,0),FALSE()),"")</f>
        <v/>
      </c>
      <c r="G496" s="1" t="str">
        <f aca="false">IFERROR(VLOOKUP(A496,'company tracker'!$a:$s,MATCH("Jan 2025 Referring Domains",'company tracker'!$1:$1,0),FALSE()),"")</f>
        <v/>
      </c>
      <c r="H496" s="1" t="str">
        <f aca="false">IFERROR(VLOOKUP(A496,'company tracker'!$a:$s,MATCH("Jun 2026 Referring Domains",'company tracker'!$1:$1,0),FALSE()),"")</f>
        <v/>
      </c>
    </row>
    <row r="497" customFormat="false" ht="15" hidden="false" customHeight="true" outlineLevel="0" collapsed="false">
      <c r="B497" s="1" t="str">
        <f aca="false">IFERROR(VLOOKUP(A497,'company tracker'!$a:$s,MATCH("Category",'company tracker'!$1:$1,0),FALSE()),"")</f>
        <v/>
      </c>
      <c r="C497" s="1" t="str">
        <f aca="false">IFERROR(VLOOKUP(A497,'Pass 1 Archive'!$A:$AD,MATCH("LinkedIn Employee Count",'Pass 1 Archive'!$1:$1,0),FALSE()),"")</f>
        <v/>
      </c>
      <c r="D497" s="1" t="str">
        <f aca="false">IFERROR(VLOOKUP(A497,'company tracker'!$a:$s,MATCH("Jan 2025 Traffic",'company tracker'!$1:$1,0),FALSE()),"")</f>
        <v/>
      </c>
      <c r="E497" s="1" t="str">
        <f aca="false">IFERROR(VLOOKUP(A497,'company tracker'!$a:$s,MATCH("Jun 2026 Traffic",'company tracker'!$1:$1,0),FALSE()),"")</f>
        <v/>
      </c>
      <c r="F497" s="1" t="str">
        <f aca="false">IFERROR(VLOOKUP(A497,'company tracker'!$a:$s,MATCH("Traffic % Change",'company tracker'!$1:$1,0),FALSE()),"")</f>
        <v/>
      </c>
      <c r="G497" s="1" t="str">
        <f aca="false">IFERROR(VLOOKUP(A497,'company tracker'!$a:$s,MATCH("Jan 2025 Referring Domains",'company tracker'!$1:$1,0),FALSE()),"")</f>
        <v/>
      </c>
      <c r="H497" s="1" t="str">
        <f aca="false">IFERROR(VLOOKUP(A497,'company tracker'!$a:$s,MATCH("Jun 2026 Referring Domains",'company tracker'!$1:$1,0),FALSE()),"")</f>
        <v/>
      </c>
    </row>
    <row r="498" customFormat="false" ht="15" hidden="false" customHeight="true" outlineLevel="0" collapsed="false">
      <c r="B498" s="1" t="str">
        <f aca="false">IFERROR(VLOOKUP(A498,'company tracker'!$a:$s,MATCH("Category",'company tracker'!$1:$1,0),FALSE()),"")</f>
        <v/>
      </c>
      <c r="C498" s="1" t="str">
        <f aca="false">IFERROR(VLOOKUP(A498,'Pass 1 Archive'!$A:$AD,MATCH("LinkedIn Employee Count",'Pass 1 Archive'!$1:$1,0),FALSE()),"")</f>
        <v/>
      </c>
      <c r="D498" s="1" t="str">
        <f aca="false">IFERROR(VLOOKUP(A498,'company tracker'!$a:$s,MATCH("Jan 2025 Traffic",'company tracker'!$1:$1,0),FALSE()),"")</f>
        <v/>
      </c>
      <c r="E498" s="1" t="str">
        <f aca="false">IFERROR(VLOOKUP(A498,'company tracker'!$a:$s,MATCH("Jun 2026 Traffic",'company tracker'!$1:$1,0),FALSE()),"")</f>
        <v/>
      </c>
      <c r="F498" s="1" t="str">
        <f aca="false">IFERROR(VLOOKUP(A498,'company tracker'!$a:$s,MATCH("Traffic % Change",'company tracker'!$1:$1,0),FALSE()),"")</f>
        <v/>
      </c>
      <c r="G498" s="1" t="str">
        <f aca="false">IFERROR(VLOOKUP(A498,'company tracker'!$a:$s,MATCH("Jan 2025 Referring Domains",'company tracker'!$1:$1,0),FALSE()),"")</f>
        <v/>
      </c>
      <c r="H498" s="1" t="str">
        <f aca="false">IFERROR(VLOOKUP(A498,'company tracker'!$a:$s,MATCH("Jun 2026 Referring Domains",'company tracker'!$1:$1,0),FALSE()),"")</f>
        <v/>
      </c>
    </row>
    <row r="499" customFormat="false" ht="15" hidden="false" customHeight="true" outlineLevel="0" collapsed="false">
      <c r="B499" s="1" t="str">
        <f aca="false">IFERROR(VLOOKUP(A499,'company tracker'!$a:$s,MATCH("Category",'company tracker'!$1:$1,0),FALSE()),"")</f>
        <v/>
      </c>
      <c r="C499" s="1" t="str">
        <f aca="false">IFERROR(VLOOKUP(A499,'Pass 1 Archive'!$A:$AD,MATCH("LinkedIn Employee Count",'Pass 1 Archive'!$1:$1,0),FALSE()),"")</f>
        <v/>
      </c>
      <c r="D499" s="1" t="str">
        <f aca="false">IFERROR(VLOOKUP(A499,'company tracker'!$a:$s,MATCH("Jan 2025 Traffic",'company tracker'!$1:$1,0),FALSE()),"")</f>
        <v/>
      </c>
      <c r="E499" s="1" t="str">
        <f aca="false">IFERROR(VLOOKUP(A499,'company tracker'!$a:$s,MATCH("Jun 2026 Traffic",'company tracker'!$1:$1,0),FALSE()),"")</f>
        <v/>
      </c>
      <c r="F499" s="1" t="str">
        <f aca="false">IFERROR(VLOOKUP(A499,'company tracker'!$a:$s,MATCH("Traffic % Change",'company tracker'!$1:$1,0),FALSE()),"")</f>
        <v/>
      </c>
      <c r="G499" s="1" t="str">
        <f aca="false">IFERROR(VLOOKUP(A499,'company tracker'!$a:$s,MATCH("Jan 2025 Referring Domains",'company tracker'!$1:$1,0),FALSE()),"")</f>
        <v/>
      </c>
      <c r="H499" s="1" t="str">
        <f aca="false">IFERROR(VLOOKUP(A499,'company tracker'!$a:$s,MATCH("Jun 2026 Referring Domains",'company tracker'!$1:$1,0),FALSE()),"")</f>
        <v/>
      </c>
    </row>
    <row r="500" customFormat="false" ht="15" hidden="false" customHeight="true" outlineLevel="0" collapsed="false">
      <c r="B500" s="1" t="str">
        <f aca="false">IFERROR(VLOOKUP(A500,'company tracker'!$a:$s,MATCH("Category",'company tracker'!$1:$1,0),FALSE()),"")</f>
        <v/>
      </c>
      <c r="C500" s="1" t="str">
        <f aca="false">IFERROR(VLOOKUP(A500,'Pass 1 Archive'!$A:$AD,MATCH("LinkedIn Employee Count",'Pass 1 Archive'!$1:$1,0),FALSE()),"")</f>
        <v/>
      </c>
      <c r="D500" s="1" t="str">
        <f aca="false">IFERROR(VLOOKUP(A500,'company tracker'!$a:$s,MATCH("Jan 2025 Traffic",'company tracker'!$1:$1,0),FALSE()),"")</f>
        <v/>
      </c>
      <c r="E500" s="1" t="str">
        <f aca="false">IFERROR(VLOOKUP(A500,'company tracker'!$a:$s,MATCH("Jun 2026 Traffic",'company tracker'!$1:$1,0),FALSE()),"")</f>
        <v/>
      </c>
      <c r="F500" s="1" t="str">
        <f aca="false">IFERROR(VLOOKUP(A500,'company tracker'!$a:$s,MATCH("Traffic % Change",'company tracker'!$1:$1,0),FALSE()),"")</f>
        <v/>
      </c>
      <c r="G500" s="1" t="str">
        <f aca="false">IFERROR(VLOOKUP(A500,'company tracker'!$a:$s,MATCH("Jan 2025 Referring Domains",'company tracker'!$1:$1,0),FALSE()),"")</f>
        <v/>
      </c>
      <c r="H500" s="1" t="str">
        <f aca="false">IFERROR(VLOOKUP(A500,'company tracker'!$a:$s,MATCH("Jun 2026 Referring Domains",'company tracker'!$1:$1,0),FALSE()),"")</f>
        <v/>
      </c>
    </row>
  </sheetData>
  <dataValidations count="6">
    <dataValidation allowBlank="true" errorStyle="stop" operator="between" showDropDown="false" showErrorMessage="false" showInputMessage="false" sqref="K2:K501" type="list">
      <formula1>"Active,Minimal,Static"</formula1>
      <formula2>0</formula2>
    </dataValidation>
    <dataValidation allowBlank="true" errorStyle="stop" operator="between" showDropDown="false" showErrorMessage="false" showInputMessage="false" sqref="L2:L501" type="list">
      <formula1>"Present-underperforming,Absent,Unclear"</formula1>
      <formula2>0</formula2>
    </dataValidation>
    <dataValidation allowBlank="true" errorStyle="stop" operator="between" showDropDown="false" showErrorMessage="false" showInputMessage="false" sqref="N2:N501" type="list">
      <formula1>"Algorithm change,Lack of publishing,Competitive displacement,Product/market issue,Other,Unclear"</formula1>
      <formula2>0</formula2>
    </dataValidation>
    <dataValidation allowBlank="true" errorStyle="stop" operator="between" showDropDown="false" showErrorMessage="false" showInputMessage="false" sqref="P2:P501" type="list">
      <formula1>"High,Medium,Low,Unclear"</formula1>
      <formula2>0</formula2>
    </dataValidation>
    <dataValidation allowBlank="true" errorStyle="stop" operator="between" showDropDown="false" showErrorMessage="false" showInputMessage="false" sqref="Q2:Q501" type="list">
      <formula1>"Not Started,In Progress,Complete"</formula1>
      <formula2>0</formula2>
    </dataValidation>
    <dataValidation allowBlank="true" errorStyle="stop" operator="between" showDropDown="false" showErrorMessage="false" showInputMessage="false" sqref="R2:R50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4" min="3" style="1" width="16"/>
    <col collapsed="false" customWidth="true" hidden="false" outlineLevel="0" max="5" min="5" style="1" width="40"/>
    <col collapsed="false" customWidth="true" hidden="false" outlineLevel="0" max="6" min="6" style="1" width="36"/>
    <col collapsed="false" customWidth="true" hidden="false" outlineLevel="0" max="7" min="7" style="1" width="26"/>
    <col collapsed="false" customWidth="true" hidden="false" outlineLevel="0" max="8" min="8" style="1" width="12"/>
  </cols>
  <sheetData>
    <row r="1" customFormat="false" ht="33.75" hidden="false" customHeight="true" outlineLevel="0" collapsed="false">
      <c r="A1" s="9" t="s">
        <v>225</v>
      </c>
      <c r="B1" s="9" t="s">
        <v>91</v>
      </c>
      <c r="C1" s="9" t="s">
        <v>1436</v>
      </c>
      <c r="D1" s="9" t="s">
        <v>229</v>
      </c>
      <c r="E1" s="9" t="s">
        <v>231</v>
      </c>
      <c r="F1" s="9" t="s">
        <v>232</v>
      </c>
      <c r="G1" s="9" t="s">
        <v>233</v>
      </c>
      <c r="H1" s="9" t="s">
        <v>234</v>
      </c>
    </row>
    <row r="2" customFormat="false" ht="15" hidden="false" customHeight="true" outlineLevel="0" collapsed="false">
      <c r="A2" s="5"/>
      <c r="B2" s="5"/>
      <c r="C2" s="5"/>
      <c r="D2" s="5"/>
      <c r="E2" s="5"/>
      <c r="F2" s="5"/>
      <c r="G2" s="5"/>
      <c r="H2" s="5"/>
    </row>
    <row r="3" customFormat="false" ht="15" hidden="false" customHeight="true" outlineLevel="0" collapsed="false">
      <c r="A3" s="5"/>
      <c r="B3" s="5"/>
      <c r="C3" s="5"/>
      <c r="D3" s="5"/>
      <c r="E3" s="5"/>
      <c r="F3" s="5"/>
      <c r="G3" s="5"/>
      <c r="H3" s="5"/>
    </row>
    <row r="4" customFormat="false" ht="15" hidden="false" customHeight="true" outlineLevel="0" collapsed="false">
      <c r="A4" s="5"/>
      <c r="B4" s="5"/>
      <c r="C4" s="5"/>
      <c r="D4" s="5"/>
      <c r="E4" s="5"/>
      <c r="F4" s="5"/>
      <c r="G4" s="5"/>
      <c r="H4" s="5"/>
    </row>
    <row r="5" customFormat="false" ht="15" hidden="false" customHeight="true" outlineLevel="0" collapsed="false">
      <c r="A5" s="5"/>
      <c r="B5" s="5"/>
      <c r="C5" s="5"/>
      <c r="D5" s="5"/>
      <c r="E5" s="5"/>
      <c r="F5" s="5"/>
      <c r="G5" s="5"/>
      <c r="H5" s="5"/>
    </row>
    <row r="6" customFormat="false" ht="15" hidden="false" customHeight="true" outlineLevel="0" collapsed="false">
      <c r="A6" s="5"/>
      <c r="B6" s="5"/>
      <c r="C6" s="5"/>
      <c r="D6" s="5"/>
      <c r="E6" s="5"/>
      <c r="F6" s="5"/>
      <c r="G6" s="5"/>
      <c r="H6" s="5"/>
    </row>
    <row r="7" customFormat="false" ht="15" hidden="false" customHeight="true" outlineLevel="0" collapsed="false">
      <c r="A7" s="5"/>
      <c r="B7" s="5"/>
      <c r="C7" s="5"/>
      <c r="D7" s="5"/>
      <c r="E7" s="5"/>
      <c r="F7" s="5"/>
      <c r="G7" s="5"/>
      <c r="H7" s="5"/>
    </row>
    <row r="8" customFormat="false" ht="15" hidden="false" customHeight="true" outlineLevel="0" collapsed="false">
      <c r="A8" s="5"/>
      <c r="B8" s="5"/>
      <c r="C8" s="5"/>
      <c r="D8" s="5"/>
      <c r="E8" s="5"/>
      <c r="F8" s="5"/>
      <c r="G8" s="5"/>
      <c r="H8" s="5"/>
    </row>
    <row r="9" customFormat="false" ht="15" hidden="false" customHeight="true" outlineLevel="0" collapsed="false">
      <c r="A9" s="5"/>
      <c r="B9" s="5"/>
      <c r="C9" s="5"/>
      <c r="D9" s="5"/>
      <c r="E9" s="5"/>
      <c r="F9" s="5"/>
      <c r="G9" s="5"/>
      <c r="H9" s="5"/>
    </row>
    <row r="10" customFormat="false" ht="15" hidden="false" customHeight="true" outlineLevel="0" collapsed="false">
      <c r="A10" s="5"/>
      <c r="B10" s="5"/>
      <c r="C10" s="5"/>
      <c r="D10" s="5"/>
      <c r="E10" s="5"/>
      <c r="F10" s="5"/>
      <c r="G10" s="5"/>
      <c r="H10" s="5"/>
    </row>
    <row r="11" customFormat="false" ht="15" hidden="false" customHeight="true" outlineLevel="0" collapsed="false">
      <c r="A11" s="5"/>
      <c r="B11" s="5"/>
      <c r="C11" s="5"/>
      <c r="D11" s="5"/>
      <c r="E11" s="5"/>
      <c r="F11" s="5"/>
      <c r="G11" s="5"/>
      <c r="H11" s="5"/>
    </row>
    <row r="12" customFormat="false" ht="15" hidden="false" customHeight="true" outlineLevel="0" collapsed="false">
      <c r="A12" s="5"/>
      <c r="B12" s="5"/>
      <c r="C12" s="5"/>
      <c r="D12" s="5"/>
      <c r="E12" s="5"/>
      <c r="F12" s="5"/>
      <c r="G12" s="5"/>
      <c r="H12" s="5"/>
    </row>
    <row r="13" customFormat="false" ht="15" hidden="false" customHeight="true" outlineLevel="0" collapsed="false">
      <c r="A13" s="5"/>
      <c r="B13" s="5"/>
      <c r="C13" s="5"/>
      <c r="D13" s="5"/>
      <c r="E13" s="5"/>
      <c r="F13" s="5"/>
      <c r="G13" s="5"/>
      <c r="H13" s="5"/>
    </row>
    <row r="14" customFormat="false" ht="15" hidden="false" customHeight="true" outlineLevel="0" collapsed="false">
      <c r="A14" s="5"/>
      <c r="B14" s="5"/>
      <c r="C14" s="5"/>
      <c r="D14" s="5"/>
      <c r="E14" s="5"/>
      <c r="F14" s="5"/>
      <c r="G14" s="5"/>
      <c r="H14" s="5"/>
    </row>
    <row r="15" customFormat="false" ht="15" hidden="false" customHeight="true" outlineLevel="0" collapsed="false">
      <c r="A15" s="5"/>
      <c r="B15" s="5"/>
      <c r="C15" s="5"/>
      <c r="D15" s="5"/>
      <c r="E15" s="5"/>
      <c r="F15" s="5"/>
      <c r="G15" s="5"/>
      <c r="H15" s="5"/>
    </row>
    <row r="16" customFormat="false" ht="15" hidden="false" customHeight="true" outlineLevel="0" collapsed="false">
      <c r="A16" s="5"/>
      <c r="B16" s="5"/>
      <c r="C16" s="5"/>
      <c r="D16" s="5"/>
      <c r="E16" s="5"/>
      <c r="F16" s="5"/>
      <c r="G16" s="5"/>
      <c r="H16" s="5"/>
    </row>
    <row r="17" customFormat="false" ht="15" hidden="false" customHeight="true" outlineLevel="0" collapsed="false">
      <c r="A17" s="5"/>
      <c r="B17" s="5"/>
      <c r="C17" s="5"/>
      <c r="D17" s="5"/>
      <c r="E17" s="5"/>
      <c r="F17" s="5"/>
      <c r="G17" s="5"/>
      <c r="H17" s="5"/>
    </row>
    <row r="18" customFormat="false" ht="15" hidden="false" customHeight="true" outlineLevel="0" collapsed="false">
      <c r="A18" s="5"/>
      <c r="B18" s="5"/>
      <c r="C18" s="5"/>
      <c r="D18" s="5"/>
      <c r="E18" s="5"/>
      <c r="F18" s="5"/>
      <c r="G18" s="5"/>
      <c r="H18" s="5"/>
    </row>
    <row r="19" customFormat="false" ht="15" hidden="false" customHeight="true" outlineLevel="0" collapsed="false">
      <c r="A19" s="5"/>
      <c r="B19" s="5"/>
      <c r="C19" s="5"/>
      <c r="D19" s="5"/>
      <c r="E19" s="5"/>
      <c r="F19" s="5"/>
      <c r="G19" s="5"/>
      <c r="H19" s="5"/>
    </row>
    <row r="20" customFormat="false" ht="15" hidden="false" customHeight="true" outlineLevel="0" collapsed="false">
      <c r="A20" s="5"/>
      <c r="B20" s="5"/>
      <c r="C20" s="5"/>
      <c r="D20" s="5"/>
      <c r="E20" s="5"/>
      <c r="F20" s="5"/>
      <c r="G20" s="5"/>
      <c r="H20" s="5"/>
    </row>
    <row r="21" customFormat="false" ht="15" hidden="false" customHeight="true" outlineLevel="0" collapsed="false">
      <c r="A21" s="5"/>
      <c r="B21" s="5"/>
      <c r="C21" s="5"/>
      <c r="D21" s="5"/>
      <c r="E21" s="5"/>
      <c r="F21" s="5"/>
      <c r="G21" s="5"/>
      <c r="H21" s="5"/>
    </row>
    <row r="22" customFormat="false" ht="15" hidden="false" customHeight="true" outlineLevel="0" collapsed="false">
      <c r="A22" s="5"/>
      <c r="B22" s="5"/>
      <c r="C22" s="5"/>
      <c r="D22" s="5"/>
      <c r="E22" s="5"/>
      <c r="F22" s="5"/>
      <c r="G22" s="5"/>
      <c r="H22" s="5"/>
    </row>
    <row r="23" customFormat="false" ht="15" hidden="false" customHeight="true" outlineLevel="0" collapsed="false">
      <c r="A23" s="5"/>
      <c r="B23" s="5"/>
      <c r="C23" s="5"/>
      <c r="D23" s="5"/>
      <c r="E23" s="5"/>
      <c r="F23" s="5"/>
      <c r="G23" s="5"/>
      <c r="H23" s="5"/>
    </row>
    <row r="24" customFormat="false" ht="15" hidden="false" customHeight="true" outlineLevel="0" collapsed="false">
      <c r="A24" s="5"/>
      <c r="B24" s="5"/>
      <c r="C24" s="5"/>
      <c r="D24" s="5"/>
      <c r="E24" s="5"/>
      <c r="F24" s="5"/>
      <c r="G24" s="5"/>
      <c r="H24" s="5"/>
    </row>
    <row r="25" customFormat="false" ht="15" hidden="false" customHeight="true" outlineLevel="0" collapsed="false">
      <c r="A25" s="5"/>
      <c r="B25" s="5"/>
      <c r="C25" s="5"/>
      <c r="D25" s="5"/>
      <c r="E25" s="5"/>
      <c r="F25" s="5"/>
      <c r="G25" s="5"/>
      <c r="H25" s="5"/>
    </row>
    <row r="26" customFormat="false" ht="15" hidden="false" customHeight="true" outlineLevel="0" collapsed="false">
      <c r="A26" s="5"/>
      <c r="B26" s="5"/>
      <c r="C26" s="5"/>
      <c r="D26" s="5"/>
      <c r="E26" s="5"/>
      <c r="F26" s="5"/>
      <c r="G26" s="5"/>
      <c r="H26" s="5"/>
    </row>
    <row r="27" customFormat="false" ht="15" hidden="false" customHeight="true" outlineLevel="0" collapsed="false">
      <c r="A27" s="5"/>
      <c r="B27" s="5"/>
      <c r="C27" s="5"/>
      <c r="D27" s="5"/>
      <c r="E27" s="5"/>
      <c r="F27" s="5"/>
      <c r="G27" s="5"/>
      <c r="H27" s="5"/>
    </row>
    <row r="28" customFormat="false" ht="15" hidden="false" customHeight="true" outlineLevel="0" collapsed="false">
      <c r="A28" s="5"/>
      <c r="B28" s="5"/>
      <c r="C28" s="5"/>
      <c r="D28" s="5"/>
      <c r="E28" s="5"/>
      <c r="F28" s="5"/>
      <c r="G28" s="5"/>
      <c r="H28" s="5"/>
    </row>
    <row r="29" customFormat="false" ht="15" hidden="false" customHeight="true" outlineLevel="0" collapsed="false">
      <c r="A29" s="5"/>
      <c r="B29" s="5"/>
      <c r="C29" s="5"/>
      <c r="D29" s="5"/>
      <c r="E29" s="5"/>
      <c r="F29" s="5"/>
      <c r="G29" s="5"/>
      <c r="H29" s="5"/>
    </row>
    <row r="30" customFormat="false" ht="15" hidden="false" customHeight="true" outlineLevel="0" collapsed="false">
      <c r="A30" s="5"/>
      <c r="B30" s="5"/>
      <c r="C30" s="5"/>
      <c r="D30" s="5"/>
      <c r="E30" s="5"/>
      <c r="F30" s="5"/>
      <c r="G30" s="5"/>
      <c r="H30" s="5"/>
    </row>
    <row r="31" customFormat="false" ht="15" hidden="false" customHeight="true" outlineLevel="0" collapsed="false">
      <c r="A31" s="5"/>
      <c r="B31" s="5"/>
      <c r="C31" s="5"/>
      <c r="D31" s="5"/>
      <c r="E31" s="5"/>
      <c r="F31" s="5"/>
      <c r="G31" s="5"/>
      <c r="H31" s="5"/>
    </row>
    <row r="32" customFormat="false" ht="15" hidden="false" customHeight="true" outlineLevel="0" collapsed="false">
      <c r="A32" s="5"/>
      <c r="B32" s="5"/>
      <c r="C32" s="5"/>
      <c r="D32" s="5"/>
      <c r="E32" s="5"/>
      <c r="F32" s="5"/>
      <c r="G32" s="5"/>
      <c r="H32" s="5"/>
    </row>
    <row r="33" customFormat="false" ht="15" hidden="false" customHeight="true" outlineLevel="0" collapsed="false">
      <c r="A33" s="5"/>
      <c r="B33" s="5"/>
      <c r="C33" s="5"/>
      <c r="D33" s="5"/>
      <c r="E33" s="5"/>
      <c r="F33" s="5"/>
      <c r="G33" s="5"/>
      <c r="H33" s="5"/>
    </row>
    <row r="34" customFormat="false" ht="15" hidden="false" customHeight="true" outlineLevel="0" collapsed="false">
      <c r="A34" s="5"/>
      <c r="B34" s="5"/>
      <c r="C34" s="5"/>
      <c r="D34" s="5"/>
      <c r="E34" s="5"/>
      <c r="F34" s="5"/>
      <c r="G34" s="5"/>
      <c r="H34" s="5"/>
    </row>
    <row r="35" customFormat="false" ht="15" hidden="false" customHeight="true" outlineLevel="0" collapsed="false">
      <c r="A35" s="5"/>
      <c r="B35" s="5"/>
      <c r="C35" s="5"/>
      <c r="D35" s="5"/>
      <c r="E35" s="5"/>
      <c r="F35" s="5"/>
      <c r="G35" s="5"/>
      <c r="H35" s="5"/>
    </row>
    <row r="36" customFormat="false" ht="15" hidden="false" customHeight="true" outlineLevel="0" collapsed="false">
      <c r="A36" s="5"/>
      <c r="B36" s="5"/>
      <c r="C36" s="5"/>
      <c r="D36" s="5"/>
      <c r="E36" s="5"/>
      <c r="F36" s="5"/>
      <c r="G36" s="5"/>
      <c r="H36" s="5"/>
    </row>
    <row r="37" customFormat="false" ht="15" hidden="false" customHeight="true" outlineLevel="0" collapsed="false">
      <c r="A37" s="5"/>
      <c r="B37" s="5"/>
      <c r="C37" s="5"/>
      <c r="D37" s="5"/>
      <c r="E37" s="5"/>
      <c r="F37" s="5"/>
      <c r="G37" s="5"/>
      <c r="H37" s="5"/>
    </row>
    <row r="38" customFormat="false" ht="15" hidden="false" customHeight="true" outlineLevel="0" collapsed="false">
      <c r="A38" s="5"/>
      <c r="B38" s="5"/>
      <c r="C38" s="5"/>
      <c r="D38" s="5"/>
      <c r="E38" s="5"/>
      <c r="F38" s="5"/>
      <c r="G38" s="5"/>
      <c r="H38" s="5"/>
    </row>
    <row r="39" customFormat="false" ht="15" hidden="false" customHeight="true" outlineLevel="0" collapsed="false">
      <c r="A39" s="5"/>
      <c r="B39" s="5"/>
      <c r="C39" s="5"/>
      <c r="D39" s="5"/>
      <c r="E39" s="5"/>
      <c r="F39" s="5"/>
      <c r="G39" s="5"/>
      <c r="H39" s="5"/>
    </row>
    <row r="40" customFormat="false" ht="15" hidden="false" customHeight="true" outlineLevel="0" collapsed="false">
      <c r="A40" s="5"/>
      <c r="B40" s="5"/>
      <c r="C40" s="5"/>
      <c r="D40" s="5"/>
      <c r="E40" s="5"/>
      <c r="F40" s="5"/>
      <c r="G40" s="5"/>
      <c r="H40" s="5"/>
    </row>
    <row r="41" customFormat="false" ht="15" hidden="false" customHeight="true" outlineLevel="0" collapsed="false">
      <c r="A41" s="5"/>
      <c r="B41" s="5"/>
      <c r="C41" s="5"/>
      <c r="D41" s="5"/>
      <c r="E41" s="5"/>
      <c r="F41" s="5"/>
      <c r="G41" s="5"/>
      <c r="H41" s="5"/>
    </row>
    <row r="42" customFormat="false" ht="15" hidden="false" customHeight="true" outlineLevel="0" collapsed="false">
      <c r="A42" s="5"/>
      <c r="B42" s="5"/>
      <c r="C42" s="5"/>
      <c r="D42" s="5"/>
      <c r="E42" s="5"/>
      <c r="F42" s="5"/>
      <c r="G42" s="5"/>
      <c r="H42" s="5"/>
    </row>
    <row r="43" customFormat="false" ht="15" hidden="false" customHeight="true" outlineLevel="0" collapsed="false">
      <c r="A43" s="5"/>
      <c r="B43" s="5"/>
      <c r="C43" s="5"/>
      <c r="D43" s="5"/>
      <c r="E43" s="5"/>
      <c r="F43" s="5"/>
      <c r="G43" s="5"/>
      <c r="H43" s="5"/>
    </row>
    <row r="44" customFormat="false" ht="15" hidden="false" customHeight="true" outlineLevel="0" collapsed="false">
      <c r="A44" s="5"/>
      <c r="B44" s="5"/>
      <c r="C44" s="5"/>
      <c r="D44" s="5"/>
      <c r="E44" s="5"/>
      <c r="F44" s="5"/>
      <c r="G44" s="5"/>
      <c r="H44" s="5"/>
    </row>
    <row r="45" customFormat="false" ht="15" hidden="false" customHeight="true" outlineLevel="0" collapsed="false">
      <c r="A45" s="5"/>
      <c r="B45" s="5"/>
      <c r="C45" s="5"/>
      <c r="D45" s="5"/>
      <c r="E45" s="5"/>
      <c r="F45" s="5"/>
      <c r="G45" s="5"/>
      <c r="H45" s="5"/>
    </row>
    <row r="46" customFormat="false" ht="15" hidden="false" customHeight="true" outlineLevel="0" collapsed="false">
      <c r="A46" s="5"/>
      <c r="B46" s="5"/>
      <c r="C46" s="5"/>
      <c r="D46" s="5"/>
      <c r="E46" s="5"/>
      <c r="F46" s="5"/>
      <c r="G46" s="5"/>
      <c r="H46" s="5"/>
    </row>
    <row r="47" customFormat="false" ht="15" hidden="false" customHeight="true" outlineLevel="0" collapsed="false">
      <c r="A47" s="5"/>
      <c r="B47" s="5"/>
      <c r="C47" s="5"/>
      <c r="D47" s="5"/>
      <c r="E47" s="5"/>
      <c r="F47" s="5"/>
      <c r="G47" s="5"/>
      <c r="H47" s="5"/>
    </row>
    <row r="48" customFormat="false" ht="15" hidden="false" customHeight="true" outlineLevel="0" collapsed="false">
      <c r="A48" s="5"/>
      <c r="B48" s="5"/>
      <c r="C48" s="5"/>
      <c r="D48" s="5"/>
      <c r="E48" s="5"/>
      <c r="F48" s="5"/>
      <c r="G48" s="5"/>
      <c r="H48" s="5"/>
    </row>
    <row r="49" customFormat="false" ht="15" hidden="false" customHeight="true" outlineLevel="0" collapsed="false">
      <c r="A49" s="5"/>
      <c r="B49" s="5"/>
      <c r="C49" s="5"/>
      <c r="D49" s="5"/>
      <c r="E49" s="5"/>
      <c r="F49" s="5"/>
      <c r="G49" s="5"/>
      <c r="H49" s="5"/>
    </row>
    <row r="50" customFormat="false" ht="15" hidden="false" customHeight="true" outlineLevel="0" collapsed="false">
      <c r="A50" s="5"/>
      <c r="B50" s="5"/>
      <c r="C50" s="5"/>
      <c r="D50" s="5"/>
      <c r="E50" s="5"/>
      <c r="F50" s="5"/>
      <c r="G50" s="5"/>
      <c r="H50" s="5"/>
    </row>
    <row r="51" customFormat="false" ht="15" hidden="false" customHeight="true" outlineLevel="0" collapsed="false">
      <c r="A51" s="5"/>
      <c r="B51" s="5"/>
      <c r="C51" s="5"/>
      <c r="D51" s="5"/>
      <c r="E51" s="5"/>
      <c r="F51" s="5"/>
      <c r="G51" s="5"/>
      <c r="H51" s="5"/>
    </row>
    <row r="52" customFormat="false" ht="15" hidden="false" customHeight="true" outlineLevel="0" collapsed="false">
      <c r="A52" s="5"/>
      <c r="B52" s="5"/>
      <c r="C52" s="5"/>
      <c r="D52" s="5"/>
      <c r="E52" s="5"/>
      <c r="F52" s="5"/>
      <c r="G52" s="5"/>
      <c r="H52" s="5"/>
    </row>
    <row r="53" customFormat="false" ht="15" hidden="false" customHeight="true" outlineLevel="0" collapsed="false">
      <c r="A53" s="5"/>
      <c r="B53" s="5"/>
      <c r="C53" s="5"/>
      <c r="D53" s="5"/>
      <c r="E53" s="5"/>
      <c r="F53" s="5"/>
      <c r="G53" s="5"/>
      <c r="H53" s="5"/>
    </row>
    <row r="54" customFormat="false" ht="15" hidden="false" customHeight="true" outlineLevel="0" collapsed="false">
      <c r="A54" s="5"/>
      <c r="B54" s="5"/>
      <c r="C54" s="5"/>
      <c r="D54" s="5"/>
      <c r="E54" s="5"/>
      <c r="F54" s="5"/>
      <c r="G54" s="5"/>
      <c r="H54" s="5"/>
    </row>
    <row r="55" customFormat="false" ht="15" hidden="false" customHeight="true" outlineLevel="0" collapsed="false">
      <c r="A55" s="5"/>
      <c r="B55" s="5"/>
      <c r="C55" s="5"/>
      <c r="D55" s="5"/>
      <c r="E55" s="5"/>
      <c r="F55" s="5"/>
      <c r="G55" s="5"/>
      <c r="H55" s="5"/>
    </row>
    <row r="56" customFormat="false" ht="15" hidden="false" customHeight="true" outlineLevel="0" collapsed="false">
      <c r="A56" s="5"/>
      <c r="B56" s="5"/>
      <c r="C56" s="5"/>
      <c r="D56" s="5"/>
      <c r="E56" s="5"/>
      <c r="F56" s="5"/>
      <c r="G56" s="5"/>
      <c r="H56" s="5"/>
    </row>
    <row r="57" customFormat="false" ht="15" hidden="false" customHeight="true" outlineLevel="0" collapsed="false">
      <c r="A57" s="5"/>
      <c r="B57" s="5"/>
      <c r="C57" s="5"/>
      <c r="D57" s="5"/>
      <c r="E57" s="5"/>
      <c r="F57" s="5"/>
      <c r="G57" s="5"/>
      <c r="H57" s="5"/>
    </row>
    <row r="58" customFormat="false" ht="15" hidden="false" customHeight="true" outlineLevel="0" collapsed="false">
      <c r="A58" s="5"/>
      <c r="B58" s="5"/>
      <c r="C58" s="5"/>
      <c r="D58" s="5"/>
      <c r="E58" s="5"/>
      <c r="F58" s="5"/>
      <c r="G58" s="5"/>
      <c r="H58" s="5"/>
    </row>
    <row r="59" customFormat="false" ht="15" hidden="false" customHeight="true" outlineLevel="0" collapsed="false">
      <c r="A59" s="5"/>
      <c r="B59" s="5"/>
      <c r="C59" s="5"/>
      <c r="D59" s="5"/>
      <c r="E59" s="5"/>
      <c r="F59" s="5"/>
      <c r="G59" s="5"/>
      <c r="H59" s="5"/>
    </row>
    <row r="60" customFormat="false" ht="15" hidden="false" customHeight="true" outlineLevel="0" collapsed="false">
      <c r="A60" s="5"/>
      <c r="B60" s="5"/>
      <c r="C60" s="5"/>
      <c r="D60" s="5"/>
      <c r="E60" s="5"/>
      <c r="F60" s="5"/>
      <c r="G60" s="5"/>
      <c r="H60" s="5"/>
    </row>
    <row r="61" customFormat="false" ht="15" hidden="false" customHeight="true" outlineLevel="0" collapsed="false">
      <c r="A61" s="5"/>
      <c r="B61" s="5"/>
      <c r="C61" s="5"/>
      <c r="D61" s="5"/>
      <c r="E61" s="5"/>
      <c r="F61" s="5"/>
      <c r="G61" s="5"/>
      <c r="H61" s="5"/>
    </row>
    <row r="62" customFormat="false" ht="15" hidden="false" customHeight="true" outlineLevel="0" collapsed="false">
      <c r="A62" s="5"/>
      <c r="B62" s="5"/>
      <c r="C62" s="5"/>
      <c r="D62" s="5"/>
      <c r="E62" s="5"/>
      <c r="F62" s="5"/>
      <c r="G62" s="5"/>
      <c r="H62" s="5"/>
    </row>
    <row r="63" customFormat="false" ht="15" hidden="false" customHeight="true" outlineLevel="0" collapsed="false">
      <c r="A63" s="5"/>
      <c r="B63" s="5"/>
      <c r="C63" s="5"/>
      <c r="D63" s="5"/>
      <c r="E63" s="5"/>
      <c r="F63" s="5"/>
      <c r="G63" s="5"/>
      <c r="H63" s="5"/>
    </row>
    <row r="64" customFormat="false" ht="15" hidden="false" customHeight="true" outlineLevel="0" collapsed="false">
      <c r="A64" s="5"/>
      <c r="B64" s="5"/>
      <c r="C64" s="5"/>
      <c r="D64" s="5"/>
      <c r="E64" s="5"/>
      <c r="F64" s="5"/>
      <c r="G64" s="5"/>
      <c r="H64" s="5"/>
    </row>
    <row r="65" customFormat="false" ht="15" hidden="false" customHeight="true" outlineLevel="0" collapsed="false">
      <c r="A65" s="5"/>
      <c r="B65" s="5"/>
      <c r="C65" s="5"/>
      <c r="D65" s="5"/>
      <c r="E65" s="5"/>
      <c r="F65" s="5"/>
      <c r="G65" s="5"/>
      <c r="H65" s="5"/>
    </row>
    <row r="66" customFormat="false" ht="15" hidden="false" customHeight="true" outlineLevel="0" collapsed="false">
      <c r="A66" s="5"/>
      <c r="B66" s="5"/>
      <c r="C66" s="5"/>
      <c r="D66" s="5"/>
      <c r="E66" s="5"/>
      <c r="F66" s="5"/>
      <c r="G66" s="5"/>
      <c r="H66" s="5"/>
    </row>
    <row r="67" customFormat="false" ht="15" hidden="false" customHeight="true" outlineLevel="0" collapsed="false">
      <c r="A67" s="5"/>
      <c r="B67" s="5"/>
      <c r="C67" s="5"/>
      <c r="D67" s="5"/>
      <c r="E67" s="5"/>
      <c r="F67" s="5"/>
      <c r="G67" s="5"/>
      <c r="H67" s="5"/>
    </row>
    <row r="68" customFormat="false" ht="15" hidden="false" customHeight="true" outlineLevel="0" collapsed="false">
      <c r="A68" s="5"/>
      <c r="B68" s="5"/>
      <c r="C68" s="5"/>
      <c r="D68" s="5"/>
      <c r="E68" s="5"/>
      <c r="F68" s="5"/>
      <c r="G68" s="5"/>
      <c r="H68" s="5"/>
    </row>
    <row r="69" customFormat="false" ht="15" hidden="false" customHeight="true" outlineLevel="0" collapsed="false">
      <c r="A69" s="5"/>
      <c r="B69" s="5"/>
      <c r="C69" s="5"/>
      <c r="D69" s="5"/>
      <c r="E69" s="5"/>
      <c r="F69" s="5"/>
      <c r="G69" s="5"/>
      <c r="H69" s="5"/>
    </row>
    <row r="70" customFormat="false" ht="15" hidden="false" customHeight="true" outlineLevel="0" collapsed="false">
      <c r="A70" s="5"/>
      <c r="B70" s="5"/>
      <c r="C70" s="5"/>
      <c r="D70" s="5"/>
      <c r="E70" s="5"/>
      <c r="F70" s="5"/>
      <c r="G70" s="5"/>
      <c r="H70" s="5"/>
    </row>
    <row r="71" customFormat="false" ht="15" hidden="false" customHeight="true" outlineLevel="0" collapsed="false">
      <c r="A71" s="5"/>
      <c r="B71" s="5"/>
      <c r="C71" s="5"/>
      <c r="D71" s="5"/>
      <c r="E71" s="5"/>
      <c r="F71" s="5"/>
      <c r="G71" s="5"/>
      <c r="H71" s="5"/>
    </row>
    <row r="72" customFormat="false" ht="15" hidden="false" customHeight="true" outlineLevel="0" collapsed="false">
      <c r="A72" s="5"/>
      <c r="B72" s="5"/>
      <c r="C72" s="5"/>
      <c r="D72" s="5"/>
      <c r="E72" s="5"/>
      <c r="F72" s="5"/>
      <c r="G72" s="5"/>
      <c r="H72" s="5"/>
    </row>
    <row r="73" customFormat="false" ht="15" hidden="false" customHeight="true" outlineLevel="0" collapsed="false">
      <c r="A73" s="5"/>
      <c r="B73" s="5"/>
      <c r="C73" s="5"/>
      <c r="D73" s="5"/>
      <c r="E73" s="5"/>
      <c r="F73" s="5"/>
      <c r="G73" s="5"/>
      <c r="H73" s="5"/>
    </row>
    <row r="74" customFormat="false" ht="15" hidden="false" customHeight="true" outlineLevel="0" collapsed="false">
      <c r="A74" s="5"/>
      <c r="B74" s="5"/>
      <c r="C74" s="5"/>
      <c r="D74" s="5"/>
      <c r="E74" s="5"/>
      <c r="F74" s="5"/>
      <c r="G74" s="5"/>
      <c r="H74" s="5"/>
    </row>
    <row r="75" customFormat="false" ht="15" hidden="false" customHeight="true" outlineLevel="0" collapsed="false">
      <c r="A75" s="5"/>
      <c r="B75" s="5"/>
      <c r="C75" s="5"/>
      <c r="D75" s="5"/>
      <c r="E75" s="5"/>
      <c r="F75" s="5"/>
      <c r="G75" s="5"/>
      <c r="H75" s="5"/>
    </row>
    <row r="76" customFormat="false" ht="15" hidden="false" customHeight="true" outlineLevel="0" collapsed="false">
      <c r="A76" s="5"/>
      <c r="B76" s="5"/>
      <c r="C76" s="5"/>
      <c r="D76" s="5"/>
      <c r="E76" s="5"/>
      <c r="F76" s="5"/>
      <c r="G76" s="5"/>
      <c r="H76" s="5"/>
    </row>
    <row r="77" customFormat="false" ht="15" hidden="false" customHeight="true" outlineLevel="0" collapsed="false">
      <c r="A77" s="5"/>
      <c r="B77" s="5"/>
      <c r="C77" s="5"/>
      <c r="D77" s="5"/>
      <c r="E77" s="5"/>
      <c r="F77" s="5"/>
      <c r="G77" s="5"/>
      <c r="H77" s="5"/>
    </row>
    <row r="78" customFormat="false" ht="15" hidden="false" customHeight="true" outlineLevel="0" collapsed="false">
      <c r="A78" s="5"/>
      <c r="B78" s="5"/>
      <c r="C78" s="5"/>
      <c r="D78" s="5"/>
      <c r="E78" s="5"/>
      <c r="F78" s="5"/>
      <c r="G78" s="5"/>
      <c r="H78" s="5"/>
    </row>
    <row r="79" customFormat="false" ht="15" hidden="false" customHeight="true" outlineLevel="0" collapsed="false">
      <c r="A79" s="5"/>
      <c r="B79" s="5"/>
      <c r="C79" s="5"/>
      <c r="D79" s="5"/>
      <c r="E79" s="5"/>
      <c r="F79" s="5"/>
      <c r="G79" s="5"/>
      <c r="H79" s="5"/>
    </row>
    <row r="80" customFormat="false" ht="15" hidden="false" customHeight="true" outlineLevel="0" collapsed="false">
      <c r="A80" s="5"/>
      <c r="B80" s="5"/>
      <c r="C80" s="5"/>
      <c r="D80" s="5"/>
      <c r="E80" s="5"/>
      <c r="F80" s="5"/>
      <c r="G80" s="5"/>
      <c r="H80" s="5"/>
    </row>
    <row r="81" customFormat="false" ht="15" hidden="false" customHeight="true" outlineLevel="0" collapsed="false">
      <c r="A81" s="5"/>
      <c r="B81" s="5"/>
      <c r="C81" s="5"/>
      <c r="D81" s="5"/>
      <c r="E81" s="5"/>
      <c r="F81" s="5"/>
      <c r="G81" s="5"/>
      <c r="H81" s="5"/>
    </row>
    <row r="82" customFormat="false" ht="15" hidden="false" customHeight="true" outlineLevel="0" collapsed="false">
      <c r="A82" s="5"/>
      <c r="B82" s="5"/>
      <c r="C82" s="5"/>
      <c r="D82" s="5"/>
      <c r="E82" s="5"/>
      <c r="F82" s="5"/>
      <c r="G82" s="5"/>
      <c r="H82" s="5"/>
    </row>
    <row r="83" customFormat="false" ht="15" hidden="false" customHeight="true" outlineLevel="0" collapsed="false">
      <c r="A83" s="5"/>
      <c r="B83" s="5"/>
      <c r="C83" s="5"/>
      <c r="D83" s="5"/>
      <c r="E83" s="5"/>
      <c r="F83" s="5"/>
      <c r="G83" s="5"/>
      <c r="H83" s="5"/>
    </row>
    <row r="84" customFormat="false" ht="15" hidden="false" customHeight="true" outlineLevel="0" collapsed="false">
      <c r="A84" s="5"/>
      <c r="B84" s="5"/>
      <c r="C84" s="5"/>
      <c r="D84" s="5"/>
      <c r="E84" s="5"/>
      <c r="F84" s="5"/>
      <c r="G84" s="5"/>
      <c r="H84" s="5"/>
    </row>
    <row r="85" customFormat="false" ht="15" hidden="false" customHeight="true" outlineLevel="0" collapsed="false">
      <c r="A85" s="5"/>
      <c r="B85" s="5"/>
      <c r="C85" s="5"/>
      <c r="D85" s="5"/>
      <c r="E85" s="5"/>
      <c r="F85" s="5"/>
      <c r="G85" s="5"/>
      <c r="H85" s="5"/>
    </row>
    <row r="86" customFormat="false" ht="15" hidden="false" customHeight="true" outlineLevel="0" collapsed="false">
      <c r="A86" s="5"/>
      <c r="B86" s="5"/>
      <c r="C86" s="5"/>
      <c r="D86" s="5"/>
      <c r="E86" s="5"/>
      <c r="F86" s="5"/>
      <c r="G86" s="5"/>
      <c r="H86" s="5"/>
    </row>
    <row r="87" customFormat="false" ht="15" hidden="false" customHeight="true" outlineLevel="0" collapsed="false">
      <c r="A87" s="5"/>
      <c r="B87" s="5"/>
      <c r="C87" s="5"/>
      <c r="D87" s="5"/>
      <c r="E87" s="5"/>
      <c r="F87" s="5"/>
      <c r="G87" s="5"/>
      <c r="H87" s="5"/>
    </row>
    <row r="88" customFormat="false" ht="15" hidden="false" customHeight="true" outlineLevel="0" collapsed="false">
      <c r="A88" s="5"/>
      <c r="B88" s="5"/>
      <c r="C88" s="5"/>
      <c r="D88" s="5"/>
      <c r="E88" s="5"/>
      <c r="F88" s="5"/>
      <c r="G88" s="5"/>
      <c r="H88" s="5"/>
    </row>
    <row r="89" customFormat="false" ht="15" hidden="false" customHeight="true" outlineLevel="0" collapsed="false">
      <c r="A89" s="5"/>
      <c r="B89" s="5"/>
      <c r="C89" s="5"/>
      <c r="D89" s="5"/>
      <c r="E89" s="5"/>
      <c r="F89" s="5"/>
      <c r="G89" s="5"/>
      <c r="H89" s="5"/>
    </row>
    <row r="90" customFormat="false" ht="15" hidden="false" customHeight="true" outlineLevel="0" collapsed="false">
      <c r="A90" s="5"/>
      <c r="B90" s="5"/>
      <c r="C90" s="5"/>
      <c r="D90" s="5"/>
      <c r="E90" s="5"/>
      <c r="F90" s="5"/>
      <c r="G90" s="5"/>
      <c r="H90" s="5"/>
    </row>
    <row r="91" customFormat="false" ht="15" hidden="false" customHeight="true" outlineLevel="0" collapsed="false">
      <c r="A91" s="5"/>
      <c r="B91" s="5"/>
      <c r="C91" s="5"/>
      <c r="D91" s="5"/>
      <c r="E91" s="5"/>
      <c r="F91" s="5"/>
      <c r="G91" s="5"/>
      <c r="H91" s="5"/>
    </row>
    <row r="92" customFormat="false" ht="15" hidden="false" customHeight="true" outlineLevel="0" collapsed="false">
      <c r="A92" s="5"/>
      <c r="B92" s="5"/>
      <c r="C92" s="5"/>
      <c r="D92" s="5"/>
      <c r="E92" s="5"/>
      <c r="F92" s="5"/>
      <c r="G92" s="5"/>
      <c r="H92" s="5"/>
    </row>
    <row r="93" customFormat="false" ht="15" hidden="false" customHeight="true" outlineLevel="0" collapsed="false">
      <c r="A93" s="5"/>
      <c r="B93" s="5"/>
      <c r="C93" s="5"/>
      <c r="D93" s="5"/>
      <c r="E93" s="5"/>
      <c r="F93" s="5"/>
      <c r="G93" s="5"/>
      <c r="H93" s="5"/>
    </row>
    <row r="94" customFormat="false" ht="15" hidden="false" customHeight="true" outlineLevel="0" collapsed="false">
      <c r="A94" s="5"/>
      <c r="B94" s="5"/>
      <c r="C94" s="5"/>
      <c r="D94" s="5"/>
      <c r="E94" s="5"/>
      <c r="F94" s="5"/>
      <c r="G94" s="5"/>
      <c r="H94" s="5"/>
    </row>
    <row r="95" customFormat="false" ht="15" hidden="false" customHeight="true" outlineLevel="0" collapsed="false">
      <c r="A95" s="5"/>
      <c r="B95" s="5"/>
      <c r="C95" s="5"/>
      <c r="D95" s="5"/>
      <c r="E95" s="5"/>
      <c r="F95" s="5"/>
      <c r="G95" s="5"/>
      <c r="H95" s="5"/>
    </row>
    <row r="96" customFormat="false" ht="15" hidden="false" customHeight="true" outlineLevel="0" collapsed="false">
      <c r="A96" s="5"/>
      <c r="B96" s="5"/>
      <c r="C96" s="5"/>
      <c r="D96" s="5"/>
      <c r="E96" s="5"/>
      <c r="F96" s="5"/>
      <c r="G96" s="5"/>
      <c r="H96" s="5"/>
    </row>
    <row r="97" customFormat="false" ht="15" hidden="false" customHeight="true" outlineLevel="0" collapsed="false">
      <c r="A97" s="5"/>
      <c r="B97" s="5"/>
      <c r="C97" s="5"/>
      <c r="D97" s="5"/>
      <c r="E97" s="5"/>
      <c r="F97" s="5"/>
      <c r="G97" s="5"/>
      <c r="H97" s="5"/>
    </row>
    <row r="98" customFormat="false" ht="15" hidden="false" customHeight="true" outlineLevel="0" collapsed="false">
      <c r="A98" s="5"/>
      <c r="B98" s="5"/>
      <c r="C98" s="5"/>
      <c r="D98" s="5"/>
      <c r="E98" s="5"/>
      <c r="F98" s="5"/>
      <c r="G98" s="5"/>
      <c r="H98" s="5"/>
    </row>
    <row r="99" customFormat="false" ht="15" hidden="false" customHeight="true" outlineLevel="0" collapsed="false">
      <c r="A99" s="5"/>
      <c r="B99" s="5"/>
      <c r="C99" s="5"/>
      <c r="D99" s="5"/>
      <c r="E99" s="5"/>
      <c r="F99" s="5"/>
      <c r="G99" s="5"/>
      <c r="H99" s="5"/>
    </row>
    <row r="100" customFormat="false" ht="15" hidden="false" customHeight="true" outlineLevel="0" collapsed="false">
      <c r="A100" s="5"/>
      <c r="B100" s="5"/>
      <c r="C100" s="5"/>
      <c r="D100" s="5"/>
      <c r="E100" s="5"/>
      <c r="F100" s="5"/>
      <c r="G100" s="5"/>
      <c r="H100" s="5"/>
    </row>
    <row r="101" customFormat="false" ht="15" hidden="false" customHeight="true" outlineLevel="0" collapsed="false">
      <c r="A101" s="5"/>
      <c r="B101" s="5"/>
      <c r="C101" s="5"/>
      <c r="D101" s="5"/>
      <c r="E101" s="5"/>
      <c r="F101" s="5"/>
      <c r="G101" s="5"/>
      <c r="H101" s="5"/>
    </row>
    <row r="102" customFormat="false" ht="15" hidden="false" customHeight="true" outlineLevel="0" collapsed="false">
      <c r="A102" s="5"/>
      <c r="B102" s="5"/>
      <c r="C102" s="5"/>
      <c r="D102" s="5"/>
      <c r="E102" s="5"/>
      <c r="F102" s="5"/>
      <c r="G102" s="5"/>
      <c r="H102" s="5"/>
    </row>
    <row r="103" customFormat="false" ht="15" hidden="false" customHeight="true" outlineLevel="0" collapsed="false">
      <c r="A103" s="5"/>
      <c r="B103" s="5"/>
      <c r="C103" s="5"/>
      <c r="D103" s="5"/>
      <c r="E103" s="5"/>
      <c r="F103" s="5"/>
      <c r="G103" s="5"/>
      <c r="H103" s="5"/>
    </row>
    <row r="104" customFormat="false" ht="15" hidden="false" customHeight="true" outlineLevel="0" collapsed="false">
      <c r="A104" s="5"/>
      <c r="B104" s="5"/>
      <c r="C104" s="5"/>
      <c r="D104" s="5"/>
      <c r="E104" s="5"/>
      <c r="F104" s="5"/>
      <c r="G104" s="5"/>
      <c r="H104" s="5"/>
    </row>
    <row r="105" customFormat="false" ht="15" hidden="false" customHeight="true" outlineLevel="0" collapsed="false">
      <c r="A105" s="5"/>
      <c r="B105" s="5"/>
      <c r="C105" s="5"/>
      <c r="D105" s="5"/>
      <c r="E105" s="5"/>
      <c r="F105" s="5"/>
      <c r="G105" s="5"/>
      <c r="H105" s="5"/>
    </row>
    <row r="106" customFormat="false" ht="15" hidden="false" customHeight="true" outlineLevel="0" collapsed="false">
      <c r="A106" s="5"/>
      <c r="B106" s="5"/>
      <c r="C106" s="5"/>
      <c r="D106" s="5"/>
      <c r="E106" s="5"/>
      <c r="F106" s="5"/>
      <c r="G106" s="5"/>
      <c r="H106" s="5"/>
    </row>
    <row r="107" customFormat="false" ht="15" hidden="false" customHeight="true" outlineLevel="0" collapsed="false">
      <c r="A107" s="5"/>
      <c r="B107" s="5"/>
      <c r="C107" s="5"/>
      <c r="D107" s="5"/>
      <c r="E107" s="5"/>
      <c r="F107" s="5"/>
      <c r="G107" s="5"/>
      <c r="H107" s="5"/>
    </row>
    <row r="108" customFormat="false" ht="15" hidden="false" customHeight="true" outlineLevel="0" collapsed="false">
      <c r="A108" s="5"/>
      <c r="B108" s="5"/>
      <c r="C108" s="5"/>
      <c r="D108" s="5"/>
      <c r="E108" s="5"/>
      <c r="F108" s="5"/>
      <c r="G108" s="5"/>
      <c r="H108" s="5"/>
    </row>
    <row r="109" customFormat="false" ht="15" hidden="false" customHeight="true" outlineLevel="0" collapsed="false">
      <c r="A109" s="5"/>
      <c r="B109" s="5"/>
      <c r="C109" s="5"/>
      <c r="D109" s="5"/>
      <c r="E109" s="5"/>
      <c r="F109" s="5"/>
      <c r="G109" s="5"/>
      <c r="H109" s="5"/>
    </row>
    <row r="110" customFormat="false" ht="15" hidden="false" customHeight="true" outlineLevel="0" collapsed="false">
      <c r="A110" s="5"/>
      <c r="B110" s="5"/>
      <c r="C110" s="5"/>
      <c r="D110" s="5"/>
      <c r="E110" s="5"/>
      <c r="F110" s="5"/>
      <c r="G110" s="5"/>
      <c r="H110" s="5"/>
    </row>
    <row r="111" customFormat="false" ht="15" hidden="false" customHeight="true" outlineLevel="0" collapsed="false">
      <c r="A111" s="5"/>
      <c r="B111" s="5"/>
      <c r="C111" s="5"/>
      <c r="D111" s="5"/>
      <c r="E111" s="5"/>
      <c r="F111" s="5"/>
      <c r="G111" s="5"/>
      <c r="H111" s="5"/>
    </row>
    <row r="112" customFormat="false" ht="15" hidden="false" customHeight="true" outlineLevel="0" collapsed="false">
      <c r="A112" s="5"/>
      <c r="B112" s="5"/>
      <c r="C112" s="5"/>
      <c r="D112" s="5"/>
      <c r="E112" s="5"/>
      <c r="F112" s="5"/>
      <c r="G112" s="5"/>
      <c r="H112" s="5"/>
    </row>
    <row r="113" customFormat="false" ht="15" hidden="false" customHeight="true" outlineLevel="0" collapsed="false">
      <c r="A113" s="5"/>
      <c r="B113" s="5"/>
      <c r="C113" s="5"/>
      <c r="D113" s="5"/>
      <c r="E113" s="5"/>
      <c r="F113" s="5"/>
      <c r="G113" s="5"/>
      <c r="H113" s="5"/>
    </row>
    <row r="114" customFormat="false" ht="15" hidden="false" customHeight="true" outlineLevel="0" collapsed="false">
      <c r="A114" s="5"/>
      <c r="B114" s="5"/>
      <c r="C114" s="5"/>
      <c r="D114" s="5"/>
      <c r="E114" s="5"/>
      <c r="F114" s="5"/>
      <c r="G114" s="5"/>
      <c r="H114" s="5"/>
    </row>
    <row r="115" customFormat="false" ht="15" hidden="false" customHeight="true" outlineLevel="0" collapsed="false">
      <c r="A115" s="5"/>
      <c r="B115" s="5"/>
      <c r="C115" s="5"/>
      <c r="D115" s="5"/>
      <c r="E115" s="5"/>
      <c r="F115" s="5"/>
      <c r="G115" s="5"/>
      <c r="H115" s="5"/>
    </row>
    <row r="116" customFormat="false" ht="15" hidden="false" customHeight="true" outlineLevel="0" collapsed="false">
      <c r="A116" s="5"/>
      <c r="B116" s="5"/>
      <c r="C116" s="5"/>
      <c r="D116" s="5"/>
      <c r="E116" s="5"/>
      <c r="F116" s="5"/>
      <c r="G116" s="5"/>
      <c r="H116" s="5"/>
    </row>
    <row r="117" customFormat="false" ht="15" hidden="false" customHeight="true" outlineLevel="0" collapsed="false">
      <c r="A117" s="5"/>
      <c r="B117" s="5"/>
      <c r="C117" s="5"/>
      <c r="D117" s="5"/>
      <c r="E117" s="5"/>
      <c r="F117" s="5"/>
      <c r="G117" s="5"/>
      <c r="H117" s="5"/>
    </row>
    <row r="118" customFormat="false" ht="15" hidden="false" customHeight="true" outlineLevel="0" collapsed="false">
      <c r="A118" s="5"/>
      <c r="B118" s="5"/>
      <c r="C118" s="5"/>
      <c r="D118" s="5"/>
      <c r="E118" s="5"/>
      <c r="F118" s="5"/>
      <c r="G118" s="5"/>
      <c r="H118" s="5"/>
    </row>
    <row r="119" customFormat="false" ht="15" hidden="false" customHeight="true" outlineLevel="0" collapsed="false">
      <c r="A119" s="5"/>
      <c r="B119" s="5"/>
      <c r="C119" s="5"/>
      <c r="D119" s="5"/>
      <c r="E119" s="5"/>
      <c r="F119" s="5"/>
      <c r="G119" s="5"/>
      <c r="H119" s="5"/>
    </row>
    <row r="120" customFormat="false" ht="15" hidden="false" customHeight="true" outlineLevel="0" collapsed="false">
      <c r="A120" s="5"/>
      <c r="B120" s="5"/>
      <c r="C120" s="5"/>
      <c r="D120" s="5"/>
      <c r="E120" s="5"/>
      <c r="F120" s="5"/>
      <c r="G120" s="5"/>
      <c r="H120" s="5"/>
    </row>
    <row r="121" customFormat="false" ht="15" hidden="false" customHeight="true" outlineLevel="0" collapsed="false">
      <c r="A121" s="5"/>
      <c r="B121" s="5"/>
      <c r="C121" s="5"/>
      <c r="D121" s="5"/>
      <c r="E121" s="5"/>
      <c r="F121" s="5"/>
      <c r="G121" s="5"/>
      <c r="H121" s="5"/>
    </row>
    <row r="122" customFormat="false" ht="15" hidden="false" customHeight="true" outlineLevel="0" collapsed="false">
      <c r="A122" s="5"/>
      <c r="B122" s="5"/>
      <c r="C122" s="5"/>
      <c r="D122" s="5"/>
      <c r="E122" s="5"/>
      <c r="F122" s="5"/>
      <c r="G122" s="5"/>
      <c r="H122" s="5"/>
    </row>
    <row r="123" customFormat="false" ht="15" hidden="false" customHeight="true" outlineLevel="0" collapsed="false">
      <c r="A123" s="5"/>
      <c r="B123" s="5"/>
      <c r="C123" s="5"/>
      <c r="D123" s="5"/>
      <c r="E123" s="5"/>
      <c r="F123" s="5"/>
      <c r="G123" s="5"/>
      <c r="H123" s="5"/>
    </row>
    <row r="124" customFormat="false" ht="15" hidden="false" customHeight="true" outlineLevel="0" collapsed="false">
      <c r="A124" s="5"/>
      <c r="B124" s="5"/>
      <c r="C124" s="5"/>
      <c r="D124" s="5"/>
      <c r="E124" s="5"/>
      <c r="F124" s="5"/>
      <c r="G124" s="5"/>
      <c r="H124" s="5"/>
    </row>
    <row r="125" customFormat="false" ht="15" hidden="false" customHeight="true" outlineLevel="0" collapsed="false">
      <c r="A125" s="5"/>
      <c r="B125" s="5"/>
      <c r="C125" s="5"/>
      <c r="D125" s="5"/>
      <c r="E125" s="5"/>
      <c r="F125" s="5"/>
      <c r="G125" s="5"/>
      <c r="H125" s="5"/>
    </row>
    <row r="126" customFormat="false" ht="15" hidden="false" customHeight="true" outlineLevel="0" collapsed="false">
      <c r="A126" s="5"/>
      <c r="B126" s="5"/>
      <c r="C126" s="5"/>
      <c r="D126" s="5"/>
      <c r="E126" s="5"/>
      <c r="F126" s="5"/>
      <c r="G126" s="5"/>
      <c r="H126" s="5"/>
    </row>
    <row r="127" customFormat="false" ht="15" hidden="false" customHeight="true" outlineLevel="0" collapsed="false">
      <c r="A127" s="5"/>
      <c r="B127" s="5"/>
      <c r="C127" s="5"/>
      <c r="D127" s="5"/>
      <c r="E127" s="5"/>
      <c r="F127" s="5"/>
      <c r="G127" s="5"/>
      <c r="H127" s="5"/>
    </row>
    <row r="128" customFormat="false" ht="15" hidden="false" customHeight="true" outlineLevel="0" collapsed="false">
      <c r="A128" s="5"/>
      <c r="B128" s="5"/>
      <c r="C128" s="5"/>
      <c r="D128" s="5"/>
      <c r="E128" s="5"/>
      <c r="F128" s="5"/>
      <c r="G128" s="5"/>
      <c r="H128" s="5"/>
    </row>
    <row r="129" customFormat="false" ht="15" hidden="false" customHeight="true" outlineLevel="0" collapsed="false">
      <c r="A129" s="5"/>
      <c r="B129" s="5"/>
      <c r="C129" s="5"/>
      <c r="D129" s="5"/>
      <c r="E129" s="5"/>
      <c r="F129" s="5"/>
      <c r="G129" s="5"/>
      <c r="H129" s="5"/>
    </row>
    <row r="130" customFormat="false" ht="15" hidden="false" customHeight="true" outlineLevel="0" collapsed="false">
      <c r="A130" s="5"/>
      <c r="B130" s="5"/>
      <c r="C130" s="5"/>
      <c r="D130" s="5"/>
      <c r="E130" s="5"/>
      <c r="F130" s="5"/>
      <c r="G130" s="5"/>
      <c r="H130" s="5"/>
    </row>
    <row r="131" customFormat="false" ht="15" hidden="false" customHeight="true" outlineLevel="0" collapsed="false">
      <c r="A131" s="5"/>
      <c r="B131" s="5"/>
      <c r="C131" s="5"/>
      <c r="D131" s="5"/>
      <c r="E131" s="5"/>
      <c r="F131" s="5"/>
      <c r="G131" s="5"/>
      <c r="H131" s="5"/>
    </row>
    <row r="132" customFormat="false" ht="15" hidden="false" customHeight="true" outlineLevel="0" collapsed="false">
      <c r="A132" s="5"/>
      <c r="B132" s="5"/>
      <c r="C132" s="5"/>
      <c r="D132" s="5"/>
      <c r="E132" s="5"/>
      <c r="F132" s="5"/>
      <c r="G132" s="5"/>
      <c r="H132" s="5"/>
    </row>
    <row r="133" customFormat="false" ht="15" hidden="false" customHeight="true" outlineLevel="0" collapsed="false">
      <c r="A133" s="5"/>
      <c r="B133" s="5"/>
      <c r="C133" s="5"/>
      <c r="D133" s="5"/>
      <c r="E133" s="5"/>
      <c r="F133" s="5"/>
      <c r="G133" s="5"/>
      <c r="H133" s="5"/>
    </row>
    <row r="134" customFormat="false" ht="15" hidden="false" customHeight="true" outlineLevel="0" collapsed="false">
      <c r="A134" s="5"/>
      <c r="B134" s="5"/>
      <c r="C134" s="5"/>
      <c r="D134" s="5"/>
      <c r="E134" s="5"/>
      <c r="F134" s="5"/>
      <c r="G134" s="5"/>
      <c r="H134" s="5"/>
    </row>
    <row r="135" customFormat="false" ht="15" hidden="false" customHeight="true" outlineLevel="0" collapsed="false">
      <c r="A135" s="5"/>
      <c r="B135" s="5"/>
      <c r="C135" s="5"/>
      <c r="D135" s="5"/>
      <c r="E135" s="5"/>
      <c r="F135" s="5"/>
      <c r="G135" s="5"/>
      <c r="H135" s="5"/>
    </row>
    <row r="136" customFormat="false" ht="15" hidden="false" customHeight="true" outlineLevel="0" collapsed="false">
      <c r="A136" s="5"/>
      <c r="B136" s="5"/>
      <c r="C136" s="5"/>
      <c r="D136" s="5"/>
      <c r="E136" s="5"/>
      <c r="F136" s="5"/>
      <c r="G136" s="5"/>
      <c r="H136" s="5"/>
    </row>
    <row r="137" customFormat="false" ht="15" hidden="false" customHeight="true" outlineLevel="0" collapsed="false">
      <c r="A137" s="5"/>
      <c r="B137" s="5"/>
      <c r="C137" s="5"/>
      <c r="D137" s="5"/>
      <c r="E137" s="5"/>
      <c r="F137" s="5"/>
      <c r="G137" s="5"/>
      <c r="H137" s="5"/>
    </row>
    <row r="138" customFormat="false" ht="15" hidden="false" customHeight="true" outlineLevel="0" collapsed="false">
      <c r="A138" s="5"/>
      <c r="B138" s="5"/>
      <c r="C138" s="5"/>
      <c r="D138" s="5"/>
      <c r="E138" s="5"/>
      <c r="F138" s="5"/>
      <c r="G138" s="5"/>
      <c r="H138" s="5"/>
    </row>
    <row r="139" customFormat="false" ht="15" hidden="false" customHeight="true" outlineLevel="0" collapsed="false">
      <c r="A139" s="5"/>
      <c r="B139" s="5"/>
      <c r="C139" s="5"/>
      <c r="D139" s="5"/>
      <c r="E139" s="5"/>
      <c r="F139" s="5"/>
      <c r="G139" s="5"/>
      <c r="H139" s="5"/>
    </row>
    <row r="140" customFormat="false" ht="15" hidden="false" customHeight="true" outlineLevel="0" collapsed="false">
      <c r="A140" s="5"/>
      <c r="B140" s="5"/>
      <c r="C140" s="5"/>
      <c r="D140" s="5"/>
      <c r="E140" s="5"/>
      <c r="F140" s="5"/>
      <c r="G140" s="5"/>
      <c r="H140" s="5"/>
    </row>
    <row r="141" customFormat="false" ht="15" hidden="false" customHeight="true" outlineLevel="0" collapsed="false">
      <c r="A141" s="5"/>
      <c r="B141" s="5"/>
      <c r="C141" s="5"/>
      <c r="D141" s="5"/>
      <c r="E141" s="5"/>
      <c r="F141" s="5"/>
      <c r="G141" s="5"/>
      <c r="H141" s="5"/>
    </row>
    <row r="142" customFormat="false" ht="15" hidden="false" customHeight="true" outlineLevel="0" collapsed="false">
      <c r="A142" s="5"/>
      <c r="B142" s="5"/>
      <c r="C142" s="5"/>
      <c r="D142" s="5"/>
      <c r="E142" s="5"/>
      <c r="F142" s="5"/>
      <c r="G142" s="5"/>
      <c r="H142" s="5"/>
    </row>
    <row r="143" customFormat="false" ht="15" hidden="false" customHeight="true" outlineLevel="0" collapsed="false">
      <c r="A143" s="5"/>
      <c r="B143" s="5"/>
      <c r="C143" s="5"/>
      <c r="D143" s="5"/>
      <c r="E143" s="5"/>
      <c r="F143" s="5"/>
      <c r="G143" s="5"/>
      <c r="H143" s="5"/>
    </row>
    <row r="144" customFormat="false" ht="15" hidden="false" customHeight="true" outlineLevel="0" collapsed="false">
      <c r="A144" s="5"/>
      <c r="B144" s="5"/>
      <c r="C144" s="5"/>
      <c r="D144" s="5"/>
      <c r="E144" s="5"/>
      <c r="F144" s="5"/>
      <c r="G144" s="5"/>
      <c r="H144" s="5"/>
    </row>
    <row r="145" customFormat="false" ht="15" hidden="false" customHeight="true" outlineLevel="0" collapsed="false">
      <c r="A145" s="5"/>
      <c r="B145" s="5"/>
      <c r="C145" s="5"/>
      <c r="D145" s="5"/>
      <c r="E145" s="5"/>
      <c r="F145" s="5"/>
      <c r="G145" s="5"/>
      <c r="H145" s="5"/>
    </row>
    <row r="146" customFormat="false" ht="15" hidden="false" customHeight="true" outlineLevel="0" collapsed="false">
      <c r="A146" s="5"/>
      <c r="B146" s="5"/>
      <c r="C146" s="5"/>
      <c r="D146" s="5"/>
      <c r="E146" s="5"/>
      <c r="F146" s="5"/>
      <c r="G146" s="5"/>
      <c r="H146" s="5"/>
    </row>
    <row r="147" customFormat="false" ht="15" hidden="false" customHeight="true" outlineLevel="0" collapsed="false">
      <c r="A147" s="5"/>
      <c r="B147" s="5"/>
      <c r="C147" s="5"/>
      <c r="D147" s="5"/>
      <c r="E147" s="5"/>
      <c r="F147" s="5"/>
      <c r="G147" s="5"/>
      <c r="H147" s="5"/>
    </row>
    <row r="148" customFormat="false" ht="15" hidden="false" customHeight="true" outlineLevel="0" collapsed="false">
      <c r="A148" s="5"/>
      <c r="B148" s="5"/>
      <c r="C148" s="5"/>
      <c r="D148" s="5"/>
      <c r="E148" s="5"/>
      <c r="F148" s="5"/>
      <c r="G148" s="5"/>
      <c r="H148" s="5"/>
    </row>
    <row r="149" customFormat="false" ht="15" hidden="false" customHeight="true" outlineLevel="0" collapsed="false">
      <c r="A149" s="5"/>
      <c r="B149" s="5"/>
      <c r="C149" s="5"/>
      <c r="D149" s="5"/>
      <c r="E149" s="5"/>
      <c r="F149" s="5"/>
      <c r="G149" s="5"/>
      <c r="H149" s="5"/>
    </row>
    <row r="150" customFormat="false" ht="15" hidden="false" customHeight="true" outlineLevel="0" collapsed="false">
      <c r="A150" s="5"/>
      <c r="B150" s="5"/>
      <c r="C150" s="5"/>
      <c r="D150" s="5"/>
      <c r="E150" s="5"/>
      <c r="F150" s="5"/>
      <c r="G150" s="5"/>
      <c r="H150" s="5"/>
    </row>
    <row r="151" customFormat="false" ht="15" hidden="false" customHeight="true" outlineLevel="0" collapsed="false">
      <c r="A151" s="5"/>
      <c r="B151" s="5"/>
      <c r="C151" s="5"/>
      <c r="D151" s="5"/>
      <c r="E151" s="5"/>
      <c r="F151" s="5"/>
      <c r="G151" s="5"/>
      <c r="H151" s="5"/>
    </row>
    <row r="152" customFormat="false" ht="15" hidden="false" customHeight="true" outlineLevel="0" collapsed="false">
      <c r="A152" s="5"/>
      <c r="B152" s="5"/>
      <c r="C152" s="5"/>
      <c r="D152" s="5"/>
      <c r="E152" s="5"/>
      <c r="F152" s="5"/>
      <c r="G152" s="5"/>
      <c r="H152" s="5"/>
    </row>
    <row r="153" customFormat="false" ht="15" hidden="false" customHeight="true" outlineLevel="0" collapsed="false">
      <c r="A153" s="5"/>
      <c r="B153" s="5"/>
      <c r="C153" s="5"/>
      <c r="D153" s="5"/>
      <c r="E153" s="5"/>
      <c r="F153" s="5"/>
      <c r="G153" s="5"/>
      <c r="H153" s="5"/>
    </row>
    <row r="154" customFormat="false" ht="15" hidden="false" customHeight="true" outlineLevel="0" collapsed="false">
      <c r="A154" s="5"/>
      <c r="B154" s="5"/>
      <c r="C154" s="5"/>
      <c r="D154" s="5"/>
      <c r="E154" s="5"/>
      <c r="F154" s="5"/>
      <c r="G154" s="5"/>
      <c r="H154" s="5"/>
    </row>
    <row r="155" customFormat="false" ht="15" hidden="false" customHeight="true" outlineLevel="0" collapsed="false">
      <c r="A155" s="5"/>
      <c r="B155" s="5"/>
      <c r="C155" s="5"/>
      <c r="D155" s="5"/>
      <c r="E155" s="5"/>
      <c r="F155" s="5"/>
      <c r="G155" s="5"/>
      <c r="H155" s="5"/>
    </row>
    <row r="156" customFormat="false" ht="15" hidden="false" customHeight="true" outlineLevel="0" collapsed="false">
      <c r="A156" s="5"/>
      <c r="B156" s="5"/>
      <c r="C156" s="5"/>
      <c r="D156" s="5"/>
      <c r="E156" s="5"/>
      <c r="F156" s="5"/>
      <c r="G156" s="5"/>
      <c r="H156" s="5"/>
    </row>
    <row r="157" customFormat="false" ht="15" hidden="false" customHeight="true" outlineLevel="0" collapsed="false">
      <c r="A157" s="5"/>
      <c r="B157" s="5"/>
      <c r="C157" s="5"/>
      <c r="D157" s="5"/>
      <c r="E157" s="5"/>
      <c r="F157" s="5"/>
      <c r="G157" s="5"/>
      <c r="H157" s="5"/>
    </row>
    <row r="158" customFormat="false" ht="15" hidden="false" customHeight="true" outlineLevel="0" collapsed="false">
      <c r="A158" s="5"/>
      <c r="B158" s="5"/>
      <c r="C158" s="5"/>
      <c r="D158" s="5"/>
      <c r="E158" s="5"/>
      <c r="F158" s="5"/>
      <c r="G158" s="5"/>
      <c r="H158" s="5"/>
    </row>
    <row r="159" customFormat="false" ht="15" hidden="false" customHeight="true" outlineLevel="0" collapsed="false">
      <c r="A159" s="5"/>
      <c r="B159" s="5"/>
      <c r="C159" s="5"/>
      <c r="D159" s="5"/>
      <c r="E159" s="5"/>
      <c r="F159" s="5"/>
      <c r="G159" s="5"/>
      <c r="H159" s="5"/>
    </row>
    <row r="160" customFormat="false" ht="15" hidden="false" customHeight="true" outlineLevel="0" collapsed="false">
      <c r="A160" s="5"/>
      <c r="B160" s="5"/>
      <c r="C160" s="5"/>
      <c r="D160" s="5"/>
      <c r="E160" s="5"/>
      <c r="F160" s="5"/>
      <c r="G160" s="5"/>
      <c r="H160" s="5"/>
    </row>
    <row r="161" customFormat="false" ht="15" hidden="false" customHeight="true" outlineLevel="0" collapsed="false">
      <c r="A161" s="5"/>
      <c r="B161" s="5"/>
      <c r="C161" s="5"/>
      <c r="D161" s="5"/>
      <c r="E161" s="5"/>
      <c r="F161" s="5"/>
      <c r="G161" s="5"/>
      <c r="H161" s="5"/>
    </row>
    <row r="162" customFormat="false" ht="15" hidden="false" customHeight="true" outlineLevel="0" collapsed="false">
      <c r="A162" s="5"/>
      <c r="B162" s="5"/>
      <c r="C162" s="5"/>
      <c r="D162" s="5"/>
      <c r="E162" s="5"/>
      <c r="F162" s="5"/>
      <c r="G162" s="5"/>
      <c r="H162" s="5"/>
    </row>
    <row r="163" customFormat="false" ht="15" hidden="false" customHeight="true" outlineLevel="0" collapsed="false">
      <c r="A163" s="5"/>
      <c r="B163" s="5"/>
      <c r="C163" s="5"/>
      <c r="D163" s="5"/>
      <c r="E163" s="5"/>
      <c r="F163" s="5"/>
      <c r="G163" s="5"/>
      <c r="H163" s="5"/>
    </row>
    <row r="164" customFormat="false" ht="15" hidden="false" customHeight="true" outlineLevel="0" collapsed="false">
      <c r="A164" s="5"/>
      <c r="B164" s="5"/>
      <c r="C164" s="5"/>
      <c r="D164" s="5"/>
      <c r="E164" s="5"/>
      <c r="F164" s="5"/>
      <c r="G164" s="5"/>
      <c r="H164" s="5"/>
    </row>
    <row r="165" customFormat="false" ht="15" hidden="false" customHeight="true" outlineLevel="0" collapsed="false">
      <c r="A165" s="5"/>
      <c r="B165" s="5"/>
      <c r="C165" s="5"/>
      <c r="D165" s="5"/>
      <c r="E165" s="5"/>
      <c r="F165" s="5"/>
      <c r="G165" s="5"/>
      <c r="H165" s="5"/>
    </row>
    <row r="166" customFormat="false" ht="15" hidden="false" customHeight="true" outlineLevel="0" collapsed="false">
      <c r="A166" s="5"/>
      <c r="B166" s="5"/>
      <c r="C166" s="5"/>
      <c r="D166" s="5"/>
      <c r="E166" s="5"/>
      <c r="F166" s="5"/>
      <c r="G166" s="5"/>
      <c r="H166" s="5"/>
    </row>
    <row r="167" customFormat="false" ht="15" hidden="false" customHeight="true" outlineLevel="0" collapsed="false">
      <c r="A167" s="5"/>
      <c r="B167" s="5"/>
      <c r="C167" s="5"/>
      <c r="D167" s="5"/>
      <c r="E167" s="5"/>
      <c r="F167" s="5"/>
      <c r="G167" s="5"/>
      <c r="H167" s="5"/>
    </row>
    <row r="168" customFormat="false" ht="15" hidden="false" customHeight="true" outlineLevel="0" collapsed="false">
      <c r="A168" s="5"/>
      <c r="B168" s="5"/>
      <c r="C168" s="5"/>
      <c r="D168" s="5"/>
      <c r="E168" s="5"/>
      <c r="F168" s="5"/>
      <c r="G168" s="5"/>
      <c r="H168" s="5"/>
    </row>
    <row r="169" customFormat="false" ht="15" hidden="false" customHeight="true" outlineLevel="0" collapsed="false">
      <c r="A169" s="5"/>
      <c r="B169" s="5"/>
      <c r="C169" s="5"/>
      <c r="D169" s="5"/>
      <c r="E169" s="5"/>
      <c r="F169" s="5"/>
      <c r="G169" s="5"/>
      <c r="H169" s="5"/>
    </row>
    <row r="170" customFormat="false" ht="15" hidden="false" customHeight="true" outlineLevel="0" collapsed="false">
      <c r="A170" s="5"/>
      <c r="B170" s="5"/>
      <c r="C170" s="5"/>
      <c r="D170" s="5"/>
      <c r="E170" s="5"/>
      <c r="F170" s="5"/>
      <c r="G170" s="5"/>
      <c r="H170" s="5"/>
    </row>
    <row r="171" customFormat="false" ht="15" hidden="false" customHeight="true" outlineLevel="0" collapsed="false">
      <c r="A171" s="5"/>
      <c r="B171" s="5"/>
      <c r="C171" s="5"/>
      <c r="D171" s="5"/>
      <c r="E171" s="5"/>
      <c r="F171" s="5"/>
      <c r="G171" s="5"/>
      <c r="H171" s="5"/>
    </row>
    <row r="172" customFormat="false" ht="15" hidden="false" customHeight="true" outlineLevel="0" collapsed="false">
      <c r="A172" s="5"/>
      <c r="B172" s="5"/>
      <c r="C172" s="5"/>
      <c r="D172" s="5"/>
      <c r="E172" s="5"/>
      <c r="F172" s="5"/>
      <c r="G172" s="5"/>
      <c r="H172" s="5"/>
    </row>
    <row r="173" customFormat="false" ht="15" hidden="false" customHeight="true" outlineLevel="0" collapsed="false">
      <c r="A173" s="5"/>
      <c r="B173" s="5"/>
      <c r="C173" s="5"/>
      <c r="D173" s="5"/>
      <c r="E173" s="5"/>
      <c r="F173" s="5"/>
      <c r="G173" s="5"/>
      <c r="H173" s="5"/>
    </row>
    <row r="174" customFormat="false" ht="15" hidden="false" customHeight="true" outlineLevel="0" collapsed="false">
      <c r="A174" s="5"/>
      <c r="B174" s="5"/>
      <c r="C174" s="5"/>
      <c r="D174" s="5"/>
      <c r="E174" s="5"/>
      <c r="F174" s="5"/>
      <c r="G174" s="5"/>
      <c r="H174" s="5"/>
    </row>
    <row r="175" customFormat="false" ht="15" hidden="false" customHeight="true" outlineLevel="0" collapsed="false">
      <c r="A175" s="5"/>
      <c r="B175" s="5"/>
      <c r="C175" s="5"/>
      <c r="D175" s="5"/>
      <c r="E175" s="5"/>
      <c r="F175" s="5"/>
      <c r="G175" s="5"/>
      <c r="H175" s="5"/>
    </row>
    <row r="176" customFormat="false" ht="15" hidden="false" customHeight="true" outlineLevel="0" collapsed="false">
      <c r="A176" s="5"/>
      <c r="B176" s="5"/>
      <c r="C176" s="5"/>
      <c r="D176" s="5"/>
      <c r="E176" s="5"/>
      <c r="F176" s="5"/>
      <c r="G176" s="5"/>
      <c r="H176" s="5"/>
    </row>
    <row r="177" customFormat="false" ht="15" hidden="false" customHeight="true" outlineLevel="0" collapsed="false">
      <c r="A177" s="5"/>
      <c r="B177" s="5"/>
      <c r="C177" s="5"/>
      <c r="D177" s="5"/>
      <c r="E177" s="5"/>
      <c r="F177" s="5"/>
      <c r="G177" s="5"/>
      <c r="H177" s="5"/>
    </row>
    <row r="178" customFormat="false" ht="15" hidden="false" customHeight="true" outlineLevel="0" collapsed="false">
      <c r="A178" s="5"/>
      <c r="B178" s="5"/>
      <c r="C178" s="5"/>
      <c r="D178" s="5"/>
      <c r="E178" s="5"/>
      <c r="F178" s="5"/>
      <c r="G178" s="5"/>
      <c r="H178" s="5"/>
    </row>
    <row r="179" customFormat="false" ht="15" hidden="false" customHeight="true" outlineLevel="0" collapsed="false">
      <c r="A179" s="5"/>
      <c r="B179" s="5"/>
      <c r="C179" s="5"/>
      <c r="D179" s="5"/>
      <c r="E179" s="5"/>
      <c r="F179" s="5"/>
      <c r="G179" s="5"/>
      <c r="H179" s="5"/>
    </row>
    <row r="180" customFormat="false" ht="15" hidden="false" customHeight="true" outlineLevel="0" collapsed="false">
      <c r="A180" s="5"/>
      <c r="B180" s="5"/>
      <c r="C180" s="5"/>
      <c r="D180" s="5"/>
      <c r="E180" s="5"/>
      <c r="F180" s="5"/>
      <c r="G180" s="5"/>
      <c r="H180" s="5"/>
    </row>
    <row r="181" customFormat="false" ht="15" hidden="false" customHeight="true" outlineLevel="0" collapsed="false">
      <c r="A181" s="5"/>
      <c r="B181" s="5"/>
      <c r="C181" s="5"/>
      <c r="D181" s="5"/>
      <c r="E181" s="5"/>
      <c r="F181" s="5"/>
      <c r="G181" s="5"/>
      <c r="H181" s="5"/>
    </row>
    <row r="182" customFormat="false" ht="15" hidden="false" customHeight="true" outlineLevel="0" collapsed="false">
      <c r="A182" s="5"/>
      <c r="B182" s="5"/>
      <c r="C182" s="5"/>
      <c r="D182" s="5"/>
      <c r="E182" s="5"/>
      <c r="F182" s="5"/>
      <c r="G182" s="5"/>
      <c r="H182" s="5"/>
    </row>
    <row r="183" customFormat="false" ht="15" hidden="false" customHeight="true" outlineLevel="0" collapsed="false">
      <c r="A183" s="5"/>
      <c r="B183" s="5"/>
      <c r="C183" s="5"/>
      <c r="D183" s="5"/>
      <c r="E183" s="5"/>
      <c r="F183" s="5"/>
      <c r="G183" s="5"/>
      <c r="H183" s="5"/>
    </row>
    <row r="184" customFormat="false" ht="15" hidden="false" customHeight="true" outlineLevel="0" collapsed="false">
      <c r="A184" s="5"/>
      <c r="B184" s="5"/>
      <c r="C184" s="5"/>
      <c r="D184" s="5"/>
      <c r="E184" s="5"/>
      <c r="F184" s="5"/>
      <c r="G184" s="5"/>
      <c r="H184" s="5"/>
    </row>
    <row r="185" customFormat="false" ht="15" hidden="false" customHeight="true" outlineLevel="0" collapsed="false">
      <c r="A185" s="5"/>
      <c r="B185" s="5"/>
      <c r="C185" s="5"/>
      <c r="D185" s="5"/>
      <c r="E185" s="5"/>
      <c r="F185" s="5"/>
      <c r="G185" s="5"/>
      <c r="H185" s="5"/>
    </row>
    <row r="186" customFormat="false" ht="15" hidden="false" customHeight="true" outlineLevel="0" collapsed="false">
      <c r="A186" s="5"/>
      <c r="B186" s="5"/>
      <c r="C186" s="5"/>
      <c r="D186" s="5"/>
      <c r="E186" s="5"/>
      <c r="F186" s="5"/>
      <c r="G186" s="5"/>
      <c r="H186" s="5"/>
    </row>
    <row r="187" customFormat="false" ht="15" hidden="false" customHeight="true" outlineLevel="0" collapsed="false">
      <c r="A187" s="5"/>
      <c r="B187" s="5"/>
      <c r="C187" s="5"/>
      <c r="D187" s="5"/>
      <c r="E187" s="5"/>
      <c r="F187" s="5"/>
      <c r="G187" s="5"/>
      <c r="H187" s="5"/>
    </row>
    <row r="188" customFormat="false" ht="15" hidden="false" customHeight="true" outlineLevel="0" collapsed="false">
      <c r="A188" s="5"/>
      <c r="B188" s="5"/>
      <c r="C188" s="5"/>
      <c r="D188" s="5"/>
      <c r="E188" s="5"/>
      <c r="F188" s="5"/>
      <c r="G188" s="5"/>
      <c r="H188" s="5"/>
    </row>
    <row r="189" customFormat="false" ht="15" hidden="false" customHeight="true" outlineLevel="0" collapsed="false">
      <c r="A189" s="5"/>
      <c r="B189" s="5"/>
      <c r="C189" s="5"/>
      <c r="D189" s="5"/>
      <c r="E189" s="5"/>
      <c r="F189" s="5"/>
      <c r="G189" s="5"/>
      <c r="H189" s="5"/>
    </row>
    <row r="190" customFormat="false" ht="15" hidden="false" customHeight="true" outlineLevel="0" collapsed="false">
      <c r="A190" s="5"/>
      <c r="B190" s="5"/>
      <c r="C190" s="5"/>
      <c r="D190" s="5"/>
      <c r="E190" s="5"/>
      <c r="F190" s="5"/>
      <c r="G190" s="5"/>
      <c r="H190" s="5"/>
    </row>
    <row r="191" customFormat="false" ht="15" hidden="false" customHeight="true" outlineLevel="0" collapsed="false">
      <c r="A191" s="5"/>
      <c r="B191" s="5"/>
      <c r="C191" s="5"/>
      <c r="D191" s="5"/>
      <c r="E191" s="5"/>
      <c r="F191" s="5"/>
      <c r="G191" s="5"/>
      <c r="H191" s="5"/>
    </row>
    <row r="192" customFormat="false" ht="15" hidden="false" customHeight="true" outlineLevel="0" collapsed="false">
      <c r="A192" s="5"/>
      <c r="B192" s="5"/>
      <c r="C192" s="5"/>
      <c r="D192" s="5"/>
      <c r="E192" s="5"/>
      <c r="F192" s="5"/>
      <c r="G192" s="5"/>
      <c r="H192" s="5"/>
    </row>
    <row r="193" customFormat="false" ht="15" hidden="false" customHeight="true" outlineLevel="0" collapsed="false">
      <c r="A193" s="5"/>
      <c r="B193" s="5"/>
      <c r="C193" s="5"/>
      <c r="D193" s="5"/>
      <c r="E193" s="5"/>
      <c r="F193" s="5"/>
      <c r="G193" s="5"/>
      <c r="H193" s="5"/>
    </row>
    <row r="194" customFormat="false" ht="15" hidden="false" customHeight="true" outlineLevel="0" collapsed="false">
      <c r="A194" s="5"/>
      <c r="B194" s="5"/>
      <c r="C194" s="5"/>
      <c r="D194" s="5"/>
      <c r="E194" s="5"/>
      <c r="F194" s="5"/>
      <c r="G194" s="5"/>
      <c r="H194" s="5"/>
    </row>
    <row r="195" customFormat="false" ht="15" hidden="false" customHeight="true" outlineLevel="0" collapsed="false">
      <c r="A195" s="5"/>
      <c r="B195" s="5"/>
      <c r="C195" s="5"/>
      <c r="D195" s="5"/>
      <c r="E195" s="5"/>
      <c r="F195" s="5"/>
      <c r="G195" s="5"/>
      <c r="H195" s="5"/>
    </row>
    <row r="196" customFormat="false" ht="15" hidden="false" customHeight="true" outlineLevel="0" collapsed="false">
      <c r="A196" s="5"/>
      <c r="B196" s="5"/>
      <c r="C196" s="5"/>
      <c r="D196" s="5"/>
      <c r="E196" s="5"/>
      <c r="F196" s="5"/>
      <c r="G196" s="5"/>
      <c r="H196" s="5"/>
    </row>
    <row r="197" customFormat="false" ht="15" hidden="false" customHeight="true" outlineLevel="0" collapsed="false">
      <c r="A197" s="5"/>
      <c r="B197" s="5"/>
      <c r="C197" s="5"/>
      <c r="D197" s="5"/>
      <c r="E197" s="5"/>
      <c r="F197" s="5"/>
      <c r="G197" s="5"/>
      <c r="H197" s="5"/>
    </row>
    <row r="198" customFormat="false" ht="15" hidden="false" customHeight="true" outlineLevel="0" collapsed="false">
      <c r="A198" s="5"/>
      <c r="B198" s="5"/>
      <c r="C198" s="5"/>
      <c r="D198" s="5"/>
      <c r="E198" s="5"/>
      <c r="F198" s="5"/>
      <c r="G198" s="5"/>
      <c r="H198" s="5"/>
    </row>
    <row r="199" customFormat="false" ht="15" hidden="false" customHeight="true" outlineLevel="0" collapsed="false">
      <c r="A199" s="5"/>
      <c r="B199" s="5"/>
      <c r="C199" s="5"/>
      <c r="D199" s="5"/>
      <c r="E199" s="5"/>
      <c r="F199" s="5"/>
      <c r="G199" s="5"/>
      <c r="H199" s="5"/>
    </row>
    <row r="200" customFormat="false" ht="15" hidden="false" customHeight="true" outlineLevel="0" collapsed="false">
      <c r="A200" s="5"/>
      <c r="B200" s="5"/>
      <c r="C200" s="5"/>
      <c r="D200" s="5"/>
      <c r="E200" s="5"/>
      <c r="F200" s="5"/>
      <c r="G200" s="5"/>
      <c r="H200" s="5"/>
    </row>
    <row r="201" customFormat="false" ht="15" hidden="false" customHeight="true" outlineLevel="0" collapsed="false">
      <c r="A201" s="5"/>
      <c r="B201" s="5"/>
      <c r="C201" s="5"/>
      <c r="D201" s="5"/>
      <c r="E201" s="5"/>
      <c r="F201" s="5"/>
      <c r="G201" s="5"/>
      <c r="H201" s="5"/>
    </row>
  </sheetData>
  <dataValidations count="2">
    <dataValidation allowBlank="true" errorStyle="stop" operator="between" showDropDown="false" showErrorMessage="false" showInputMessage="false" sqref="D2:D201" type="list">
      <formula1>"Finding,Surprise,Question,Future-research,LinkedIn-post,Newsletter,Methodology-note"</formula1>
      <formula2>0</formula2>
    </dataValidation>
    <dataValidation allowBlank="true" errorStyle="stop" operator="between" showDropDown="false" showErrorMessage="false" showInputMessage="false" sqref="H2:H201" type="list">
      <formula1>"Open,Actioned,Archived"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36"/>
    <col collapsed="false" customWidth="true" hidden="false" outlineLevel="0" max="4" min="3" style="1" width="22"/>
    <col collapsed="false" customWidth="true" hidden="false" outlineLevel="0" max="5" min="5" style="1" width="34"/>
    <col collapsed="false" customWidth="true" hidden="false" outlineLevel="0" max="6" min="6" style="1" width="12"/>
    <col collapsed="false" customWidth="true" hidden="false" outlineLevel="0" max="7" min="7" style="1" width="18"/>
    <col collapsed="false" customWidth="true" hidden="false" outlineLevel="0" max="8" min="8" style="1" width="22"/>
    <col collapsed="false" customWidth="true" hidden="false" outlineLevel="0" max="9" min="9" style="1" width="30"/>
    <col collapsed="false" customWidth="true" hidden="false" outlineLevel="0" max="10" min="10" style="1" width="12"/>
    <col collapsed="false" customWidth="true" hidden="false" outlineLevel="0" max="11" min="11" style="1" width="26"/>
  </cols>
  <sheetData>
    <row r="1" customFormat="false" ht="33.75" hidden="false" customHeight="true" outlineLevel="0" collapsed="false">
      <c r="A1" s="9" t="s">
        <v>237</v>
      </c>
      <c r="B1" s="9" t="s">
        <v>239</v>
      </c>
      <c r="C1" s="9" t="s">
        <v>241</v>
      </c>
      <c r="D1" s="9" t="s">
        <v>243</v>
      </c>
      <c r="E1" s="9" t="s">
        <v>244</v>
      </c>
      <c r="F1" s="9" t="s">
        <v>222</v>
      </c>
      <c r="G1" s="9" t="s">
        <v>234</v>
      </c>
      <c r="H1" s="9" t="s">
        <v>248</v>
      </c>
      <c r="I1" s="9" t="s">
        <v>1437</v>
      </c>
      <c r="J1" s="9" t="s">
        <v>149</v>
      </c>
      <c r="K1" s="9" t="s">
        <v>81</v>
      </c>
    </row>
    <row r="2" customFormat="false" ht="15" hidden="false" customHeight="true" outlineLevel="0" collapsed="false">
      <c r="A2" s="5"/>
      <c r="B2" s="5"/>
      <c r="C2" s="5"/>
      <c r="D2" s="5"/>
      <c r="E2" s="5"/>
      <c r="F2" s="5"/>
      <c r="G2" s="5"/>
      <c r="H2" s="5"/>
      <c r="I2" s="5"/>
      <c r="J2" s="5"/>
      <c r="K2" s="5"/>
    </row>
    <row r="3" customFormat="false" ht="15" hidden="false" customHeight="true" outlineLevel="0" collapsed="false">
      <c r="A3" s="5"/>
      <c r="B3" s="5"/>
      <c r="C3" s="5"/>
      <c r="D3" s="5"/>
      <c r="E3" s="5"/>
      <c r="F3" s="5"/>
      <c r="G3" s="5"/>
      <c r="H3" s="5"/>
      <c r="I3" s="5"/>
      <c r="J3" s="5"/>
      <c r="K3" s="5"/>
    </row>
    <row r="4" customFormat="false" ht="15" hidden="false" customHeight="true" outlineLevel="0" collapsed="false">
      <c r="A4" s="5"/>
      <c r="B4" s="5"/>
      <c r="C4" s="5"/>
      <c r="D4" s="5"/>
      <c r="E4" s="5"/>
      <c r="F4" s="5"/>
      <c r="G4" s="5"/>
      <c r="H4" s="5"/>
      <c r="I4" s="5"/>
      <c r="J4" s="5"/>
      <c r="K4" s="5"/>
    </row>
    <row r="5" customFormat="false" ht="15" hidden="false" customHeight="true" outlineLevel="0" collapsed="false">
      <c r="A5" s="5"/>
      <c r="B5" s="5"/>
      <c r="C5" s="5"/>
      <c r="D5" s="5"/>
      <c r="E5" s="5"/>
      <c r="F5" s="5"/>
      <c r="G5" s="5"/>
      <c r="H5" s="5"/>
      <c r="I5" s="5"/>
      <c r="J5" s="5"/>
      <c r="K5" s="5"/>
    </row>
    <row r="6" customFormat="false" ht="15" hidden="false" customHeight="true" outlineLevel="0" collapsed="false">
      <c r="A6" s="5"/>
      <c r="B6" s="5"/>
      <c r="C6" s="5"/>
      <c r="D6" s="5"/>
      <c r="E6" s="5"/>
      <c r="F6" s="5"/>
      <c r="G6" s="5"/>
      <c r="H6" s="5"/>
      <c r="I6" s="5"/>
      <c r="J6" s="5"/>
      <c r="K6" s="5"/>
    </row>
    <row r="7" customFormat="false" ht="15" hidden="false" customHeight="true" outlineLevel="0" collapsed="false">
      <c r="A7" s="5"/>
      <c r="B7" s="5"/>
      <c r="C7" s="5"/>
      <c r="D7" s="5"/>
      <c r="E7" s="5"/>
      <c r="F7" s="5"/>
      <c r="G7" s="5"/>
      <c r="H7" s="5"/>
      <c r="I7" s="5"/>
      <c r="J7" s="5"/>
      <c r="K7" s="5"/>
    </row>
    <row r="8" customFormat="false" ht="15" hidden="false" customHeight="true" outlineLevel="0" collapsed="false">
      <c r="A8" s="5"/>
      <c r="B8" s="5"/>
      <c r="C8" s="5"/>
      <c r="D8" s="5"/>
      <c r="E8" s="5"/>
      <c r="F8" s="5"/>
      <c r="G8" s="5"/>
      <c r="H8" s="5"/>
      <c r="I8" s="5"/>
      <c r="J8" s="5"/>
      <c r="K8" s="5"/>
    </row>
    <row r="9" customFormat="false" ht="15" hidden="false" customHeight="true" outlineLevel="0" collapsed="false">
      <c r="A9" s="5"/>
      <c r="B9" s="5"/>
      <c r="C9" s="5"/>
      <c r="D9" s="5"/>
      <c r="E9" s="5"/>
      <c r="F9" s="5"/>
      <c r="G9" s="5"/>
      <c r="H9" s="5"/>
      <c r="I9" s="5"/>
      <c r="J9" s="5"/>
      <c r="K9" s="5"/>
    </row>
    <row r="10" customFormat="false" ht="15" hidden="false" customHeight="true" outlineLevel="0" collapsed="false">
      <c r="A10" s="5"/>
      <c r="B10" s="5"/>
      <c r="C10" s="5"/>
      <c r="D10" s="5"/>
      <c r="E10" s="5"/>
      <c r="F10" s="5"/>
      <c r="G10" s="5"/>
      <c r="H10" s="5"/>
      <c r="I10" s="5"/>
      <c r="J10" s="5"/>
      <c r="K10" s="5"/>
    </row>
    <row r="11" customFormat="false" ht="15" hidden="false" customHeight="true" outlineLevel="0" collapsed="false">
      <c r="A11" s="5"/>
      <c r="B11" s="5"/>
      <c r="C11" s="5"/>
      <c r="D11" s="5"/>
      <c r="E11" s="5"/>
      <c r="F11" s="5"/>
      <c r="G11" s="5"/>
      <c r="H11" s="5"/>
      <c r="I11" s="5"/>
      <c r="J11" s="5"/>
      <c r="K11" s="5"/>
    </row>
    <row r="12" customFormat="false" ht="15" hidden="false" customHeight="true" outlineLevel="0" collapsed="false">
      <c r="A12" s="5"/>
      <c r="B12" s="5"/>
      <c r="C12" s="5"/>
      <c r="D12" s="5"/>
      <c r="E12" s="5"/>
      <c r="F12" s="5"/>
      <c r="G12" s="5"/>
      <c r="H12" s="5"/>
      <c r="I12" s="5"/>
      <c r="J12" s="5"/>
      <c r="K12" s="5"/>
    </row>
    <row r="13" customFormat="false" ht="15" hidden="false" customHeight="true" outlineLevel="0" collapsed="false">
      <c r="A13" s="5"/>
      <c r="B13" s="5"/>
      <c r="C13" s="5"/>
      <c r="D13" s="5"/>
      <c r="E13" s="5"/>
      <c r="F13" s="5"/>
      <c r="G13" s="5"/>
      <c r="H13" s="5"/>
      <c r="I13" s="5"/>
      <c r="J13" s="5"/>
      <c r="K13" s="5"/>
    </row>
    <row r="14" customFormat="false" ht="15" hidden="false" customHeight="true" outlineLevel="0" collapsed="false">
      <c r="A14" s="5"/>
      <c r="B14" s="5"/>
      <c r="C14" s="5"/>
      <c r="D14" s="5"/>
      <c r="E14" s="5"/>
      <c r="F14" s="5"/>
      <c r="G14" s="5"/>
      <c r="H14" s="5"/>
      <c r="I14" s="5"/>
      <c r="J14" s="5"/>
      <c r="K14" s="5"/>
    </row>
    <row r="15" customFormat="false" ht="15" hidden="false" customHeight="true" outlineLevel="0" collapsed="false">
      <c r="A15" s="5"/>
      <c r="B15" s="5"/>
      <c r="C15" s="5"/>
      <c r="D15" s="5"/>
      <c r="E15" s="5"/>
      <c r="F15" s="5"/>
      <c r="G15" s="5"/>
      <c r="H15" s="5"/>
      <c r="I15" s="5"/>
      <c r="J15" s="5"/>
      <c r="K15" s="5"/>
    </row>
    <row r="16" customFormat="false" ht="15" hidden="false" customHeight="true" outlineLevel="0" collapsed="false">
      <c r="A16" s="5"/>
      <c r="B16" s="5"/>
      <c r="C16" s="5"/>
      <c r="D16" s="5"/>
      <c r="E16" s="5"/>
      <c r="F16" s="5"/>
      <c r="G16" s="5"/>
      <c r="H16" s="5"/>
      <c r="I16" s="5"/>
      <c r="J16" s="5"/>
      <c r="K16" s="5"/>
    </row>
    <row r="17" customFormat="false" ht="15" hidden="false" customHeight="true" outlineLevel="0" collapsed="false">
      <c r="A17" s="5"/>
      <c r="B17" s="5"/>
      <c r="C17" s="5"/>
      <c r="D17" s="5"/>
      <c r="E17" s="5"/>
      <c r="F17" s="5"/>
      <c r="G17" s="5"/>
      <c r="H17" s="5"/>
      <c r="I17" s="5"/>
      <c r="J17" s="5"/>
      <c r="K17" s="5"/>
    </row>
    <row r="18" customFormat="false" ht="15" hidden="false" customHeight="true" outlineLevel="0" collapsed="false">
      <c r="A18" s="5"/>
      <c r="B18" s="5"/>
      <c r="C18" s="5"/>
      <c r="D18" s="5"/>
      <c r="E18" s="5"/>
      <c r="F18" s="5"/>
      <c r="G18" s="5"/>
      <c r="H18" s="5"/>
      <c r="I18" s="5"/>
      <c r="J18" s="5"/>
      <c r="K18" s="5"/>
    </row>
    <row r="19" customFormat="false" ht="15" hidden="false" customHeight="true" outlineLevel="0" collapsed="false">
      <c r="A19" s="5"/>
      <c r="B19" s="5"/>
      <c r="C19" s="5"/>
      <c r="D19" s="5"/>
      <c r="E19" s="5"/>
      <c r="F19" s="5"/>
      <c r="G19" s="5"/>
      <c r="H19" s="5"/>
      <c r="I19" s="5"/>
      <c r="J19" s="5"/>
      <c r="K19" s="5"/>
    </row>
    <row r="20" customFormat="false" ht="15" hidden="false" customHeight="true" outlineLevel="0" collapsed="false">
      <c r="A20" s="5"/>
      <c r="B20" s="5"/>
      <c r="C20" s="5"/>
      <c r="D20" s="5"/>
      <c r="E20" s="5"/>
      <c r="F20" s="5"/>
      <c r="G20" s="5"/>
      <c r="H20" s="5"/>
      <c r="I20" s="5"/>
      <c r="J20" s="5"/>
      <c r="K20" s="5"/>
    </row>
    <row r="21" customFormat="false" ht="15" hidden="false" customHeight="true" outlineLevel="0" collapsed="false">
      <c r="A21" s="5"/>
      <c r="B21" s="5"/>
      <c r="C21" s="5"/>
      <c r="D21" s="5"/>
      <c r="E21" s="5"/>
      <c r="F21" s="5"/>
      <c r="G21" s="5"/>
      <c r="H21" s="5"/>
      <c r="I21" s="5"/>
      <c r="J21" s="5"/>
      <c r="K21" s="5"/>
    </row>
    <row r="22" customFormat="false" ht="15" hidden="false" customHeight="true" outlineLevel="0" collapsed="false">
      <c r="A22" s="5"/>
      <c r="B22" s="5"/>
      <c r="C22" s="5"/>
      <c r="D22" s="5"/>
      <c r="E22" s="5"/>
      <c r="F22" s="5"/>
      <c r="G22" s="5"/>
      <c r="H22" s="5"/>
      <c r="I22" s="5"/>
      <c r="J22" s="5"/>
      <c r="K22" s="5"/>
    </row>
    <row r="23" customFormat="false" ht="15" hidden="false" customHeight="true" outlineLevel="0" collapsed="false">
      <c r="A23" s="5"/>
      <c r="B23" s="5"/>
      <c r="C23" s="5"/>
      <c r="D23" s="5"/>
      <c r="E23" s="5"/>
      <c r="F23" s="5"/>
      <c r="G23" s="5"/>
      <c r="H23" s="5"/>
      <c r="I23" s="5"/>
      <c r="J23" s="5"/>
      <c r="K23" s="5"/>
    </row>
    <row r="24" customFormat="false" ht="15" hidden="false" customHeight="true" outlineLevel="0" collapsed="false">
      <c r="A24" s="5"/>
      <c r="B24" s="5"/>
      <c r="C24" s="5"/>
      <c r="D24" s="5"/>
      <c r="E24" s="5"/>
      <c r="F24" s="5"/>
      <c r="G24" s="5"/>
      <c r="H24" s="5"/>
      <c r="I24" s="5"/>
      <c r="J24" s="5"/>
      <c r="K24" s="5"/>
    </row>
    <row r="25" customFormat="false" ht="15" hidden="false" customHeight="true" outlineLevel="0" collapsed="false">
      <c r="A25" s="5"/>
      <c r="B25" s="5"/>
      <c r="C25" s="5"/>
      <c r="D25" s="5"/>
      <c r="E25" s="5"/>
      <c r="F25" s="5"/>
      <c r="G25" s="5"/>
      <c r="H25" s="5"/>
      <c r="I25" s="5"/>
      <c r="J25" s="5"/>
      <c r="K25" s="5"/>
    </row>
    <row r="26" customFormat="false" ht="15" hidden="false" customHeight="true" outlineLevel="0" collapsed="false">
      <c r="A26" s="5"/>
      <c r="B26" s="5"/>
      <c r="C26" s="5"/>
      <c r="D26" s="5"/>
      <c r="E26" s="5"/>
      <c r="F26" s="5"/>
      <c r="G26" s="5"/>
      <c r="H26" s="5"/>
      <c r="I26" s="5"/>
      <c r="J26" s="5"/>
      <c r="K26" s="5"/>
    </row>
    <row r="27" customFormat="false" ht="15" hidden="false" customHeight="true" outlineLevel="0" collapsed="false">
      <c r="A27" s="5"/>
      <c r="B27" s="5"/>
      <c r="C27" s="5"/>
      <c r="D27" s="5"/>
      <c r="E27" s="5"/>
      <c r="F27" s="5"/>
      <c r="G27" s="5"/>
      <c r="H27" s="5"/>
      <c r="I27" s="5"/>
      <c r="J27" s="5"/>
      <c r="K27" s="5"/>
    </row>
    <row r="28" customFormat="false" ht="15" hidden="false" customHeight="true" outlineLevel="0" collapsed="false">
      <c r="A28" s="5"/>
      <c r="B28" s="5"/>
      <c r="C28" s="5"/>
      <c r="D28" s="5"/>
      <c r="E28" s="5"/>
      <c r="F28" s="5"/>
      <c r="G28" s="5"/>
      <c r="H28" s="5"/>
      <c r="I28" s="5"/>
      <c r="J28" s="5"/>
      <c r="K28" s="5"/>
    </row>
    <row r="29" customFormat="false" ht="15" hidden="false" customHeight="true" outlineLevel="0" collapsed="false">
      <c r="A29" s="5"/>
      <c r="B29" s="5"/>
      <c r="C29" s="5"/>
      <c r="D29" s="5"/>
      <c r="E29" s="5"/>
      <c r="F29" s="5"/>
      <c r="G29" s="5"/>
      <c r="H29" s="5"/>
      <c r="I29" s="5"/>
      <c r="J29" s="5"/>
      <c r="K29" s="5"/>
    </row>
    <row r="30" customFormat="false" ht="15" hidden="false" customHeight="true" outlineLevel="0" collapsed="false">
      <c r="A30" s="5"/>
      <c r="B30" s="5"/>
      <c r="C30" s="5"/>
      <c r="D30" s="5"/>
      <c r="E30" s="5"/>
      <c r="F30" s="5"/>
      <c r="G30" s="5"/>
      <c r="H30" s="5"/>
      <c r="I30" s="5"/>
      <c r="J30" s="5"/>
      <c r="K30" s="5"/>
    </row>
    <row r="31" customFormat="false" ht="15" hidden="false" customHeight="true" outlineLevel="0" collapsed="false">
      <c r="A31" s="5"/>
      <c r="B31" s="5"/>
      <c r="C31" s="5"/>
      <c r="D31" s="5"/>
      <c r="E31" s="5"/>
      <c r="F31" s="5"/>
      <c r="G31" s="5"/>
      <c r="H31" s="5"/>
      <c r="I31" s="5"/>
      <c r="J31" s="5"/>
      <c r="K31" s="5"/>
    </row>
    <row r="32" customFormat="false" ht="15" hidden="false" customHeight="true" outlineLevel="0" collapsed="false">
      <c r="A32" s="5"/>
      <c r="B32" s="5"/>
      <c r="C32" s="5"/>
      <c r="D32" s="5"/>
      <c r="E32" s="5"/>
      <c r="F32" s="5"/>
      <c r="G32" s="5"/>
      <c r="H32" s="5"/>
      <c r="I32" s="5"/>
      <c r="J32" s="5"/>
      <c r="K32" s="5"/>
    </row>
    <row r="33" customFormat="false" ht="15" hidden="false" customHeight="true" outlineLevel="0" collapsed="false">
      <c r="A33" s="5"/>
      <c r="B33" s="5"/>
      <c r="C33" s="5"/>
      <c r="D33" s="5"/>
      <c r="E33" s="5"/>
      <c r="F33" s="5"/>
      <c r="G33" s="5"/>
      <c r="H33" s="5"/>
      <c r="I33" s="5"/>
      <c r="J33" s="5"/>
      <c r="K33" s="5"/>
    </row>
    <row r="34" customFormat="false" ht="15" hidden="false" customHeight="true" outlineLevel="0" collapsed="false">
      <c r="A34" s="5"/>
      <c r="B34" s="5"/>
      <c r="C34" s="5"/>
      <c r="D34" s="5"/>
      <c r="E34" s="5"/>
      <c r="F34" s="5"/>
      <c r="G34" s="5"/>
      <c r="H34" s="5"/>
      <c r="I34" s="5"/>
      <c r="J34" s="5"/>
      <c r="K34" s="5"/>
    </row>
    <row r="35" customFormat="false" ht="15" hidden="false" customHeight="true" outlineLevel="0" collapsed="false">
      <c r="A35" s="5"/>
      <c r="B35" s="5"/>
      <c r="C35" s="5"/>
      <c r="D35" s="5"/>
      <c r="E35" s="5"/>
      <c r="F35" s="5"/>
      <c r="G35" s="5"/>
      <c r="H35" s="5"/>
      <c r="I35" s="5"/>
      <c r="J35" s="5"/>
      <c r="K35" s="5"/>
    </row>
    <row r="36" customFormat="false" ht="15" hidden="false" customHeight="true" outlineLevel="0" collapsed="false">
      <c r="A36" s="5"/>
      <c r="B36" s="5"/>
      <c r="C36" s="5"/>
      <c r="D36" s="5"/>
      <c r="E36" s="5"/>
      <c r="F36" s="5"/>
      <c r="G36" s="5"/>
      <c r="H36" s="5"/>
      <c r="I36" s="5"/>
      <c r="J36" s="5"/>
      <c r="K36" s="5"/>
    </row>
    <row r="37" customFormat="false" ht="15" hidden="false" customHeight="true" outlineLevel="0" collapsed="false">
      <c r="A37" s="5"/>
      <c r="B37" s="5"/>
      <c r="C37" s="5"/>
      <c r="D37" s="5"/>
      <c r="E37" s="5"/>
      <c r="F37" s="5"/>
      <c r="G37" s="5"/>
      <c r="H37" s="5"/>
      <c r="I37" s="5"/>
      <c r="J37" s="5"/>
      <c r="K37" s="5"/>
    </row>
    <row r="38" customFormat="false" ht="15" hidden="false" customHeight="true" outlineLevel="0" collapsed="false">
      <c r="A38" s="5"/>
      <c r="B38" s="5"/>
      <c r="C38" s="5"/>
      <c r="D38" s="5"/>
      <c r="E38" s="5"/>
      <c r="F38" s="5"/>
      <c r="G38" s="5"/>
      <c r="H38" s="5"/>
      <c r="I38" s="5"/>
      <c r="J38" s="5"/>
      <c r="K38" s="5"/>
    </row>
    <row r="39" customFormat="false" ht="15" hidden="false" customHeight="true" outlineLevel="0" collapsed="false">
      <c r="A39" s="5"/>
      <c r="B39" s="5"/>
      <c r="C39" s="5"/>
      <c r="D39" s="5"/>
      <c r="E39" s="5"/>
      <c r="F39" s="5"/>
      <c r="G39" s="5"/>
      <c r="H39" s="5"/>
      <c r="I39" s="5"/>
      <c r="J39" s="5"/>
      <c r="K39" s="5"/>
    </row>
    <row r="40" customFormat="false" ht="15" hidden="false" customHeight="true" outlineLevel="0" collapsed="false">
      <c r="A40" s="5"/>
      <c r="B40" s="5"/>
      <c r="C40" s="5"/>
      <c r="D40" s="5"/>
      <c r="E40" s="5"/>
      <c r="F40" s="5"/>
      <c r="G40" s="5"/>
      <c r="H40" s="5"/>
      <c r="I40" s="5"/>
      <c r="J40" s="5"/>
      <c r="K40" s="5"/>
    </row>
    <row r="41" customFormat="false" ht="15" hidden="false" customHeight="true" outlineLevel="0" collapsed="false">
      <c r="A41" s="5"/>
      <c r="B41" s="5"/>
      <c r="C41" s="5"/>
      <c r="D41" s="5"/>
      <c r="E41" s="5"/>
      <c r="F41" s="5"/>
      <c r="G41" s="5"/>
      <c r="H41" s="5"/>
      <c r="I41" s="5"/>
      <c r="J41" s="5"/>
      <c r="K41" s="5"/>
    </row>
    <row r="42" customFormat="false" ht="15" hidden="false" customHeight="true" outlineLevel="0" collapsed="false">
      <c r="A42" s="5"/>
      <c r="B42" s="5"/>
      <c r="C42" s="5"/>
      <c r="D42" s="5"/>
      <c r="E42" s="5"/>
      <c r="F42" s="5"/>
      <c r="G42" s="5"/>
      <c r="H42" s="5"/>
      <c r="I42" s="5"/>
      <c r="J42" s="5"/>
      <c r="K42" s="5"/>
    </row>
    <row r="43" customFormat="false" ht="15" hidden="false" customHeight="true" outlineLevel="0" collapsed="false">
      <c r="A43" s="5"/>
      <c r="B43" s="5"/>
      <c r="C43" s="5"/>
      <c r="D43" s="5"/>
      <c r="E43" s="5"/>
      <c r="F43" s="5"/>
      <c r="G43" s="5"/>
      <c r="H43" s="5"/>
      <c r="I43" s="5"/>
      <c r="J43" s="5"/>
      <c r="K43" s="5"/>
    </row>
    <row r="44" customFormat="false" ht="15" hidden="false" customHeight="true" outlineLevel="0" collapsed="false">
      <c r="A44" s="5"/>
      <c r="B44" s="5"/>
      <c r="C44" s="5"/>
      <c r="D44" s="5"/>
      <c r="E44" s="5"/>
      <c r="F44" s="5"/>
      <c r="G44" s="5"/>
      <c r="H44" s="5"/>
      <c r="I44" s="5"/>
      <c r="J44" s="5"/>
      <c r="K44" s="5"/>
    </row>
    <row r="45" customFormat="false" ht="15" hidden="false" customHeight="true" outlineLevel="0" collapsed="false">
      <c r="A45" s="5"/>
      <c r="B45" s="5"/>
      <c r="C45" s="5"/>
      <c r="D45" s="5"/>
      <c r="E45" s="5"/>
      <c r="F45" s="5"/>
      <c r="G45" s="5"/>
      <c r="H45" s="5"/>
      <c r="I45" s="5"/>
      <c r="J45" s="5"/>
      <c r="K45" s="5"/>
    </row>
    <row r="46" customFormat="false" ht="15" hidden="false" customHeight="true" outlineLevel="0" collapsed="false">
      <c r="A46" s="5"/>
      <c r="B46" s="5"/>
      <c r="C46" s="5"/>
      <c r="D46" s="5"/>
      <c r="E46" s="5"/>
      <c r="F46" s="5"/>
      <c r="G46" s="5"/>
      <c r="H46" s="5"/>
      <c r="I46" s="5"/>
      <c r="J46" s="5"/>
      <c r="K46" s="5"/>
    </row>
    <row r="47" customFormat="false" ht="15" hidden="false" customHeight="true" outlineLevel="0" collapsed="false">
      <c r="A47" s="5"/>
      <c r="B47" s="5"/>
      <c r="C47" s="5"/>
      <c r="D47" s="5"/>
      <c r="E47" s="5"/>
      <c r="F47" s="5"/>
      <c r="G47" s="5"/>
      <c r="H47" s="5"/>
      <c r="I47" s="5"/>
      <c r="J47" s="5"/>
      <c r="K47" s="5"/>
    </row>
    <row r="48" customFormat="false" ht="15" hidden="false" customHeight="true" outlineLevel="0" collapsed="false">
      <c r="A48" s="5"/>
      <c r="B48" s="5"/>
      <c r="C48" s="5"/>
      <c r="D48" s="5"/>
      <c r="E48" s="5"/>
      <c r="F48" s="5"/>
      <c r="G48" s="5"/>
      <c r="H48" s="5"/>
      <c r="I48" s="5"/>
      <c r="J48" s="5"/>
      <c r="K48" s="5"/>
    </row>
    <row r="49" customFormat="false" ht="15" hidden="false" customHeight="true" outlineLevel="0" collapsed="false">
      <c r="A49" s="5"/>
      <c r="B49" s="5"/>
      <c r="C49" s="5"/>
      <c r="D49" s="5"/>
      <c r="E49" s="5"/>
      <c r="F49" s="5"/>
      <c r="G49" s="5"/>
      <c r="H49" s="5"/>
      <c r="I49" s="5"/>
      <c r="J49" s="5"/>
      <c r="K49" s="5"/>
    </row>
    <row r="50" customFormat="false" ht="15" hidden="false" customHeight="true" outlineLevel="0" collapsed="false">
      <c r="A50" s="5"/>
      <c r="B50" s="5"/>
      <c r="C50" s="5"/>
      <c r="D50" s="5"/>
      <c r="E50" s="5"/>
      <c r="F50" s="5"/>
      <c r="G50" s="5"/>
      <c r="H50" s="5"/>
      <c r="I50" s="5"/>
      <c r="J50" s="5"/>
      <c r="K50" s="5"/>
    </row>
    <row r="51" customFormat="false" ht="15" hidden="false" customHeight="true" outlineLevel="0" collapsed="false">
      <c r="A51" s="5"/>
      <c r="B51" s="5"/>
      <c r="C51" s="5"/>
      <c r="D51" s="5"/>
      <c r="E51" s="5"/>
      <c r="F51" s="5"/>
      <c r="G51" s="5"/>
      <c r="H51" s="5"/>
      <c r="I51" s="5"/>
      <c r="J51" s="5"/>
      <c r="K51" s="5"/>
    </row>
    <row r="52" customFormat="false" ht="15" hidden="false" customHeight="true" outlineLevel="0" collapsed="false">
      <c r="A52" s="5"/>
      <c r="B52" s="5"/>
      <c r="C52" s="5"/>
      <c r="D52" s="5"/>
      <c r="E52" s="5"/>
      <c r="F52" s="5"/>
      <c r="G52" s="5"/>
      <c r="H52" s="5"/>
      <c r="I52" s="5"/>
      <c r="J52" s="5"/>
      <c r="K52" s="5"/>
    </row>
    <row r="53" customFormat="false" ht="15" hidden="false" customHeight="true" outlineLevel="0" collapsed="false">
      <c r="A53" s="5"/>
      <c r="B53" s="5"/>
      <c r="C53" s="5"/>
      <c r="D53" s="5"/>
      <c r="E53" s="5"/>
      <c r="F53" s="5"/>
      <c r="G53" s="5"/>
      <c r="H53" s="5"/>
      <c r="I53" s="5"/>
      <c r="J53" s="5"/>
      <c r="K53" s="5"/>
    </row>
    <row r="54" customFormat="false" ht="15" hidden="false" customHeight="true" outlineLevel="0" collapsed="false">
      <c r="A54" s="5"/>
      <c r="B54" s="5"/>
      <c r="C54" s="5"/>
      <c r="D54" s="5"/>
      <c r="E54" s="5"/>
      <c r="F54" s="5"/>
      <c r="G54" s="5"/>
      <c r="H54" s="5"/>
      <c r="I54" s="5"/>
      <c r="J54" s="5"/>
      <c r="K54" s="5"/>
    </row>
    <row r="55" customFormat="false" ht="15" hidden="false" customHeight="true" outlineLevel="0" collapsed="false">
      <c r="A55" s="5"/>
      <c r="B55" s="5"/>
      <c r="C55" s="5"/>
      <c r="D55" s="5"/>
      <c r="E55" s="5"/>
      <c r="F55" s="5"/>
      <c r="G55" s="5"/>
      <c r="H55" s="5"/>
      <c r="I55" s="5"/>
      <c r="J55" s="5"/>
      <c r="K55" s="5"/>
    </row>
    <row r="56" customFormat="false" ht="15" hidden="false" customHeight="true" outlineLevel="0" collapsed="false">
      <c r="A56" s="5"/>
      <c r="B56" s="5"/>
      <c r="C56" s="5"/>
      <c r="D56" s="5"/>
      <c r="E56" s="5"/>
      <c r="F56" s="5"/>
      <c r="G56" s="5"/>
      <c r="H56" s="5"/>
      <c r="I56" s="5"/>
      <c r="J56" s="5"/>
      <c r="K56" s="5"/>
    </row>
    <row r="57" customFormat="false" ht="15" hidden="false" customHeight="true" outlineLevel="0" collapsed="false">
      <c r="A57" s="5"/>
      <c r="B57" s="5"/>
      <c r="C57" s="5"/>
      <c r="D57" s="5"/>
      <c r="E57" s="5"/>
      <c r="F57" s="5"/>
      <c r="G57" s="5"/>
      <c r="H57" s="5"/>
      <c r="I57" s="5"/>
      <c r="J57" s="5"/>
      <c r="K57" s="5"/>
    </row>
    <row r="58" customFormat="false" ht="15" hidden="false" customHeight="true" outlineLevel="0" collapsed="false">
      <c r="A58" s="5"/>
      <c r="B58" s="5"/>
      <c r="C58" s="5"/>
      <c r="D58" s="5"/>
      <c r="E58" s="5"/>
      <c r="F58" s="5"/>
      <c r="G58" s="5"/>
      <c r="H58" s="5"/>
      <c r="I58" s="5"/>
      <c r="J58" s="5"/>
      <c r="K58" s="5"/>
    </row>
    <row r="59" customFormat="false" ht="15" hidden="false" customHeight="true" outlineLevel="0" collapsed="false">
      <c r="A59" s="5"/>
      <c r="B59" s="5"/>
      <c r="C59" s="5"/>
      <c r="D59" s="5"/>
      <c r="E59" s="5"/>
      <c r="F59" s="5"/>
      <c r="G59" s="5"/>
      <c r="H59" s="5"/>
      <c r="I59" s="5"/>
      <c r="J59" s="5"/>
      <c r="K59" s="5"/>
    </row>
    <row r="60" customFormat="false" ht="15" hidden="false" customHeight="true" outlineLevel="0" collapsed="false">
      <c r="A60" s="5"/>
      <c r="B60" s="5"/>
      <c r="C60" s="5"/>
      <c r="D60" s="5"/>
      <c r="E60" s="5"/>
      <c r="F60" s="5"/>
      <c r="G60" s="5"/>
      <c r="H60" s="5"/>
      <c r="I60" s="5"/>
      <c r="J60" s="5"/>
      <c r="K60" s="5"/>
    </row>
    <row r="61" customFormat="false" ht="15" hidden="false" customHeight="true" outlineLevel="0" collapsed="false">
      <c r="A61" s="5"/>
      <c r="B61" s="5"/>
      <c r="C61" s="5"/>
      <c r="D61" s="5"/>
      <c r="E61" s="5"/>
      <c r="F61" s="5"/>
      <c r="G61" s="5"/>
      <c r="H61" s="5"/>
      <c r="I61" s="5"/>
      <c r="J61" s="5"/>
      <c r="K61" s="5"/>
    </row>
    <row r="62" customFormat="false" ht="15" hidden="false" customHeight="true" outlineLevel="0" collapsed="false">
      <c r="A62" s="5"/>
      <c r="B62" s="5"/>
      <c r="C62" s="5"/>
      <c r="D62" s="5"/>
      <c r="E62" s="5"/>
      <c r="F62" s="5"/>
      <c r="G62" s="5"/>
      <c r="H62" s="5"/>
      <c r="I62" s="5"/>
      <c r="J62" s="5"/>
      <c r="K62" s="5"/>
    </row>
    <row r="63" customFormat="false" ht="15" hidden="false" customHeight="true" outlineLevel="0" collapsed="false">
      <c r="A63" s="5"/>
      <c r="B63" s="5"/>
      <c r="C63" s="5"/>
      <c r="D63" s="5"/>
      <c r="E63" s="5"/>
      <c r="F63" s="5"/>
      <c r="G63" s="5"/>
      <c r="H63" s="5"/>
      <c r="I63" s="5"/>
      <c r="J63" s="5"/>
      <c r="K63" s="5"/>
    </row>
    <row r="64" customFormat="false" ht="15" hidden="false" customHeight="true" outlineLevel="0" collapsed="false">
      <c r="A64" s="5"/>
      <c r="B64" s="5"/>
      <c r="C64" s="5"/>
      <c r="D64" s="5"/>
      <c r="E64" s="5"/>
      <c r="F64" s="5"/>
      <c r="G64" s="5"/>
      <c r="H64" s="5"/>
      <c r="I64" s="5"/>
      <c r="J64" s="5"/>
      <c r="K64" s="5"/>
    </row>
    <row r="65" customFormat="false" ht="15" hidden="false" customHeight="true" outlineLevel="0" collapsed="false">
      <c r="A65" s="5"/>
      <c r="B65" s="5"/>
      <c r="C65" s="5"/>
      <c r="D65" s="5"/>
      <c r="E65" s="5"/>
      <c r="F65" s="5"/>
      <c r="G65" s="5"/>
      <c r="H65" s="5"/>
      <c r="I65" s="5"/>
      <c r="J65" s="5"/>
      <c r="K65" s="5"/>
    </row>
    <row r="66" customFormat="false" ht="15" hidden="false" customHeight="true" outlineLevel="0" collapsed="false">
      <c r="A66" s="5"/>
      <c r="B66" s="5"/>
      <c r="C66" s="5"/>
      <c r="D66" s="5"/>
      <c r="E66" s="5"/>
      <c r="F66" s="5"/>
      <c r="G66" s="5"/>
      <c r="H66" s="5"/>
      <c r="I66" s="5"/>
      <c r="J66" s="5"/>
      <c r="K66" s="5"/>
    </row>
    <row r="67" customFormat="false" ht="15" hidden="false" customHeight="true" outlineLevel="0" collapsed="false">
      <c r="A67" s="5"/>
      <c r="B67" s="5"/>
      <c r="C67" s="5"/>
      <c r="D67" s="5"/>
      <c r="E67" s="5"/>
      <c r="F67" s="5"/>
      <c r="G67" s="5"/>
      <c r="H67" s="5"/>
      <c r="I67" s="5"/>
      <c r="J67" s="5"/>
      <c r="K67" s="5"/>
    </row>
    <row r="68" customFormat="false" ht="15" hidden="false" customHeight="true" outlineLevel="0" collapsed="false">
      <c r="A68" s="5"/>
      <c r="B68" s="5"/>
      <c r="C68" s="5"/>
      <c r="D68" s="5"/>
      <c r="E68" s="5"/>
      <c r="F68" s="5"/>
      <c r="G68" s="5"/>
      <c r="H68" s="5"/>
      <c r="I68" s="5"/>
      <c r="J68" s="5"/>
      <c r="K68" s="5"/>
    </row>
    <row r="69" customFormat="false" ht="15" hidden="false" customHeight="true" outlineLevel="0" collapsed="false">
      <c r="A69" s="5"/>
      <c r="B69" s="5"/>
      <c r="C69" s="5"/>
      <c r="D69" s="5"/>
      <c r="E69" s="5"/>
      <c r="F69" s="5"/>
      <c r="G69" s="5"/>
      <c r="H69" s="5"/>
      <c r="I69" s="5"/>
      <c r="J69" s="5"/>
      <c r="K69" s="5"/>
    </row>
    <row r="70" customFormat="false" ht="15" hidden="false" customHeight="true" outlineLevel="0" collapsed="false">
      <c r="A70" s="5"/>
      <c r="B70" s="5"/>
      <c r="C70" s="5"/>
      <c r="D70" s="5"/>
      <c r="E70" s="5"/>
      <c r="F70" s="5"/>
      <c r="G70" s="5"/>
      <c r="H70" s="5"/>
      <c r="I70" s="5"/>
      <c r="J70" s="5"/>
      <c r="K70" s="5"/>
    </row>
    <row r="71" customFormat="false" ht="15" hidden="false" customHeight="true" outlineLevel="0" collapsed="false">
      <c r="A71" s="5"/>
      <c r="B71" s="5"/>
      <c r="C71" s="5"/>
      <c r="D71" s="5"/>
      <c r="E71" s="5"/>
      <c r="F71" s="5"/>
      <c r="G71" s="5"/>
      <c r="H71" s="5"/>
      <c r="I71" s="5"/>
      <c r="J71" s="5"/>
      <c r="K71" s="5"/>
    </row>
    <row r="72" customFormat="false" ht="15" hidden="false" customHeight="true" outlineLevel="0" collapsed="false">
      <c r="A72" s="5"/>
      <c r="B72" s="5"/>
      <c r="C72" s="5"/>
      <c r="D72" s="5"/>
      <c r="E72" s="5"/>
      <c r="F72" s="5"/>
      <c r="G72" s="5"/>
      <c r="H72" s="5"/>
      <c r="I72" s="5"/>
      <c r="J72" s="5"/>
      <c r="K72" s="5"/>
    </row>
    <row r="73" customFormat="false" ht="15" hidden="false" customHeight="true" outlineLevel="0" collapsed="false">
      <c r="A73" s="5"/>
      <c r="B73" s="5"/>
      <c r="C73" s="5"/>
      <c r="D73" s="5"/>
      <c r="E73" s="5"/>
      <c r="F73" s="5"/>
      <c r="G73" s="5"/>
      <c r="H73" s="5"/>
      <c r="I73" s="5"/>
      <c r="J73" s="5"/>
      <c r="K73" s="5"/>
    </row>
    <row r="74" customFormat="false" ht="15" hidden="false" customHeight="true" outlineLevel="0" collapsed="false">
      <c r="A74" s="5"/>
      <c r="B74" s="5"/>
      <c r="C74" s="5"/>
      <c r="D74" s="5"/>
      <c r="E74" s="5"/>
      <c r="F74" s="5"/>
      <c r="G74" s="5"/>
      <c r="H74" s="5"/>
      <c r="I74" s="5"/>
      <c r="J74" s="5"/>
      <c r="K74" s="5"/>
    </row>
    <row r="75" customFormat="false" ht="15" hidden="false" customHeight="true" outlineLevel="0" collapsed="false">
      <c r="A75" s="5"/>
      <c r="B75" s="5"/>
      <c r="C75" s="5"/>
      <c r="D75" s="5"/>
      <c r="E75" s="5"/>
      <c r="F75" s="5"/>
      <c r="G75" s="5"/>
      <c r="H75" s="5"/>
      <c r="I75" s="5"/>
      <c r="J75" s="5"/>
      <c r="K75" s="5"/>
    </row>
    <row r="76" customFormat="false" ht="15" hidden="false" customHeight="true" outlineLevel="0" collapsed="false">
      <c r="A76" s="5"/>
      <c r="B76" s="5"/>
      <c r="C76" s="5"/>
      <c r="D76" s="5"/>
      <c r="E76" s="5"/>
      <c r="F76" s="5"/>
      <c r="G76" s="5"/>
      <c r="H76" s="5"/>
      <c r="I76" s="5"/>
      <c r="J76" s="5"/>
      <c r="K76" s="5"/>
    </row>
    <row r="77" customFormat="false" ht="15" hidden="false" customHeight="true" outlineLevel="0" collapsed="false">
      <c r="A77" s="5"/>
      <c r="B77" s="5"/>
      <c r="C77" s="5"/>
      <c r="D77" s="5"/>
      <c r="E77" s="5"/>
      <c r="F77" s="5"/>
      <c r="G77" s="5"/>
      <c r="H77" s="5"/>
      <c r="I77" s="5"/>
      <c r="J77" s="5"/>
      <c r="K77" s="5"/>
    </row>
    <row r="78" customFormat="false" ht="15" hidden="false" customHeight="true" outlineLevel="0" collapsed="false">
      <c r="A78" s="5"/>
      <c r="B78" s="5"/>
      <c r="C78" s="5"/>
      <c r="D78" s="5"/>
      <c r="E78" s="5"/>
      <c r="F78" s="5"/>
      <c r="G78" s="5"/>
      <c r="H78" s="5"/>
      <c r="I78" s="5"/>
      <c r="J78" s="5"/>
      <c r="K78" s="5"/>
    </row>
    <row r="79" customFormat="false" ht="15" hidden="false" customHeight="true" outlineLevel="0" collapsed="false">
      <c r="A79" s="5"/>
      <c r="B79" s="5"/>
      <c r="C79" s="5"/>
      <c r="D79" s="5"/>
      <c r="E79" s="5"/>
      <c r="F79" s="5"/>
      <c r="G79" s="5"/>
      <c r="H79" s="5"/>
      <c r="I79" s="5"/>
      <c r="J79" s="5"/>
      <c r="K79" s="5"/>
    </row>
    <row r="80" customFormat="false" ht="15" hidden="false" customHeight="true" outlineLevel="0" collapsed="false">
      <c r="A80" s="5"/>
      <c r="B80" s="5"/>
      <c r="C80" s="5"/>
      <c r="D80" s="5"/>
      <c r="E80" s="5"/>
      <c r="F80" s="5"/>
      <c r="G80" s="5"/>
      <c r="H80" s="5"/>
      <c r="I80" s="5"/>
      <c r="J80" s="5"/>
      <c r="K80" s="5"/>
    </row>
    <row r="81" customFormat="false" ht="15" hidden="false" customHeight="true" outlineLevel="0" collapsed="false">
      <c r="A81" s="5"/>
      <c r="B81" s="5"/>
      <c r="C81" s="5"/>
      <c r="D81" s="5"/>
      <c r="E81" s="5"/>
      <c r="F81" s="5"/>
      <c r="G81" s="5"/>
      <c r="H81" s="5"/>
      <c r="I81" s="5"/>
      <c r="J81" s="5"/>
      <c r="K81" s="5"/>
    </row>
    <row r="82" customFormat="false" ht="15" hidden="false" customHeight="true" outlineLevel="0" collapsed="false">
      <c r="A82" s="5"/>
      <c r="B82" s="5"/>
      <c r="C82" s="5"/>
      <c r="D82" s="5"/>
      <c r="E82" s="5"/>
      <c r="F82" s="5"/>
      <c r="G82" s="5"/>
      <c r="H82" s="5"/>
      <c r="I82" s="5"/>
      <c r="J82" s="5"/>
      <c r="K82" s="5"/>
    </row>
    <row r="83" customFormat="false" ht="15" hidden="false" customHeight="true" outlineLevel="0" collapsed="false">
      <c r="A83" s="5"/>
      <c r="B83" s="5"/>
      <c r="C83" s="5"/>
      <c r="D83" s="5"/>
      <c r="E83" s="5"/>
      <c r="F83" s="5"/>
      <c r="G83" s="5"/>
      <c r="H83" s="5"/>
      <c r="I83" s="5"/>
      <c r="J83" s="5"/>
      <c r="K83" s="5"/>
    </row>
    <row r="84" customFormat="false" ht="15" hidden="false" customHeight="true" outlineLevel="0" collapsed="false">
      <c r="A84" s="5"/>
      <c r="B84" s="5"/>
      <c r="C84" s="5"/>
      <c r="D84" s="5"/>
      <c r="E84" s="5"/>
      <c r="F84" s="5"/>
      <c r="G84" s="5"/>
      <c r="H84" s="5"/>
      <c r="I84" s="5"/>
      <c r="J84" s="5"/>
      <c r="K84" s="5"/>
    </row>
    <row r="85" customFormat="false" ht="15" hidden="false" customHeight="true" outlineLevel="0" collapsed="false">
      <c r="A85" s="5"/>
      <c r="B85" s="5"/>
      <c r="C85" s="5"/>
      <c r="D85" s="5"/>
      <c r="E85" s="5"/>
      <c r="F85" s="5"/>
      <c r="G85" s="5"/>
      <c r="H85" s="5"/>
      <c r="I85" s="5"/>
      <c r="J85" s="5"/>
      <c r="K85" s="5"/>
    </row>
    <row r="86" customFormat="false" ht="15" hidden="false" customHeight="true" outlineLevel="0" collapsed="false">
      <c r="A86" s="5"/>
      <c r="B86" s="5"/>
      <c r="C86" s="5"/>
      <c r="D86" s="5"/>
      <c r="E86" s="5"/>
      <c r="F86" s="5"/>
      <c r="G86" s="5"/>
      <c r="H86" s="5"/>
      <c r="I86" s="5"/>
      <c r="J86" s="5"/>
      <c r="K86" s="5"/>
    </row>
    <row r="87" customFormat="false" ht="15" hidden="false" customHeight="true" outlineLevel="0" collapsed="false">
      <c r="A87" s="5"/>
      <c r="B87" s="5"/>
      <c r="C87" s="5"/>
      <c r="D87" s="5"/>
      <c r="E87" s="5"/>
      <c r="F87" s="5"/>
      <c r="G87" s="5"/>
      <c r="H87" s="5"/>
      <c r="I87" s="5"/>
      <c r="J87" s="5"/>
      <c r="K87" s="5"/>
    </row>
    <row r="88" customFormat="false" ht="15" hidden="false" customHeight="true" outlineLevel="0" collapsed="false">
      <c r="A88" s="5"/>
      <c r="B88" s="5"/>
      <c r="C88" s="5"/>
      <c r="D88" s="5"/>
      <c r="E88" s="5"/>
      <c r="F88" s="5"/>
      <c r="G88" s="5"/>
      <c r="H88" s="5"/>
      <c r="I88" s="5"/>
      <c r="J88" s="5"/>
      <c r="K88" s="5"/>
    </row>
    <row r="89" customFormat="false" ht="15" hidden="false" customHeight="true" outlineLevel="0" collapsed="false">
      <c r="A89" s="5"/>
      <c r="B89" s="5"/>
      <c r="C89" s="5"/>
      <c r="D89" s="5"/>
      <c r="E89" s="5"/>
      <c r="F89" s="5"/>
      <c r="G89" s="5"/>
      <c r="H89" s="5"/>
      <c r="I89" s="5"/>
      <c r="J89" s="5"/>
      <c r="K89" s="5"/>
    </row>
    <row r="90" customFormat="false" ht="15" hidden="false" customHeight="true" outlineLevel="0" collapsed="false">
      <c r="A90" s="5"/>
      <c r="B90" s="5"/>
      <c r="C90" s="5"/>
      <c r="D90" s="5"/>
      <c r="E90" s="5"/>
      <c r="F90" s="5"/>
      <c r="G90" s="5"/>
      <c r="H90" s="5"/>
      <c r="I90" s="5"/>
      <c r="J90" s="5"/>
      <c r="K90" s="5"/>
    </row>
    <row r="91" customFormat="false" ht="15" hidden="false" customHeight="true" outlineLevel="0" collapsed="false">
      <c r="A91" s="5"/>
      <c r="B91" s="5"/>
      <c r="C91" s="5"/>
      <c r="D91" s="5"/>
      <c r="E91" s="5"/>
      <c r="F91" s="5"/>
      <c r="G91" s="5"/>
      <c r="H91" s="5"/>
      <c r="I91" s="5"/>
      <c r="J91" s="5"/>
      <c r="K91" s="5"/>
    </row>
    <row r="92" customFormat="false" ht="15" hidden="false" customHeight="true" outlineLevel="0" collapsed="false">
      <c r="A92" s="5"/>
      <c r="B92" s="5"/>
      <c r="C92" s="5"/>
      <c r="D92" s="5"/>
      <c r="E92" s="5"/>
      <c r="F92" s="5"/>
      <c r="G92" s="5"/>
      <c r="H92" s="5"/>
      <c r="I92" s="5"/>
      <c r="J92" s="5"/>
      <c r="K92" s="5"/>
    </row>
    <row r="93" customFormat="false" ht="15" hidden="false" customHeight="true" outlineLevel="0" collapsed="false">
      <c r="A93" s="5"/>
      <c r="B93" s="5"/>
      <c r="C93" s="5"/>
      <c r="D93" s="5"/>
      <c r="E93" s="5"/>
      <c r="F93" s="5"/>
      <c r="G93" s="5"/>
      <c r="H93" s="5"/>
      <c r="I93" s="5"/>
      <c r="J93" s="5"/>
      <c r="K93" s="5"/>
    </row>
    <row r="94" customFormat="false" ht="15" hidden="false" customHeight="true" outlineLevel="0" collapsed="false">
      <c r="A94" s="5"/>
      <c r="B94" s="5"/>
      <c r="C94" s="5"/>
      <c r="D94" s="5"/>
      <c r="E94" s="5"/>
      <c r="F94" s="5"/>
      <c r="G94" s="5"/>
      <c r="H94" s="5"/>
      <c r="I94" s="5"/>
      <c r="J94" s="5"/>
      <c r="K94" s="5"/>
    </row>
    <row r="95" customFormat="false" ht="15" hidden="false" customHeight="true" outlineLevel="0" collapsed="false">
      <c r="A95" s="5"/>
      <c r="B95" s="5"/>
      <c r="C95" s="5"/>
      <c r="D95" s="5"/>
      <c r="E95" s="5"/>
      <c r="F95" s="5"/>
      <c r="G95" s="5"/>
      <c r="H95" s="5"/>
      <c r="I95" s="5"/>
      <c r="J95" s="5"/>
      <c r="K95" s="5"/>
    </row>
    <row r="96" customFormat="false" ht="15" hidden="false" customHeight="true" outlineLevel="0" collapsed="false">
      <c r="A96" s="5"/>
      <c r="B96" s="5"/>
      <c r="C96" s="5"/>
      <c r="D96" s="5"/>
      <c r="E96" s="5"/>
      <c r="F96" s="5"/>
      <c r="G96" s="5"/>
      <c r="H96" s="5"/>
      <c r="I96" s="5"/>
      <c r="J96" s="5"/>
      <c r="K96" s="5"/>
    </row>
    <row r="97" customFormat="false" ht="15" hidden="false" customHeight="true" outlineLevel="0" collapsed="false">
      <c r="A97" s="5"/>
      <c r="B97" s="5"/>
      <c r="C97" s="5"/>
      <c r="D97" s="5"/>
      <c r="E97" s="5"/>
      <c r="F97" s="5"/>
      <c r="G97" s="5"/>
      <c r="H97" s="5"/>
      <c r="I97" s="5"/>
      <c r="J97" s="5"/>
      <c r="K97" s="5"/>
    </row>
    <row r="98" customFormat="false" ht="15" hidden="false" customHeight="true" outlineLevel="0" collapsed="false">
      <c r="A98" s="5"/>
      <c r="B98" s="5"/>
      <c r="C98" s="5"/>
      <c r="D98" s="5"/>
      <c r="E98" s="5"/>
      <c r="F98" s="5"/>
      <c r="G98" s="5"/>
      <c r="H98" s="5"/>
      <c r="I98" s="5"/>
      <c r="J98" s="5"/>
      <c r="K98" s="5"/>
    </row>
    <row r="99" customFormat="false" ht="15" hidden="false" customHeight="true" outlineLevel="0" collapsed="false">
      <c r="A99" s="5"/>
      <c r="B99" s="5"/>
      <c r="C99" s="5"/>
      <c r="D99" s="5"/>
      <c r="E99" s="5"/>
      <c r="F99" s="5"/>
      <c r="G99" s="5"/>
      <c r="H99" s="5"/>
      <c r="I99" s="5"/>
      <c r="J99" s="5"/>
      <c r="K99" s="5"/>
    </row>
    <row r="100" customFormat="false" ht="15" hidden="false" customHeight="true" outlineLevel="0" collapsed="false">
      <c r="A100" s="5"/>
      <c r="B100" s="5"/>
      <c r="C100" s="5"/>
      <c r="D100" s="5"/>
      <c r="E100" s="5"/>
      <c r="F100" s="5"/>
      <c r="G100" s="5"/>
      <c r="H100" s="5"/>
      <c r="I100" s="5"/>
      <c r="J100" s="5"/>
      <c r="K100" s="5"/>
    </row>
    <row r="101" customFormat="false" ht="15" hidden="false" customHeight="true" outlineLevel="0" collapsed="false">
      <c r="A101" s="5"/>
      <c r="B101" s="5"/>
      <c r="C101" s="5"/>
      <c r="D101" s="5"/>
      <c r="E101" s="5"/>
      <c r="F101" s="5"/>
      <c r="G101" s="5"/>
      <c r="H101" s="5"/>
      <c r="I101" s="5"/>
      <c r="J101" s="5"/>
      <c r="K101" s="5"/>
    </row>
    <row r="102" customFormat="false" ht="15" hidden="false" customHeight="true" outlineLevel="0" collapsed="false">
      <c r="A102" s="5"/>
      <c r="B102" s="5"/>
      <c r="C102" s="5"/>
      <c r="D102" s="5"/>
      <c r="E102" s="5"/>
      <c r="F102" s="5"/>
      <c r="G102" s="5"/>
      <c r="H102" s="5"/>
      <c r="I102" s="5"/>
      <c r="J102" s="5"/>
      <c r="K102" s="5"/>
    </row>
    <row r="103" customFormat="false" ht="15" hidden="false" customHeight="true" outlineLevel="0" collapsed="false">
      <c r="A103" s="5"/>
      <c r="B103" s="5"/>
      <c r="C103" s="5"/>
      <c r="D103" s="5"/>
      <c r="E103" s="5"/>
      <c r="F103" s="5"/>
      <c r="G103" s="5"/>
      <c r="H103" s="5"/>
      <c r="I103" s="5"/>
      <c r="J103" s="5"/>
      <c r="K103" s="5"/>
    </row>
    <row r="104" customFormat="false" ht="15" hidden="false" customHeight="true" outlineLevel="0" collapsed="false">
      <c r="A104" s="5"/>
      <c r="B104" s="5"/>
      <c r="C104" s="5"/>
      <c r="D104" s="5"/>
      <c r="E104" s="5"/>
      <c r="F104" s="5"/>
      <c r="G104" s="5"/>
      <c r="H104" s="5"/>
      <c r="I104" s="5"/>
      <c r="J104" s="5"/>
      <c r="K104" s="5"/>
    </row>
    <row r="105" customFormat="false" ht="15" hidden="false" customHeight="true" outlineLevel="0" collapsed="false">
      <c r="A105" s="5"/>
      <c r="B105" s="5"/>
      <c r="C105" s="5"/>
      <c r="D105" s="5"/>
      <c r="E105" s="5"/>
      <c r="F105" s="5"/>
      <c r="G105" s="5"/>
      <c r="H105" s="5"/>
      <c r="I105" s="5"/>
      <c r="J105" s="5"/>
      <c r="K105" s="5"/>
    </row>
    <row r="106" customFormat="false" ht="15" hidden="false" customHeight="true" outlineLevel="0" collapsed="false">
      <c r="A106" s="5"/>
      <c r="B106" s="5"/>
      <c r="C106" s="5"/>
      <c r="D106" s="5"/>
      <c r="E106" s="5"/>
      <c r="F106" s="5"/>
      <c r="G106" s="5"/>
      <c r="H106" s="5"/>
      <c r="I106" s="5"/>
      <c r="J106" s="5"/>
      <c r="K106" s="5"/>
    </row>
    <row r="107" customFormat="false" ht="15" hidden="false" customHeight="true" outlineLevel="0" collapsed="false">
      <c r="A107" s="5"/>
      <c r="B107" s="5"/>
      <c r="C107" s="5"/>
      <c r="D107" s="5"/>
      <c r="E107" s="5"/>
      <c r="F107" s="5"/>
      <c r="G107" s="5"/>
      <c r="H107" s="5"/>
      <c r="I107" s="5"/>
      <c r="J107" s="5"/>
      <c r="K107" s="5"/>
    </row>
    <row r="108" customFormat="false" ht="15" hidden="false" customHeight="true" outlineLevel="0" collapsed="false">
      <c r="A108" s="5"/>
      <c r="B108" s="5"/>
      <c r="C108" s="5"/>
      <c r="D108" s="5"/>
      <c r="E108" s="5"/>
      <c r="F108" s="5"/>
      <c r="G108" s="5"/>
      <c r="H108" s="5"/>
      <c r="I108" s="5"/>
      <c r="J108" s="5"/>
      <c r="K108" s="5"/>
    </row>
    <row r="109" customFormat="false" ht="15" hidden="false" customHeight="true" outlineLevel="0" collapsed="false">
      <c r="A109" s="5"/>
      <c r="B109" s="5"/>
      <c r="C109" s="5"/>
      <c r="D109" s="5"/>
      <c r="E109" s="5"/>
      <c r="F109" s="5"/>
      <c r="G109" s="5"/>
      <c r="H109" s="5"/>
      <c r="I109" s="5"/>
      <c r="J109" s="5"/>
      <c r="K109" s="5"/>
    </row>
    <row r="110" customFormat="false" ht="15" hidden="false" customHeight="true" outlineLevel="0" collapsed="false">
      <c r="A110" s="5"/>
      <c r="B110" s="5"/>
      <c r="C110" s="5"/>
      <c r="D110" s="5"/>
      <c r="E110" s="5"/>
      <c r="F110" s="5"/>
      <c r="G110" s="5"/>
      <c r="H110" s="5"/>
      <c r="I110" s="5"/>
      <c r="J110" s="5"/>
      <c r="K110" s="5"/>
    </row>
    <row r="111" customFormat="false" ht="15" hidden="false" customHeight="true" outlineLevel="0" collapsed="false">
      <c r="A111" s="5"/>
      <c r="B111" s="5"/>
      <c r="C111" s="5"/>
      <c r="D111" s="5"/>
      <c r="E111" s="5"/>
      <c r="F111" s="5"/>
      <c r="G111" s="5"/>
      <c r="H111" s="5"/>
      <c r="I111" s="5"/>
      <c r="J111" s="5"/>
      <c r="K111" s="5"/>
    </row>
    <row r="112" customFormat="false" ht="15" hidden="false" customHeight="true" outlineLevel="0" collapsed="false">
      <c r="A112" s="5"/>
      <c r="B112" s="5"/>
      <c r="C112" s="5"/>
      <c r="D112" s="5"/>
      <c r="E112" s="5"/>
      <c r="F112" s="5"/>
      <c r="G112" s="5"/>
      <c r="H112" s="5"/>
      <c r="I112" s="5"/>
      <c r="J112" s="5"/>
      <c r="K112" s="5"/>
    </row>
    <row r="113" customFormat="false" ht="15" hidden="false" customHeight="true" outlineLevel="0" collapsed="false">
      <c r="A113" s="5"/>
      <c r="B113" s="5"/>
      <c r="C113" s="5"/>
      <c r="D113" s="5"/>
      <c r="E113" s="5"/>
      <c r="F113" s="5"/>
      <c r="G113" s="5"/>
      <c r="H113" s="5"/>
      <c r="I113" s="5"/>
      <c r="J113" s="5"/>
      <c r="K113" s="5"/>
    </row>
    <row r="114" customFormat="false" ht="15" hidden="false" customHeight="true" outlineLevel="0" collapsed="false">
      <c r="A114" s="5"/>
      <c r="B114" s="5"/>
      <c r="C114" s="5"/>
      <c r="D114" s="5"/>
      <c r="E114" s="5"/>
      <c r="F114" s="5"/>
      <c r="G114" s="5"/>
      <c r="H114" s="5"/>
      <c r="I114" s="5"/>
      <c r="J114" s="5"/>
      <c r="K114" s="5"/>
    </row>
    <row r="115" customFormat="false" ht="15" hidden="false" customHeight="true" outlineLevel="0" collapsed="false">
      <c r="A115" s="5"/>
      <c r="B115" s="5"/>
      <c r="C115" s="5"/>
      <c r="D115" s="5"/>
      <c r="E115" s="5"/>
      <c r="F115" s="5"/>
      <c r="G115" s="5"/>
      <c r="H115" s="5"/>
      <c r="I115" s="5"/>
      <c r="J115" s="5"/>
      <c r="K115" s="5"/>
    </row>
    <row r="116" customFormat="false" ht="15" hidden="false" customHeight="true" outlineLevel="0" collapsed="false">
      <c r="A116" s="5"/>
      <c r="B116" s="5"/>
      <c r="C116" s="5"/>
      <c r="D116" s="5"/>
      <c r="E116" s="5"/>
      <c r="F116" s="5"/>
      <c r="G116" s="5"/>
      <c r="H116" s="5"/>
      <c r="I116" s="5"/>
      <c r="J116" s="5"/>
      <c r="K116" s="5"/>
    </row>
    <row r="117" customFormat="false" ht="15" hidden="false" customHeight="true" outlineLevel="0" collapsed="false">
      <c r="A117" s="5"/>
      <c r="B117" s="5"/>
      <c r="C117" s="5"/>
      <c r="D117" s="5"/>
      <c r="E117" s="5"/>
      <c r="F117" s="5"/>
      <c r="G117" s="5"/>
      <c r="H117" s="5"/>
      <c r="I117" s="5"/>
      <c r="J117" s="5"/>
      <c r="K117" s="5"/>
    </row>
    <row r="118" customFormat="false" ht="15" hidden="false" customHeight="true" outlineLevel="0" collapsed="false">
      <c r="A118" s="5"/>
      <c r="B118" s="5"/>
      <c r="C118" s="5"/>
      <c r="D118" s="5"/>
      <c r="E118" s="5"/>
      <c r="F118" s="5"/>
      <c r="G118" s="5"/>
      <c r="H118" s="5"/>
      <c r="I118" s="5"/>
      <c r="J118" s="5"/>
      <c r="K118" s="5"/>
    </row>
    <row r="119" customFormat="false" ht="15" hidden="false" customHeight="true" outlineLevel="0" collapsed="false">
      <c r="A119" s="5"/>
      <c r="B119" s="5"/>
      <c r="C119" s="5"/>
      <c r="D119" s="5"/>
      <c r="E119" s="5"/>
      <c r="F119" s="5"/>
      <c r="G119" s="5"/>
      <c r="H119" s="5"/>
      <c r="I119" s="5"/>
      <c r="J119" s="5"/>
      <c r="K119" s="5"/>
    </row>
    <row r="120" customFormat="false" ht="15" hidden="false" customHeight="true" outlineLevel="0" collapsed="false">
      <c r="A120" s="5"/>
      <c r="B120" s="5"/>
      <c r="C120" s="5"/>
      <c r="D120" s="5"/>
      <c r="E120" s="5"/>
      <c r="F120" s="5"/>
      <c r="G120" s="5"/>
      <c r="H120" s="5"/>
      <c r="I120" s="5"/>
      <c r="J120" s="5"/>
      <c r="K120" s="5"/>
    </row>
    <row r="121" customFormat="false" ht="15" hidden="false" customHeight="true" outlineLevel="0" collapsed="false">
      <c r="A121" s="5"/>
      <c r="B121" s="5"/>
      <c r="C121" s="5"/>
      <c r="D121" s="5"/>
      <c r="E121" s="5"/>
      <c r="F121" s="5"/>
      <c r="G121" s="5"/>
      <c r="H121" s="5"/>
      <c r="I121" s="5"/>
      <c r="J121" s="5"/>
      <c r="K121" s="5"/>
    </row>
    <row r="122" customFormat="false" ht="15" hidden="false" customHeight="true" outlineLevel="0" collapsed="false">
      <c r="A122" s="5"/>
      <c r="B122" s="5"/>
      <c r="C122" s="5"/>
      <c r="D122" s="5"/>
      <c r="E122" s="5"/>
      <c r="F122" s="5"/>
      <c r="G122" s="5"/>
      <c r="H122" s="5"/>
      <c r="I122" s="5"/>
      <c r="J122" s="5"/>
      <c r="K122" s="5"/>
    </row>
    <row r="123" customFormat="false" ht="15" hidden="false" customHeight="true" outlineLevel="0" collapsed="false">
      <c r="A123" s="5"/>
      <c r="B123" s="5"/>
      <c r="C123" s="5"/>
      <c r="D123" s="5"/>
      <c r="E123" s="5"/>
      <c r="F123" s="5"/>
      <c r="G123" s="5"/>
      <c r="H123" s="5"/>
      <c r="I123" s="5"/>
      <c r="J123" s="5"/>
      <c r="K123" s="5"/>
    </row>
    <row r="124" customFormat="false" ht="15" hidden="false" customHeight="true" outlineLevel="0" collapsed="false">
      <c r="A124" s="5"/>
      <c r="B124" s="5"/>
      <c r="C124" s="5"/>
      <c r="D124" s="5"/>
      <c r="E124" s="5"/>
      <c r="F124" s="5"/>
      <c r="G124" s="5"/>
      <c r="H124" s="5"/>
      <c r="I124" s="5"/>
      <c r="J124" s="5"/>
      <c r="K124" s="5"/>
    </row>
    <row r="125" customFormat="false" ht="15" hidden="false" customHeight="true" outlineLevel="0" collapsed="false">
      <c r="A125" s="5"/>
      <c r="B125" s="5"/>
      <c r="C125" s="5"/>
      <c r="D125" s="5"/>
      <c r="E125" s="5"/>
      <c r="F125" s="5"/>
      <c r="G125" s="5"/>
      <c r="H125" s="5"/>
      <c r="I125" s="5"/>
      <c r="J125" s="5"/>
      <c r="K125" s="5"/>
    </row>
    <row r="126" customFormat="false" ht="15" hidden="false" customHeight="true" outlineLevel="0" collapsed="false">
      <c r="A126" s="5"/>
      <c r="B126" s="5"/>
      <c r="C126" s="5"/>
      <c r="D126" s="5"/>
      <c r="E126" s="5"/>
      <c r="F126" s="5"/>
      <c r="G126" s="5"/>
      <c r="H126" s="5"/>
      <c r="I126" s="5"/>
      <c r="J126" s="5"/>
      <c r="K126" s="5"/>
    </row>
    <row r="127" customFormat="false" ht="15" hidden="false" customHeight="true" outlineLevel="0" collapsed="false">
      <c r="A127" s="5"/>
      <c r="B127" s="5"/>
      <c r="C127" s="5"/>
      <c r="D127" s="5"/>
      <c r="E127" s="5"/>
      <c r="F127" s="5"/>
      <c r="G127" s="5"/>
      <c r="H127" s="5"/>
      <c r="I127" s="5"/>
      <c r="J127" s="5"/>
      <c r="K127" s="5"/>
    </row>
    <row r="128" customFormat="false" ht="15" hidden="false" customHeight="true" outlineLevel="0" collapsed="false">
      <c r="A128" s="5"/>
      <c r="B128" s="5"/>
      <c r="C128" s="5"/>
      <c r="D128" s="5"/>
      <c r="E128" s="5"/>
      <c r="F128" s="5"/>
      <c r="G128" s="5"/>
      <c r="H128" s="5"/>
      <c r="I128" s="5"/>
      <c r="J128" s="5"/>
      <c r="K128" s="5"/>
    </row>
    <row r="129" customFormat="false" ht="15" hidden="false" customHeight="true" outlineLevel="0" collapsed="false">
      <c r="A129" s="5"/>
      <c r="B129" s="5"/>
      <c r="C129" s="5"/>
      <c r="D129" s="5"/>
      <c r="E129" s="5"/>
      <c r="F129" s="5"/>
      <c r="G129" s="5"/>
      <c r="H129" s="5"/>
      <c r="I129" s="5"/>
      <c r="J129" s="5"/>
      <c r="K129" s="5"/>
    </row>
    <row r="130" customFormat="false" ht="15" hidden="false" customHeight="true" outlineLevel="0" collapsed="false">
      <c r="A130" s="5"/>
      <c r="B130" s="5"/>
      <c r="C130" s="5"/>
      <c r="D130" s="5"/>
      <c r="E130" s="5"/>
      <c r="F130" s="5"/>
      <c r="G130" s="5"/>
      <c r="H130" s="5"/>
      <c r="I130" s="5"/>
      <c r="J130" s="5"/>
      <c r="K130" s="5"/>
    </row>
    <row r="131" customFormat="false" ht="15" hidden="false" customHeight="true" outlineLevel="0" collapsed="false">
      <c r="A131" s="5"/>
      <c r="B131" s="5"/>
      <c r="C131" s="5"/>
      <c r="D131" s="5"/>
      <c r="E131" s="5"/>
      <c r="F131" s="5"/>
      <c r="G131" s="5"/>
      <c r="H131" s="5"/>
      <c r="I131" s="5"/>
      <c r="J131" s="5"/>
      <c r="K131" s="5"/>
    </row>
    <row r="132" customFormat="false" ht="15" hidden="false" customHeight="true" outlineLevel="0" collapsed="false">
      <c r="A132" s="5"/>
      <c r="B132" s="5"/>
      <c r="C132" s="5"/>
      <c r="D132" s="5"/>
      <c r="E132" s="5"/>
      <c r="F132" s="5"/>
      <c r="G132" s="5"/>
      <c r="H132" s="5"/>
      <c r="I132" s="5"/>
      <c r="J132" s="5"/>
      <c r="K132" s="5"/>
    </row>
    <row r="133" customFormat="false" ht="15" hidden="false" customHeight="true" outlineLevel="0" collapsed="false">
      <c r="A133" s="5"/>
      <c r="B133" s="5"/>
      <c r="C133" s="5"/>
      <c r="D133" s="5"/>
      <c r="E133" s="5"/>
      <c r="F133" s="5"/>
      <c r="G133" s="5"/>
      <c r="H133" s="5"/>
      <c r="I133" s="5"/>
      <c r="J133" s="5"/>
      <c r="K133" s="5"/>
    </row>
    <row r="134" customFormat="false" ht="15" hidden="false" customHeight="true" outlineLevel="0" collapsed="false">
      <c r="A134" s="5"/>
      <c r="B134" s="5"/>
      <c r="C134" s="5"/>
      <c r="D134" s="5"/>
      <c r="E134" s="5"/>
      <c r="F134" s="5"/>
      <c r="G134" s="5"/>
      <c r="H134" s="5"/>
      <c r="I134" s="5"/>
      <c r="J134" s="5"/>
      <c r="K134" s="5"/>
    </row>
    <row r="135" customFormat="false" ht="15" hidden="false" customHeight="true" outlineLevel="0" collapsed="false">
      <c r="A135" s="5"/>
      <c r="B135" s="5"/>
      <c r="C135" s="5"/>
      <c r="D135" s="5"/>
      <c r="E135" s="5"/>
      <c r="F135" s="5"/>
      <c r="G135" s="5"/>
      <c r="H135" s="5"/>
      <c r="I135" s="5"/>
      <c r="J135" s="5"/>
      <c r="K135" s="5"/>
    </row>
    <row r="136" customFormat="false" ht="15" hidden="false" customHeight="true" outlineLevel="0" collapsed="false">
      <c r="A136" s="5"/>
      <c r="B136" s="5"/>
      <c r="C136" s="5"/>
      <c r="D136" s="5"/>
      <c r="E136" s="5"/>
      <c r="F136" s="5"/>
      <c r="G136" s="5"/>
      <c r="H136" s="5"/>
      <c r="I136" s="5"/>
      <c r="J136" s="5"/>
      <c r="K136" s="5"/>
    </row>
    <row r="137" customFormat="false" ht="15" hidden="false" customHeight="true" outlineLevel="0" collapsed="false">
      <c r="A137" s="5"/>
      <c r="B137" s="5"/>
      <c r="C137" s="5"/>
      <c r="D137" s="5"/>
      <c r="E137" s="5"/>
      <c r="F137" s="5"/>
      <c r="G137" s="5"/>
      <c r="H137" s="5"/>
      <c r="I137" s="5"/>
      <c r="J137" s="5"/>
      <c r="K137" s="5"/>
    </row>
    <row r="138" customFormat="false" ht="15" hidden="false" customHeight="true" outlineLevel="0" collapsed="false">
      <c r="A138" s="5"/>
      <c r="B138" s="5"/>
      <c r="C138" s="5"/>
      <c r="D138" s="5"/>
      <c r="E138" s="5"/>
      <c r="F138" s="5"/>
      <c r="G138" s="5"/>
      <c r="H138" s="5"/>
      <c r="I138" s="5"/>
      <c r="J138" s="5"/>
      <c r="K138" s="5"/>
    </row>
    <row r="139" customFormat="false" ht="15" hidden="false" customHeight="true" outlineLevel="0" collapsed="false">
      <c r="A139" s="5"/>
      <c r="B139" s="5"/>
      <c r="C139" s="5"/>
      <c r="D139" s="5"/>
      <c r="E139" s="5"/>
      <c r="F139" s="5"/>
      <c r="G139" s="5"/>
      <c r="H139" s="5"/>
      <c r="I139" s="5"/>
      <c r="J139" s="5"/>
      <c r="K139" s="5"/>
    </row>
    <row r="140" customFormat="false" ht="15" hidden="false" customHeight="true" outlineLevel="0" collapsed="false">
      <c r="A140" s="5"/>
      <c r="B140" s="5"/>
      <c r="C140" s="5"/>
      <c r="D140" s="5"/>
      <c r="E140" s="5"/>
      <c r="F140" s="5"/>
      <c r="G140" s="5"/>
      <c r="H140" s="5"/>
      <c r="I140" s="5"/>
      <c r="J140" s="5"/>
      <c r="K140" s="5"/>
    </row>
    <row r="141" customFormat="false" ht="15" hidden="false" customHeight="true" outlineLevel="0" collapsed="false">
      <c r="A141" s="5"/>
      <c r="B141" s="5"/>
      <c r="C141" s="5"/>
      <c r="D141" s="5"/>
      <c r="E141" s="5"/>
      <c r="F141" s="5"/>
      <c r="G141" s="5"/>
      <c r="H141" s="5"/>
      <c r="I141" s="5"/>
      <c r="J141" s="5"/>
      <c r="K141" s="5"/>
    </row>
    <row r="142" customFormat="false" ht="15" hidden="false" customHeight="true" outlineLevel="0" collapsed="false">
      <c r="A142" s="5"/>
      <c r="B142" s="5"/>
      <c r="C142" s="5"/>
      <c r="D142" s="5"/>
      <c r="E142" s="5"/>
      <c r="F142" s="5"/>
      <c r="G142" s="5"/>
      <c r="H142" s="5"/>
      <c r="I142" s="5"/>
      <c r="J142" s="5"/>
      <c r="K142" s="5"/>
    </row>
    <row r="143" customFormat="false" ht="15" hidden="false" customHeight="true" outlineLevel="0" collapsed="false">
      <c r="A143" s="5"/>
      <c r="B143" s="5"/>
      <c r="C143" s="5"/>
      <c r="D143" s="5"/>
      <c r="E143" s="5"/>
      <c r="F143" s="5"/>
      <c r="G143" s="5"/>
      <c r="H143" s="5"/>
      <c r="I143" s="5"/>
      <c r="J143" s="5"/>
      <c r="K143" s="5"/>
    </row>
    <row r="144" customFormat="false" ht="15" hidden="false" customHeight="true" outlineLevel="0" collapsed="false">
      <c r="A144" s="5"/>
      <c r="B144" s="5"/>
      <c r="C144" s="5"/>
      <c r="D144" s="5"/>
      <c r="E144" s="5"/>
      <c r="F144" s="5"/>
      <c r="G144" s="5"/>
      <c r="H144" s="5"/>
      <c r="I144" s="5"/>
      <c r="J144" s="5"/>
      <c r="K144" s="5"/>
    </row>
    <row r="145" customFormat="false" ht="15" hidden="false" customHeight="true" outlineLevel="0" collapsed="false">
      <c r="A145" s="5"/>
      <c r="B145" s="5"/>
      <c r="C145" s="5"/>
      <c r="D145" s="5"/>
      <c r="E145" s="5"/>
      <c r="F145" s="5"/>
      <c r="G145" s="5"/>
      <c r="H145" s="5"/>
      <c r="I145" s="5"/>
      <c r="J145" s="5"/>
      <c r="K145" s="5"/>
    </row>
    <row r="146" customFormat="false" ht="15" hidden="false" customHeight="true" outlineLevel="0" collapsed="false">
      <c r="A146" s="5"/>
      <c r="B146" s="5"/>
      <c r="C146" s="5"/>
      <c r="D146" s="5"/>
      <c r="E146" s="5"/>
      <c r="F146" s="5"/>
      <c r="G146" s="5"/>
      <c r="H146" s="5"/>
      <c r="I146" s="5"/>
      <c r="J146" s="5"/>
      <c r="K146" s="5"/>
    </row>
    <row r="147" customFormat="false" ht="15" hidden="false" customHeight="true" outlineLevel="0" collapsed="false">
      <c r="A147" s="5"/>
      <c r="B147" s="5"/>
      <c r="C147" s="5"/>
      <c r="D147" s="5"/>
      <c r="E147" s="5"/>
      <c r="F147" s="5"/>
      <c r="G147" s="5"/>
      <c r="H147" s="5"/>
      <c r="I147" s="5"/>
      <c r="J147" s="5"/>
      <c r="K147" s="5"/>
    </row>
    <row r="148" customFormat="false" ht="15" hidden="false" customHeight="true" outlineLevel="0" collapsed="false">
      <c r="A148" s="5"/>
      <c r="B148" s="5"/>
      <c r="C148" s="5"/>
      <c r="D148" s="5"/>
      <c r="E148" s="5"/>
      <c r="F148" s="5"/>
      <c r="G148" s="5"/>
      <c r="H148" s="5"/>
      <c r="I148" s="5"/>
      <c r="J148" s="5"/>
      <c r="K148" s="5"/>
    </row>
    <row r="149" customFormat="false" ht="15" hidden="false" customHeight="true" outlineLevel="0" collapsed="false">
      <c r="A149" s="5"/>
      <c r="B149" s="5"/>
      <c r="C149" s="5"/>
      <c r="D149" s="5"/>
      <c r="E149" s="5"/>
      <c r="F149" s="5"/>
      <c r="G149" s="5"/>
      <c r="H149" s="5"/>
      <c r="I149" s="5"/>
      <c r="J149" s="5"/>
      <c r="K149" s="5"/>
    </row>
    <row r="150" customFormat="false" ht="15" hidden="false" customHeight="true" outlineLevel="0" collapsed="false">
      <c r="A150" s="5"/>
      <c r="B150" s="5"/>
      <c r="C150" s="5"/>
      <c r="D150" s="5"/>
      <c r="E150" s="5"/>
      <c r="F150" s="5"/>
      <c r="G150" s="5"/>
      <c r="H150" s="5"/>
      <c r="I150" s="5"/>
      <c r="J150" s="5"/>
      <c r="K150" s="5"/>
    </row>
    <row r="151" customFormat="false" ht="15" hidden="false" customHeight="true" outlineLevel="0" collapsed="false">
      <c r="A151" s="5"/>
      <c r="B151" s="5"/>
      <c r="C151" s="5"/>
      <c r="D151" s="5"/>
      <c r="E151" s="5"/>
      <c r="F151" s="5"/>
      <c r="G151" s="5"/>
      <c r="H151" s="5"/>
      <c r="I151" s="5"/>
      <c r="J151" s="5"/>
      <c r="K151" s="5"/>
    </row>
    <row r="152" customFormat="false" ht="15" hidden="false" customHeight="true" outlineLevel="0" collapsed="false">
      <c r="A152" s="5"/>
      <c r="B152" s="5"/>
      <c r="C152" s="5"/>
      <c r="D152" s="5"/>
      <c r="E152" s="5"/>
      <c r="F152" s="5"/>
      <c r="G152" s="5"/>
      <c r="H152" s="5"/>
      <c r="I152" s="5"/>
      <c r="J152" s="5"/>
      <c r="K152" s="5"/>
    </row>
    <row r="153" customFormat="false" ht="15" hidden="false" customHeight="true" outlineLevel="0" collapsed="false">
      <c r="A153" s="5"/>
      <c r="B153" s="5"/>
      <c r="C153" s="5"/>
      <c r="D153" s="5"/>
      <c r="E153" s="5"/>
      <c r="F153" s="5"/>
      <c r="G153" s="5"/>
      <c r="H153" s="5"/>
      <c r="I153" s="5"/>
      <c r="J153" s="5"/>
      <c r="K153" s="5"/>
    </row>
    <row r="154" customFormat="false" ht="15" hidden="false" customHeight="true" outlineLevel="0" collapsed="false">
      <c r="A154" s="5"/>
      <c r="B154" s="5"/>
      <c r="C154" s="5"/>
      <c r="D154" s="5"/>
      <c r="E154" s="5"/>
      <c r="F154" s="5"/>
      <c r="G154" s="5"/>
      <c r="H154" s="5"/>
      <c r="I154" s="5"/>
      <c r="J154" s="5"/>
      <c r="K154" s="5"/>
    </row>
    <row r="155" customFormat="false" ht="15" hidden="false" customHeight="true" outlineLevel="0" collapsed="false">
      <c r="A155" s="5"/>
      <c r="B155" s="5"/>
      <c r="C155" s="5"/>
      <c r="D155" s="5"/>
      <c r="E155" s="5"/>
      <c r="F155" s="5"/>
      <c r="G155" s="5"/>
      <c r="H155" s="5"/>
      <c r="I155" s="5"/>
      <c r="J155" s="5"/>
      <c r="K155" s="5"/>
    </row>
    <row r="156" customFormat="false" ht="15" hidden="false" customHeight="true" outlineLevel="0" collapsed="false">
      <c r="A156" s="5"/>
      <c r="B156" s="5"/>
      <c r="C156" s="5"/>
      <c r="D156" s="5"/>
      <c r="E156" s="5"/>
      <c r="F156" s="5"/>
      <c r="G156" s="5"/>
      <c r="H156" s="5"/>
      <c r="I156" s="5"/>
      <c r="J156" s="5"/>
      <c r="K156" s="5"/>
    </row>
    <row r="157" customFormat="false" ht="15" hidden="false" customHeight="true" outlineLevel="0" collapsed="false">
      <c r="A157" s="5"/>
      <c r="B157" s="5"/>
      <c r="C157" s="5"/>
      <c r="D157" s="5"/>
      <c r="E157" s="5"/>
      <c r="F157" s="5"/>
      <c r="G157" s="5"/>
      <c r="H157" s="5"/>
      <c r="I157" s="5"/>
      <c r="J157" s="5"/>
      <c r="K157" s="5"/>
    </row>
    <row r="158" customFormat="false" ht="15" hidden="false" customHeight="true" outlineLevel="0" collapsed="false">
      <c r="A158" s="5"/>
      <c r="B158" s="5"/>
      <c r="C158" s="5"/>
      <c r="D158" s="5"/>
      <c r="E158" s="5"/>
      <c r="F158" s="5"/>
      <c r="G158" s="5"/>
      <c r="H158" s="5"/>
      <c r="I158" s="5"/>
      <c r="J158" s="5"/>
      <c r="K158" s="5"/>
    </row>
    <row r="159" customFormat="false" ht="15" hidden="false" customHeight="true" outlineLevel="0" collapsed="false">
      <c r="A159" s="5"/>
      <c r="B159" s="5"/>
      <c r="C159" s="5"/>
      <c r="D159" s="5"/>
      <c r="E159" s="5"/>
      <c r="F159" s="5"/>
      <c r="G159" s="5"/>
      <c r="H159" s="5"/>
      <c r="I159" s="5"/>
      <c r="J159" s="5"/>
      <c r="K159" s="5"/>
    </row>
    <row r="160" customFormat="false" ht="15" hidden="false" customHeight="true" outlineLevel="0" collapsed="false">
      <c r="A160" s="5"/>
      <c r="B160" s="5"/>
      <c r="C160" s="5"/>
      <c r="D160" s="5"/>
      <c r="E160" s="5"/>
      <c r="F160" s="5"/>
      <c r="G160" s="5"/>
      <c r="H160" s="5"/>
      <c r="I160" s="5"/>
      <c r="J160" s="5"/>
      <c r="K160" s="5"/>
    </row>
    <row r="161" customFormat="false" ht="15" hidden="false" customHeight="true" outlineLevel="0" collapsed="false">
      <c r="A161" s="5"/>
      <c r="B161" s="5"/>
      <c r="C161" s="5"/>
      <c r="D161" s="5"/>
      <c r="E161" s="5"/>
      <c r="F161" s="5"/>
      <c r="G161" s="5"/>
      <c r="H161" s="5"/>
      <c r="I161" s="5"/>
      <c r="J161" s="5"/>
      <c r="K161" s="5"/>
    </row>
    <row r="162" customFormat="false" ht="15" hidden="false" customHeight="true" outlineLevel="0" collapsed="false">
      <c r="A162" s="5"/>
      <c r="B162" s="5"/>
      <c r="C162" s="5"/>
      <c r="D162" s="5"/>
      <c r="E162" s="5"/>
      <c r="F162" s="5"/>
      <c r="G162" s="5"/>
      <c r="H162" s="5"/>
      <c r="I162" s="5"/>
      <c r="J162" s="5"/>
      <c r="K162" s="5"/>
    </row>
    <row r="163" customFormat="false" ht="15" hidden="false" customHeight="true" outlineLevel="0" collapsed="false">
      <c r="A163" s="5"/>
      <c r="B163" s="5"/>
      <c r="C163" s="5"/>
      <c r="D163" s="5"/>
      <c r="E163" s="5"/>
      <c r="F163" s="5"/>
      <c r="G163" s="5"/>
      <c r="H163" s="5"/>
      <c r="I163" s="5"/>
      <c r="J163" s="5"/>
      <c r="K163" s="5"/>
    </row>
    <row r="164" customFormat="false" ht="15" hidden="false" customHeight="true" outlineLevel="0" collapsed="false">
      <c r="A164" s="5"/>
      <c r="B164" s="5"/>
      <c r="C164" s="5"/>
      <c r="D164" s="5"/>
      <c r="E164" s="5"/>
      <c r="F164" s="5"/>
      <c r="G164" s="5"/>
      <c r="H164" s="5"/>
      <c r="I164" s="5"/>
      <c r="J164" s="5"/>
      <c r="K164" s="5"/>
    </row>
    <row r="165" customFormat="false" ht="15" hidden="false" customHeight="true" outlineLevel="0" collapsed="false">
      <c r="A165" s="5"/>
      <c r="B165" s="5"/>
      <c r="C165" s="5"/>
      <c r="D165" s="5"/>
      <c r="E165" s="5"/>
      <c r="F165" s="5"/>
      <c r="G165" s="5"/>
      <c r="H165" s="5"/>
      <c r="I165" s="5"/>
      <c r="J165" s="5"/>
      <c r="K165" s="5"/>
    </row>
    <row r="166" customFormat="false" ht="15" hidden="false" customHeight="true" outlineLevel="0" collapsed="false">
      <c r="A166" s="5"/>
      <c r="B166" s="5"/>
      <c r="C166" s="5"/>
      <c r="D166" s="5"/>
      <c r="E166" s="5"/>
      <c r="F166" s="5"/>
      <c r="G166" s="5"/>
      <c r="H166" s="5"/>
      <c r="I166" s="5"/>
      <c r="J166" s="5"/>
      <c r="K166" s="5"/>
    </row>
    <row r="167" customFormat="false" ht="15" hidden="false" customHeight="true" outlineLevel="0" collapsed="false">
      <c r="A167" s="5"/>
      <c r="B167" s="5"/>
      <c r="C167" s="5"/>
      <c r="D167" s="5"/>
      <c r="E167" s="5"/>
      <c r="F167" s="5"/>
      <c r="G167" s="5"/>
      <c r="H167" s="5"/>
      <c r="I167" s="5"/>
      <c r="J167" s="5"/>
      <c r="K167" s="5"/>
    </row>
    <row r="168" customFormat="false" ht="15" hidden="false" customHeight="true" outlineLevel="0" collapsed="false">
      <c r="A168" s="5"/>
      <c r="B168" s="5"/>
      <c r="C168" s="5"/>
      <c r="D168" s="5"/>
      <c r="E168" s="5"/>
      <c r="F168" s="5"/>
      <c r="G168" s="5"/>
      <c r="H168" s="5"/>
      <c r="I168" s="5"/>
      <c r="J168" s="5"/>
      <c r="K168" s="5"/>
    </row>
    <row r="169" customFormat="false" ht="15" hidden="false" customHeight="true" outlineLevel="0" collapsed="false">
      <c r="A169" s="5"/>
      <c r="B169" s="5"/>
      <c r="C169" s="5"/>
      <c r="D169" s="5"/>
      <c r="E169" s="5"/>
      <c r="F169" s="5"/>
      <c r="G169" s="5"/>
      <c r="H169" s="5"/>
      <c r="I169" s="5"/>
      <c r="J169" s="5"/>
      <c r="K169" s="5"/>
    </row>
    <row r="170" customFormat="false" ht="15" hidden="false" customHeight="true" outlineLevel="0" collapsed="false">
      <c r="A170" s="5"/>
      <c r="B170" s="5"/>
      <c r="C170" s="5"/>
      <c r="D170" s="5"/>
      <c r="E170" s="5"/>
      <c r="F170" s="5"/>
      <c r="G170" s="5"/>
      <c r="H170" s="5"/>
      <c r="I170" s="5"/>
      <c r="J170" s="5"/>
      <c r="K170" s="5"/>
    </row>
    <row r="171" customFormat="false" ht="15" hidden="false" customHeight="true" outlineLevel="0" collapsed="false">
      <c r="A171" s="5"/>
      <c r="B171" s="5"/>
      <c r="C171" s="5"/>
      <c r="D171" s="5"/>
      <c r="E171" s="5"/>
      <c r="F171" s="5"/>
      <c r="G171" s="5"/>
      <c r="H171" s="5"/>
      <c r="I171" s="5"/>
      <c r="J171" s="5"/>
      <c r="K171" s="5"/>
    </row>
    <row r="172" customFormat="false" ht="15" hidden="false" customHeight="true" outlineLevel="0" collapsed="false">
      <c r="A172" s="5"/>
      <c r="B172" s="5"/>
      <c r="C172" s="5"/>
      <c r="D172" s="5"/>
      <c r="E172" s="5"/>
      <c r="F172" s="5"/>
      <c r="G172" s="5"/>
      <c r="H172" s="5"/>
      <c r="I172" s="5"/>
      <c r="J172" s="5"/>
      <c r="K172" s="5"/>
    </row>
    <row r="173" customFormat="false" ht="15" hidden="false" customHeight="true" outlineLevel="0" collapsed="false">
      <c r="A173" s="5"/>
      <c r="B173" s="5"/>
      <c r="C173" s="5"/>
      <c r="D173" s="5"/>
      <c r="E173" s="5"/>
      <c r="F173" s="5"/>
      <c r="G173" s="5"/>
      <c r="H173" s="5"/>
      <c r="I173" s="5"/>
      <c r="J173" s="5"/>
      <c r="K173" s="5"/>
    </row>
    <row r="174" customFormat="false" ht="15" hidden="false" customHeight="true" outlineLevel="0" collapsed="false">
      <c r="A174" s="5"/>
      <c r="B174" s="5"/>
      <c r="C174" s="5"/>
      <c r="D174" s="5"/>
      <c r="E174" s="5"/>
      <c r="F174" s="5"/>
      <c r="G174" s="5"/>
      <c r="H174" s="5"/>
      <c r="I174" s="5"/>
      <c r="J174" s="5"/>
      <c r="K174" s="5"/>
    </row>
    <row r="175" customFormat="false" ht="15" hidden="false" customHeight="true" outlineLevel="0" collapsed="false">
      <c r="A175" s="5"/>
      <c r="B175" s="5"/>
      <c r="C175" s="5"/>
      <c r="D175" s="5"/>
      <c r="E175" s="5"/>
      <c r="F175" s="5"/>
      <c r="G175" s="5"/>
      <c r="H175" s="5"/>
      <c r="I175" s="5"/>
      <c r="J175" s="5"/>
      <c r="K175" s="5"/>
    </row>
    <row r="176" customFormat="false" ht="15" hidden="false" customHeight="true" outlineLevel="0" collapsed="false">
      <c r="A176" s="5"/>
      <c r="B176" s="5"/>
      <c r="C176" s="5"/>
      <c r="D176" s="5"/>
      <c r="E176" s="5"/>
      <c r="F176" s="5"/>
      <c r="G176" s="5"/>
      <c r="H176" s="5"/>
      <c r="I176" s="5"/>
      <c r="J176" s="5"/>
      <c r="K176" s="5"/>
    </row>
    <row r="177" customFormat="false" ht="15" hidden="false" customHeight="true" outlineLevel="0" collapsed="false">
      <c r="A177" s="5"/>
      <c r="B177" s="5"/>
      <c r="C177" s="5"/>
      <c r="D177" s="5"/>
      <c r="E177" s="5"/>
      <c r="F177" s="5"/>
      <c r="G177" s="5"/>
      <c r="H177" s="5"/>
      <c r="I177" s="5"/>
      <c r="J177" s="5"/>
      <c r="K177" s="5"/>
    </row>
    <row r="178" customFormat="false" ht="15" hidden="false" customHeight="true" outlineLevel="0" collapsed="false">
      <c r="A178" s="5"/>
      <c r="B178" s="5"/>
      <c r="C178" s="5"/>
      <c r="D178" s="5"/>
      <c r="E178" s="5"/>
      <c r="F178" s="5"/>
      <c r="G178" s="5"/>
      <c r="H178" s="5"/>
      <c r="I178" s="5"/>
      <c r="J178" s="5"/>
      <c r="K178" s="5"/>
    </row>
    <row r="179" customFormat="false" ht="15" hidden="false" customHeight="true" outlineLevel="0" collapsed="false">
      <c r="A179" s="5"/>
      <c r="B179" s="5"/>
      <c r="C179" s="5"/>
      <c r="D179" s="5"/>
      <c r="E179" s="5"/>
      <c r="F179" s="5"/>
      <c r="G179" s="5"/>
      <c r="H179" s="5"/>
      <c r="I179" s="5"/>
      <c r="J179" s="5"/>
      <c r="K179" s="5"/>
    </row>
    <row r="180" customFormat="false" ht="15" hidden="false" customHeight="true" outlineLevel="0" collapsed="false">
      <c r="A180" s="5"/>
      <c r="B180" s="5"/>
      <c r="C180" s="5"/>
      <c r="D180" s="5"/>
      <c r="E180" s="5"/>
      <c r="F180" s="5"/>
      <c r="G180" s="5"/>
      <c r="H180" s="5"/>
      <c r="I180" s="5"/>
      <c r="J180" s="5"/>
      <c r="K180" s="5"/>
    </row>
    <row r="181" customFormat="false" ht="15" hidden="false" customHeight="true" outlineLevel="0" collapsed="false">
      <c r="A181" s="5"/>
      <c r="B181" s="5"/>
      <c r="C181" s="5"/>
      <c r="D181" s="5"/>
      <c r="E181" s="5"/>
      <c r="F181" s="5"/>
      <c r="G181" s="5"/>
      <c r="H181" s="5"/>
      <c r="I181" s="5"/>
      <c r="J181" s="5"/>
      <c r="K181" s="5"/>
    </row>
    <row r="182" customFormat="false" ht="15" hidden="false" customHeight="true" outlineLevel="0" collapsed="false">
      <c r="A182" s="5"/>
      <c r="B182" s="5"/>
      <c r="C182" s="5"/>
      <c r="D182" s="5"/>
      <c r="E182" s="5"/>
      <c r="F182" s="5"/>
      <c r="G182" s="5"/>
      <c r="H182" s="5"/>
      <c r="I182" s="5"/>
      <c r="J182" s="5"/>
      <c r="K182" s="5"/>
    </row>
    <row r="183" customFormat="false" ht="15" hidden="false" customHeight="true" outlineLevel="0" collapsed="false">
      <c r="A183" s="5"/>
      <c r="B183" s="5"/>
      <c r="C183" s="5"/>
      <c r="D183" s="5"/>
      <c r="E183" s="5"/>
      <c r="F183" s="5"/>
      <c r="G183" s="5"/>
      <c r="H183" s="5"/>
      <c r="I183" s="5"/>
      <c r="J183" s="5"/>
      <c r="K183" s="5"/>
    </row>
    <row r="184" customFormat="false" ht="15" hidden="false" customHeight="true" outlineLevel="0" collapsed="false">
      <c r="A184" s="5"/>
      <c r="B184" s="5"/>
      <c r="C184" s="5"/>
      <c r="D184" s="5"/>
      <c r="E184" s="5"/>
      <c r="F184" s="5"/>
      <c r="G184" s="5"/>
      <c r="H184" s="5"/>
      <c r="I184" s="5"/>
      <c r="J184" s="5"/>
      <c r="K184" s="5"/>
    </row>
    <row r="185" customFormat="false" ht="15" hidden="false" customHeight="true" outlineLevel="0" collapsed="false">
      <c r="A185" s="5"/>
      <c r="B185" s="5"/>
      <c r="C185" s="5"/>
      <c r="D185" s="5"/>
      <c r="E185" s="5"/>
      <c r="F185" s="5"/>
      <c r="G185" s="5"/>
      <c r="H185" s="5"/>
      <c r="I185" s="5"/>
      <c r="J185" s="5"/>
      <c r="K185" s="5"/>
    </row>
    <row r="186" customFormat="false" ht="15" hidden="false" customHeight="true" outlineLevel="0" collapsed="false">
      <c r="A186" s="5"/>
      <c r="B186" s="5"/>
      <c r="C186" s="5"/>
      <c r="D186" s="5"/>
      <c r="E186" s="5"/>
      <c r="F186" s="5"/>
      <c r="G186" s="5"/>
      <c r="H186" s="5"/>
      <c r="I186" s="5"/>
      <c r="J186" s="5"/>
      <c r="K186" s="5"/>
    </row>
    <row r="187" customFormat="false" ht="15" hidden="false" customHeight="true" outlineLevel="0" collapsed="false">
      <c r="A187" s="5"/>
      <c r="B187" s="5"/>
      <c r="C187" s="5"/>
      <c r="D187" s="5"/>
      <c r="E187" s="5"/>
      <c r="F187" s="5"/>
      <c r="G187" s="5"/>
      <c r="H187" s="5"/>
      <c r="I187" s="5"/>
      <c r="J187" s="5"/>
      <c r="K187" s="5"/>
    </row>
    <row r="188" customFormat="false" ht="15" hidden="false" customHeight="true" outlineLevel="0" collapsed="false">
      <c r="A188" s="5"/>
      <c r="B188" s="5"/>
      <c r="C188" s="5"/>
      <c r="D188" s="5"/>
      <c r="E188" s="5"/>
      <c r="F188" s="5"/>
      <c r="G188" s="5"/>
      <c r="H188" s="5"/>
      <c r="I188" s="5"/>
      <c r="J188" s="5"/>
      <c r="K188" s="5"/>
    </row>
    <row r="189" customFormat="false" ht="15" hidden="false" customHeight="true" outlineLevel="0" collapsed="false">
      <c r="A189" s="5"/>
      <c r="B189" s="5"/>
      <c r="C189" s="5"/>
      <c r="D189" s="5"/>
      <c r="E189" s="5"/>
      <c r="F189" s="5"/>
      <c r="G189" s="5"/>
      <c r="H189" s="5"/>
      <c r="I189" s="5"/>
      <c r="J189" s="5"/>
      <c r="K189" s="5"/>
    </row>
    <row r="190" customFormat="false" ht="15" hidden="false" customHeight="true" outlineLevel="0" collapsed="false">
      <c r="A190" s="5"/>
      <c r="B190" s="5"/>
      <c r="C190" s="5"/>
      <c r="D190" s="5"/>
      <c r="E190" s="5"/>
      <c r="F190" s="5"/>
      <c r="G190" s="5"/>
      <c r="H190" s="5"/>
      <c r="I190" s="5"/>
      <c r="J190" s="5"/>
      <c r="K190" s="5"/>
    </row>
    <row r="191" customFormat="false" ht="15" hidden="false" customHeight="true" outlineLevel="0" collapsed="false">
      <c r="A191" s="5"/>
      <c r="B191" s="5"/>
      <c r="C191" s="5"/>
      <c r="D191" s="5"/>
      <c r="E191" s="5"/>
      <c r="F191" s="5"/>
      <c r="G191" s="5"/>
      <c r="H191" s="5"/>
      <c r="I191" s="5"/>
      <c r="J191" s="5"/>
      <c r="K191" s="5"/>
    </row>
    <row r="192" customFormat="false" ht="15" hidden="false" customHeight="true" outlineLevel="0" collapsed="false">
      <c r="A192" s="5"/>
      <c r="B192" s="5"/>
      <c r="C192" s="5"/>
      <c r="D192" s="5"/>
      <c r="E192" s="5"/>
      <c r="F192" s="5"/>
      <c r="G192" s="5"/>
      <c r="H192" s="5"/>
      <c r="I192" s="5"/>
      <c r="J192" s="5"/>
      <c r="K192" s="5"/>
    </row>
    <row r="193" customFormat="false" ht="15" hidden="false" customHeight="true" outlineLevel="0" collapsed="false">
      <c r="A193" s="5"/>
      <c r="B193" s="5"/>
      <c r="C193" s="5"/>
      <c r="D193" s="5"/>
      <c r="E193" s="5"/>
      <c r="F193" s="5"/>
      <c r="G193" s="5"/>
      <c r="H193" s="5"/>
      <c r="I193" s="5"/>
      <c r="J193" s="5"/>
      <c r="K193" s="5"/>
    </row>
    <row r="194" customFormat="false" ht="15" hidden="false" customHeight="true" outlineLevel="0" collapsed="false">
      <c r="A194" s="5"/>
      <c r="B194" s="5"/>
      <c r="C194" s="5"/>
      <c r="D194" s="5"/>
      <c r="E194" s="5"/>
      <c r="F194" s="5"/>
      <c r="G194" s="5"/>
      <c r="H194" s="5"/>
      <c r="I194" s="5"/>
      <c r="J194" s="5"/>
      <c r="K194" s="5"/>
    </row>
    <row r="195" customFormat="false" ht="15" hidden="false" customHeight="true" outlineLevel="0" collapsed="false">
      <c r="A195" s="5"/>
      <c r="B195" s="5"/>
      <c r="C195" s="5"/>
      <c r="D195" s="5"/>
      <c r="E195" s="5"/>
      <c r="F195" s="5"/>
      <c r="G195" s="5"/>
      <c r="H195" s="5"/>
      <c r="I195" s="5"/>
      <c r="J195" s="5"/>
      <c r="K195" s="5"/>
    </row>
    <row r="196" customFormat="false" ht="15" hidden="false" customHeight="true" outlineLevel="0" collapsed="false">
      <c r="A196" s="5"/>
      <c r="B196" s="5"/>
      <c r="C196" s="5"/>
      <c r="D196" s="5"/>
      <c r="E196" s="5"/>
      <c r="F196" s="5"/>
      <c r="G196" s="5"/>
      <c r="H196" s="5"/>
      <c r="I196" s="5"/>
      <c r="J196" s="5"/>
      <c r="K196" s="5"/>
    </row>
    <row r="197" customFormat="false" ht="15" hidden="false" customHeight="true" outlineLevel="0" collapsed="false">
      <c r="A197" s="5"/>
      <c r="B197" s="5"/>
      <c r="C197" s="5"/>
      <c r="D197" s="5"/>
      <c r="E197" s="5"/>
      <c r="F197" s="5"/>
      <c r="G197" s="5"/>
      <c r="H197" s="5"/>
      <c r="I197" s="5"/>
      <c r="J197" s="5"/>
      <c r="K197" s="5"/>
    </row>
    <row r="198" customFormat="false" ht="15" hidden="false" customHeight="true" outlineLevel="0" collapsed="false">
      <c r="A198" s="5"/>
      <c r="B198" s="5"/>
      <c r="C198" s="5"/>
      <c r="D198" s="5"/>
      <c r="E198" s="5"/>
      <c r="F198" s="5"/>
      <c r="G198" s="5"/>
      <c r="H198" s="5"/>
      <c r="I198" s="5"/>
      <c r="J198" s="5"/>
      <c r="K198" s="5"/>
    </row>
    <row r="199" customFormat="false" ht="15" hidden="false" customHeight="true" outlineLevel="0" collapsed="false">
      <c r="A199" s="5"/>
      <c r="B199" s="5"/>
      <c r="C199" s="5"/>
      <c r="D199" s="5"/>
      <c r="E199" s="5"/>
      <c r="F199" s="5"/>
      <c r="G199" s="5"/>
      <c r="H199" s="5"/>
      <c r="I199" s="5"/>
      <c r="J199" s="5"/>
      <c r="K199" s="5"/>
    </row>
    <row r="200" customFormat="false" ht="15" hidden="false" customHeight="true" outlineLevel="0" collapsed="false">
      <c r="A200" s="5"/>
      <c r="B200" s="5"/>
      <c r="C200" s="5"/>
      <c r="D200" s="5"/>
      <c r="E200" s="5"/>
      <c r="F200" s="5"/>
      <c r="G200" s="5"/>
      <c r="H200" s="5"/>
      <c r="I200" s="5"/>
      <c r="J200" s="5"/>
      <c r="K200" s="5"/>
    </row>
    <row r="201" customFormat="false" ht="15" hidden="false" customHeight="true" outlineLevel="0" collapsed="false">
      <c r="A201" s="5"/>
      <c r="B201" s="5"/>
      <c r="C201" s="5"/>
      <c r="D201" s="5"/>
      <c r="E201" s="5"/>
      <c r="F201" s="5"/>
      <c r="G201" s="5"/>
      <c r="H201" s="5"/>
      <c r="I201" s="5"/>
      <c r="J201" s="5"/>
      <c r="K201" s="5"/>
    </row>
  </sheetData>
  <dataValidations count="3">
    <dataValidation allowBlank="true" errorStyle="stop" operator="between" showDropDown="false" showErrorMessage="false" showInputMessage="false" sqref="F2:F201" type="list">
      <formula1>"High,Medium,Low"</formula1>
      <formula2>0</formula2>
    </dataValidation>
    <dataValidation allowBlank="true" errorStyle="stop" operator="between" showDropDown="false" showErrorMessage="false" showInputMessage="false" sqref="G2:G201" type="list">
      <formula1>"Candidate,Confirmed,Rejected,Needs More Evidence"</formula1>
      <formula2>0</formula2>
    </dataValidation>
    <dataValidation allowBlank="true" errorStyle="stop" operator="between" showDropDown="false" showErrorMessage="false" showInputMessage="false" sqref="H2:H201" type="list">
      <formula1>"Headline Finding,Pattern Section,What Didn't Hold Up,What Surprised Us,Practical Takeaways,Other"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1" width="32"/>
    <col collapsed="false" customWidth="true" hidden="false" outlineLevel="0" max="3" min="3" style="1" width="28"/>
    <col collapsed="false" customWidth="true" hidden="false" outlineLevel="0" max="4" min="4" style="1" width="32"/>
  </cols>
  <sheetData>
    <row r="1" customFormat="false" ht="15" hidden="false" customHeight="true" outlineLevel="0" collapsed="false">
      <c r="A1" s="1" t="s">
        <v>1438</v>
      </c>
      <c r="B1" s="1" t="s">
        <v>1439</v>
      </c>
      <c r="C1" s="1" t="s">
        <v>1440</v>
      </c>
      <c r="D1" s="1" t="s">
        <v>1441</v>
      </c>
    </row>
    <row r="2" customFormat="false" ht="15" hidden="false" customHeight="true" outlineLevel="0" collapsed="false">
      <c r="A2" s="1" t="s">
        <v>22</v>
      </c>
      <c r="B2" s="1" t="s">
        <v>1442</v>
      </c>
      <c r="C2" s="1" t="s">
        <v>1443</v>
      </c>
      <c r="D2" s="1" t="s">
        <v>255</v>
      </c>
    </row>
    <row r="3" customFormat="false" ht="15" hidden="false" customHeight="true" outlineLevel="0" collapsed="false">
      <c r="A3" s="1" t="s">
        <v>23</v>
      </c>
      <c r="B3" s="1" t="s">
        <v>1443</v>
      </c>
      <c r="C3" s="1" t="s">
        <v>1444</v>
      </c>
      <c r="D3" s="1" t="s">
        <v>1445</v>
      </c>
    </row>
    <row r="4" customFormat="false" ht="15" hidden="false" customHeight="true" outlineLevel="0" collapsed="false">
      <c r="A4" s="1" t="s">
        <v>24</v>
      </c>
      <c r="B4" s="1" t="s">
        <v>1444</v>
      </c>
      <c r="C4" s="1" t="s">
        <v>1446</v>
      </c>
      <c r="D4" s="1" t="s">
        <v>268</v>
      </c>
    </row>
    <row r="5" customFormat="false" ht="15" hidden="false" customHeight="true" outlineLevel="0" collapsed="false">
      <c r="A5" s="1" t="s">
        <v>25</v>
      </c>
      <c r="B5" s="1" t="s">
        <v>1447</v>
      </c>
      <c r="C5" s="1" t="s">
        <v>1448</v>
      </c>
      <c r="D5" s="1" t="s">
        <v>1449</v>
      </c>
    </row>
    <row r="6" customFormat="false" ht="15" hidden="false" customHeight="true" outlineLevel="0" collapsed="false">
      <c r="A6" s="1" t="s">
        <v>26</v>
      </c>
      <c r="B6" s="1" t="s">
        <v>1450</v>
      </c>
      <c r="C6" s="1" t="s">
        <v>1451</v>
      </c>
      <c r="D6" s="1" t="s">
        <v>277</v>
      </c>
    </row>
    <row r="7" customFormat="false" ht="15" hidden="false" customHeight="true" outlineLevel="0" collapsed="false">
      <c r="A7" s="1" t="s">
        <v>27</v>
      </c>
      <c r="B7" s="1" t="s">
        <v>1452</v>
      </c>
      <c r="C7" s="1" t="s">
        <v>1453</v>
      </c>
      <c r="D7" s="1" t="s">
        <v>1454</v>
      </c>
    </row>
    <row r="8" customFormat="false" ht="15" hidden="false" customHeight="true" outlineLevel="0" collapsed="false">
      <c r="A8" s="1" t="s">
        <v>28</v>
      </c>
      <c r="B8" s="1" t="s">
        <v>1455</v>
      </c>
      <c r="C8" s="1" t="s">
        <v>1456</v>
      </c>
      <c r="D8" s="1" t="s">
        <v>260</v>
      </c>
    </row>
    <row r="9" customFormat="false" ht="15" hidden="false" customHeight="true" outlineLevel="0" collapsed="false">
      <c r="A9" s="1" t="s">
        <v>29</v>
      </c>
      <c r="B9" s="1" t="s">
        <v>1457</v>
      </c>
      <c r="C9" s="1" t="s">
        <v>1458</v>
      </c>
      <c r="D9" s="1" t="s">
        <v>285</v>
      </c>
    </row>
    <row r="10" customFormat="false" ht="15" hidden="false" customHeight="true" outlineLevel="0" collapsed="false">
      <c r="A10" s="1" t="s">
        <v>30</v>
      </c>
      <c r="B10" s="1" t="s">
        <v>1459</v>
      </c>
      <c r="C10" s="1" t="s">
        <v>1460</v>
      </c>
      <c r="D10" s="1" t="s">
        <v>1461</v>
      </c>
    </row>
    <row r="11" customFormat="false" ht="15" hidden="false" customHeight="true" outlineLevel="0" collapsed="false">
      <c r="A11" s="1" t="s">
        <v>31</v>
      </c>
      <c r="C11" s="1" t="s">
        <v>1462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2026-06-26T16:52:02Z</dcterms:created>
  <dc:creator>openpyxl</dc:creator>
  <dc:description/>
  <dc:language>en-US</dc:language>
  <cp:lastModifiedBy/>
  <dcterms:modified xsi:type="dcterms:W3CDTF">2026-06-27T17:24:00Z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