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Field Reference" sheetId="2" state="visible" r:id="rId4"/>
    <sheet name="Pass 2" sheetId="3" state="visible" r:id="rId5"/>
    <sheet name="Pass 1 Archive" sheetId="4" state="visible" r:id="rId6"/>
    <sheet name="Deep Dive Database" sheetId="5" state="visible" r:id="rId7"/>
    <sheet name="Comparison Group Database" sheetId="6" state="visible" r:id="rId8"/>
    <sheet name="Research Log" sheetId="7" state="visible" r:id="rId9"/>
    <sheet name="Pattern Tracker" sheetId="8" state="visible" r:id="rId10"/>
    <sheet name="Lists" sheetId="9" state="hidden"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<sst xmlns="http://schemas.openxmlformats.org/spreadsheetml/2006/main" count="5389" uniqueCount="1640">
  <si>
    <t xml:space="preserve">S.LAB Research Project #1 — Dashboard</t>
  </si>
  <si>
    <t xml:space="preserve">Pulls live from Candidate Companies / Deep Dive Database / Comparison Group Database. Do not type values into column B below row 5 except where noted.</t>
  </si>
  <si>
    <t xml:space="preserve">Metric</t>
  </si>
  <si>
    <t xml:space="preserve">Count</t>
  </si>
  <si>
    <t xml:space="preserve">Companies screened</t>
  </si>
  <si>
    <t xml:space="preserve">Companies included</t>
  </si>
  <si>
    <t xml:space="preserve">Companies excluded</t>
  </si>
  <si>
    <t xml:space="preserve">Companies pending decision</t>
  </si>
  <si>
    <t xml:space="preserve">Traffic classifications complete</t>
  </si>
  <si>
    <t xml:space="preserve">  — Grew</t>
  </si>
  <si>
    <t xml:space="preserve">  — Flat</t>
  </si>
  <si>
    <t xml:space="preserve">  — Declined</t>
  </si>
  <si>
    <t xml:space="preserve">Deep dives selected</t>
  </si>
  <si>
    <t xml:space="preserve">Deep dives complete</t>
  </si>
  <si>
    <t xml:space="preserve">Comparison reviews selected</t>
  </si>
  <si>
    <t xml:space="preserve">Comparison reviews complete</t>
  </si>
  <si>
    <t xml:space="preserve">Patterns logged</t>
  </si>
  <si>
    <t xml:space="preserve">Research log entries</t>
  </si>
  <si>
    <t xml:space="preserve">Companies included by category (target 10 each)</t>
  </si>
  <si>
    <t xml:space="preserve">Category</t>
  </si>
  <si>
    <t xml:space="preserve">Included</t>
  </si>
  <si>
    <t xml:space="preserve">Target</t>
  </si>
  <si>
    <t xml:space="preserve">Sales Engagement / Sales Intelligence</t>
  </si>
  <si>
    <t xml:space="preserve">Marketing Automation</t>
  </si>
  <si>
    <t xml:space="preserve">Customer Support / Help Desk</t>
  </si>
  <si>
    <t xml:space="preserve">Customer Success</t>
  </si>
  <si>
    <t xml:space="preserve">HR / People Operations</t>
  </si>
  <si>
    <t xml:space="preserve">Finance / Spend Management</t>
  </si>
  <si>
    <t xml:space="preserve">Project Management / Collaboration</t>
  </si>
  <si>
    <t xml:space="preserve">Developer Tools / DevOps</t>
  </si>
  <si>
    <t xml:space="preserve">Security / Compliance</t>
  </si>
  <si>
    <t xml:space="preserve">Product Analytics / Product Management</t>
  </si>
  <si>
    <t xml:space="preserve">Total</t>
  </si>
  <si>
    <t xml:space="preserve">Traffic Trajectory Breakdown</t>
  </si>
  <si>
    <t xml:space="preserve">Trajectory</t>
  </si>
  <si>
    <t xml:space="preserve">Continuous Acceleration</t>
  </si>
  <si>
    <t xml:space="preserve">Steady Growth</t>
  </si>
  <si>
    <t xml:space="preserve">Growth then Pullback</t>
  </si>
  <si>
    <t xml:space="preserve">Early Peak then Plateau</t>
  </si>
  <si>
    <t xml:space="preserve">Early Peak then Decline</t>
  </si>
  <si>
    <t xml:space="preserve">Decline then Recovery</t>
  </si>
  <si>
    <t xml:space="preserve">Flat</t>
  </si>
  <si>
    <t xml:space="preserve">Steady Decline</t>
  </si>
  <si>
    <t xml:space="preserve">Volatile</t>
  </si>
  <si>
    <t xml:space="preserve">Field Reference — schema documentation for every tab in this workbook</t>
  </si>
  <si>
    <t xml:space="preserve">Read this before entering data. Each row documents one column: what it is, its data type, and its dropdown values (if any). Column order here matches the actual workflow order in each tab — it is not alphabetical.</t>
  </si>
  <si>
    <t xml:space="preserve">Tab</t>
  </si>
  <si>
    <t xml:space="preserve">Column</t>
  </si>
  <si>
    <t xml:space="preserve">Description</t>
  </si>
  <si>
    <t xml:space="preserve">Data Type</t>
  </si>
  <si>
    <t xml:space="preserve">Dropdown Values / Notes</t>
  </si>
  <si>
    <t xml:space="preserve">Company Tracker</t>
  </si>
  <si>
    <t xml:space="preserve">Company Name</t>
  </si>
  <si>
    <t xml:space="preserve">Locked/included company. Join key used across Pass 1 Archive, Deep Dive Database, and Comparison Group Database — must match exactly across all four sheets.</t>
  </si>
  <si>
    <t xml:space="preserve">Text</t>
  </si>
  <si>
    <t xml:space="preserve">Sourcing category carried over from Pass 1 Archive at lock time.</t>
  </si>
  <si>
    <t xml:space="preserve">Dropdown</t>
  </si>
  <si>
    <t xml:space="preserve">10 locked categories (see Lists tab)</t>
  </si>
  <si>
    <t xml:space="preserve">Jan 2025 Traffic</t>
  </si>
  <si>
    <t xml:space="preserve">Organic traffic at study window start. From Ahrefs Performance report export.</t>
  </si>
  <si>
    <t xml:space="preserve">Number</t>
  </si>
  <si>
    <t xml:space="preserve">Jun 2026 Traffic</t>
  </si>
  <si>
    <t xml:space="preserve">Organic traffic at study window end.</t>
  </si>
  <si>
    <t xml:space="preserve">Traffic % Change</t>
  </si>
  <si>
    <t xml:space="preserve">Auto-calculated. Do not type into this column.</t>
  </si>
  <si>
    <t xml:space="preserve">Formula</t>
  </si>
  <si>
    <t xml:space="preserve">Jan 2025 Traffic Value</t>
  </si>
  <si>
    <t xml:space="preserve">Ahrefs Organic Traffic Value at study window start.</t>
  </si>
  <si>
    <t xml:space="preserve">Jun 2026 Traffic Value</t>
  </si>
  <si>
    <t xml:space="preserve">Ahrefs Organic Traffic Value at study window end.</t>
  </si>
  <si>
    <t xml:space="preserve">Traffic Value % Change</t>
  </si>
  <si>
    <t xml:space="preserve">Jan 2025 Referring Domains</t>
  </si>
  <si>
    <t xml:space="preserve">Ahrefs Referring Domains at study window start.</t>
  </si>
  <si>
    <t xml:space="preserve">Jun 2026 Referring Domains</t>
  </si>
  <si>
    <t xml:space="preserve">Ahrefs Referring Domains at study window end.</t>
  </si>
  <si>
    <t xml:space="preserve">Referring Domains % Change</t>
  </si>
  <si>
    <t xml:space="preserve">Study Window Peak Traffic</t>
  </si>
  <si>
    <t xml:space="preserve">Highest monthly organic traffic observed WITHIN the study window (Jan 2025-June 2026) only.</t>
  </si>
  <si>
    <t xml:space="preserve">Study Window Peak Month</t>
  </si>
  <si>
    <t xml:space="preserve">Month the within-window peak occurred (e.g., "March 2026"). Pairs with Study Window Peak Traffic.</t>
  </si>
  <si>
    <t xml:space="preserve">Historical Peak Traffic</t>
  </si>
  <si>
    <t xml:space="preserve">All-time peak monthly organic traffic, including before the study window (expanded to all 100 companies as of V1.2 - previously Pass-3-only). Pairs with Historical Peak Month.</t>
  </si>
  <si>
    <t xml:space="preserve">Historical Peak Month</t>
  </si>
  <si>
    <t xml:space="preserve">Month the all-time historical peak occurred. May fall before or during the study window.</t>
  </si>
  <si>
    <t xml:space="preserve">Distance from Historical Peak %</t>
  </si>
  <si>
    <t xml:space="preserve">Auto-calculated: how current (Jun 2026) traffic compares to the company's all-time historical peak. Negative = still below all-time peak; positive = has exceeded it.</t>
  </si>
  <si>
    <t xml:space="preserve">Traffic Trajectory</t>
  </si>
  <si>
    <t xml:space="preserve">Describes how the company arrived at its Classification using the within-study-window time series only - shape, not outcome. Official 9-value taxonomy - choose closest match rather than inventing a new label.</t>
  </si>
  <si>
    <t xml:space="preserve">Continuous Acceleration, Steady Growth, Growth then Pullback, Early Peak then Plateau, Early Peak then Decline, Decline then Recovery, Flat, Steady Decline, Volatile</t>
  </si>
  <si>
    <t xml:space="preserve">Classification</t>
  </si>
  <si>
    <t xml:space="preserve">Pass 2 outcome, determined from the study window only.</t>
  </si>
  <si>
    <t xml:space="preserve">Grew, Flat, Declined</t>
  </si>
  <si>
    <t xml:space="preserve">Notes</t>
  </si>
  <si>
    <t xml:space="preserve">Freeform.</t>
  </si>
  <si>
    <t xml:space="preserve">Pass 1 Archive</t>
  </si>
  <si>
    <t xml:space="preserve">Join key. Every candidate ever screened gets a row here, regardless of Inclusion Decision.</t>
  </si>
  <si>
    <t xml:space="preserve">Website/Domain</t>
  </si>
  <si>
    <t xml:space="preserve">Primary domain used for Ahrefs lookups.</t>
  </si>
  <si>
    <t xml:space="preserve">Text (URL)</t>
  </si>
  <si>
    <t xml:space="preserve">Sourcing category from the locked 10-category list (Section 3 of operating manual). Source of truth for the Category field carried over to Company Tracker at lock time.</t>
  </si>
  <si>
    <t xml:space="preserve">Date Added</t>
  </si>
  <si>
    <t xml:space="preserve">Date the candidate was first logged.</t>
  </si>
  <si>
    <t xml:space="preserve">Date</t>
  </si>
  <si>
    <t xml:space="preserve">Source List</t>
  </si>
  <si>
    <t xml:space="preserve">Where the candidate was discovered.</t>
  </si>
  <si>
    <t xml:space="preserve">G2, Crozdesk, GetApp, Capterra, Other</t>
  </si>
  <si>
    <t xml:space="preserve">Source URL</t>
  </si>
  <si>
    <t xml:space="preserve">Link to the specific G2/directory page the candidate was pulled from.</t>
  </si>
  <si>
    <t xml:space="preserve">Screened By</t>
  </si>
  <si>
    <t xml:space="preserve">Who ran the inclusion screen.</t>
  </si>
  <si>
    <t xml:space="preserve">Screening Date</t>
  </si>
  <si>
    <t xml:space="preserve">Date the inclusion screen was run.</t>
  </si>
  <si>
    <t xml:space="preserve">B2B SaaS Confirmed?</t>
  </si>
  <si>
    <t xml:space="preserve">Gate 1 - quick judgment call from the company's own homepage.</t>
  </si>
  <si>
    <t xml:space="preserve">Yes, No</t>
  </si>
  <si>
    <t xml:space="preserve">One-Line Description</t>
  </si>
  <si>
    <t xml:space="preserve">What the company sells, in plain language.</t>
  </si>
  <si>
    <t xml:space="preserve">Founded Year</t>
  </si>
  <si>
    <t xml:space="preserve">From Crunchbase or company site.</t>
  </si>
  <si>
    <t xml:space="preserve">Public/Private</t>
  </si>
  <si>
    <t xml:space="preserve">From Crunchbase.</t>
  </si>
  <si>
    <t xml:space="preserve">Public, Private</t>
  </si>
  <si>
    <t xml:space="preserve">LinkedIn Employee Count</t>
  </si>
  <si>
    <t xml:space="preserve">Descriptive metadata only (V1.1) - not a screening gate. Standardized single source; do not average across conflicting sources.</t>
  </si>
  <si>
    <t xml:space="preserve">Employee Count Source/Date</t>
  </si>
  <si>
    <t xml:space="preserve">E.g. 'LinkedIn, 2026-07-01' - keeps the standardization auditable.</t>
  </si>
  <si>
    <t xml:space="preserve">Funding Status / Total Raised</t>
  </si>
  <si>
    <t xml:space="preserve">M&amp;A Status</t>
  </si>
  <si>
    <t xml:space="preserve">Gate 2 - exclude if the M&amp;A/rebrand was recent or disruptive enough to break continuous attributable history; include-with-flag if clean. Requires a documented treatment decision, not just a status label.</t>
  </si>
  <si>
    <t xml:space="preserve">Independent, Acquired, Merged, Rebranded</t>
  </si>
  <si>
    <t xml:space="preserve">M&amp;A Notes</t>
  </si>
  <si>
    <t xml:space="preserve">Date, acquirer, and the treatment decision reasoning.</t>
  </si>
  <si>
    <t xml:space="preserve">Domain Stable During Window?</t>
  </si>
  <si>
    <t xml:space="preserve">Gate 3 - No = exclude (breaks Ahrefs trend continuity).</t>
  </si>
  <si>
    <t xml:space="preserve">Primary ICP</t>
  </si>
  <si>
    <t xml:space="preserve">Company's own stated target customer - not G2's segment grid.</t>
  </si>
  <si>
    <t xml:space="preserve">SMB, Mid-Market, Enterprise</t>
  </si>
  <si>
    <t xml:space="preserve">Buying Motion</t>
  </si>
  <si>
    <t xml:space="preserve">Metadata only, not a selection criterion.</t>
  </si>
  <si>
    <t xml:space="preserve">PLG, Sales-led, Hybrid</t>
  </si>
  <si>
    <t xml:space="preserve">Primary Buyer</t>
  </si>
  <si>
    <t xml:space="preserve">Technical, Non-technical</t>
  </si>
  <si>
    <t xml:space="preserve">Non-Core Asset Flag</t>
  </si>
  <si>
    <t xml:space="preserve">Yes if a free tool/calculator/template library/content hub drives a meaningful share of traffic. A flag, not an exclusion.</t>
  </si>
  <si>
    <t xml:space="preserve">Non-Core Asset Notes</t>
  </si>
  <si>
    <t xml:space="preserve">What the non-core asset is, if flagged.</t>
  </si>
  <si>
    <t xml:space="preserve">Inclusion Decision</t>
  </si>
  <si>
    <t xml:space="preserve">Final screening outcome across all 5 gates. Keep excluded rows - don't delete them. Include = company is also added to Company Tracker.</t>
  </si>
  <si>
    <t xml:space="preserve">Include, Exclude, Pending</t>
  </si>
  <si>
    <t xml:space="preserve">Exclusion Reason</t>
  </si>
  <si>
    <t xml:space="preserve">Required if Inclusion Decision = Exclude. 'Looked fine' is not an acceptable reason.</t>
  </si>
  <si>
    <t xml:space="preserve">Selected for Deep Dive?</t>
  </si>
  <si>
    <t xml:space="preserve">Top 8-10 growth winners, selected after Pass 2 classification.</t>
  </si>
  <si>
    <t xml:space="preserve">Selected for Comparison Group?</t>
  </si>
  <si>
    <t xml:space="preserve">~8 decliners, selected after Pass 2 classification.</t>
  </si>
  <si>
    <t xml:space="preserve">Research Status</t>
  </si>
  <si>
    <t xml:space="preserve">Overall review progress for this company.</t>
  </si>
  <si>
    <t xml:space="preserve">Not Started, In Progress, Complete</t>
  </si>
  <si>
    <t xml:space="preserve">Tags</t>
  </si>
  <si>
    <t xml:space="preserve">Freeform, comma-separated (e.g. 'PLG, comparison-pages-heavy').</t>
  </si>
  <si>
    <t xml:space="preserve">Last Updated</t>
  </si>
  <si>
    <t xml:space="preserve">Bump whenever the row changes.</t>
  </si>
  <si>
    <t xml:space="preserve">Deep Dive Database</t>
  </si>
  <si>
    <t xml:space="preserve">Typed key - must match a Company Name in Company Tracker exactly.</t>
  </si>
  <si>
    <t xml:space="preserve">Category / Traffic Start/End / % Change / Ref. Domains Start/End</t>
  </si>
  <si>
    <t xml:space="preserve">Auto-pulled via VLOOKUP from Company Tracker. Do not type.</t>
  </si>
  <si>
    <t xml:space="preserve">Employees</t>
  </si>
  <si>
    <t xml:space="preserve">Auto-pulled via VLOOKUP from Pass 1 Archive. Do not type.</t>
  </si>
  <si>
    <t xml:space="preserve">Reviewed Date</t>
  </si>
  <si>
    <t xml:space="preserve">Date the deep dive was conducted.</t>
  </si>
  <si>
    <t xml:space="preserve">Time Spent (min)</t>
  </si>
  <si>
    <t xml:space="preserve">Time-box target: 60-90 minutes.</t>
  </si>
  <si>
    <t xml:space="preserve">Reviewer</t>
  </si>
  <si>
    <t xml:space="preserve">Who did the review.</t>
  </si>
  <si>
    <t xml:space="preserve">Growth URL 1-5 (URL / Content Type / Est. Traffic Change)</t>
  </si>
  <si>
    <t xml:space="preserve">The core of the deep dive - required. If fewer than 5 pages account for the bulk of growth, leave remaining rows blank; that concentration is itself a finding.</t>
  </si>
  <si>
    <t xml:space="preserve">Text/Dropdown/Number</t>
  </si>
  <si>
    <t xml:space="preserve">Content Type = see Content Type list</t>
  </si>
  <si>
    <t xml:space="preserve">Growth Concentration</t>
  </si>
  <si>
    <t xml:space="preserve">Concentrated = a few pages did most of the work.</t>
  </si>
  <si>
    <t xml:space="preserve">Concentrated, Distributed</t>
  </si>
  <si>
    <t xml:space="preserve">Content Origin</t>
  </si>
  <si>
    <t xml:space="preserve">Net-new vs. refreshed existing content.</t>
  </si>
  <si>
    <t xml:space="preserve">Net-new, Refreshed, Both</t>
  </si>
  <si>
    <t xml:space="preserve">Growth Timing</t>
  </si>
  <si>
    <t xml:space="preserve">Gradual climb vs. step-changes tied to specific publishes.</t>
  </si>
  <si>
    <t xml:space="preserve">Gradual, Step-change</t>
  </si>
  <si>
    <t xml:space="preserve">Referring Domain Notes</t>
  </si>
  <si>
    <t xml:space="preserve">Notable new referring domains and any pattern in them.</t>
  </si>
  <si>
    <t xml:space="preserve">Internal Linking Observations</t>
  </si>
  <si>
    <t xml:space="preserve">Any visible internal-linking pattern connecting growth pages to core product pages.</t>
  </si>
  <si>
    <t xml:space="preserve">AI Visibility Spot-Check Notes</t>
  </si>
  <si>
    <t xml:space="preserve">Manual ChatGPT/Perplexity prompt checks, if time allows.</t>
  </si>
  <si>
    <t xml:space="preserve">Anything Surprising</t>
  </si>
  <si>
    <t xml:space="preserve">Required field - name at least one thing.</t>
  </si>
  <si>
    <t xml:space="preserve">Anything Contradicting Hypotheses</t>
  </si>
  <si>
    <t xml:space="preserve">Required field - if nothing contradicts, say so explicitly.</t>
  </si>
  <si>
    <t xml:space="preserve">Quotable Pattern Candidates</t>
  </si>
  <si>
    <t xml:space="preserve">Exact phrasing/numbers that could become a line in the report.</t>
  </si>
  <si>
    <t xml:space="preserve">Primary Growth Driver (confirmed)</t>
  </si>
  <si>
    <t xml:space="preserve">Post-deep-dive confirmed value - may differ from the original hypothesis.</t>
  </si>
  <si>
    <t xml:space="preserve">See Growth Driver list</t>
  </si>
  <si>
    <t xml:space="preserve">Review Status</t>
  </si>
  <si>
    <t xml:space="preserve">Notes/Follow-ups</t>
  </si>
  <si>
    <t xml:space="preserve">Review Complete</t>
  </si>
  <si>
    <t xml:space="preserve">Simple completion flag for filtering as the project scales. Complements Review Status; does not replace it.</t>
  </si>
  <si>
    <t xml:space="preserve">Long-Term Traffic Story</t>
  </si>
  <si>
    <t xml:space="preserve">1-3 sentence narrative of the company's overall long-term traffic pattern (e.g., large historical peak, long decline, recovery beginning mid-window). Interpretation, not measurement - never changes Pass 2 Classification.</t>
  </si>
  <si>
    <t xml:space="preserve">Major Inflection Points</t>
  </si>
  <si>
    <t xml:space="preserve">Notable dates/events where the traffic trend visibly changed direction, pre- or post-window.</t>
  </si>
  <si>
    <t xml:space="preserve">Acquisitions / Mergers</t>
  </si>
  <si>
    <t xml:space="preserve">Any M&amp;A history, including pre-window, relevant to interpreting the company's trajectory. Does not retroactively change the Pass 1 Include/Exclude decision.</t>
  </si>
  <si>
    <t xml:space="preserve">Rebrands</t>
  </si>
  <si>
    <t xml:space="preserve">Any rebrand history relevant to interpreting the traffic story.</t>
  </si>
  <si>
    <t xml:space="preserve">Domain Migrations</t>
  </si>
  <si>
    <t xml:space="preserve">Any domain migration history relevant to interpreting the traffic story.</t>
  </si>
  <si>
    <t xml:space="preserve">Product Launches / Notable Events</t>
  </si>
  <si>
    <t xml:space="preserve">Other notable events (product launches, funding events, major press) useful for interpreting the trajectory, when discoverable.</t>
  </si>
  <si>
    <t xml:space="preserve">Comparison Group Database</t>
  </si>
  <si>
    <t xml:space="preserve">Category / Employees / Traffic &amp; Referring Domain trend</t>
  </si>
  <si>
    <t xml:space="preserve">Auto-pulled via VLOOKUP from Company Tracker / Pass 1 Archive.</t>
  </si>
  <si>
    <t xml:space="preserve">Time-box target: 20-30 minutes.</t>
  </si>
  <si>
    <t xml:space="preserve">Publishing Activity</t>
  </si>
  <si>
    <t xml:space="preserve">Visible publishing activity during the window, or largely static.</t>
  </si>
  <si>
    <t xml:space="preserve">Active, Minimal, Static</t>
  </si>
  <si>
    <t xml:space="preserve">Growth-Associated Content Types Present?</t>
  </si>
  <si>
    <t xml:space="preserve">Are the content types associated with winners present but underperforming, or genuinely absent?</t>
  </si>
  <si>
    <t xml:space="preserve">Present-underperforming, Absent, Unclear</t>
  </si>
  <si>
    <t xml:space="preserve">Content Types Notes</t>
  </si>
  <si>
    <t xml:space="preserve">Likely Decline Explanation</t>
  </si>
  <si>
    <t xml:space="preserve">Most likely plain-language explanation.</t>
  </si>
  <si>
    <t xml:space="preserve">Algorithm change, Lack of publishing, Competitive displacement, Product/market issue, Other, Unclear</t>
  </si>
  <si>
    <t xml:space="preserve">One-Line Takeaway</t>
  </si>
  <si>
    <t xml:space="preserve">Confidence</t>
  </si>
  <si>
    <t xml:space="preserve">High, Medium, Low, Unclear</t>
  </si>
  <si>
    <t xml:space="preserve">Research Log</t>
  </si>
  <si>
    <t xml:space="preserve">Log ID</t>
  </si>
  <si>
    <t xml:space="preserve">Format LOG-001, increments.</t>
  </si>
  <si>
    <t xml:space="preserve">Related Company</t>
  </si>
  <si>
    <t xml:space="preserve">Optional - not every entry ties to one company.</t>
  </si>
  <si>
    <t xml:space="preserve">Category Tag</t>
  </si>
  <si>
    <t xml:space="preserve">Finding, Surprise, Question, Future-research, LinkedIn-post, Newsletter, Methodology-note</t>
  </si>
  <si>
    <t xml:space="preserve">Observation</t>
  </si>
  <si>
    <t xml:space="preserve">Why It's Interesting</t>
  </si>
  <si>
    <t xml:space="preserve">Action Needed</t>
  </si>
  <si>
    <t xml:space="preserve">Status</t>
  </si>
  <si>
    <t xml:space="preserve">Open, Actioned, Archived</t>
  </si>
  <si>
    <t xml:space="preserve">Pattern Tracker</t>
  </si>
  <si>
    <t xml:space="preserve">Pattern ID</t>
  </si>
  <si>
    <t xml:space="preserve">Format PAT-001.</t>
  </si>
  <si>
    <t xml:space="preserve">Pattern</t>
  </si>
  <si>
    <t xml:space="preserve">Stated as a claim, e.g. 'Winners concentrate growth in comparison pages.'</t>
  </si>
  <si>
    <t xml:space="preserve">Supporting Companies</t>
  </si>
  <si>
    <t xml:space="preserve">Comma-separated company names.</t>
  </si>
  <si>
    <t xml:space="preserve">Contradicting Companies</t>
  </si>
  <si>
    <t xml:space="preserve">Evidence</t>
  </si>
  <si>
    <t xml:space="preserve">Specific URLs/numbers backing the pattern.</t>
  </si>
  <si>
    <t xml:space="preserve">High, Medium, Low</t>
  </si>
  <si>
    <t xml:space="preserve">Candidate, Confirmed, Rejected, Needs More Evidence</t>
  </si>
  <si>
    <t xml:space="preserve">Potential Report Section</t>
  </si>
  <si>
    <t xml:space="preserve">Maps to the Report Outline in the operating manual.</t>
  </si>
  <si>
    <t xml:space="preserve">Headline Finding, Pattern Section, What Didn't Hold Up, What Surprised Us, Practical Takeaways, Other</t>
  </si>
  <si>
    <t xml:space="preserve">Cross-Cut Notes</t>
  </si>
  <si>
    <t xml:space="preserve">Does this pattern correlate more with Buying Motion / Primary Buyer than with Category? Operationalizes the 'category is sourcing, not explanation' principle.</t>
  </si>
  <si>
    <t xml:space="preserve">Study Window Trough Traffic/Month</t>
  </si>
  <si>
    <t xml:space="preserve">Study Window Trough Month</t>
  </si>
  <si>
    <t xml:space="preserve">Gainsight</t>
  </si>
  <si>
    <t xml:space="preserve">Jun 2026</t>
  </si>
  <si>
    <t xml:space="preserve">Jan 2025</t>
  </si>
  <si>
    <t xml:space="preserve">Grew</t>
  </si>
  <si>
    <t xml:space="preserve">Traffic was relatively stable through most of 2025, then accelerated sharply beginning in late 2025 and especially from Feb-Jun 2026. Current traffic is both the study-window peak and historical peak, so this is not a recovery story. It is a clear breakout/growth profile.</t>
  </si>
  <si>
    <t xml:space="preserve">Planhat</t>
  </si>
  <si>
    <t xml:space="preserve">Mar 2025</t>
  </si>
  <si>
    <t xml:space="preserve">Dec 2025</t>
  </si>
  <si>
    <t xml:space="preserve">Traffic peaked in March 2025 before declining approximately 26% to a December 2025 trough. Organic visibility recovered steadily throughout the first half of 2026 but remains about 13% below its historical high. Overall traffic finished roughly flat versus the beginning of the study window.</t>
  </si>
  <si>
    <t xml:space="preserve">ClientSuccess</t>
  </si>
  <si>
    <t xml:space="preserve">Apr 2025</t>
  </si>
  <si>
    <t xml:space="preserve">Jun 2024</t>
  </si>
  <si>
    <t xml:space="preserve">May 2026</t>
  </si>
  <si>
    <t xml:space="preserve">Traffic peaked early in the study window before trending downward for roughly a year. Organic visibility reached its lowest point in May 2026, then rebounded sharply in June 2026. Despite the volatility, the company finished only 3.8% below where it started, though it remains 28.4% below its historical peak.</t>
  </si>
  <si>
    <t xml:space="preserve">Vitally</t>
  </si>
  <si>
    <t xml:space="preserve">Sep 2025</t>
  </si>
  <si>
    <t xml:space="preserve">Declined</t>
  </si>
  <si>
    <t xml:space="preserve">Traffic remained relatively stable through mid-2025 before reaching a historical peak in September 2025. Organic visibility then declined consistently for eight months, reaching a study-window low in May 2026. June showed only a minor rebound, leaving traffic 36.6% below the start of the study window and 47.4% below its historical peak.</t>
  </si>
  <si>
    <t xml:space="preserve">Custify</t>
  </si>
  <si>
    <t xml:space="preserve">Oct 2025</t>
  </si>
  <si>
    <t xml:space="preserve">Traffic remained relatively stable through mid-2025 before accelerating to a historical peak in October 2025. Organic visibility then declined sharply through spring 2026, reaching a study-window low in May 2026. June showed only a modest rebound, with traffic ending 34.6% below the start of the study window and 41.3% below its historical peak.</t>
  </si>
  <si>
    <t xml:space="preserve">Akita</t>
  </si>
  <si>
    <t xml:space="preserve">Feb 2025</t>
  </si>
  <si>
    <t xml:space="preserve">Traffic remained low and volatile throughout most of 2025 before beginning a sustained acceleration in spring 2026. Organic visibility reached a new historical high in June 2026, nearly tripling from the beginning of the study window. This represents a clear late-stage breakout rather than a recovery from a previous decline.</t>
  </si>
  <si>
    <t xml:space="preserve">Kapta</t>
  </si>
  <si>
    <t xml:space="preserve">Nov 2025</t>
  </si>
  <si>
    <t xml:space="preserve">Traffic reached both its study-window and historical peak in March 2025 before entering a prolonged decline. Although visibility temporarily recovered during early 2026, the gains were not sustained, and traffic fell to 3,118 by June 2026. The company finished 39.6% below the beginning of the study window and nearly 60% below its historical peak. Note: a temporary rebound occurred Jan-Apr 2026 before the final decline -- worth watching for as a recurring pattern across the dataset.</t>
  </si>
  <si>
    <t xml:space="preserve">ChurnZero</t>
  </si>
  <si>
    <t xml:space="preserve">Mar 2026</t>
  </si>
  <si>
    <t xml:space="preserve">Traffic remained relatively stable through most of 2025 before breaking out sharply in early 2026. Organic visibility reached a new historical peak in March 2026, then moderated over the following three months while remaining well above the beginning of the study window. The company finished 26.1% above its January 2025 traffic despite ending 37.1% below its March 2026 peak.</t>
  </si>
  <si>
    <t xml:space="preserve">UserGuiding</t>
  </si>
  <si>
    <t xml:space="preserve">Aug 2025</t>
  </si>
  <si>
    <t xml:space="preserve">Apr 2023</t>
  </si>
  <si>
    <t xml:space="preserve">Traffic grew steadily during the first half of the study window, peaking at 48.6k visits in August 2025 before entering a prolonged decline. Organic visibility fell more than 80% by June 2026 and remains over 95% below the company's historical peak from April 2023. The small uptick in June does not indicate a meaningful recovery. Largest historical-peak gap observed so far (149,605 to 7,095) -- strong Comparison Group candidate to investigate the cause of the collapse.</t>
  </si>
  <si>
    <t xml:space="preserve">Velaris</t>
  </si>
  <si>
    <t xml:space="preserve">Apr 2026</t>
  </si>
  <si>
    <t xml:space="preserve">Traffic grew steadily throughout the study window before accelerating sharply in early 2026. Organic visibility reached a new historical peak of 8,085 visits in April 2026, then pulled back roughly 40% over the following two months while still finishing more than 400% above the beginning of the study window. Overall, this represents a strong long-term growth trajectory despite the post-peak pullback.</t>
  </si>
  <si>
    <t xml:space="preserve">Rocketlane</t>
  </si>
  <si>
    <t xml:space="preserve">Feb 2026</t>
  </si>
  <si>
    <t xml:space="preserve">Sep 2024</t>
  </si>
  <si>
    <t xml:space="preserve">Jul 2025</t>
  </si>
  <si>
    <t xml:space="preserve">Traffic declined through the first half of the study window, reaching a low of 12.3k visits in July 2025 before recovering steadily over the following seven months. Organic visibility reached a new study-window peak in February 2026 (18,375), short of its Sep 2024 historical peak of 19,426. Overall traffic increased just 8.4% from the beginning of the study window, resulting in a 'Flat' classification despite the meaningful internal decline-and-recovery shape.</t>
  </si>
  <si>
    <t xml:space="preserve">Higher Logic</t>
  </si>
  <si>
    <t xml:space="preserve">Dec 2021</t>
  </si>
  <si>
    <t xml:space="preserve">Traffic experienced a brief dip early in the study window before beginning a sustained upward trend through April 2026. Organic visibility increased more than 32% over the study period, though it remains approximately 29% below the company's historical peak from December 2021. A modest pullback (~10.6% off the study-window peak) followed the April 2026 peak but did not materially change the overall growth trajectory.</t>
  </si>
  <si>
    <t xml:space="preserve">EverAfter</t>
  </si>
  <si>
    <t xml:space="preserve">May 2024</t>
  </si>
  <si>
    <t xml:space="preserve">Traffic declined steadily through most of 2025, falling from 1,542 visits in January to a study-window low of 892 in November. Organic visibility then recovered consistently throughout the first half of 2026, finishing just 6.4% below the beginning of the study window. Despite the recovery, traffic remains 44.4% below the company's historical peak from May 2024.</t>
  </si>
  <si>
    <t xml:space="preserve">Apollo.io</t>
  </si>
  <si>
    <t xml:space="preserve">Jan 2020</t>
  </si>
  <si>
    <t xml:space="preserve">Traffic dipped slightly in February 2025 before climbing steadily through 2025, with a notable acceleration in Aug-Oct 2025. Traffic plateaued in the 270k-335k range through the first half of 2026, peaking in May 2026 with only a mild pullback (-5.4%) by June. Despite finishing 35.5% above the start of the study window, traffic remains about 70% below its all-time historical peak from January 2020 -- this looks like a partial recovery rather than a continuation of the post-2020 decline.</t>
  </si>
  <si>
    <t xml:space="preserve">Salesloft</t>
  </si>
  <si>
    <t xml:space="preserve">Traffic increased steadily from January through September 2025, reaching both its study-window and historical peak of 83,661. Traffic then declined through the end of 2025, bottoming at 56,411 in December 2025, before recovering somewhat through the first half of 2026. The company finished 7.1% above the start of the study window but 26.7% below its September 2025 peak -- net change lands in the Flat band despite the meaningful growth-then-pullback shape underneath.</t>
  </si>
  <si>
    <t xml:space="preserve">Close</t>
  </si>
  <si>
    <t xml:space="preserve">May 2025</t>
  </si>
  <si>
    <t xml:space="preserve">Jul 2024</t>
  </si>
  <si>
    <t xml:space="preserve">Traffic peaked early in the study window (May 2025, month 5 of 18) and then oscillated through a choppy plateau for the remainder of 2025 before a sharper decline through Feb-Apr 2026, bottoming at 35,188 in April. A modest rebound followed in May-June 2026, but traffic still finished 26.5% below the start of the study window and 45.3% below the May 2025 study-window peak. The historical peak (146,300, Jul 2024) predates the study window by several months, so the company has been on a longer decline than the window alone shows -- it's currently about 59% below its all-time high.</t>
  </si>
  <si>
    <t xml:space="preserve">Amplemarket</t>
  </si>
  <si>
    <t xml:space="preserve">Traffic grew steadily through mid-2025, then saw a temporary bump to 12.5k in July 2025 before pulling back to a Nov-Dec 2025 low of around 7.6k-8k. A second, stronger breakout began in April 2026, carrying traffic to a new all-time high of 13,337 in June 2026 -- both the study-window and historical peak, with zero pullback at the end of the window. Traffic finished 92.2% above the start of the study window.</t>
  </si>
  <si>
    <t xml:space="preserve">Lemlist</t>
  </si>
  <si>
    <t xml:space="preserve">Traffic peaked in April 2025 (113,426 -- also the all-time historical high) then declined through the rest of the study window, with a sharp trough in October 2025 (56,974) followed by a partial, incomplete recovery to a lower plateau around 67k-75k through mid-2026. Ended 32.5% below the Jan 2025 starting point and 38.1% below the historical peak, with the partial rebound never approaching prior highs -- consistent with the sustained-decline pattern (Kapta, Close precedent) rather than a genuine recovery.</t>
  </si>
  <si>
    <t xml:space="preserve">Instantly.ai</t>
  </si>
  <si>
    <t xml:space="preserve">Traffic grew from the Jan 2025 starting point (also the study-window trough) to an all-time historical peak of 72,994 in May 2025, then held a relatively stable plateau (64k-70k) through mid-2026 with only an 8.7% pullback from peak by the end of the window. Net change of +29.3% over the study window. The mild pullback (milder than Higher Logic's -10.6%) keeps this in the Continuous Acceleration bucket rather than Growth then Pullback.</t>
  </si>
  <si>
    <t xml:space="preserve">GetAccept</t>
  </si>
  <si>
    <t xml:space="preserve">Traffic dipped from 12,670 to a trough of 11,151 in July 2025, then rallied sharply to a new all-time high of 17,780 in February 2026, before pulling back over the final four months to 14,657. Net change of +15.7% over the study window, with a -17.6% pullback from the study-window/historical peak. The early dip doesn't change the classification -- the dominant feature is the strong rise into February 2026 followed by a sustained retreat, consistent with the Vitally/Custify/ChurnZero pattern.</t>
  </si>
  <si>
    <t xml:space="preserve">Mixmax</t>
  </si>
  <si>
    <t xml:space="preserve">Oct 2024</t>
  </si>
  <si>
    <t xml:space="preserve">Traffic entered the study window near its historical highs, peaking within-window at 18,815 in February 2025 (true historical peak of 19,147 occurred just before the window, in October 2024). Traffic then declined through most of 2025 to a trough of 11,586 in December 2025, followed by a modest H1 2026 rebound (11,941 to 14,031) that did not reverse the broader trend. Ended -24.2% below the Jan 2025 start and -26.7% below the historical peak. Mapped to Early Peak then Decline (not the non-canonical 'Continuous Decline') for consistency with Kapta, Close, and Lemlist, which show the same early-peak/sustained-decline/partial-rebound shape.</t>
  </si>
  <si>
    <t xml:space="preserve">Reply.io</t>
  </si>
  <si>
    <t xml:space="preserve">Jan 2026</t>
  </si>
  <si>
    <t xml:space="preserve">Traffic grew steadily through most of the study window, reaching an all-time historical high of 50,602 in January 2026 (month 13 of 18), then collapsed over the final five months to 6,882 by June 2026 -- an 86.4% pullback from peak with no sign of stabilizing. Net change of -79.1% over the window. The late, severe collapse after sustained growth places this in Growth then Pullback (same bucket as UserGuiding, which shows a similarly extreme pullback magnitude), not Early Peak then Decline, since the peak occurred late rather than early in the window.</t>
  </si>
  <si>
    <t xml:space="preserve">ZoomInfo</t>
  </si>
  <si>
    <t xml:space="preserve">May 2021</t>
  </si>
  <si>
    <t xml:space="preserve">Traffic grew +154.7% over the study window, ending at a new study-window high in June 2026 with zero pullback from the window peak. The true historical peak (3,378,159) dates to May 2021, nearly four years before the window, and the gap (-45.7%) reflects multi-year decay from ZoomInfo's earlier scale rather than anything happening within the study window -- per the established exception (Apollo, Higher Logic, Rocketlane precedent), this pre-window peak doesn't affect the trajectory bucket. Within-window shape is uninterrupted acceleration.</t>
  </si>
  <si>
    <t xml:space="preserve">Cognism</t>
  </si>
  <si>
    <t xml:space="preserve">Traffic peaked early in the window (288,571, April 2025 -- also the all-time historical high) then declined steadily for the remainder, with a brief countertrend bump in Dec 2025-Jan 2026 (155,327 to 170,230) that didn't reverse the trend. Ended at a new low of 111,722 in June 2026, -52.2% below the Jan 2025 start and -61.3% below the historical peak. Same early-peak/sustained-decline shape as Kapta, Close, Lemlist, and Mixmax.</t>
  </si>
  <si>
    <t xml:space="preserve">Klaviyo</t>
  </si>
  <si>
    <t xml:space="preserve">Traffic oscillated in a wide band (roughly 360k-430k) for most of the study window with no clear directional trend, then spiked to a new all-time high of 459,281 in March 2026 before pulling back to 391,423 by June. Net change of +8.9% keeps this in the Flat classification despite the late spike-and-pullback, and the repeated swings throughout (rather than a single dip-recovery or sustained trend) point to Volatile over Flat-as-trajectory.</t>
  </si>
  <si>
    <t xml:space="preserve">Braze</t>
  </si>
  <si>
    <t xml:space="preserve">Traffic dipped briefly to 56,619 in May 2025 before climbing steadily to a new all-time high of 103,805 in April 2026, then a mild 5.2% pullback over the final two months. Net change of +59.9% over the window. The early dip and the mild end-of-window pullback (milder than Higher Logic's -10.6%) don't change the dominant pattern of sustained growth to new highs -- Continuous Acceleration.</t>
  </si>
  <si>
    <t xml:space="preserve">ActiveCampaign</t>
  </si>
  <si>
    <t xml:space="preserve">Traffic peaked early in the window (345,889, March 2025; the true historical peak of 346,392 occurred just 3 months prior, in October 2024) then declined through 2025 to a trough of 233,681 in December 2025. A partial recovery followed in H1 2026 (to 278,812) but didn't restore prior levels, leaving the company net Declined (-16.1%) and -19.5% below its historical peak. Same early-peak/sustained-decline/partial-rebound shape as Kapta, Close, Lemlist, Mixmax, and Cognism -- not Decline then Recovery, since that bucket has so far been reserved for companies whose recovery brought them back into Flat range.</t>
  </si>
  <si>
    <t xml:space="preserve">Customer.io</t>
  </si>
  <si>
    <t xml:space="preserve">Jun 2025</t>
  </si>
  <si>
    <t xml:space="preserve">Traffic dipped to a low of 13,867 in June 2025 before climbing steadily to a new all-time high of 23,135 in June 2026, with zero pullback at the end of the window. Net change of +51.0% over the study window.</t>
  </si>
  <si>
    <t xml:space="preserve">Attentive</t>
  </si>
  <si>
    <t xml:space="preserve">Traffic dipped early to 18,421 in February 2025, then climbed choppily through the rest of the window to a new all-time high of 29,376 in June 2026, with zero pullback at the end. Net change of +42.3% over the study window.</t>
  </si>
  <si>
    <t xml:space="preserve">Omnisend</t>
  </si>
  <si>
    <t xml:space="preserve">Traffic peaked early in the window (197,105, April 2025 -- also the all-time historical high) then declined steadily and severely through the rest of the window, bottoming near 61,060-61,370 in the final three months with no recovery. Net change of -63.3%, with traffic ending -68.9% below the historical peak -- one of the steepest declines in the dataset so far. Same early-peak/sustained-decline shape as Kapta, Close, Lemlist, Mixmax, Cognism, and ActiveCampaign.</t>
  </si>
  <si>
    <t xml:space="preserve">Iterable</t>
  </si>
  <si>
    <t xml:space="preserve">Traffic peaked early in the window (20,346, April 2025) then declined with a brief, failed rally in early 2026 (Jan-Apr 2026 climbed back to 19,127, nearly matching the original peak) before collapsing to a new window low of 10,756 by June 2026. Net change of -45.1%. The true historical peak (27,365) occurred in September 2024, just before the window, putting current traffic -60.7% below the all-time high. Same temporary-rebound-then-collapse pattern as Kapta.</t>
  </si>
  <si>
    <t xml:space="preserve">Brevo</t>
  </si>
  <si>
    <t xml:space="preserve">Traffic peaked early in the window (675,746, March 2025) then declined with significant volatility (a sharp Aug 2025 dip to 512,362, partial recovery, a deeper Apr 2026 trough of 508,747) before a partial rebound to 570,487 by June 2026. Net change of -12.4%, just past the Declined threshold. The true historical peak (695,425) occurred in October 2024, just before the window, putting current traffic -18.0% below the all-time high.</t>
  </si>
  <si>
    <t xml:space="preserve">CleverTap</t>
  </si>
  <si>
    <t xml:space="preserve">Traffic grew from the Jan 2025 start to an all-time historical high of 66,089 in October 2025 (month 10 of 18), then declined to a trough of 40,859 in April 2026 before a mild rebound to 45,294 by June. Net change of -23.9%, with a -31.5% pullback from peak. Genuine growth into a mid-window peak followed by a sustained pullback places this with Vitally/Custify/ChurnZero/Reply.io rather than the early-peak cluster, since the peak came after real growth rather than at the start of the window.</t>
  </si>
  <si>
    <t xml:space="preserve">GetResponse</t>
  </si>
  <si>
    <t xml:space="preserve">Traffic peaked early in the window (306,113, March 2025 -- also the all-time historical high) then declined steadily and severely through the entire remainder of the window with no recovery, ending at a new low of 108,931 in June 2026. Net change of -60.9%, with traffic ending -64.4% below the historical peak. One of the steepest, cleanest declines in the dataset -- same shape as Omnisend, Cognism, Kapta, Close, and Lemlist, but with no countertrend bump at all.</t>
  </si>
  <si>
    <t xml:space="preserve">ContactPigeon</t>
  </si>
  <si>
    <t xml:space="preserve">Traffic bounced in a noisy band (roughly 866-1,395 monthly visits) for the entire study window with no clear sustained trend -- a brief trough in August 2025 (866) and a brief peak in October 2025 (1,395, also the all-time high) sit close together with no lasting directional shift around them. Net change of -14.5%, just past the Declined threshold. At this traffic scale (low thousands), Ahrefs' modeled estimates are inherently noisier, so the classification itself carries more uncertainty than for higher-traffic companies in this set -- worth flagging if this company is reviewed further.</t>
  </si>
  <si>
    <t xml:space="preserve">Gusto</t>
  </si>
  <si>
    <t xml:space="preserve">Peak occurs in month 2 of the window (Feb 2025, also the all-time high) followed by an overall decline to Jun 2026, with intermittent bumps (Oct 2025, Mar 2026) that don't reverse the trend. -19.3% Jan2025-&gt;Jun2026.</t>
  </si>
  <si>
    <t xml:space="preserve">BambooHR</t>
  </si>
  <si>
    <t xml:space="preserve">Traffic is already past its all-time peak (May 2024, well before the window) when the study window opens; declines gradually and fairly linearly from the Jan 2025 window-start value all the way to a new low at window end, with minor noise (Feb-Mar 2026 bump) that doesn't break the trend. No distinct early-window peak separate from the start -- Steady Decline, not Early Peak then Decline. -34.4% Jan2025-&gt;Jun2026.</t>
  </si>
  <si>
    <t xml:space="preserve">Rippling</t>
  </si>
  <si>
    <t xml:space="preserve">Genuine growth from window start through a Jul 2025 peak (also all-time high), then a pullback to a Dec 2025 trough, then partial recovery through Jun 2026. Nets out +28.0% Grew despite ending 7.6% below peak.</t>
  </si>
  <si>
    <t xml:space="preserve">Deel</t>
  </si>
  <si>
    <t xml:space="preserve">Net +6.6% Jan2025-&gt;Jun2026 (Flat). Multiple reversals through the window -- rises into May 2025, drops to an Aug-Oct 2025 trough, recovers and climbs to a new high in Mar 2026, then a small pullback to Jun 2026. No single dominant directional trend, consistent with Volatile.</t>
  </si>
  <si>
    <t xml:space="preserve">Paylocity</t>
  </si>
  <si>
    <t xml:space="preserve">Window opens at the all-time peak (Jan 2025) and traffic slides for most of the remainder, including a brief partial rally in Jan 2026 (back to ~95% of the peak) that doesn't reverse the trend -- ends -31.8% by Jun 2026. Peak = window start, same structural pattern as BambooHR -&gt; Steady Decline rather than Early Peak then Decline.</t>
  </si>
  <si>
    <t xml:space="preserve">HiBob</t>
  </si>
  <si>
    <t xml:space="preserve">Steady growth from the Jan 2025 window-start low through most of the window to a Feb 2026 peak (also all-time high), then a modest pullback (-8.5%) into Jun 2026. Nets out +18.9% Grew.</t>
  </si>
  <si>
    <t xml:space="preserve">Remote</t>
  </si>
  <si>
    <t xml:space="preserve">Peak in month 2 (Feb 2025, also all-time high), then a sustained, steep decline through most of the window to an Apr 2026 trough. A modest uptick in the final two months (May-Jun 2026) doesn't reverse the trend. -58.1% Jan2025-&gt;Jun2026.</t>
  </si>
  <si>
    <t xml:space="preserve">TriNet</t>
  </si>
  <si>
    <t xml:space="preserve">Apr 2024</t>
  </si>
  <si>
    <t xml:space="preserve">All-time peak (Apr 2024) predates the window by ~9 months; traffic was already sliding when the window opens at its window-start high (Jan 2025) and declines fairly steadily the rest of the way, with a brief partial rally in Jan 2026 that doesn't reverse the trend. New low at window end. -44.0% Jan2025-&gt;Jun2026.</t>
  </si>
  <si>
    <t xml:space="preserve">Keka</t>
  </si>
  <si>
    <t xml:space="preserve">All-time peak (Sep 2024) predates the window by ~4 months; window opens near that peak and declines through the year with a modest Feb-Apr 2026 rally, then a sharp one-month cliff drop in Jun 2026 (387747 -&gt; 159130, -59% MoM). That final-month collapse is unusually steep relative to the rest of the series and is worth flagging as a possible deep-dive candidate to investigate the cause (e.g. algorithm update, domain/tracking change) rather than assuming organic decline alone explains it. -77.9% Jan2025-&gt;Jun2026, the steepest decline in the vertical so far.</t>
  </si>
  <si>
    <t xml:space="preserve">Workday</t>
  </si>
  <si>
    <t xml:space="preserve">Dips slightly in the first half of 2025, then grows substantially into a Mar 2026 peak (also all-time high) before a sharp pullback to a new low at window end. Genuine growth into a late peak, then a real decline -- nets out -16.2% Declined despite the growth phase, same shape as Reply.io (growth then severe pullback ending net negative).</t>
  </si>
  <si>
    <t xml:space="preserve">Justworks</t>
  </si>
  <si>
    <t xml:space="preserve">All-time peak (Sep 2024) predates the window by a few months; in-window peak comes early (Apr 2025). Oscillates in a band through most of 2025-2026 with no sustained recovery, then a sharp one-month cliff drop in Jun 2026 (111997 -&gt; 87879, -21.5% MoM) -- similar anomalous final-month collapse to Keka, worth flagging for the same reason. -35.0% Jan2025-&gt;Jun2026.</t>
  </si>
  <si>
    <t xml:space="preserve">Sprinklr</t>
  </si>
  <si>
    <t xml:space="preserve">Peak in month 5 (May 2025, also all-time high), followed by a long, sustained decline through nearly the entire remainder of the window to a near-end trough (May 2026), with only a tiny uptick in the final month. -31.8% Jan2025-&gt;Jun2026.</t>
  </si>
  <si>
    <t xml:space="preserve">Front</t>
  </si>
  <si>
    <t xml:space="preserve">Jan 2022</t>
  </si>
  <si>
    <t xml:space="preserve">All-time peak (Jan 2022) predates the window by years -- descriptive only per the historical-peak exception. Within the window: relatively flat through 2025, dips to a Dec 2025 trough, then a strong recovery to a new in-window high in Apr 2026, with only a small pullback (-6.7%) into Jun 2026 -- peak within 2 months of window end qualifies for Continuous Acceleration. +14.5% Jan2025-&gt;Jun2026.</t>
  </si>
  <si>
    <t xml:space="preserve">Freshworks</t>
  </si>
  <si>
    <t xml:space="preserve">Sep 2021</t>
  </si>
  <si>
    <t xml:space="preserve">All-time peak (Sep 2021) predates the window by over three years -- a long-declining company already well off its historical high by the time the window opens at its window-start value. Declines fairly steadily the rest of the way to a new low at window end, with noise but no sustained recovery. -40.1% Jan2025-&gt;Jun2026.</t>
  </si>
  <si>
    <t xml:space="preserve">Hiver</t>
  </si>
  <si>
    <t xml:space="preserve">Nov 2024</t>
  </si>
  <si>
    <t xml:space="preserve">Small-scale, noisy series with multiple significant reversals -- a dip in Apr 2025, a Jul 2025 spike (near the all-time peak set Nov 2024, just before the window), a Sep-Oct 2025 trough, a Jan 2026 spike back near window-start levels, then a steep collapse to a new low by Jun 2026. No single dominant directional shape until the very end -- Volatile, with the same Ahrefs modeled-estimate noise caveat as ContactPigeon given the low traffic volumes. -83.4% Jan2025-&gt;Jun2026.</t>
  </si>
  <si>
    <t xml:space="preserve">BoldDesk</t>
  </si>
  <si>
    <t xml:space="preserve">Genuine, sustained growth from Jan 2025 through nearly the entire first year to a Dec 2025 peak (also all-time high), then a severe pullback to an Apr 2026 trough (-84.7% from peak) with only a partial recovery by Jun 2026. The pullback was steep enough to erase the year of growth and land just past the Declined threshold (-14.9%) despite the real growth phase -- same shape as Reply.io.</t>
  </si>
  <si>
    <t xml:space="preserve">Sobot</t>
  </si>
  <si>
    <t xml:space="preserve">Very small, early-stage traffic base (Jan 2025 starting point: 1,149 monthly visits). Sustained growth for roughly a year to a Jan 2026 peak (also all-time high, 46,959), then a sharp pullback to Jun 2026. Nets out +394.7% Grew purely because the tiny starting base makes the percentage swing extreme -- the underlying shape is unambiguously growth then pullback, not acceleration. Flagging the small-base caveat since percentage changes on this company should be read with caution.</t>
  </si>
  <si>
    <t xml:space="preserve">LiveAgent</t>
  </si>
  <si>
    <t xml:space="preserve">All-time historical peak (333,579 in Apr 2023) predates study window by ~2 years and is far above any in-window value, reflecting a much larger historical traffic base. Within the window, traffic peaked early (Feb 2025) then declined to an Oct 2025 trough, followed by multiple moderate up-and-down swings (Jul 2025, Jan 2026, May 2026 bumps) without sustained directional persistence through window end, consistent with Volatile.</t>
  </si>
  <si>
    <t xml:space="preserve">Gorgias</t>
  </si>
  <si>
    <t xml:space="preserve">Traffic drifted modestly upward (with noise) from window start to a Sep 2025 peak that is also the all-time historical peak, then declined steadily and sustainedly through the remainder of the window to a near-window-end trough (May 2026), with only a small uptick in the final month.</t>
  </si>
  <si>
    <t xml:space="preserve">EngageBay</t>
  </si>
  <si>
    <t xml:space="preserve">Feb 2024</t>
  </si>
  <si>
    <t xml:space="preserve">All-time historical peak (314,158 in Feb 2024) predates the study window by about a year and is far above any in-window value, reflecting a much larger historical traffic base already well into decline by window start. Within the window, traffic dipped early (Mar 2025), rallied to a Jun 2025 peak, then declined severely and continuously through window end (-88.75% Jan2025-to-Jun2026), among the steepest declines recorded so far.</t>
  </si>
  <si>
    <t xml:space="preserve">TeamSupport</t>
  </si>
  <si>
    <t xml:space="preserve">Apr 2021</t>
  </si>
  <si>
    <t xml:space="preserve">Growth % is heavily distorted by an extremely small starting base (596 monthly organic traffic in Jan 2025, the window's own trough). Traffic ramped quickly in the first 4 months to a ~2,000-2,600 plateau and has oscillated within that band (1,939-2,653) for the remainder of the window with no further sustained directional trend. All-time historical peak (10,532, Apr 2021) predates the window by ~4 years, reflecting a much larger historical traffic base; current traffic remains 77% below that peak despite the in-window 'growth.'</t>
  </si>
  <si>
    <t xml:space="preserve">Help Scout</t>
  </si>
  <si>
    <t xml:space="preserve">Jan 2023</t>
  </si>
  <si>
    <t xml:space="preserve">Window opens already well below the all-time historical peak (359,361 in Jan 2023, ~2 years pre-window), reflecting a much larger historical traffic base in decline before the study window begins. Within the window, traffic peaked early (Mar 2025) then declined sustainedly and steeply through window end, which is also the window's lowest point (32,083, Jun 2026).</t>
  </si>
  <si>
    <t xml:space="preserve">Navan</t>
  </si>
  <si>
    <t xml:space="preserve">Traffic climbed gradually and fairly consistently from the window's own trough (Jan 2025) through most of the window, reaching a plateau in the 85,000-95,000 range from late 2025 onward rather than a single sharp inflection. Peak (May 2026) and all-time historical peak are the same month -- no pre-window history exceeds in-window levels. Final month pulled back -12.8% off the peak, a larger drawdown than the Continuous Acceleration precedent (Front, -6.7%), so coded as the more gradual Steady Growth shape instead.</t>
  </si>
  <si>
    <t xml:space="preserve">Ramp</t>
  </si>
  <si>
    <t xml:space="preserve">Sustained, accelerating growth essentially throughout the window: modest in H1 2025, then a sharp and sustained ramp from Jul 2025 onward to a peak in May 2026 (second-to-last month), followed by only a mild pullback (-5.8%) in the final month. Peak and all-time historical peak are the same month.</t>
  </si>
  <si>
    <t xml:space="preserve">BILL</t>
  </si>
  <si>
    <t xml:space="preserve">Traffic dipped slightly through H1 2025 to a Jun 2025 trough, then grew steadily and substantially from Jul 2025 through a peak in Apr 2026, with only a modest pullback (-7.7%) over the final two months. Peak and all-time historical peak are the same month. Pass 1 Archive flagged BILL Holdings parent-level layoffs/leadership overhaul in May 2026 (within window) -- no visible disruption to this product's traffic trajectory through Jun 2026.</t>
  </si>
  <si>
    <t xml:space="preserve">Extend</t>
  </si>
  <si>
    <t xml:space="preserve">Traffic oscillates in a roughly 4,700-6,500 band throughout the window with no sustained directional trend -- rises into mid-2025, dips through Oct-Dec 2025, recovers into early 2026, dips again, then a final up-down in May/Jun 2026. Net change over the window is within the Flat range. All-time historical peak (7,417, Apr 2024) predates the window by about 9 months and is meaningfully above any in-window value.</t>
  </si>
  <si>
    <t xml:space="preserve">SpendHound</t>
  </si>
  <si>
    <t xml:space="preserve">Traffic was flat and noisy in a roughly 600-960/mo range for the first 15 months of the window (Jan 2025-Mar 2026), then jumped sharply over the final three months (Mar 2026: 958 -&gt; Apr: 2,652 -&gt; May: 2,560 -&gt; Jun: 3,316), ending at a new all-time high. Growth % is heavily inflated by an extremely small starting base (618/mo) -- this is a small company by traffic volume, and the abrupt timing of the ramp (starting almost exactly when the study window enters its final quarter) is worth checking during deep dive for a specific cause (funding round, product launch, content push, or a tracking/domain change) rather than assuming organic, gradual growth.</t>
  </si>
  <si>
    <t xml:space="preserve">Pleo</t>
  </si>
  <si>
    <t xml:space="preserve">Peak occurs in month 2 of the window (Feb 2025), which is also the all-time historical peak -- no pre-window value exceeds it. Traffic then oscillates in a broad 75,000-90,000 band through most of 2025 and early 2026 without a clear sustained decline, before a sharp drop in the final three months to a new window low in May 2026 (62,178), then a partial rebound in June (68,314) that leaves the company net Declined for the window. Partial late recovery does not qualify for Decline then Recovery since it does not bring the company back into Flat range.</t>
  </si>
  <si>
    <t xml:space="preserve">Procurify</t>
  </si>
  <si>
    <t xml:space="preserve">Traffic oscillates across the window with two local peaks of similar size (Mar 2025: 36,565; Sep 2025: 37,502) separated by a dip, then a sustained decline to a Dec 2025 trough, a modest partial recovery into early-mid 2026, and a final decline into window end -- no single dominant trend. All-time historical peak (47,773, Sep 2024) predates the window by a year and is well above any in-window value.</t>
  </si>
  <si>
    <t xml:space="preserve">Corpay Complete</t>
  </si>
  <si>
    <t xml:space="preserve">Traffic started the window at its own trough (Jan 2025), grew steadily through H1 2025 to a mid-window peak in Jun 2025, then pulled back through H2 2025, before a slower partial recovery through 2026 that ends above the starting point but well below the Jun 2025 peak (-17.5%). Net result is Grew, but the in-window shape is genuine growth into a peak followed by a meaningful, sustained pullback -- consistent with the Workday/Reply.io precedent where pullback severity doesn't override the underlying growth-then-pullback shape.</t>
  </si>
  <si>
    <t xml:space="preserve">Coast</t>
  </si>
  <si>
    <t xml:space="preserve">Traffic was roughly flat (~19,000-19,700) through H1 2025, then grew meaningfully from Aug 2025 through an Oct 2025 peak, stayed elevated through Jan 2026, then declined sharply and continuously from Feb 2026 through window end, finishing at a new all-time low (9,594) -- below even the Jan 2025 starting level. All-time historical peak equals the study-window peak; no pre-window value is higher.</t>
  </si>
  <si>
    <t xml:space="preserve">Moss</t>
  </si>
  <si>
    <t xml:space="preserve">Aug 2023</t>
  </si>
  <si>
    <t xml:space="preserve">Traffic peaked at the very start of the window (Jan 2025) and declined overall through Apr 2026, with minor monthly noise (a mild rebound May-Sep 2025, a brief plateau Jan-Mar 2026) but no second peak rivaling the start. A sharp final-year drop bottoms out in Apr 2026, followed by a partial recovery into Jun 2026 that remains well below the window start. All-time historical peak (54,411, Aug 2023) is nearly double the window-start level and predates the window by ~1.5 years -- consistent with the broader sector-wide pre-window decay pattern flagged in the Research Log.</t>
  </si>
  <si>
    <t xml:space="preserve">Qonto</t>
  </si>
  <si>
    <t xml:space="preserve">Traffic stays within a fairly narrow band (~868K-1,039K) for the entire window with repeated alternating up/down moves rather than one dominant trend: peak in Mar 2025, decline into Aug 2025, rebound into Oct 2025, decline into Dec 2025, rebound into Feb 2026, decline into Apr 2026, partial rebound in May, decline again in Jun. Net change of -10.68% places it just past the Declined threshold despite the plateau-like shape -- a borderline case worth noting if Declined/Flat boundary cases are revisited.</t>
  </si>
  <si>
    <t xml:space="preserve">monday Work Management</t>
  </si>
  <si>
    <t xml:space="preserve">Traffic declined through most of 2025 from the window-start level to a Dec 2025 trough, then recovered strongly through Q1-Q2 2026 to a new window-high in Apr 2026 (the study-window peak), before a mild pullback into Jun 2026. Net change over the full window is essentially flat (-4.1%) despite the visible decline-then-recovery arc. All-time historical peak (1,520,805, Apr 2023) is nearly double the window's highest point and predates the window by ~1.75 years -- another data point for the pre-window peak-decay pattern logged in the Research Log.</t>
  </si>
  <si>
    <t xml:space="preserve">Notion</t>
  </si>
  <si>
    <t xml:space="preserve">Traffic grew modestly through H1 2025, then jumped sharply in Jul 2025 and held through a Sep 2025 peak (also the all-time historical high), pulled back through Q4 2025 to a Dec 2025 low, then partially recovered with volatility through Q1-Q2 2026, ending well above the window start. Net result is Grew (+12.55%), but the in-window shape is genuine growth into a peak followed by a real pullback -- the Workday/Reply.io/Corpay precedent shape, where pullback severity doesn't override the underlying classification.</t>
  </si>
  <si>
    <t xml:space="preserve">Asana</t>
  </si>
  <si>
    <t xml:space="preserve">Traffic peaked early in the window (Mar 2025) and declined through most of 2025 to a Jan 2026 low, with a partial Feb-Apr 2026 recovery that fell well short of the original peak before declining again into window end. All-time historical peak (6,117,338, Oct 2024) predates the window by only ~3 months and sits well above the in-window peak, suggesting the decline was already underway before the study window opened.</t>
  </si>
  <si>
    <t xml:space="preserve">Airtable</t>
  </si>
  <si>
    <t xml:space="preserve">Traffic shows two comparable peaks rather than one dominant trend: a Jul 2025 all-time high (1,950,484), a pullback through year-end, a near-equal second peak in Mar 2026 (1,923,271, within 2% of the first), then a decline into Jun 2026. Net change over the full window is essentially flat (+6.3%) despite the visible oscillation -- consistent with the Procurify/Extend precedent for genuinely bimodal, no-dominant-trend patterns.</t>
  </si>
  <si>
    <t xml:space="preserve">Wrike</t>
  </si>
  <si>
    <t xml:space="preserve">Traffic was roughly flat (~560K-656K) through H1 2025, then spiked abruptly to an all-time high in Jul 2025 (1,262,828, more than double the prior level) and stayed elevated in Aug, before crashing through Q4 2025 to a Dec 2025 trough -- a decline of nearly two-thirds from peak. A modest partial recovery in early 2026 does not approach pre-spike levels before declining again into window end. The Jul-Aug 2025 spike's abruptness (sudden ~2x jump, then collapse) resembles the anomalous-cliff pattern flagged for Keka/Justworks in the Research Log and may warrant the same data-artifact-vs-real-event investigation.</t>
  </si>
  <si>
    <t xml:space="preserve">Quickbase</t>
  </si>
  <si>
    <t xml:space="preserve">Traffic peaked barely above the window-start level in Feb 2025, then declined consistently through the remainder of the window with only minor month-to-month noise, ending at a new all-time-window low in Jun 2026 (the lowest point of the entire 18-month series). All-time historical peak (113,106, Sep 2021) predates the window by roughly 3.3 years and is nearly double the window's highest point -- another instance of the pre-window peak-decay pattern logged in the Research Log.</t>
  </si>
  <si>
    <t xml:space="preserve">Teamwork.com</t>
  </si>
  <si>
    <t xml:space="preserve">Mar 2022</t>
  </si>
  <si>
    <t xml:space="preserve">Traffic declined through H1 2025 to a Jul-Aug 2025 low, recovered into Sep-Oct, dipped again in Nov-Dec, then surged to a new window-high in Feb 2026, before declining steadily through Q2 2026 to a new all-time-window low at window end -- multiple reversals with no single dominant trend. All-time historical peak (237,265, Mar 2022) predates the window by ~2.8 years.</t>
  </si>
  <si>
    <t xml:space="preserve">Basecamp</t>
  </si>
  <si>
    <t xml:space="preserve">Traffic is remarkably stable across the entire 18-month window, holding within a narrow ~275K-307K band (an ~11% spread) with no sustained directional trend -- a textbook flat trajectory matching the net classification. All-time historical peak (412,554, May 2021) predates the window by ~3.7 years and sits well above the current stable range, consistent with the long-tail organic decay seen across several legacy SaaS products in this study.</t>
  </si>
  <si>
    <t xml:space="preserve">Celoxis</t>
  </si>
  <si>
    <t xml:space="preserve">Traffic grew slowly through H1 2025, dipped modestly Sep-Dec 2025, then accelerated sharply from Jan 2026 onward, nearly doubling between Jan and Jun 2026 to close the window at a new all-time high -- both the window peak and the historical peak fall on the final month, with Distance from Historical Peak at 0%. Net change (+186.0%) is a small-base distortion (absolute traffic is still in the thousands) -- pair with the absolute figures in any report, consistent with the Sobot/TeamSupport/SpendHound caveat.</t>
  </si>
  <si>
    <t xml:space="preserve">Hive</t>
  </si>
  <si>
    <t xml:space="preserve">Jan 2024</t>
  </si>
  <si>
    <t xml:space="preserve">Traffic declined through H1 2025, spiked sharply in Jul 2025 (96,150, ~70% above the prior month -- an isolated single-month event worth flagging alongside the Wrike/Keka/Justworks anomalies in the Research Log), then declined steadily and substantially through the remainder of the window to a new all-time-window low at window end. All-time historical peak (169,890, Jan 2024) predates the window by about a year and is nearly 5x the window-end level.</t>
  </si>
  <si>
    <t xml:space="preserve">Float.com</t>
  </si>
  <si>
    <t xml:space="preserve">Traffic was stable (~41K-53K) through H1 2025, then spiked dramatically in Jul 2025 to nearly 5x the prior level (245,698, the all-time historical high), stayed elevated through Aug-Sep 2025, then crashed in Oct 2025 back near pre-spike levels and continued declining through window end to below the original baseline. This is the most extreme single-event spike observed in the study so far (magnitude and duration both exceed the Wrike and Hive spikes) and should be added to the Research Log as a priority candidate for data-artifact-vs-real-event investigation -- a launch, viral mention, or paid-traffic misattribution are all plausible explanations worth checking before Pass 3.</t>
  </si>
  <si>
    <t xml:space="preserve">Octopus Deploy</t>
  </si>
  <si>
    <t xml:space="preserve">Traffic was flat-to-declining through H1 2025 (trough in Jun 2025), recovered through Q3 2025, dipped again into Q4, then grew steadily and accelerated through all of 2026, closing the window at a new all-time high (55,786) -- both the window peak and historical peak fall on the final month, Distance from Historical Peak at 0%.</t>
  </si>
  <si>
    <t xml:space="preserve">Bitrise Mobile DevOps Platform</t>
  </si>
  <si>
    <t xml:space="preserve">Nov 2021</t>
  </si>
  <si>
    <t xml:space="preserve">Traffic declined steadily through 2025 into early 2026, then staged a late recovery Mar-May 2026 up to a window-high (19,161, May 2026), before crashing sharply in the final month to a new all-time-window low (13,409, a ~30% single-month drop). That abrupt one-month cliff resembles the Keka/Justworks anomaly pattern already flagged in the Research Log and is worth checking for a data artifact vs. a real event. All-time historical peak (63,842, Nov 2021) predates the window by ~3.2 years.</t>
  </si>
  <si>
    <t xml:space="preserve">Semaphore</t>
  </si>
  <si>
    <t xml:space="preserve">EDGE CASE -- Jan 2025 traffic was literally 0 (and Feb 2025 was also 0), so the standard % change formula returns blank (div-by-zero) and Classification/Distance-from-Peak were set manually rather than via the threshold formula. This is the only company in the study so far that appears to have built its organic presence from scratch during the study window itself: traffic stayed near-zero through Q1 2025, began ramping in Mar 2025, accelerated through the rest of 2025 into 2026, and closed the window at an all-time high of 27,797 -- a genuinely different pattern from every other company's pre-existing-traffic trajectory. Strong candidate for a Research Log entry given how rare a true from-zero organic launch is in this dataset. Per user confirmation, this CSV (semaphore.io) was treated as the same entity as the existing Archive row recorded at semaphoreci.com.</t>
  </si>
  <si>
    <t xml:space="preserve">CloudBees</t>
  </si>
  <si>
    <t xml:space="preserve">N/A - data entry error corrected 2026-06-29; no verified domain-level RD export on hand</t>
  </si>
  <si>
    <t xml:space="preserve">Apr 2022</t>
  </si>
  <si>
    <t xml:space="preserve">Corrected 2026-06-29: original Traffic/Traffic Value/Referring Domains fields were column-shifted relative to the Ahrefs Performance export (Traffic field held the traffic-value figure, Referring Domains field held the traffic figure, Traffic Value field held the Organic positions 1-3 keyword count). Verified Referring Domains has no source in the perf export; left N/A pending a domain-level Ahrefs export. Corrected traffic series: choppy/range-bound through 2025 (38,615-56,024), trough Dec 2025 (38,615), then sustained acceleration from Jan 2026 onward to a new study-window high (80,857) by Jun 2026, the most recent month, with no pullback at window end. Historical peak is 136,304 (Apr 2022), well above the current window peak (Distance from Historical Peak -40.7%), so growth represents partial recovery toward a much larger historical level, not a new all-time high.</t>
  </si>
  <si>
    <t xml:space="preserve">Bitbucket</t>
  </si>
  <si>
    <t xml:space="preserve">Mar 2023</t>
  </si>
  <si>
    <t xml:space="preserve">Traffic stayed within a fairly narrow band (~267K-309K, ~14% spread) for the entire window with no dominant directional trend, netting to essentially flat (-3.7%). Note on the historical peak: 1,416,653 (Mar 2023) is itself a striking outlier -- more than 4x the window's range and more than 2x the next-highest historical month (638,481, Apr 2023, the same anomalous period) -- while every other year in the 2017-2026 series sits in the 270K-520K range like the study window. This looks like a one-time spike event in early 2023 rather than a representative historical baseline; worth noting if Distance-from-Historical-Peak figures are used in reporting, since this one is disproportionately skewed by an outlier month.</t>
  </si>
  <si>
    <t xml:space="preserve">Perforce</t>
  </si>
  <si>
    <t xml:space="preserve">Mar 2024</t>
  </si>
  <si>
    <t xml:space="preserve">Traffic peaked early in the window (Apr 2025) and declined fairly steadily through Dec 2025, recovered modestly Jan-Mar 2026, then declined again into window end. All-time historical peak (112,197, Mar 2024) predates the window by about 10 months and sits well above the in-window peak, suggesting the decline was already underway before the study window opened -- consistent with the broader pre-window peak-decay pattern logged in the Research Log.</t>
  </si>
  <si>
    <t xml:space="preserve">JFrog</t>
  </si>
  <si>
    <t xml:space="preserve">Sep 2020</t>
  </si>
  <si>
    <t xml:space="preserve">Traffic stayed range-bound (185K-220K, ~19% spread) for the entire window with minor noise (a Sep 2025 spike, a Feb-Mar 2026 bump) but no dominant trend, netting to essentially flat (+2.2%). All-time historical peak (261,639, Sep 2020) predates the window by ~4.3 years.</t>
  </si>
  <si>
    <t xml:space="preserve">CircleCI</t>
  </si>
  <si>
    <t xml:space="preserve">Traffic declined steadily from the window start through a Dec 2025 trough, then recovered and accelerated strongly through H1 2026, more than doubling from trough to close the window at a new all-time high (182,297, surpassing the prior record of 153,477 from Jan 2023). The recovery phase was strong enough to produce net growth (+37.3%) rather than just a return to baseline -- a more emphatic version of the monday.com decline-then-recovery shape.</t>
  </si>
  <si>
    <t xml:space="preserve">Harness</t>
  </si>
  <si>
    <t xml:space="preserve">Traffic grew to a Jul 2025 local peak, pulled back through a Nov 2025 trough (a genuine ~17% multi-month dip -- closer to the Growth-then-Pullback shape through that stretch), then accelerated sharply from Dec 2025 onward, more than doubling between Jan and Jun 2026 to close the window at a new all-time high (81% above the first peak). Classified by the dominant, larger movement -- the sustained second-phase acceleration to record highs -- rather than the smaller mid-window pullback.</t>
  </si>
  <si>
    <t xml:space="preserve">GitLab</t>
  </si>
  <si>
    <t xml:space="preserve">Traffic was stable (~588K-623K) through H1 2025, then spiked dramatically in Jul 2025 to more than 3x baseline (1,944,249 -- the largest single-month anomaly by absolute traffic seen in this study, exceeding the Wrike/Hive/Float.com spikes), stayed partially elevated in Aug, then decayed back to roughly the same baseline level it started from and stayed flat through window end. Unlike Wrike/Hive (where the spike preceded a genuine post-spike decline), GitLab's pre- and post-spike baselines are nearly identical, making this a true one-time blip on an otherwise flat trend rather than an inflection point. Worth a Research Log mention alongside the other single-month anomalies.</t>
  </si>
  <si>
    <t xml:space="preserve">GitHub</t>
  </si>
  <si>
    <t xml:space="preserve">DATA NOTE: Referring Domains is 0 for every month in this export -- almost certainly an Ahrefs metric-computation gap at GitHub's scale rather than a true zero; treat columns I/J as not meaningful for this company rather than indicating no backlinks. Traffic: GitHub's organic traffic was already declining sharply by window start (window peak = Jan 2025, the first month) and fell roughly 72% from Jan 2025 to a Feb 2026 trough, before stabilizing and ticking up slightly in the final months. The all-time historical peak (214,693,421, Oct 2024) sits just 3 months before the window opened, meaning the entire window captures GitHub already mid-collapse from its late-2024 high. This is by far the largest decline (both absolute and proportional) of any company in the study to date, on what is likely the single most authoritative domain in the entire dataset -- a strong candidate for the Research Log given the obvious hypothesis that developers increasingly route code/repo questions through AI assistants (ChatGPT, Claude, Copilot) rather than searching Google for GitHub pages, which would be directly relevant to this project's AEO/GEO thesis. Worth investigating before treating as confirmed causation.</t>
  </si>
  <si>
    <t xml:space="preserve">ISMS.online</t>
  </si>
  <si>
    <t xml:space="preserve">Multiple inflection points: rose to peak Jul2025, declined through Dec2025, recovered into Q1-Q2 2026 to a near-peak Apr2026, then dipped again into Jun2026. Net change -5.30% lands in Flat band despite meaningful intra-window swings.</t>
  </si>
  <si>
    <t xml:space="preserve">Hyperproof</t>
  </si>
  <si>
    <t xml:space="preserve">Early rise to Mar2025 local peak, decline to Nov2025 trough, then strong recovery to a new all-time high in Mar2026, with slight pullback into Jun2026. Recovery phase dominates; net +26.78% (Grew), consistent with the CircleCI/Harness decline-then-recovery-to-new-high pattern.</t>
  </si>
  <si>
    <t xml:space="preserve">SAI360</t>
  </si>
  <si>
    <t xml:space="preserve">ANOMALY FLAG: traffic was flat/declining (~4,600-5,500) through most of the window, then spiked sharply in Apr-May2026 (8,018 -&gt; 10,923) before partially crashing back to 6,332 in Jun2026. Net +16.49% (Grew) is driven almost entirely by this 2-month spike, not sustained growth. Worth Pass 3 investigation for cause (campaign, content publish, etc.) -- same pattern class as Wrike/Hive/Float.com spikes flagged earlier in the study.</t>
  </si>
  <si>
    <t xml:space="preserve">Secfix</t>
  </si>
  <si>
    <t xml:space="preserve">Small-base series (traffic in the 240-425 range) -- treat percentage changes with caution. Early local peak Feb2025, decline through 2025 to Nov2025 trough, then recovery back to near-starting level by Jun2026 (net +0.53%, Flat). Notable divergence: Traffic Value fell -51.44% while raw traffic was flat, suggesting a shift toward lower-value/less-commercial queries -- worth a Pass 3 look at which terms gained vs. lost. Historical peak (425, Sep2024) predates the study window by ~4 months.</t>
  </si>
  <si>
    <t xml:space="preserve">LogicGate</t>
  </si>
  <si>
    <t xml:space="preserve">Peaked early in the window (Jun2025), declined to a Nov2025 trough, then a partial recovery into Q1 2026 (back up to 10,274 in Mar2026) before declining again into Jun2026. Net -21.57% (Declined); the 2026 bounce was not sustained.</t>
  </si>
  <si>
    <t xml:space="preserve">Kertos</t>
  </si>
  <si>
    <t xml:space="preserve">EDGE CASE: Jan-Feb2025 traffic was literally 0 (pre-launch), so the standard Traffic % Change and Traffic Value % Change formulas correctly return blank (division by zero). Classification set manually to Grew given clear from-zero organic growth, consistent with the Semaphore precedent from the Developer Tools vertical. Traffic launched in Mar2025, climbed to an Oct2025 peak (893), pulled back into early 2026 (524 in Jan2026), then climbed again to 779 by Jun2026 -- ending ~13% below its window peak, so classified as Growth then Pullback rather than Continuous Acceleration.</t>
  </si>
  <si>
    <t xml:space="preserve">Oneleet</t>
  </si>
  <si>
    <t xml:space="preserve">Steady upward trend across the full window with only minor short dips (Aug-Sep2025, Mar-Apr2026), ending at an all-time high in Jun2026 (R=0%). Clean growth story across traffic (+63.85%), traffic value (+65.23%), and referring domains (+217.78%).</t>
  </si>
  <si>
    <t xml:space="preserve">OneTrust Tech Risk &amp; Compliance</t>
  </si>
  <si>
    <t xml:space="preserve">Traffic peaked early in the window, tying at 77,789 in both Feb2025 and May2025 (using Feb2025 as the recorded peak month), then declined through Dec2025 and stabilized at a lower plateau through 2026 rather than recovering. Net traffic -16.02% (Declined). NOTABLE: Referring Domains collapsed -60.32% (36,362 -&gt; 14,427), far outpacing the traffic decline -- this divergence is unusual and worth Pass 3 investigation (possible link cleanup, domain/brand consolidation, or disavow activity), distinct from a simple traffic-driven decline.</t>
  </si>
  <si>
    <t xml:space="preserve">Apptega</t>
  </si>
  <si>
    <t xml:space="preserve">Long-term structural decline: historical peak (2,007) was set in Mar2022, nearly 3 years before the study window opens, and traffic has been falling more or less continuously since -- the window itself just captures the tail end of that decline. Trough is the final month (Jun2026) with no recovery signal. Net -41.55% traffic, -54.63% traffic value. Distance from historical peak is -56.40%, among the largest in the dataset. Same shape as the Quickbase precedent (long pre-window peak, still declining at window close).</t>
  </si>
  <si>
    <t xml:space="preserve">Secureframe</t>
  </si>
  <si>
    <t xml:space="preserve">Traffic grew/oscillated upward through most of the window to an all-time high in Jan2026 (94,601), then crashed sharply -- down 45.83% from peak to trough in just 5 months, ending at the window low with no recovery signal. Shape is Growth then Pullback, but unlike the Notion precedent the pullback was severe enough to flip net Classification to Declined (-35.21%). The recency and magnitude of this drop (steepest, most recent decline seen in this vertical) makes Secureframe a strong Research Log candidate -- worth checking for an algorithm update, site migration, or competitive displacement.</t>
  </si>
  <si>
    <t xml:space="preserve">Drata</t>
  </si>
  <si>
    <t xml:space="preserve">Steady, near-continuous climb from the start of the window to an all-time high in Mar2026 (68,125), then a sharp 2-month dip (May2026 low of 46,947) with partial recovery to 52,299 by Jun2026. Net +24.07% (Grew) -- the growth phase dominates despite the late pullback.</t>
  </si>
  <si>
    <t xml:space="preserve">Scrut Automation</t>
  </si>
  <si>
    <t xml:space="preserve">Strong sustained growth from the start of the window (5,818) to an all-time high in Feb2026 (22,853, nearly 4x the starting point), followed by a decline through Jun2026 (16,123). Net +177.05% is the largest traffic gain seen in this vertical so far, even after the late-window pullback.</t>
  </si>
  <si>
    <t xml:space="preserve">Vanta</t>
  </si>
  <si>
    <t xml:space="preserve">Traffic was flat/stable through most of 2025 (67k-78k range), then accelerated sharply starting Jan2026, climbing to an all-time high in May2026 (124,676) before a slight pullback to 115,307 in Jun2026 (still only 7.51% off peak). Net +60.29% (Grew), the strongest growth profile in this vertical alongside Scrut Automation.</t>
  </si>
  <si>
    <t xml:space="preserve">Sprinto</t>
  </si>
  <si>
    <t xml:space="preserve">Traffic peaked at the very start of the window (Jan2025) and declined nearly continuously for 15 months to an Apr2026 trough (45,241, down 60% from peak), then a real 2-month recovery to 69,117 by Jun2026 (+53% off the trough). The recovery is genuine but only partial -- net change is still -39.21% (Declined). Shape classified as Decline then Recovery per the established rule that shape buckets apply regardless of net outcome, but flagged here since the decline phase (15 months) vastly outweighs the recovery phase (2 months) so far. Worth watching in any future data pull to see if the recovery continues.</t>
  </si>
  <si>
    <t xml:space="preserve">Productboard</t>
  </si>
  <si>
    <t xml:space="preserve">Feb 2022</t>
  </si>
  <si>
    <t xml:space="preserve">Window peak came early (Feb2025), declined to a Dec2025 trough, then a partial, non-sustained recovery through 2026 -- net -9.61% lands just inside the Flat band. Historical peak (58,711) was set in Feb2022, roughly 3 years before the window opens; current traffic sits 34.96% below that all-time high, signaling a longer-term structural decline that predates this study -- same pattern class as Apptega.</t>
  </si>
  <si>
    <t xml:space="preserve">ProductPlan</t>
  </si>
  <si>
    <t xml:space="preserve">Window opens already mid-decline from a historical peak set in May2024 (437,835), and traffic falls more or less continuously through 2025 to a low plateau (~241k-271k) by late 2025. ANOMALY: May2026 shows the most severe single-month cliff in the dataset to date -- traffic collapsed to 100,687 from Apr2026's 270,679 (-63% in one month), then partially bounced to 167,106 in Jun2026 (+66% off that low, but still 38% below Apr2026). Net -59.96% traffic, -60.19% traffic value -- the steepest overall decline recorded in this study so far. Strong Research Log / Pass 3 candidate given both the severity and the abrupt May2026 event.</t>
  </si>
  <si>
    <t xml:space="preserve">Canny</t>
  </si>
  <si>
    <t xml:space="preserve">Multiple oscillations through 2025 with no clear sustained trend, then a sharp spike in May2026 (35,383, near the all-time high) followed by a pullback to 23,260 in Jun2026. Net +42.27% (Grew), but the May2026 spike is doing a lot of the work -- same anomaly class as the GitLab/Wrike/Hive single-month spikes flagged earlier. Historical peak (39,862, Sep2024) predates the window by ~4 months.</t>
  </si>
  <si>
    <t xml:space="preserve">LaunchDarkly</t>
  </si>
  <si>
    <t xml:space="preserve">Flat through most of 2025 (56k-62k range) with a Dec2025 dip, then a sharp acceleration starting Jan2026 to an all-time high in Mar2026 (83,436), holding near that level through Jun2026 (R=-3.39%). Net +43.19% (Grew).</t>
  </si>
  <si>
    <t xml:space="preserve">Whatfix</t>
  </si>
  <si>
    <t xml:space="preserve">MAJOR ANOMALY -- flag for Research Log: Jul2025 traffic spiked to 990,660, over 3x the surrounding months (Jun2025: 446,575; Aug2025: 552,975) and over 16x the Jan2025 baseline (319,454). After that spike, traffic declined nearly continuously and severely through the rest of the window, collapsing to 27,947 by Jun2026 -- a -91.25% net change and -97.18% distance from the spike peak, the single steepest and most extreme pattern recorded anywhere in this study to date, larger in magnitude than the GitHub collapse. Before treating this as a genuine organic decline, this needs Pass 3 investigation -- the Jul2025 spike itself looks more like a one-time event (viral content, a tracking anomaly, or a short-lived high-volume SERP feature) than an organic baseline, and the subsequent fall could be reversion-to-baseline rather than a true collapse. Recommend a dedicated Research Log entry.</t>
  </si>
  <si>
    <t xml:space="preserve">Aha!</t>
  </si>
  <si>
    <t xml:space="preserve">Window opens at its own peak (Jan2025) and declines continuously to a Dec2025 trough, then flatlines at a much lower level (48k-62k) through 2026 with no recovery. Historical peak (165,163) was set in Mar2022, ~3 years before the window, so the window captures the later stage of a multi-year decline (R=-62.58%) -- same pattern class as Apptega/ProductPlan. SEPARATE ANOMALY: Traffic Value spiked far out of proportion to traffic in Sep-Oct2025 (501,310 and 349,056 respectively, vs. typical value of ~80k-220k on similar traffic levels elsewhere in the window), suggesting a few briefly-ranking high-CPC keywords rather than a real traffic-value relationship shift -- worth excluding from any traffic-value trend read.</t>
  </si>
  <si>
    <t xml:space="preserve">Userpilot</t>
  </si>
  <si>
    <t xml:space="preserve">Peaked Jul2025, then declined nearly continuously and severely for the remainder of the window, collapsing to a May2026 low of 25,677 before a small Jun2026 uptick to 33,153. Net -81.23% traffic, -83.54% distance from peak -- the second most severe decline recorded in this study after Whatfix. Worth a closer look in Pass 3 given the magnitude, though unlike Whatfix this looks like a sustained multi-month decline rather than a single anomalous spike, so likely a genuine (if extreme) organic decline rather than a measurement artifact.</t>
  </si>
  <si>
    <t xml:space="preserve">Glassbox</t>
  </si>
  <si>
    <t xml:space="preserve">Gradual, fairly consistent climb across the full window with only minor month-to-month dips, ending at an all-time high in Jun2026 (R=0%). Net +33.26% traffic, +36.85% traffic value -- a clean, low-volatility growth profile.</t>
  </si>
  <si>
    <t xml:space="preserve">Fullstory</t>
  </si>
  <si>
    <t xml:space="preserve">Sep 2023</t>
  </si>
  <si>
    <t xml:space="preserve">Declined through most of 2025 to a Dec2025 trough, then recovered strongly through 2026 to near its historical peak by Apr-May2026, with a slight pullback in Jun2026. Net traffic change is only +1.40% (Flat), but that masks the underlying recovery shape and a meaningful quality shift: Traffic Value rose +47.03% while raw traffic was essentially flat, suggesting Fullstory is now ranking for higher-value queries than it was a year ago. Historical peak (124,626, Sep2023) predates the window by ~2.3 years; current traffic sits only 8.32% below that all-time high.</t>
  </si>
  <si>
    <t xml:space="preserve">Mixpanel</t>
  </si>
  <si>
    <t xml:space="preserve">DATA NOTE: this CSV export did not include a Referring Domains column at all (unlike every other company in this study) -- Referring Domains fields (I/J) are left blank rather than guessed, per the no-invented-numbers rule. Traffic was roughly flat through most of 2025 (74k-88k), then jumped sharply in Nov2025 (130,274, a ~50% step up from Oct's 78,012) and held/grew from that new higher level through Jun2026 (137,293, all-time high). Unlike Whatfix's one-month spike-and-revert, this step-change has persisted for 8 months, so it reads as a real shift (content/product launch, ranking breakthrough) rather than an anomaly -- but still worth a Pass 3 check on what happened in Nov2025.</t>
  </si>
  <si>
    <t xml:space="preserve">PostHog</t>
  </si>
  <si>
    <t xml:space="preserve">Clean, nearly monotonic climb across the entire window with only minor dips, ending at an all-time high in Jun2026. Net +131.39% traffic, +391.18% referring domains -- the strongest and cleanest growth profile recorded in this vertical.</t>
  </si>
  <si>
    <t xml:space="preserve">LogRocket</t>
  </si>
  <si>
    <t xml:space="preserve">Declined from the start of the window to a Nov2025 trough, then a strong, sustained recovery through Jun2026 to a new within-window high (124,037), enough to flip the net result to Grew (+19.85%). Important long-term context: the historical peak (368,021) was set in Aug2023, nearly 3 years before the window opens, and current traffic is still 66.29% below that all-time high -- so this recovery is happening from a much lower baseline than LogRocket once had, not a return to past strength.</t>
  </si>
  <si>
    <t xml:space="preserve">Pendo</t>
  </si>
  <si>
    <t xml:space="preserve">Flat/oscillating through 2025 (37k-48k range) with a Dec2025 dip, then a sharp acceleration through 2026 to an all-time high in May2026 (72,776), holding near that level into Jun2026 (R=-7.26%). Net +64.12% (Grew) -- same late-window-surge pattern as LaunchDarkly and Vanta.</t>
  </si>
  <si>
    <t xml:space="preserve">Amplitude Analytics</t>
  </si>
  <si>
    <t xml:space="preserve">Oscillated through 2025 (decline to an Aug2025 trough, partial recovery), then accelerated through Q1-Q2 2026 to an all-time high in Apr2026 (210,195), before a real pullback to 164,467 by Jun2026 (-21.76% off peak). Net change is only +2.78% (Flat) -- the late pullback erased most of the 2026 acceleration, similar in shape to Secureframe's growth-then-pullback pattern but landing in Flat rather than Declined.</t>
  </si>
  <si>
    <t xml:space="preserve">apollo.io</t>
  </si>
  <si>
    <t xml:space="preserve">2026-06-26</t>
  </si>
  <si>
    <t xml:space="preserve">G2</t>
  </si>
  <si>
    <t xml:space="preserve">https://www.g2.com/categories/sales-engagement</t>
  </si>
  <si>
    <t xml:space="preserve">Claude (S.LAB Research)</t>
  </si>
  <si>
    <t xml:space="preserve">Yes</t>
  </si>
  <si>
    <t xml:space="preserve">AI-powered sales engagement and intelligence platform (sequencing, dialer, contact database).</t>
  </si>
  <si>
    <t xml:space="preserve">2015</t>
  </si>
  <si>
    <t xml:space="preserve">Private</t>
  </si>
  <si>
    <t xml:space="preserve">1,431</t>
  </si>
  <si>
    <t xml:space="preserve">LinkedIn (cross-checked via job postings/RocketReach), 2026-06-26 — G2 page field showed placeholder '1 employee' DataOps artifact; verified independently</t>
  </si>
  <si>
    <t xml:space="preserve">Independent</t>
  </si>
  <si>
    <t xml:space="preserve">Include</t>
  </si>
  <si>
    <t xml:space="preserve">In Progress</t>
  </si>
  <si>
    <t xml:space="preserve">Sourced from both SE and SI G2 category pages. G2 LinkedIn-employee field is a known data artifact for this company; real figure verified independently.</t>
  </si>
  <si>
    <t xml:space="preserve">Outreach</t>
  </si>
  <si>
    <t xml:space="preserve">outreach.io</t>
  </si>
  <si>
    <t xml:space="preserve">Sales engagement platform: multichannel sequencing, dialer, conversation intelligence.</t>
  </si>
  <si>
    <t xml:space="preserve">Founded year/employee count/M&amp;A status not yet verified this session — flagged for follow-up before Pass 3.</t>
  </si>
  <si>
    <t xml:space="preserve">salesloft.com</t>
  </si>
  <si>
    <t xml:space="preserve">Sales engagement platform: cadences, dialer, deal/revenue orchestration.</t>
  </si>
  <si>
    <t xml:space="preserve">Merged with Clari, Dec 2025 (inside study window). Clari's revenue-intelligence/forecasting capability was absorbed into Salesloft; Clari ceases to exist as a standalone entity. Per 2026-06-26 decision, documented here only — no separate Clari row created.</t>
  </si>
  <si>
    <t xml:space="preserve">close.com</t>
  </si>
  <si>
    <t xml:space="preserve">CRM with built-in calling/email sales engagement, aimed at SMB sales teams.</t>
  </si>
  <si>
    <t xml:space="preserve">amplemarket.com</t>
  </si>
  <si>
    <t xml:space="preserve">AI sales platform combining lead sourcing, intelligence, and multichannel outreach.</t>
  </si>
  <si>
    <t xml:space="preserve">2019</t>
  </si>
  <si>
    <t xml:space="preserve">40</t>
  </si>
  <si>
    <t xml:space="preserve">LinkedIn (cross-checked via RocketReach), 2026-06-26 — G2 page field showed placeholder '1 employee' DataOps artifact; verified independently</t>
  </si>
  <si>
    <t xml:space="preserve">G2 LinkedIn-employee field is a known data artifact for this company; real figure verified independently.</t>
  </si>
  <si>
    <t xml:space="preserve">lemlist.com</t>
  </si>
  <si>
    <t xml:space="preserve">Cold email and multichannel sales engagement / outreach automation tool.</t>
  </si>
  <si>
    <t xml:space="preserve">instantly.ai</t>
  </si>
  <si>
    <t xml:space="preserve">https://www.g2.com/categories/sales-intelligence</t>
  </si>
  <si>
    <t xml:space="preserve">Cold email outreach and deliverability platform for sales engagement.</t>
  </si>
  <si>
    <t xml:space="preserve">2021</t>
  </si>
  <si>
    <t xml:space="preserve">275</t>
  </si>
  <si>
    <t xml:space="preserve">LinkedIn (per G2), 2026-06-26</t>
  </si>
  <si>
    <t xml:space="preserve">G2's structured 'Year Founded' field showed 2001 (data-entry error); body text and independent search confirm 2021. Confirmed 'Instantly' and 'Instantly.ai' are the same company.</t>
  </si>
  <si>
    <t xml:space="preserve">getaccept.com</t>
  </si>
  <si>
    <t xml:space="preserve">Sales engagement, digital sales room, and e-signature platform.</t>
  </si>
  <si>
    <t xml:space="preserve">mixmax.com</t>
  </si>
  <si>
    <t xml:space="preserve">Sales engagement and email productivity platform.</t>
  </si>
  <si>
    <t xml:space="preserve">reply.io</t>
  </si>
  <si>
    <t xml:space="preserve">Multichannel sales engagement and outreach automation platform.</t>
  </si>
  <si>
    <t xml:space="preserve">zoominfo.com</t>
  </si>
  <si>
    <t xml:space="preserve">Go-to-market intelligence platform: contact/company data, intent signals.</t>
  </si>
  <si>
    <t xml:space="preserve">2000</t>
  </si>
  <si>
    <t xml:space="preserve">Public</t>
  </si>
  <si>
    <t xml:space="preserve">4,221</t>
  </si>
  <si>
    <t xml:space="preserve">Listed on G2 under rebranded product name 'GTM Workspace'; parent company is ZoomInfo Technologies (NASDAQ: ZI).</t>
  </si>
  <si>
    <t xml:space="preserve">cognism.com</t>
  </si>
  <si>
    <t xml:space="preserve">B2B sales intelligence platform: contact data, intent signals, compliance-focused (EU/UK).</t>
  </si>
  <si>
    <t xml:space="preserve">451</t>
  </si>
  <si>
    <t xml:space="preserve">Seamless.AI</t>
  </si>
  <si>
    <t xml:space="preserve">seamless.ai</t>
  </si>
  <si>
    <t xml:space="preserve">Real-time sales lead/contact database and prospecting intelligence platform.</t>
  </si>
  <si>
    <t xml:space="preserve">Listed on G2 as 'Seamless' (Seamless.AI). Employee count not shown in captured G2 excerpt — flagged for follow-up.</t>
  </si>
  <si>
    <t xml:space="preserve">Lusha</t>
  </si>
  <si>
    <t xml:space="preserve">lusha.com</t>
  </si>
  <si>
    <t xml:space="preserve">B2B contact and company data / sales intelligence platform.</t>
  </si>
  <si>
    <t xml:space="preserve">2016</t>
  </si>
  <si>
    <t xml:space="preserve">359-370</t>
  </si>
  <si>
    <t xml:space="preserve">LinkedIn (per G2), 2026-06-26 — range reflects minor source discrepancy</t>
  </si>
  <si>
    <t xml:space="preserve">RocketReach</t>
  </si>
  <si>
    <t xml:space="preserve">rocketreach.co</t>
  </si>
  <si>
    <t xml:space="preserve">Contact-finding and sales intelligence / prospecting database platform.</t>
  </si>
  <si>
    <t xml:space="preserve">95</t>
  </si>
  <si>
    <t xml:space="preserve">Mailshake</t>
  </si>
  <si>
    <t xml:space="preserve">mailshake.com</t>
  </si>
  <si>
    <t xml:space="preserve">Cold email outreach and sales engagement automation tool for SMB sales teams.</t>
  </si>
  <si>
    <t xml:space="preserve">Pending</t>
  </si>
  <si>
    <t xml:space="preserve">Founded year/employee count/M&amp;A status not yet verified this session — flagged for follow-up before Pass 3. Passed all Pass 1 gates; not selected for this round's top 15. Marked Pending — available for future rounds or swaps, per 2026-06-26 decision.</t>
  </si>
  <si>
    <t xml:space="preserve">Saleshandy</t>
  </si>
  <si>
    <t xml:space="preserve">saleshandy.com</t>
  </si>
  <si>
    <t xml:space="preserve">Cold email outreach and sales engagement platform with deliverability tooling.</t>
  </si>
  <si>
    <t xml:space="preserve">Wiza</t>
  </si>
  <si>
    <t xml:space="preserve">wiza.co</t>
  </si>
  <si>
    <t xml:space="preserve">LinkedIn-based contact/lead extraction and sales intelligence tool.</t>
  </si>
  <si>
    <t xml:space="preserve">53</t>
  </si>
  <si>
    <t xml:space="preserve">Passed all Pass 1 gates; not selected for this round's top 15. Marked Pending — available for future rounds or swaps, per 2026-06-26 decision.</t>
  </si>
  <si>
    <t xml:space="preserve">Skrapp.io</t>
  </si>
  <si>
    <t xml:space="preserve">skrapp.io</t>
  </si>
  <si>
    <t xml:space="preserve">Email-finding and B2B lead intelligence tool.</t>
  </si>
  <si>
    <t xml:space="preserve">14</t>
  </si>
  <si>
    <t xml:space="preserve">Prospeo.io</t>
  </si>
  <si>
    <t xml:space="preserve">prospeo.io</t>
  </si>
  <si>
    <t xml:space="preserve">Email/phone finding and verification tool for sales prospecting.</t>
  </si>
  <si>
    <t xml:space="preserve">31</t>
  </si>
  <si>
    <t xml:space="preserve">BookYourData</t>
  </si>
  <si>
    <t xml:space="preserve">bookyourdata.com</t>
  </si>
  <si>
    <t xml:space="preserve">B2B contact list and data provider for sales prospecting.</t>
  </si>
  <si>
    <t xml:space="preserve">7</t>
  </si>
  <si>
    <t xml:space="preserve">Mr. E by EasyLeadz</t>
  </si>
  <si>
    <t xml:space="preserve">easyleadz.com</t>
  </si>
  <si>
    <t xml:space="preserve">Direct-dial / contact-finding sales intelligence tool.</t>
  </si>
  <si>
    <t xml:space="preserve">33</t>
  </si>
  <si>
    <t xml:space="preserve">Revenue Grid</t>
  </si>
  <si>
    <t xml:space="preserve">revenuegrid.com</t>
  </si>
  <si>
    <t xml:space="preserve">Sales engagement and revenue intelligence / guided-selling platform.</t>
  </si>
  <si>
    <t xml:space="preserve">6sense (Sales Intelligence)</t>
  </si>
  <si>
    <t xml:space="preserve">6sense.com</t>
  </si>
  <si>
    <t xml:space="preserve">Account-based intent and sales intelligence platform.</t>
  </si>
  <si>
    <t xml:space="preserve">2013</t>
  </si>
  <si>
    <t xml:space="preserve">1,576</t>
  </si>
  <si>
    <t xml:space="preserve">Gong</t>
  </si>
  <si>
    <t xml:space="preserve">gong.io</t>
  </si>
  <si>
    <t xml:space="preserve">Revenue / conversation intelligence platform (call recording, deal insights).</t>
  </si>
  <si>
    <t xml:space="preserve">Founded year/employee count/M&amp;A status not yet verified this session — flagged for follow-up before Pass 3. Category fit borderline — conversation/revenue intelligence, adjacent to but distinct from contact-data sales intelligence (ZoomInfo/Apollo/Cognism style). Passed all Pass 1 gates; not selected for this round's top 15. Marked Pending — available for future rounds or swaps, per 2026-06-26 decision.</t>
  </si>
  <si>
    <t xml:space="preserve">Nooks</t>
  </si>
  <si>
    <t xml:space="preserve">nooks.ai</t>
  </si>
  <si>
    <t xml:space="preserve">AI-powered sales engagement: parallel dialer and virtual sales floor platform.</t>
  </si>
  <si>
    <t xml:space="preserve">Founded year/employee count/M&amp;A status not yet verified this session — flagged for follow-up before Pass 3. CONFLICT OF INTEREST FLAG: Nooks is an existing S.LAB client (case study at /case-studies/nooks-aeo). Passed all Pass 1 screening gates on the merits. Marked Pending rather than Include/Exclude per 2026-06-26 decision — requires explicit go/no-go before any use in deep-dive or comparison work.</t>
  </si>
  <si>
    <t xml:space="preserve">Agentforce Sales (Salesforce)</t>
  </si>
  <si>
    <t xml:space="preserve">salesforce.com</t>
  </si>
  <si>
    <t xml:space="preserve">AI sales agent / Sales Cloud module within the broader Salesforce CRM platform.</t>
  </si>
  <si>
    <t xml:space="preserve">Exclude</t>
  </si>
  <si>
    <t xml:space="preserve">Gate 4 fail — category fit weak. Core product is a module within Salesforce's broader CRM platform, not a standalone sales engagement product (cf. Outreach/Salesloft).</t>
  </si>
  <si>
    <t xml:space="preserve">Complete</t>
  </si>
  <si>
    <t xml:space="preserve">HubSpot Sales Hub</t>
  </si>
  <si>
    <t xml:space="preserve">hubspot.com</t>
  </si>
  <si>
    <t xml:space="preserve">Sales engagement module within HubSpot's broader marketing/sales/service suite.</t>
  </si>
  <si>
    <t xml:space="preserve">Gate 4 fail — category fit weak. Sales Hub is one module within HubSpot's broader platform, not a standalone sales engagement product.</t>
  </si>
  <si>
    <t xml:space="preserve">Zoho CRM</t>
  </si>
  <si>
    <t xml:space="preserve">zoho.com/crm</t>
  </si>
  <si>
    <t xml:space="preserve">Horizontal CRM product within the broader Zoho One business suite.</t>
  </si>
  <si>
    <t xml:space="preserve">Gate 4 fail — category fit weak. Core product is a horizontal CRM within the broader Zoho suite, not a standalone sales engagement/intelligence product.</t>
  </si>
  <si>
    <t xml:space="preserve">Bigin by Zoho CRM</t>
  </si>
  <si>
    <t xml:space="preserve">zoho.com/bigin</t>
  </si>
  <si>
    <t xml:space="preserve">Lightweight CRM product within the broader Zoho suite, aimed at small businesses.</t>
  </si>
  <si>
    <t xml:space="preserve">Gate 4 fail — category fit weak. Lightweight CRM module of the Zoho suite, not a standalone sales engagement product.</t>
  </si>
  <si>
    <t xml:space="preserve">activecampaign.com</t>
  </si>
  <si>
    <t xml:space="preserve">Email marketing automation platform with bundled CRM/sales features.</t>
  </si>
  <si>
    <t xml:space="preserve">Gate 4 fail — category fit weak. Core product is email marketing automation; sales/CRM features are a bundled add-on, not the core product.</t>
  </si>
  <si>
    <t xml:space="preserve">LinkedIn Sales Navigator</t>
  </si>
  <si>
    <t xml:space="preserve">linkedin.com</t>
  </si>
  <si>
    <t xml:space="preserve">Prospecting and sales intelligence tool bundled into the LinkedIn platform.</t>
  </si>
  <si>
    <t xml:space="preserve">2003</t>
  </si>
  <si>
    <t xml:space="preserve">Private (Microsoft-owned)</t>
  </si>
  <si>
    <t xml:space="preserve">23,847</t>
  </si>
  <si>
    <t xml:space="preserve">Acquired</t>
  </si>
  <si>
    <t xml:space="preserve">Owned by Microsoft since 2016 acquisition of LinkedIn.</t>
  </si>
  <si>
    <t xml:space="preserve">Gate 1 fail — primary business is not B2B SaaS. LinkedIn's primary business is a professional social network; Sales Navigator is one product line within a company owned by Microsoft, not a standalone B2B SaaS company.</t>
  </si>
  <si>
    <t xml:space="preserve">Microsoft Relationship Sales</t>
  </si>
  <si>
    <t xml:space="preserve">microsoft.com</t>
  </si>
  <si>
    <t xml:space="preserve">Bundled LinkedIn Sales Navigator + Dynamics 365 sales product line.</t>
  </si>
  <si>
    <t xml:space="preserve">1975</t>
  </si>
  <si>
    <t xml:space="preserve">231,632</t>
  </si>
  <si>
    <t xml:space="preserve">Gate 1 fail — primary business is not B2B SaaS. Microsoft is a diversified technology conglomerate (OS, cloud infrastructure, hardware, gaming, productivity); Relationship Sales is a bundled product line, not the company's core/primary business.</t>
  </si>
  <si>
    <t xml:space="preserve">LinkedIn Sales Insights</t>
  </si>
  <si>
    <t xml:space="preserve">Sales analytics product bundled into the LinkedIn platform; discontinued Dec 31, 2024.</t>
  </si>
  <si>
    <t xml:space="preserve">Gate 1 and Gate 3 fail — primary business not B2B SaaS (see LinkedIn Sales Navigator), and product was discontinued Dec 31, 2024, before the study window (Jan 2025–Jun 2026) began — fully inactive for the entire window.</t>
  </si>
  <si>
    <t xml:space="preserve">Per G2's own page text, product was discontinued Dec 31, 2024.</t>
  </si>
  <si>
    <t xml:space="preserve">DealHub</t>
  </si>
  <si>
    <t xml:space="preserve">dealhub.io</t>
  </si>
  <si>
    <t xml:space="preserve">CPQ (configure-price-quote) and deal management platform.</t>
  </si>
  <si>
    <t xml:space="preserve">Gate 4 fail — category fit weak. Core product is CPQ/deal management, not sales engagement or sales intelligence.</t>
  </si>
  <si>
    <t xml:space="preserve">Seismic Enablement Cloud</t>
  </si>
  <si>
    <t xml:space="preserve">seismic.com</t>
  </si>
  <si>
    <t xml:space="preserve">Sales enablement and content management platform.</t>
  </si>
  <si>
    <t xml:space="preserve">Gate 4 fail — category fit weak. Core product is sales enablement/content management, a distinct category from sales engagement (cadence/sequencing) or sales intelligence (contact/intent data).</t>
  </si>
  <si>
    <t xml:space="preserve">CaptivateIQ</t>
  </si>
  <si>
    <t xml:space="preserve">captivateiq.com</t>
  </si>
  <si>
    <t xml:space="preserve">Sales compensation / SPM (commission management) platform.</t>
  </si>
  <si>
    <t xml:space="preserve">2017</t>
  </si>
  <si>
    <t xml:space="preserve">271</t>
  </si>
  <si>
    <t xml:space="preserve">Gate 4 fail — wrong category entirely. Core product is sales compensation/SPM (commission management), not sales engagement or sales intelligence.</t>
  </si>
  <si>
    <t xml:space="preserve">D&amp;B Hoovers</t>
  </si>
  <si>
    <t xml:space="preserve">dnb.com</t>
  </si>
  <si>
    <t xml:space="preserve">Sales intelligence and business data platform (Dun &amp; Bradstreet).</t>
  </si>
  <si>
    <t xml:space="preserve">Private (post take-private)</t>
  </si>
  <si>
    <t xml:space="preserve">5,747</t>
  </si>
  <si>
    <t xml:space="preserve">Parent company Dun &amp; Bradstreet taken private by Clearlake Capital, $7.7B, deal closed Aug 26, 2025 (inside study window: Jan 2025–Jun 2026); NYSE delisting.</t>
  </si>
  <si>
    <t xml:space="preserve">Gate 2/3 fail — recent, disruptive M&amp;A event inside the study window per manual's M&amp;A treatment rule; no clean continuous ownership/attribution story available.</t>
  </si>
  <si>
    <t xml:space="preserve">G2 page lists 'Ownership: NYSE: DNB' — outdated as of Aug 2025 take-private. Verify independently if revisited.</t>
  </si>
  <si>
    <t xml:space="preserve">klaviyo.com</t>
  </si>
  <si>
    <t xml:space="preserve">https://www.g2.com/categories/marketing-automation</t>
  </si>
  <si>
    <t xml:space="preserve">Email/SMS marketing automation and customer data platform built for ecommerce brands.</t>
  </si>
  <si>
    <t xml:space="preserve">Public (NYSE: KVYO)</t>
  </si>
  <si>
    <t xml:space="preserve">Public company; IPO Sept 2023</t>
  </si>
  <si>
    <t xml:space="preserve">Acquired Gatsby (social automation), Aug 14, 2025 — Klaviyo as acquirer; not disruptive to Klaviyo itself.</t>
  </si>
  <si>
    <t xml:space="preserve">LOCKED — Marketing Automation vertical (15). Founded year and employee count not verified this session — flag for follow-up before Pass 2.</t>
  </si>
  <si>
    <t xml:space="preserve">braze.com</t>
  </si>
  <si>
    <t xml:space="preserve">Cross-channel customer engagement platform (push, email, SMS, in-app) for marketing automation.</t>
  </si>
  <si>
    <t xml:space="preserve">Public (NASDAQ: BRZE)</t>
  </si>
  <si>
    <t xml:space="preserve">Public company</t>
  </si>
  <si>
    <t xml:space="preserve">Acquired OfferFit ($325M, cash + stock), completed June 2, 2025 — Braze as acquirer; not disruptive to Braze itself.</t>
  </si>
  <si>
    <t xml:space="preserve">HubSpot Marketing Hub</t>
  </si>
  <si>
    <t xml:space="preserve">Marketing automation product line (email, landing pages, workflows, lead nurturing) within the HubSpot platform.</t>
  </si>
  <si>
    <t xml:space="preserve">Public (NYSE: HUBS)</t>
  </si>
  <si>
    <t xml:space="preserve">Part of HubSpot's broader CRM platform, but core product function matches the category (unlike Sales Hub in the Sales Engagement vertical).</t>
  </si>
  <si>
    <t xml:space="preserve">LOCKED — Marketing Automation vertical (15). Gate-4 judgment note: unlike HubSpot Sales Hub (excluded from Sales Engagement vertical as a generic CRM module), Marketing Hub's core function IS marketing automation/email — this is the company's original, namesake product line, not an adjacent bundled module. Founded year/employee count not verified this session.</t>
  </si>
  <si>
    <t xml:space="preserve">Email marketing automation and CRM platform for small and mid-sized businesses.</t>
  </si>
  <si>
    <t xml:space="preserve">LOCKED — Marketing Automation vertical (15). Cross-vertical reassignment: excluded from Sales Engagement/Sales Intelligence vertical (2026-06-26) on Gate 4 grounds because its core product is marketing automation, not sales engagement. Per user decision (one company, one best-fit category), it is included here instead, where Marketing Automation is its correct primary category. M&amp;A/employee count not verified this session — flag for follow-up before Pass 2.</t>
  </si>
  <si>
    <t xml:space="preserve">customer.io</t>
  </si>
  <si>
    <t xml:space="preserve">Customer messaging and marketing automation platform for product-led growth companies.</t>
  </si>
  <si>
    <t xml:space="preserve">$40.3M total raised across 6 rounds; $690M valuation set in 2022 Series A ($35M)</t>
  </si>
  <si>
    <t xml:space="preserve">Acquired Parcel (productivity/business software), Aug 23, 2022 — Customer.io as acquirer; not disruptive. Reported $100M ARR as of Sept 2025 (revenue metric, not funding).</t>
  </si>
  <si>
    <t xml:space="preserve">LOCKED — Marketing Automation vertical (15). Founded year/employee count not verified this session — flag for follow-up before Pass 2.</t>
  </si>
  <si>
    <t xml:space="preserve">omnisend.com</t>
  </si>
  <si>
    <t xml:space="preserve">Email and SMS marketing automation platform for ecommerce brands.</t>
  </si>
  <si>
    <t xml:space="preserve">$1.57M total raised, single round (Dec 18, 2019) — minimal external VC funding, bootstrapped-leaning</t>
  </si>
  <si>
    <t xml:space="preserve">attentive.com</t>
  </si>
  <si>
    <t xml:space="preserve">SMS and email marketing platform for ecommerce and retail brands.</t>
  </si>
  <si>
    <t xml:space="preserve">$922M total raised</t>
  </si>
  <si>
    <t xml:space="preserve">Acquired Yotpo's email and SMS marketing customer base, Aug 6, 2025 — Attentive as acquirer (Yotpo exited the category and laid off ~200 staff); not disruptive to Attentive itself.</t>
  </si>
  <si>
    <t xml:space="preserve">iterable.com</t>
  </si>
  <si>
    <t xml:space="preserve">Cross-channel customer engagement and marketing automation platform.</t>
  </si>
  <si>
    <t xml:space="preserve">867</t>
  </si>
  <si>
    <t xml:space="preserve">Tracxn (LinkedIn-sourced), as of 2026-04-30</t>
  </si>
  <si>
    <t xml:space="preserve">$343M total raised; $200M Series E, June 15, 2021</t>
  </si>
  <si>
    <t xml:space="preserve">No acquisitions made or received as of this screening.</t>
  </si>
  <si>
    <t xml:space="preserve">LOCKED — Marketing Automation vertical (15).</t>
  </si>
  <si>
    <t xml:space="preserve">brevo.com</t>
  </si>
  <si>
    <t xml:space="preserve">https://www.g2.com/categories/email-marketing</t>
  </si>
  <si>
    <t xml:space="preserve">Customer engagement platform (email, SMS, CRM) for SMBs; formerly Sendinblue, rebranded 2022.</t>
  </si>
  <si>
    <t xml:space="preserve">Private (unicorn, 2025)</t>
  </si>
  <si>
    <t xml:space="preserve">898</t>
  </si>
  <si>
    <t xml:space="preserve">€500M (~$583M) round in 2025 led by General Atlantic and Oakley Capital; valuation exceeds $1B</t>
  </si>
  <si>
    <t xml:space="preserve">Acquired Cohort, Sept 17, 2025 — Brevo as acquirer; not disruptive. Note: rebranded from "Sendinblue" to "Brevo" in 2022 — same legal entity, not an M&amp;A event.</t>
  </si>
  <si>
    <t xml:space="preserve">LOCKED — Marketing Automation vertical (15). Founded year not verified this session.</t>
  </si>
  <si>
    <t xml:space="preserve">Insider</t>
  </si>
  <si>
    <t xml:space="preserve">useinsider.com</t>
  </si>
  <si>
    <t xml:space="preserve">AI-native omnichannel customer engagement and personalization platform.</t>
  </si>
  <si>
    <t xml:space="preserve">2012</t>
  </si>
  <si>
    <t xml:space="preserve">$771M total raised; $500M Series E led by General Atlantic (Oct 2024)</t>
  </si>
  <si>
    <t xml:space="preserve">No acquisitions found.</t>
  </si>
  <si>
    <t xml:space="preserve">LOCKED — Marketing Automation vertical (15). G2 product listing name is 'Insider One'; company/brand is 'Insider' (useinsider.com). Company press materials cite ~1,100+ team members, but this is not an independently confirmed LinkedIn company-page figure — left blank pending verification rather than recording an unconfirmed number.</t>
  </si>
  <si>
    <t xml:space="preserve">clevertap.com</t>
  </si>
  <si>
    <t xml:space="preserve">Customer engagement and retention platform (push, in-app, email, web) with CDP capabilities.</t>
  </si>
  <si>
    <t xml:space="preserve">472</t>
  </si>
  <si>
    <t xml:space="preserve">Tracxn (LinkedIn-sourced), as of 2025-04-30</t>
  </si>
  <si>
    <t xml:space="preserve">$303M total raised per one source ($182M over 8 rounds per another — sources disagree, flagging both)</t>
  </si>
  <si>
    <t xml:space="preserve">Acquired Rehook.ai, Apr 15, 2025, and Leanplum (2022) — CleverTap as acquirer in both cases. ~60-70 Leanplum-origin staff laid off in 2025 during integration (operating note, not disruptive to CleverTap continuity).</t>
  </si>
  <si>
    <t xml:space="preserve">LOCKED — Marketing Automation vertical (15). Founded year not verified this session. Funding total figure disagreement between sources — disclosed, not resolved.</t>
  </si>
  <si>
    <t xml:space="preserve">getresponse.com</t>
  </si>
  <si>
    <t xml:space="preserve">Email marketing and marketing automation platform with lifecycle/CRM features.</t>
  </si>
  <si>
    <t xml:space="preserve">1998</t>
  </si>
  <si>
    <t xml:space="preserve">428</t>
  </si>
  <si>
    <t xml:space="preserve">No acquisitions found. HQ: Poland.</t>
  </si>
  <si>
    <t xml:space="preserve">LOCKED — Marketing Automation vertical (15). Sourced from both Marketing Automation and Email Marketing G2 category pages.</t>
  </si>
  <si>
    <t xml:space="preserve">contactpigeon.com</t>
  </si>
  <si>
    <t xml:space="preserve">Omnichannel customer engagement and marketing automation platform for ecommerce/retail.</t>
  </si>
  <si>
    <t xml:space="preserve">2014</t>
  </si>
  <si>
    <t xml:space="preserve">No acquisitions found. HQ: Athens, Greece (registered HQ New York, US).</t>
  </si>
  <si>
    <t xml:space="preserve">LOCKED — Marketing Automation vertical (15). Employee count sources disagreed/imprecise (e.g., "51-100" for one office location only) — left blank rather than recording an unconfirmed figure; flag for follow-up.</t>
  </si>
  <si>
    <t xml:space="preserve">MailerLite</t>
  </si>
  <si>
    <t xml:space="preserve">mailerlite.com</t>
  </si>
  <si>
    <t xml:space="preserve">Email marketing and automation platform for creators and small businesses.</t>
  </si>
  <si>
    <t xml:space="preserve">2010</t>
  </si>
  <si>
    <t xml:space="preserve">168</t>
  </si>
  <si>
    <t xml:space="preserve">No acquisitions found. HQ: San Francisco, CA (Lithuania origin).</t>
  </si>
  <si>
    <t xml:space="preserve">Flodesk</t>
  </si>
  <si>
    <t xml:space="preserve">flodesk.com</t>
  </si>
  <si>
    <t xml:space="preserve">Email marketing platform for small businesses and creators with brand-first design tools.</t>
  </si>
  <si>
    <t xml:space="preserve">2018</t>
  </si>
  <si>
    <t xml:space="preserve">88</t>
  </si>
  <si>
    <t xml:space="preserve">Bootstrapped, no external funding; $36M+ ARR, profitable since second week after launch</t>
  </si>
  <si>
    <t xml:space="preserve">No acquisitions found. HQ: San Francisco, CA.</t>
  </si>
  <si>
    <t xml:space="preserve">LOCKED — Marketing Automation vertical (15). G2 page shows a discrepancy: long-form description says 'Founded in 2019,' but the structured 'Year Founded' field says 2018 — used the structured field (2018) per established standardization practice, flagging the discrepancy.</t>
  </si>
  <si>
    <t xml:space="preserve">Bloomreach</t>
  </si>
  <si>
    <t xml:space="preserve">bloomreach.com</t>
  </si>
  <si>
    <t xml:space="preserve">Ecommerce-focused marketing automation and customer data platform with AI-driven personalization.</t>
  </si>
  <si>
    <t xml:space="preserve">2009</t>
  </si>
  <si>
    <t xml:space="preserve">$422M total raised; $2.2B valuation following $175M round led by Goldman Sachs Asset Management (2022)</t>
  </si>
  <si>
    <t xml:space="preserve">Acquired Exponea (CDP/marketing automation) and Radiance Commerce (Jan 2024) as acquirer — exact Exponea acquisition date not verified this session. No acquisitions in 2025 per available sources.</t>
  </si>
  <si>
    <t xml:space="preserve">PENDING alternate — Marketing Automation vertical. Employee count not verified this session.</t>
  </si>
  <si>
    <t xml:space="preserve">Mailchimp (Intuit Mailchimp)</t>
  </si>
  <si>
    <t xml:space="preserve">mailchimp.com</t>
  </si>
  <si>
    <t xml:space="preserve">All-in-one email marketing and marketing automation platform for small businesses.</t>
  </si>
  <si>
    <t xml:space="preserve">2001</t>
  </si>
  <si>
    <t xml:space="preserve">Private subsidiary of Intuit (public parent, NASDAQ: INTU)</t>
  </si>
  <si>
    <t xml:space="preserve">1,553</t>
  </si>
  <si>
    <t xml:space="preserve">LinkedIn (per G2, Email Marketing category listing), 2026-06-26</t>
  </si>
  <si>
    <t xml:space="preserve">Acquired (continuous)</t>
  </si>
  <si>
    <t xml:space="preserve">Acquired by Intuit — announced Sept 13, 2021 (~$12B), closed end of Jan 2022. Well before the Jan 2025 study window; continuous integration since. Per manual calibration, include-with-flag (not exclude) — pre-window, well-documented, continuous.</t>
  </si>
  <si>
    <t xml:space="preserve">Intuit's primary business is broader financial software (TurboTax, QuickBooks); Mailchimp is a major acquired, non-core product line.</t>
  </si>
  <si>
    <t xml:space="preserve">PENDING alternate — Marketing Automation vertical. Sourced from both Marketing Automation ("All-in-One Marketing Platform") and Email Marketing ("Email Marketing") G2 listings — same underlying product/company.</t>
  </si>
  <si>
    <t xml:space="preserve">Dotdigital</t>
  </si>
  <si>
    <t xml:space="preserve">dotdigital.com</t>
  </si>
  <si>
    <t xml:space="preserve">Cross-channel marketing automation platform (email, SMS, and more) for ecommerce/retail.</t>
  </si>
  <si>
    <t xml:space="preserve">1999</t>
  </si>
  <si>
    <t xml:space="preserve">Public (LSE: DOTD)</t>
  </si>
  <si>
    <t xml:space="preserve">465</t>
  </si>
  <si>
    <t xml:space="preserve">LinkedIn (per G2 Email Marketing page's structured field), 2026-06-26</t>
  </si>
  <si>
    <t xml:space="preserve">M&amp;A status not explicitly verified this session — flag for follow-up before Pass 2.</t>
  </si>
  <si>
    <t xml:space="preserve">PENDING alternate — Marketing Automation vertical. Formerly Dotmailer. Sourced from both Marketing Automation and Email Marketing G2 pages. Minor employee-count discrepancy: company's own description text says '450+', G2's structured LinkedIn field says 465 — used 465 per standard practice of trusting the structured field.</t>
  </si>
  <si>
    <t xml:space="preserve">Adobe Marketo Engage</t>
  </si>
  <si>
    <t xml:space="preserve">marketo.com</t>
  </si>
  <si>
    <t xml:space="preserve">Enterprise B2B marketing automation platform (lead management, campaign orchestration).</t>
  </si>
  <si>
    <t xml:space="preserve">Subsidiary of Adobe (public parent, NASDAQ: ADBE)</t>
  </si>
  <si>
    <t xml:space="preserve">Acquired by Adobe, Oct 31, 2018 (~$4.74B cash); Adobe itself had acquired Marketo from Vista Equity Partners (which bought it May 2016). Well before the study window; continuous integration since as "Marketo Engage" within Adobe Experience/Marketing Cloud. Per manual calibration, include-with-flag.</t>
  </si>
  <si>
    <t xml:space="preserve">Adobe's primary business is broader creative/digital-experience software; Marketo Engage is one component within Adobe Experience Cloud, though its core function is still marketing automation (Gate 4 pass).</t>
  </si>
  <si>
    <t xml:space="preserve">PENDING alternate — Marketing Automation vertical. Founded year and employee count not verified this session.</t>
  </si>
  <si>
    <t xml:space="preserve">Agentforce Marketing (Salesforce Marketing Cloud)</t>
  </si>
  <si>
    <t xml:space="preserve">Enterprise marketing automation and cross-channel engagement platform; renamed from "Salesforce Marketing Cloud" to "Agentforce Marketing" in 2025.</t>
  </si>
  <si>
    <t xml:space="preserve">Subsidiary product of Salesforce (public parent, NYSE: CRM)</t>
  </si>
  <si>
    <t xml:space="preserve">No ownership change — internal product rebrand announced at Dreamforce 2025 (part of Salesforce dropping the "Cloud" naming convention fleet-wide in favor of "Agentforce"). Underlying product traces to the ExactTarget acquisition (2013), well before the study window.</t>
  </si>
  <si>
    <t xml:space="preserve">Salesforce's primary business is broad CRM platform; Agentforce Marketing is one of several Agentforce-branded product lines, though its core function is still marketing automation (Gate 4 pass).</t>
  </si>
  <si>
    <t xml:space="preserve">PENDING alternate — Marketing Automation vertical. Founded year and employee count not verified this session. 2025 rebrand is a renaming, not an M&amp;A event.</t>
  </si>
  <si>
    <t xml:space="preserve">engagebay.com</t>
  </si>
  <si>
    <t xml:space="preserve">All-in-one marketing, sales, and support CRM software for small businesses.</t>
  </si>
  <si>
    <t xml:space="preserve">Private, bootstrapped</t>
  </si>
  <si>
    <t xml:space="preserve">28</t>
  </si>
  <si>
    <t xml:space="preserve">As of 2025-07-31 (source citing company-reported headcount; down 41% YoY)</t>
  </si>
  <si>
    <t xml:space="preserve">No external funding reported</t>
  </si>
  <si>
    <t xml:space="preserve">PENDING alternate — Marketing Automation vertical. Headcount decline noted as an operating trend; not a gate factor since employee count is metadata-only per manual V1.1.</t>
  </si>
  <si>
    <t xml:space="preserve">Constant Contact</t>
  </si>
  <si>
    <t xml:space="preserve">constantcontact.com</t>
  </si>
  <si>
    <t xml:space="preserve">Email marketing and digital marketing platform for small businesses.</t>
  </si>
  <si>
    <t xml:space="preserve">1995</t>
  </si>
  <si>
    <t xml:space="preserve">Private, PE-owned (Clearlake Capital Group)</t>
  </si>
  <si>
    <t xml:space="preserve">1,147</t>
  </si>
  <si>
    <t xml:space="preserve">New Clearlake-managed strategic investment closed Oct 7, 2025 (capital raise, not ownership change)</t>
  </si>
  <si>
    <t xml:space="preserve">Independent (continuous PE ownership)</t>
  </si>
  <si>
    <t xml:space="preserve">Majority-owned by Clearlake Capital since early 2024; previously a Clearlake/Siris Capital joint venture spun out of Endurance International Group in 2021 — continuous ownership, not a disruptive event inside the window. Acquired Moosend, June 6, 2025, as acquirer (see Moosend exclusion row).</t>
  </si>
  <si>
    <t xml:space="preserve">PENDING alternate — Marketing Automation vertical.</t>
  </si>
  <si>
    <t xml:space="preserve">Sender.net</t>
  </si>
  <si>
    <t xml:space="preserve">sender.net</t>
  </si>
  <si>
    <t xml:space="preserve">Email and SMS marketing automation platform for small businesses.</t>
  </si>
  <si>
    <t xml:space="preserve">30</t>
  </si>
  <si>
    <t xml:space="preserve">PENDING alternate — Marketing Automation vertical. HQ: Vilnius, Lithuania.</t>
  </si>
  <si>
    <t xml:space="preserve">Levitate</t>
  </si>
  <si>
    <t xml:space="preserve">levitate.ai</t>
  </si>
  <si>
    <t xml:space="preserve">Relationship-marketing platform for small businesses (personalized email/SMS at scale, client engagement).</t>
  </si>
  <si>
    <t xml:space="preserve">432</t>
  </si>
  <si>
    <t xml:space="preserve">PENDING alternate — Marketing Automation vertical. Founded by Jesse Lipson (creator of ShareFile). HQ: Raleigh, NC.</t>
  </si>
  <si>
    <t xml:space="preserve">Systeme.io</t>
  </si>
  <si>
    <t xml:space="preserve">systeme.io</t>
  </si>
  <si>
    <t xml:space="preserve">All-in-one online business platform (funnels, email marketing, courses) for entrepreneurs.</t>
  </si>
  <si>
    <t xml:space="preserve">217</t>
  </si>
  <si>
    <t xml:space="preserve">PENDING alternate — Marketing Automation vertical. HQ: Dublin (Tyrrelstown).</t>
  </si>
  <si>
    <t xml:space="preserve">Zoho Campaigns</t>
  </si>
  <si>
    <t xml:space="preserve">zoho.com/campaigns</t>
  </si>
  <si>
    <t xml:space="preserve">Email marketing and automation product within the Zoho suite.</t>
  </si>
  <si>
    <t xml:space="preserve">1996</t>
  </si>
  <si>
    <t xml:space="preserve">Private (Zoho Corp — bootstrapped, never raised VC, never acquired)</t>
  </si>
  <si>
    <t xml:space="preserve">30,766</t>
  </si>
  <si>
    <t xml:space="preserve">LinkedIn (per G2), 2026-06-26 — company-wide Zoho Corp figure, NOT specific to the Campaigns product</t>
  </si>
  <si>
    <t xml:space="preserve">No acquisitions found for Zoho Corp.</t>
  </si>
  <si>
    <t xml:space="preserve">Zoho Campaigns is one of dozens of products in Zoho's broad horizontal SaaS suite — flagging for Pass 2 category-fit judgment given how large/diversified the parent suite is.</t>
  </si>
  <si>
    <t xml:space="preserve">PENDING alternate — Marketing Automation vertical. Employee count is a known parent-company-wide figure, not product-specific — same data-confound pattern flagged elsewhere in this project.</t>
  </si>
  <si>
    <t xml:space="preserve">Netcore Cloud (Customer Engagement Platform)</t>
  </si>
  <si>
    <t xml:space="preserve">netcorecloud.com</t>
  </si>
  <si>
    <t xml:space="preserve">AI-powered customer engagement and marketing platform (email, push, in-app, WhatsApp).</t>
  </si>
  <si>
    <t xml:space="preserve">Not verified this session — flag for follow-up before Pass 2.</t>
  </si>
  <si>
    <t xml:space="preserve">PENDING alternate — Marketing Automation vertical. Consolidated entry: G2 separately lists 'Netcore Customer Engagement Platform' (Marketing Automation page) and 'Netcore Email API' (Email Marketing page) as separate product pages under the same parent company (Netcore Cloud, formerly Netcore Smartech) — kept as one candidate; see Netcore Email API exclusion row.</t>
  </si>
  <si>
    <t xml:space="preserve">Evam</t>
  </si>
  <si>
    <t xml:space="preserve">evam.com</t>
  </si>
  <si>
    <t xml:space="preserve">Uncertain — Gate 1 concern</t>
  </si>
  <si>
    <t xml:space="preserve">Real-time, cross-channel customer engagement/martech platform; clients include Vodafone, T-Mobile, Turkcell, ING Bank, Garanti BBVA.</t>
  </si>
  <si>
    <t xml:space="preserve">FLAGGED for user decision — Marketing Automation vertical. Gate 1 ambiguity: serves telecom/banking enterprise clients at carrier/bank scale, which is more characteristic of licensed enterprise software or systems-integration-style deployment than confirmed self-serve multi-tenant SaaS. Not enough evidence gathered this session to confirm or rule out B2B SaaS classification — recommend exclude on Gate 1 caution pending confirmation, per standing 'ask if unsure' rule.</t>
  </si>
  <si>
    <t xml:space="preserve">Zapier</t>
  </si>
  <si>
    <t xml:space="preserve">zapier.com</t>
  </si>
  <si>
    <t xml:space="preserve">Workflow/iPaaS automation platform connecting apps via triggers and actions.</t>
  </si>
  <si>
    <t xml:space="preserve">Gate 4 fail — wrong category entirely. Core product is workflow/iPaaS automation connecting apps, not marketing automation or email marketing software, even though marketers use it adjacently.</t>
  </si>
  <si>
    <t xml:space="preserve">Pipedrive</t>
  </si>
  <si>
    <t xml:space="preserve">pipedrive.com</t>
  </si>
  <si>
    <t xml:space="preserve">Sales CRM with customizable pipelines, used by sales teams to close deals.</t>
  </si>
  <si>
    <t xml:space="preserve">1,045</t>
  </si>
  <si>
    <t xml:space="preserve">Gate 4 fail — wrong category entirely. Core product is CRM/sales pipeline management, not email marketing software, despite appearing on G2's Email Marketing category page.</t>
  </si>
  <si>
    <t xml:space="preserve">HQ: New York.</t>
  </si>
  <si>
    <t xml:space="preserve">GMass</t>
  </si>
  <si>
    <t xml:space="preserve">gmass.co</t>
  </si>
  <si>
    <t xml:space="preserve">Gmail-based mail-merge and cold-outreach automation tool (follow-up sequences, deliverability testing).</t>
  </si>
  <si>
    <t xml:space="preserve">12</t>
  </si>
  <si>
    <t xml:space="preserve">Gate 4 fail — better category fit elsewhere. Core function (Gmail-based mail merge, cold-outreach follow-up sequences) matches the Sales Engagement/cold-outreach category (same use case as Instantly/lemlist), not marketing-team email marketing software. Not screened against the Sales Engagement vertical, which is already closed.</t>
  </si>
  <si>
    <t xml:space="preserve">HQ: Chicago, IL.</t>
  </si>
  <si>
    <t xml:space="preserve">Success.ai</t>
  </si>
  <si>
    <t xml:space="preserve">success.ai</t>
  </si>
  <si>
    <t xml:space="preserve">B2B lead-generation and cold email outreach platform (700M+ contact database, email warm-up, AI writer).</t>
  </si>
  <si>
    <t xml:space="preserve">87</t>
  </si>
  <si>
    <t xml:space="preserve">Gate 4 fail — better category fit elsewhere. Explicitly positioned for B2B lead generation and cold email outreach by sales teams — same category as Instantly/lemlist (Sales Engagement, already a closed vertical), not marketing-team email marketing software.</t>
  </si>
  <si>
    <t xml:space="preserve">HQ: Sheridan, WY.</t>
  </si>
  <si>
    <t xml:space="preserve">Sendpilot AI</t>
  </si>
  <si>
    <t xml:space="preserve">sendpilot.ai</t>
  </si>
  <si>
    <t xml:space="preserve">LinkedIn outreach and revenue-management tool (sequence builder, LinkedIn lead database).</t>
  </si>
  <si>
    <t xml:space="preserve">Gate 4 fail — wrong category. Core product is a LinkedIn outreach/sales-engagement tool, not marketing automation or email marketing software. Appears to be a G2 miscategorization/cross-listing.</t>
  </si>
  <si>
    <t xml:space="preserve">Comarch Marketing Automation</t>
  </si>
  <si>
    <t xml:space="preserve">comarch.com</t>
  </si>
  <si>
    <t xml:space="preserve">No</t>
  </si>
  <si>
    <t xml:space="preserve">Marketing automation module within Comarch, a diversified IT solutions provider and systems integrator.</t>
  </si>
  <si>
    <t xml:space="preserve">Gate 1 fail — parent’s primary business is not B2B SaaS. Comarch operates as a diversified IT solutions provider/systems integrator across telecom, banking, ERP, and public-sector verticals, combining SaaS, PaaS, IaaS, and consulting/systems-integration services rather than operating primarily as a B2B SaaS company.</t>
  </si>
  <si>
    <t xml:space="preserve">Birdeye</t>
  </si>
  <si>
    <t xml:space="preserve">birdeye.com</t>
  </si>
  <si>
    <t xml:space="preserve">Reputation and review management platform for multi-location brands, with bundled marketing automation features.</t>
  </si>
  <si>
    <t xml:space="preserve">Gate 4 fail — category fit weak. Core/foundational product is online reputation and review management; marketing automation is a secondary capability layered onto that core, not the product's primary function.</t>
  </si>
  <si>
    <t xml:space="preserve">Instantly</t>
  </si>
  <si>
    <t xml:space="preserve">Cold email outreach platform with sending infrastructure and AI-assisted campaigns.</t>
  </si>
  <si>
    <t xml:space="preserve">Already locked to the Sales Engagement/Sales Intelligence vertical per the 2026-06-26 user decision: one company, one best-fit category. Not double-counted here even though it appears on G2’s Email Marketing category page.</t>
  </si>
  <si>
    <t xml:space="preserve">G2 structured "Year Founded" field shows 2001 — known recurring data error for this company; actual founding year is 2021 (confirmed independently in the Sales Engagement vertical screening).</t>
  </si>
  <si>
    <t xml:space="preserve">lemlist</t>
  </si>
  <si>
    <t xml:space="preserve">Cold email and multichannel outreach platform for sales teams.</t>
  </si>
  <si>
    <t xml:space="preserve">245</t>
  </si>
  <si>
    <t xml:space="preserve">Founded year (2018) newly verified via this G2 page — fills a gap left blank in the already-written Sales Engagement Pass 1 Archive row for lemlist; consider backfilling that row.</t>
  </si>
  <si>
    <t xml:space="preserve">Moosend</t>
  </si>
  <si>
    <t xml:space="preserve">moosend.com</t>
  </si>
  <si>
    <t xml:space="preserve">Email marketing and automation platform, now owned by Constant Contact.</t>
  </si>
  <si>
    <t xml:space="preserve">LinkedIn (per G2) — this is Constant Contact’s (the acquirer’s) company-wide figure, not Moosend-specific</t>
  </si>
  <si>
    <t xml:space="preserve">Acquired (recent, in-window)</t>
  </si>
  <si>
    <t xml:space="preserve">Acquired by Constant Contact, June 6, 2025 (from Sitecore) — inside the Jan 2025–Jun 2026 study window.</t>
  </si>
  <si>
    <t xml:space="preserve">Gate 2/3 fail — recent, disruptive M&amp;A event inside the study window. Acquired by Constant Contact, June 6, 2025. Per the manual's M&amp;A calibration default, recent acquisitions inside the window lean toward exclude; Constant Contact (the acquirer) is retained in the pool as the surviving entity.</t>
  </si>
  <si>
    <t xml:space="preserve">Netcore Email API</t>
  </si>
  <si>
    <t xml:space="preserve">netcorecloud.com/email/email-api</t>
  </si>
  <si>
    <t xml:space="preserve">Cloud-based transactional/marketing email delivery API, a product of Netcore Cloud.</t>
  </si>
  <si>
    <t xml:space="preserve">Duplicate listing — same parent company/product family as Netcore Customer Engagement Platform (Netcore Cloud), which is retained as the consolidated candidate. Email API is one channel/component within Netcore’s broader engagement platform, not a separately screened company.</t>
  </si>
  <si>
    <t xml:space="preserve">gainsight.com</t>
  </si>
  <si>
    <t xml:space="preserve">Customer success and product experience platform for B2B SaaS companies managing renewals, expansion, and onboarding at scale.</t>
  </si>
  <si>
    <t xml:space="preserve">Locked (Pass 2)</t>
  </si>
  <si>
    <t xml:space="preserve">BACKFILL — Customer Success vertical (13, locked in Pass 2/Company Tracker). Original Pass 1 gate-screening data (founded year, employee count, funding status, M&amp;A detail, ICP/buying motion) predates the current Pass 1 Archive schema and was not preserved in this workbook. Operating manual V1.2 addendum confirms 13 as the finalized count. Founded year, employee count, funding, and M&amp;A status left blank — verify before Deep Dive selection.</t>
  </si>
  <si>
    <t xml:space="preserve">planhat.com</t>
  </si>
  <si>
    <t xml:space="preserve">Customer success platform combining health scoring, customer data hub, and revenue analytics for B2B SaaS teams.</t>
  </si>
  <si>
    <t xml:space="preserve">clientsuccess.com</t>
  </si>
  <si>
    <t xml:space="preserve">Customer success management software focused on health scoring, onboarding, and renewal/expansion tracking for SaaS companies.</t>
  </si>
  <si>
    <t xml:space="preserve">vitally.io</t>
  </si>
  <si>
    <t xml:space="preserve">Customer success platform built on a customer data hub, combining health scoring, workflows, and analytics for B2B SaaS teams.</t>
  </si>
  <si>
    <t xml:space="preserve">custify.com</t>
  </si>
  <si>
    <t xml:space="preserve">Customer success platform for SaaS companies, providing health scores, automated playbooks, and churn-risk alerts.</t>
  </si>
  <si>
    <t xml:space="preserve">akitaapp.com</t>
  </si>
  <si>
    <t xml:space="preserve">Customer success management platform offering health scoring and customer data integration for SaaS businesses; Dublin-headquartered.</t>
  </si>
  <si>
    <t xml:space="preserve">kapta.com</t>
  </si>
  <si>
    <t xml:space="preserve">Key account management and customer success software for B2B teams focused on retention and expansion of existing accounts.</t>
  </si>
  <si>
    <t xml:space="preserve">churnzero.com</t>
  </si>
  <si>
    <t xml:space="preserve">Customer success and growth platform providing health scoring, automated engagement, and renewal/upsell workflows for subscription businesses.</t>
  </si>
  <si>
    <t xml:space="preserve">userguiding.com</t>
  </si>
  <si>
    <t xml:space="preserve">No-code product adoption and user onboarding platform used by customer success and product teams to drive activation.</t>
  </si>
  <si>
    <t xml:space="preserve">velaris.io</t>
  </si>
  <si>
    <t xml:space="preserve">AI-native customer success platform for mid-market and enterprise B2B SaaS teams, covering health scoring, onboarding, renewals, and expansion.</t>
  </si>
  <si>
    <t xml:space="preserve">rocketlane.com</t>
  </si>
  <si>
    <t xml:space="preserve">Customer onboarding and professional services automation platform used by customer success and implementation teams.</t>
  </si>
  <si>
    <t xml:space="preserve">higherlogic.com</t>
  </si>
  <si>
    <t xml:space="preserve">Online community and customer engagement software (including Higher Logic Vanilla) used by customer success teams for self-service and retention.</t>
  </si>
  <si>
    <t xml:space="preserve">everafter.ai</t>
  </si>
  <si>
    <t xml:space="preserve">AI-powered digital customer success platform providing a shared customer-facing workspace for onboarding, adoption, and renewal preparation.</t>
  </si>
  <si>
    <t xml:space="preserve">rippling.com</t>
  </si>
  <si>
    <t xml:space="preserve">https://www.g2.com/categories/core-hr</t>
  </si>
  <si>
    <t xml:space="preserve">Unified HR, IT, and finance platform (payroll, benefits, device management, spend) for businesses managing global workforces.</t>
  </si>
  <si>
    <t xml:space="preserve">LeadIQ/Tracxn aggregate, May 2026 (third-party estimate, not directly verified)</t>
  </si>
  <si>
    <t xml:space="preserve">Private; VC-backed, recent rounds valued company above $16B (exact current total raised not independently verified this session)</t>
  </si>
  <si>
    <t xml:space="preserve">No M&amp;A this study window.</t>
  </si>
  <si>
    <t xml:space="preserve">Customer Success-style verification depth applied (LinkedIn/Crunchbase/Tracxn aggregates via web search, June 2026). HR/People Operations vertical (15, locked). Employee counts vary across third-party aggregators for several candidates (flagged per-row) — treat as directional, not precise, until independently re-verified via LinkedIn directly.</t>
  </si>
  <si>
    <t xml:space="preserve">bamboohr.com</t>
  </si>
  <si>
    <t xml:space="preserve">HR software for small and midsize businesses covering hiring, onboarding, employee records, and culture/performance tools.</t>
  </si>
  <si>
    <t xml:space="preserve">Tracxn/Crunchbase aggregate, May 2026</t>
  </si>
  <si>
    <t xml:space="preserve">Private; sources vary (bootstrapped historically, also reported $125M round in 2024 at $2.5B valuation) — total raised not independently verified this session</t>
  </si>
  <si>
    <t xml:space="preserve">gusto.com</t>
  </si>
  <si>
    <t xml:space="preserve">Payroll, benefits, and HR platform built for small and midsize businesses.</t>
  </si>
  <si>
    <t xml:space="preserve">Tracxn/Growjo aggregate, 2026</t>
  </si>
  <si>
    <t xml:space="preserve">Private; ~$746M total raised; completed $200M+ tender offer June 2025 at $9.3B valuation</t>
  </si>
  <si>
    <t xml:space="preserve">hibob.com</t>
  </si>
  <si>
    <t xml:space="preserve">HRIS platform ("Bob") for mid-market companies, covering people data, performance, compensation, and engagement.</t>
  </si>
  <si>
    <t xml:space="preserve">Private; ~$574M total raised; $2.5B valuation (2023, $150M Series D)</t>
  </si>
  <si>
    <t xml:space="preserve">paylocity.com</t>
  </si>
  <si>
    <t xml:space="preserve">Cloud HR and payroll software platform for midsize organizations, including talent, workforce management, and benefits.</t>
  </si>
  <si>
    <t xml:space="preserve">Public (NASDAQ: PCTY)</t>
  </si>
  <si>
    <t xml:space="preserve">Company-reported aggregate, 2026</t>
  </si>
  <si>
    <t xml:space="preserve">Public company; IPO 2014</t>
  </si>
  <si>
    <t xml:space="preserve">deel.com</t>
  </si>
  <si>
    <t xml:space="preserve">Global payroll, HR, and Employer-of-Record (EOR) platform for hiring and paying international teams.</t>
  </si>
  <si>
    <t xml:space="preserve">Tracxn aggregate, May 2026</t>
  </si>
  <si>
    <t xml:space="preserve">Private; ~$982M total raised; $17.3B valuation (Oct 2025, $300M Series E)</t>
  </si>
  <si>
    <t xml:space="preserve">No M&amp;A this study window; active acquirer of smaller tools (does not affect own domain stability).</t>
  </si>
  <si>
    <t xml:space="preserve">keka.com</t>
  </si>
  <si>
    <t xml:space="preserve">HR, payroll, and performance management software for mid-market companies, primarily in India.</t>
  </si>
  <si>
    <t xml:space="preserve">Sources vary 886-1,241 across LinkedIn/Tracxn/EasyLeadz, 2025-2026 — not independently verified to a single figure</t>
  </si>
  <si>
    <t xml:space="preserve">Private; reported ~$59.2M raised (incl. WestBridge Capital); also reported as largely bootstrapped/revenue-funded ($85.9M ARR per Latka)</t>
  </si>
  <si>
    <t xml:space="preserve">trinet.com</t>
  </si>
  <si>
    <t xml:space="preserve">Professional Employer Organization (PEO) providing HR, payroll, benefits, and risk management for small and midsize businesses.</t>
  </si>
  <si>
    <t xml:space="preserve">Public (NYSE: TNET)</t>
  </si>
  <si>
    <t xml:space="preserve">Not verified this session — public filings would have exact headcount</t>
  </si>
  <si>
    <t xml:space="preserve">remote.com</t>
  </si>
  <si>
    <t xml:space="preserve">Global HR platform offering Employer-of-Record, global payroll, and contractor management for distributed teams.</t>
  </si>
  <si>
    <t xml:space="preserve">Tracxn aggregate, 2026 (other sources report up to 14,569 — range not reconciled)</t>
  </si>
  <si>
    <t xml:space="preserve">Private; ~$506M total raised; $3B valuation (Series C, April 2022)</t>
  </si>
  <si>
    <t xml:space="preserve">No M&amp;A this study window; active acquirer of smaller tools (Atlas, Jan 2026; Bravas, Apr 2026) — does not affect own domain stability but may add inorganic traffic; note for Pass 2 interpretation.</t>
  </si>
  <si>
    <t xml:space="preserve">greytHR</t>
  </si>
  <si>
    <t xml:space="preserve">greythr.com</t>
  </si>
  <si>
    <t xml:space="preserve">HR, payroll, and compliance software (Greytip Software) for small and midsize businesses, primarily in India.</t>
  </si>
  <si>
    <t xml:space="preserve">Tracxn/ZoomInfo aggregate, 2025-2026 (range 785-1,000 across sources)</t>
  </si>
  <si>
    <t xml:space="preserve">Private; majority stake acquired by Apax Digital Funds, Aug 2024</t>
  </si>
  <si>
    <t xml:space="preserve">Stable post-acquisition (no reported leadership churn or layoffs)</t>
  </si>
  <si>
    <t xml:space="preserve">Apax Digital Funds acquired 52.1% majority stake, Aug 5 2024 — ~5 months before study window opened (Jan 2025). Framed publicly as growth investment, not distress; no reported leadership disruption. Lower confidence than a clean no-M&amp;A comp — flag for review before Deep Dive selection.</t>
  </si>
  <si>
    <t xml:space="preserve">justworks.com</t>
  </si>
  <si>
    <t xml:space="preserve">PEO and payroll platform for small and midsize businesses, including benefits administration and compliance support.</t>
  </si>
  <si>
    <t xml:space="preserve">Tracxn aggregate, 2026</t>
  </si>
  <si>
    <t xml:space="preserve">Private; filed S-1 for Nasdaq listing ("JW") but IPO not confirmed completed as of this session — verify before Deep Dive</t>
  </si>
  <si>
    <t xml:space="preserve">workday.com</t>
  </si>
  <si>
    <t xml:space="preserve">Enterprise human capital management (HCM) and financial management cloud platform.</t>
  </si>
  <si>
    <t xml:space="preserve">Public (NASDAQ: WDAY)</t>
  </si>
  <si>
    <t xml:space="preserve">Company-reported aggregate, 2026 (company-wide headcount, not HCM-product-specific)</t>
  </si>
  <si>
    <t xml:space="preserve">Public company; IPO 2012 (NYSE), moved to NASDAQ 2017</t>
  </si>
  <si>
    <t xml:space="preserve">Personio</t>
  </si>
  <si>
    <t xml:space="preserve">personio.com</t>
  </si>
  <si>
    <t xml:space="preserve">HR platform for small and midsize businesses in Europe, covering recruiting, onboarding, payroll prep, and performance.</t>
  </si>
  <si>
    <t xml:space="preserve">Tracxn/Growjo aggregate, 2026 (range 1,738-2,100 across sources)</t>
  </si>
  <si>
    <t xml:space="preserve">Private; ~$571-772M total raised (sources vary); $8.5B valuation (2022)</t>
  </si>
  <si>
    <t xml:space="preserve">Multiplier</t>
  </si>
  <si>
    <t xml:space="preserve">usemultiplier.com</t>
  </si>
  <si>
    <t xml:space="preserve">Global employment platform (EOR, COR, PEO, global payroll) for hiring and paying international teams.</t>
  </si>
  <si>
    <t xml:space="preserve">Tracxn aggregate, Mar 2026 (other sources report far lower figures, 104-509 — range not reconciled)</t>
  </si>
  <si>
    <t xml:space="preserve">Private; ~$77-82M total raised; $400M valuation (Series B, March 2022)</t>
  </si>
  <si>
    <t xml:space="preserve">No M&amp;A this study window; active acquirer of smaller tools (e.g., Oxygen Advisors, Apr 2026) — does not affect own domain stability but may add inorganic traffic; note for Pass 2 interpretation.</t>
  </si>
  <si>
    <t xml:space="preserve">UKG Ready</t>
  </si>
  <si>
    <t xml:space="preserve">ukg.com</t>
  </si>
  <si>
    <t xml:space="preserve">Cloud HR, payroll, and workforce management suite for small and midsize organizations (UKG's SMB/mid-market product line).</t>
  </si>
  <si>
    <t xml:space="preserve">Private (PE-backed: Hellman &amp; Friedman, Blackstone)</t>
  </si>
  <si>
    <t xml:space="preserve">Company-reported aggregate, 2026 (whole-company headcount, not UKG Ready-specific)</t>
  </si>
  <si>
    <t xml:space="preserve">Private, PE-backed; formed via merger of Ultimate Software (f. 1990) + Kronos (f. 1977), April 1 2020</t>
  </si>
  <si>
    <t xml:space="preserve">Stable since 2020 merger, well before study window</t>
  </si>
  <si>
    <t xml:space="preserve">UKG Pro is the same parent company's enterprise product line — excluded as a duplicate to avoid double-counting one company. No M&amp;A this study window.</t>
  </si>
  <si>
    <t xml:space="preserve">Zendesk for Customer Service</t>
  </si>
  <si>
    <t xml:space="preserve">zendesk.com</t>
  </si>
  <si>
    <t xml:space="preserve">https://www.g2.com/categories/help-desk</t>
  </si>
  <si>
    <t xml:space="preserve">Customer service/ticketing platform for external support teams.</t>
  </si>
  <si>
    <t xml:space="preserve">Private (PE-owned: Hellman &amp; Friedman/Permira)</t>
  </si>
  <si>
    <t xml:space="preserve">6,000+ employees at time of 2022 buyout; more recent figure not independently confirmed (flagged variance).</t>
  </si>
  <si>
    <t xml:space="preserve">WebSearch cross-source check, 2026-06-26 (see notes for variance flags)</t>
  </si>
  <si>
    <t xml:space="preserve">Founded 2007. Acquired by Hellman &amp; Friedman/Permira consortium for $10.2B, completed Nov 22 2022 (before study window). No reported leadership churn or service disruption since; flagged lower confidence per manual's pre-window M&amp;A precedent.</t>
  </si>
  <si>
    <t xml:space="preserve">Acquired by H&amp;F/Permira consortium, Nov 2022 (pre-window)</t>
  </si>
  <si>
    <t xml:space="preserve">External customer-support scope only (IT/ITSM and CCaaS/voice tools excluded per user decision). Founded-year/employee precision flagged as cross-source variance in multiple cases per standing accuracy rule — recommend Pass 2 LinkedIn confirmation.</t>
  </si>
  <si>
    <t xml:space="preserve">freshdesk.com</t>
  </si>
  <si>
    <t xml:space="preserve">Cloud-based customer support ticketing and help desk software.</t>
  </si>
  <si>
    <t xml:space="preserve">Public (NASDAQ: FRSH, parent Freshworks)</t>
  </si>
  <si>
    <t xml:space="preserve">~4,500 employees (Freshworks company-wide; Freshdesk-specific headcount not separately reported).</t>
  </si>
  <si>
    <t xml:space="preserve">Founded 2010 (as Freshdesk, parent Freshworks). Freshworks is publicly traded (NASDAQ: FRSH), IPO 2021. No M&amp;A activity affecting Freshdesk during study window.</t>
  </si>
  <si>
    <t xml:space="preserve">None reported</t>
  </si>
  <si>
    <t xml:space="preserve">Kustomer</t>
  </si>
  <si>
    <t xml:space="preserve">kustomer.com</t>
  </si>
  <si>
    <t xml:space="preserve">AI-centric customer service CRM platform for support teams.</t>
  </si>
  <si>
    <t xml:space="preserve">Private (independent, VC-backed)</t>
  </si>
  <si>
    <t xml:space="preserve">Employee count not independently confirmed via LinkedIn this pass (flagged for Pass 2).</t>
  </si>
  <si>
    <t xml:space="preserve">Founded 2015. Acquired by Meta for ~$1B (deal closed Feb 2022), then spun off by Meta in 2023 (pre-window) with $60M investment from Redpoint/Battery/Boldstart; raised $30M Series B (2025) led by Norwest. No disruption reported since spinoff; independent again.</t>
  </si>
  <si>
    <t xml:space="preserve">Spun off by Meta, 2023 (pre-window); no M&amp;A during window</t>
  </si>
  <si>
    <t xml:space="preserve">front.com</t>
  </si>
  <si>
    <t xml:space="preserve">Shared inbox and customer communication platform for support teams.</t>
  </si>
  <si>
    <t xml:space="preserve">~540 employees (as of May 2026, per third-party tracker; flagged variance across sources).</t>
  </si>
  <si>
    <t xml:space="preserve">Founded 2013. Series D, $204M total raised, $1.7B valuation. No M&amp;A activity reported.</t>
  </si>
  <si>
    <t xml:space="preserve">Gladly</t>
  </si>
  <si>
    <t xml:space="preserve">gladly.com</t>
  </si>
  <si>
    <t xml:space="preserve">AI-powered customer service platform built around a unified customer timeline.</t>
  </si>
  <si>
    <t xml:space="preserve">~231-238 employees (cross-source variance flagged).</t>
  </si>
  <si>
    <t xml:space="preserve">Founded 2014. Series E ($40M, Sep 2024) led by AXA Venture Partners/Notable Capital. Gladly itself acquired Thankful (July 2023, pre-window) — Gladly was the acquirer, not acquired; no change-of-control for Gladly.</t>
  </si>
  <si>
    <t xml:space="preserve">Gladly acquired Thankful, July 2023 (Gladly unaffected as acquirer)</t>
  </si>
  <si>
    <t xml:space="preserve">sprinklr.com</t>
  </si>
  <si>
    <t xml:space="preserve">AI-powered CCaaS/customer service suite within Sprinklr's Unified-CXM platform.</t>
  </si>
  <si>
    <t xml:space="preserve">Public (NYSE: CXM)</t>
  </si>
  <si>
    <t xml:space="preserve">~4,343 employees company-wide (Service-specific headcount not separately reported).</t>
  </si>
  <si>
    <t xml:space="preserve">Founded 2009. Publicly traded NYSE: CXM, IPO June 2021. Service is one of four core product suites (Service, Marketing, Insights, Social) under Sprinklr's Unified-CXM platform — not a non-core asset, as CXM/customer service is Sprinklr's primary business identity.</t>
  </si>
  <si>
    <t xml:space="preserve">sobot.io</t>
  </si>
  <si>
    <t xml:space="preserve">Omnichannel AI contact center and customer service software.</t>
  </si>
  <si>
    <t xml:space="preserve">~97 employees (cross-source range 51-100; flagged variance).</t>
  </si>
  <si>
    <t xml:space="preserve">Founded 2012 (one source cites 2014 — flagged variance). HQ Singapore. $205M total raised over 8 rounds; latest round Series D, Feb 2022. No M&amp;A activity reported.</t>
  </si>
  <si>
    <t xml:space="preserve">bolddesk.com</t>
  </si>
  <si>
    <t xml:space="preserve">Cloud-based help desk software for customer support ticketing.</t>
  </si>
  <si>
    <t xml:space="preserve">Private (Syncfusion product)</t>
  </si>
  <si>
    <t xml:space="preserve">Not independently reported (operates under Syncfusion; product-specific headcount unavailable).</t>
  </si>
  <si>
    <t xml:space="preserve">Launched by Syncfusion as a dedicated help desk product line. Dual-use: marketed for both customer support and IT departments (flagged — borderline scope fit, included as primarily customer-support-positioned). No independent M&amp;A history (operates as a Syncfusion product, not a separate acquired entity).</t>
  </si>
  <si>
    <t xml:space="preserve">N/A — organic product launch, not acquired</t>
  </si>
  <si>
    <t xml:space="preserve">hiverhq.com</t>
  </si>
  <si>
    <t xml:space="preserve">Gmail-native customer service and shared-inbox helpdesk platform.</t>
  </si>
  <si>
    <t xml:space="preserve">~210 employees.</t>
  </si>
  <si>
    <t xml:space="preserve">Founded 2011 (originally Grexit). $46.2M total raised; most recent activity $4M debt financing from Mars Growth Capital, Aug 2025. No equity M&amp;A activity reported.</t>
  </si>
  <si>
    <t xml:space="preserve">All-in-one CRM/marketing/sales/service suite for small businesses, including helpdesk module.</t>
  </si>
  <si>
    <t xml:space="preserve">Private (bootstrapped)</t>
  </si>
  <si>
    <t xml:space="preserve">75-76 employees (cross-source variance flagged).</t>
  </si>
  <si>
    <t xml:space="preserve">Founded 2018. Bootstrapped/self-funded — no outside VC funding raised. No M&amp;A activity reported.</t>
  </si>
  <si>
    <t xml:space="preserve">gorgias.com</t>
  </si>
  <si>
    <t xml:space="preserve">Conversational AI customer service and sales platform for ecommerce.</t>
  </si>
  <si>
    <t xml:space="preserve">300-500 employees (cross-source variance flagged — 300 as of May 2024, 500 per a more recent but less-verified source).</t>
  </si>
  <si>
    <t xml:space="preserve">Founded 2015. $104M total raised over 9 rounds; investors include Shopify, Techstars. No M&amp;A activity reported.</t>
  </si>
  <si>
    <t xml:space="preserve">liveagent.com</t>
  </si>
  <si>
    <t xml:space="preserve">Multichannel help desk and live chat software.</t>
  </si>
  <si>
    <t xml:space="preserve">101-250 employees (range per Crunchbase).</t>
  </si>
  <si>
    <t xml:space="preserve">Parent company Quality Unit s.r.o., founded 2004 (LiveAgent product launched 2006). No M&amp;A activity reported.</t>
  </si>
  <si>
    <t xml:space="preserve">helpscout.com</t>
  </si>
  <si>
    <t xml:space="preserve">Email-centric help desk software focused on simple, human customer support.</t>
  </si>
  <si>
    <t xml:space="preserve">140-292 employees (significant cross-source variance flagged — recommend Pass 2 LinkedIn verification).</t>
  </si>
  <si>
    <t xml:space="preserve">Founded 2011. $14.1M-$52.9M total raised depending on source (flagged variance). No M&amp;A activity reported. Recent leadership change: Toby Gabriner joined as CEO (date not independently confirmed).</t>
  </si>
  <si>
    <t xml:space="preserve">HappyFox</t>
  </si>
  <si>
    <t xml:space="preserve">happyfox.com</t>
  </si>
  <si>
    <t xml:space="preserve">Help desk software with workflow automation and project-management features.</t>
  </si>
  <si>
    <t xml:space="preserve">85-152 employees (cross-source variance flagged).</t>
  </si>
  <si>
    <t xml:space="preserve">Founded 2011. No outside funding disclosed; revenue range $10-25M suggests bootstrapped/profitable growth. No M&amp;A activity reported. Launched HappyFox Autopilot (agentic AI) Nov 2025.</t>
  </si>
  <si>
    <t xml:space="preserve">teamsupport.com</t>
  </si>
  <si>
    <t xml:space="preserve">B2B-focused customer support and ticketing software.</t>
  </si>
  <si>
    <t xml:space="preserve">Private (Level Equity minority investor)</t>
  </si>
  <si>
    <t xml:space="preserve">66-73 employees (cross-source variance flagged).</t>
  </si>
  <si>
    <t xml:space="preserve">Founded 2008. Received minority growth investment from Level Equity (sources conflict on date: one indicates 2018, another suggests an Aug 2025 announcement — flagged for Pass 2 verification; Level Equity's stated approach is minority/non-controlling, so no change-of-control regardless). Acquired SnapEngage (smaller bolt-on, omnichannel chat) — date not independently confirmed.</t>
  </si>
  <si>
    <t xml:space="preserve">Minority growth investment from Level Equity (date disputed across sources — flagged); acquired SnapEngage (bolt-on)</t>
  </si>
  <si>
    <t xml:space="preserve">bill.com</t>
  </si>
  <si>
    <t xml:space="preserve">https://www.g2.com/categories/spend-management</t>
  </si>
  <si>
    <t xml:space="preserve">Corporate card and spend management platform (formerly Divvy) operated by BILL Holdings.</t>
  </si>
  <si>
    <t xml:space="preserve">Public (NYSE: BILL)</t>
  </si>
  <si>
    <t xml:space="preserve">BILL Holdings overall is large (public company, FY25 revenue $1.5B); Divvy-specific headcount not separately disclosed.</t>
  </si>
  <si>
    <t xml:space="preserve">WebSearch cross-source check, 2026-06-26 (see notes for variance/blank flags)</t>
  </si>
  <si>
    <t xml:space="preserve">Acquired by Bill.com (now BILL Holdings) for ~$2.5B, announced May 2021 — well before study window, no reported integration disruption.</t>
  </si>
  <si>
    <t xml:space="preserve">Pre-window M&amp;A (2021), no disruption reported. FLAG: BILL Holdings announced workforce reductions and a leadership team overhaul in May 2026 (within study window) — this is a parent-company event, not an M&amp;A/domain event for the Divvy/Spend &amp; Expense product itself, but recommend Pass 2 traffic check given the timing.</t>
  </si>
  <si>
    <t xml:space="preserve">Parent-level May 2026 layoffs/leadership overhaul flagged for Pass 2 confidence check (not a gating exclusion under current criteria — no M&amp;A event).</t>
  </si>
  <si>
    <t xml:space="preserve">ramp.com</t>
  </si>
  <si>
    <t xml:space="preserve">Corporate card and spend management platform for businesses.</t>
  </si>
  <si>
    <t xml:space="preserve">Private (no acquisitions; intends eventual IPO per CEO statements, $44B valuation as of June 2026)</t>
  </si>
  <si>
    <t xml:space="preserve">2,403 employees (as of May 2026).</t>
  </si>
  <si>
    <t xml:space="preserve">No acquisitions of or by Ramp identified in window.</t>
  </si>
  <si>
    <t xml:space="preserve">Stable, independent.</t>
  </si>
  <si>
    <t xml:space="preserve">No additional flags beyond standard cross-source caveats.</t>
  </si>
  <si>
    <t xml:space="preserve">navan.com</t>
  </si>
  <si>
    <t xml:space="preserve">Corporate travel and expense/spend management platform.</t>
  </si>
  <si>
    <t xml:space="preserve">Public (NYSE; IPO priced Oct 31, 2025)</t>
  </si>
  <si>
    <t xml:space="preserve">3,409 employees (as of April 2026).</t>
  </si>
  <si>
    <t xml:space="preserve">No acquisition of Navan itself. Navan acquired Tripeur (India) in April 2023 — pre-window, smaller bolt-on.</t>
  </si>
  <si>
    <t xml:space="preserve">FLAG: Navan IPO'd Oct 30, 2025 — inside study window. IPOs can drive atypical traffic spikes; recommend Pass 2 review of traffic trajectory around the IPO date before treating any post-IPO traffic shift as organic-search-driven.</t>
  </si>
  <si>
    <t xml:space="preserve">Recent IPO (Oct 2025) inside study window — flagged for Pass 2 traffic-trajectory interpretation, not excluded under current M&amp;A-only gating criteria.</t>
  </si>
  <si>
    <t xml:space="preserve">Payhawk</t>
  </si>
  <si>
    <t xml:space="preserve">payhawk.com</t>
  </si>
  <si>
    <t xml:space="preserve">Spend and expense management platform with corporate cards.</t>
  </si>
  <si>
    <t xml:space="preserve">Private ($1B+ valuation since 2022; reportedly in talks for a new round at ~$2B valuation as of Jan 2026)</t>
  </si>
  <si>
    <t xml:space="preserve">462 employees (as of Feb 2026).</t>
  </si>
  <si>
    <t xml:space="preserve">No acquisition of Payhawk identified. Company has stated M&amp;A ambitions to acquire smaller startups, but no completed acquisitions confirmed in window.</t>
  </si>
  <si>
    <t xml:space="preserve">pleo.io</t>
  </si>
  <si>
    <t xml:space="preserve">Spend management platform with virtual/physical corporate cards.</t>
  </si>
  <si>
    <t xml:space="preserve">Private ($4.7B valuation since 2021 round)</t>
  </si>
  <si>
    <t xml:space="preserve">945 employees (as of May 2026).</t>
  </si>
  <si>
    <t xml:space="preserve">No acquisitions of or by Pleo identified.</t>
  </si>
  <si>
    <t xml:space="preserve">Teampay</t>
  </si>
  <si>
    <t xml:space="preserve">teampay.co</t>
  </si>
  <si>
    <t xml:space="preserve">Purchasing and spend management platform for mid-market businesses.</t>
  </si>
  <si>
    <t xml:space="preserve">Private (subsidiary of Paystand)</t>
  </si>
  <si>
    <t xml:space="preserve">20 employees (as of March 2026) — small headcount relative to other candidates, flagged for confidence.</t>
  </si>
  <si>
    <t xml:space="preserve">Acquired by Paystand, announced April 25, 2024 — before study window (Jan 2025-Jun 2026), no reported disruption.</t>
  </si>
  <si>
    <t xml:space="preserve">Pre-window M&amp;A (2024), no disruption reported. Include per Gate 2/3 with lower-confidence flag (per established precedent for pre-window, undisrupted M&amp;A).</t>
  </si>
  <si>
    <t xml:space="preserve">Pre-window acquisition by Paystand (Apr 2024) — included with lower-confidence flag per precedent; very small headcount (20) relative to peers, flagged for Pass 2 scrutiny.</t>
  </si>
  <si>
    <t xml:space="preserve">spendhound.com</t>
  </si>
  <si>
    <t xml:space="preserve">SaaS spend management and vendor pricing-benchmark platform.</t>
  </si>
  <si>
    <t xml:space="preserve">Private (described as backed by/affiliated with YipitData, Carlyle, and Norwest Venture Partners — exact corporate structure, e.g. subsidiary vs. portfolio company, not fully disambiguated by sources)</t>
  </si>
  <si>
    <t xml:space="preserve">Not independently confirmed via WebSearch — left blank per accuracy rule; recommend Pass 2 LinkedIn verification.</t>
  </si>
  <si>
    <t xml:space="preserve">No acquisition of SpendHound itself identified.</t>
  </si>
  <si>
    <t xml:space="preserve">Ownership structure (YipitData/Carlyle/Norwest) not fully disambiguated — flagged for Pass 2.</t>
  </si>
  <si>
    <t xml:space="preserve">Founded 2023 — newest company in this vertical's locked set; ownership structure ambiguity flagged, not treated as non-core-asset exclusion since no parent company with a differently-focused core business was confirmed.</t>
  </si>
  <si>
    <t xml:space="preserve">Alaan</t>
  </si>
  <si>
    <t xml:space="preserve">alaan.com</t>
  </si>
  <si>
    <t xml:space="preserve">AI-powered corporate card and spend management platform (UAE/MENA-focused).</t>
  </si>
  <si>
    <t xml:space="preserve">Private (Series A, $48M raised Aug 2025, led by Peak XV Partners)</t>
  </si>
  <si>
    <t xml:space="preserve">307 employees (as of May 2026).</t>
  </si>
  <si>
    <t xml:space="preserve">No acquisitions of or by Alaan identified.</t>
  </si>
  <si>
    <t xml:space="preserve">MENA-region-focused candidate, included for geographic/ICP diversity within the vertical.</t>
  </si>
  <si>
    <t xml:space="preserve">coastpay.com</t>
  </si>
  <si>
    <t xml:space="preserve">Fleet and field expense card and spend management platform.</t>
  </si>
  <si>
    <t xml:space="preserve">Private (Series B, $40M raised Jan 2026 led by ICONIQ Growth)</t>
  </si>
  <si>
    <t xml:space="preserve">Most recent confirmed figure is 14 employees as of Dec 2022 — clearly stale given subsequent funding rounds ($92M in 2024, $40M Series B Jan 2026); current headcount not independently confirmed, left blank rather than guessed.</t>
  </si>
  <si>
    <t xml:space="preserve">No acquisitions of or by Coast identified.</t>
  </si>
  <si>
    <t xml:space="preserve">Employee count figure available (14, as of Dec 2022) is stale/unreliable given 2024-2026 funding growth — flagged for mandatory Pass 2 re-verification rather than treated as current.</t>
  </si>
  <si>
    <t xml:space="preserve">paywithextend.com</t>
  </si>
  <si>
    <t xml:space="preserve">Virtual card issuance and spend management platform for businesses.</t>
  </si>
  <si>
    <t xml:space="preserve">Private ($88.8M raised total; latest venture debt round Sept 2025)</t>
  </si>
  <si>
    <t xml:space="preserve">Employee count not independently confirmed via WebSearch — left blank; recommend Pass 2 verification.</t>
  </si>
  <si>
    <t xml:space="preserve">No acquisitions of or by Extend identified.</t>
  </si>
  <si>
    <t xml:space="preserve">Slash</t>
  </si>
  <si>
    <t xml:space="preserve">slash.com</t>
  </si>
  <si>
    <t xml:space="preserve">Business banking and spend management platform for small/mid-sized businesses.</t>
  </si>
  <si>
    <t xml:space="preserve">Private (Series C, $100M raised, $1.4B valuation, led by Ribbit Capital, 2026)</t>
  </si>
  <si>
    <t xml:space="preserve">35 employees as of the May 2025 Series B — likely understated given subsequent Series C/unicorn growth; current figure not independently confirmed, flagged rather than guessed.</t>
  </si>
  <si>
    <t xml:space="preserve">No acquisitions of or by Slash identified.</t>
  </si>
  <si>
    <t xml:space="preserve">Employee figure (35) is from May 2025 and likely outdated given the company's rapid 2025-2026 growth trajectory — flagged for mandatory Pass 2 re-verification.</t>
  </si>
  <si>
    <t xml:space="preserve">getmoss.com</t>
  </si>
  <si>
    <t xml:space="preserve">Spend management platform (corporate cards, AP, reimbursements) for mid-sized companies.</t>
  </si>
  <si>
    <t xml:space="preserve">Private (raised $148M total; latest round Series B, June 2024)</t>
  </si>
  <si>
    <t xml:space="preserve">Estimated 250-500 employees (range, not point figure) — left as a range per source rather than invented precision.</t>
  </si>
  <si>
    <t xml:space="preserve">No acquisitions of or by Moss identified in window.</t>
  </si>
  <si>
    <t xml:space="preserve">Founding year not independently confirmed via WebSearch — left blank rather than guessed; recommend Pass 2 verification.</t>
  </si>
  <si>
    <t xml:space="preserve">qonto.com</t>
  </si>
  <si>
    <t xml:space="preserve">Business banking and spend/expense management platform for SMEs and freelancers (France/EU).</t>
  </si>
  <si>
    <t xml:space="preserve">Private ($717M total raised; filed for French banking license July 2025)</t>
  </si>
  <si>
    <t xml:space="preserve">2,317 employees (as of April 2026).</t>
  </si>
  <si>
    <t xml:space="preserve">No acquisition of Qonto itself. Qonto acquired Acasi (smaller bolt-on) in May 2026 and Penta (German fintech) in a prior year — both as acquirer, not acquiree.</t>
  </si>
  <si>
    <t xml:space="preserve">Stable, independent (acquirer in both cases, not acquiree — no domain-stability concern for Qonto itself).</t>
  </si>
  <si>
    <t xml:space="preserve">corpay.com</t>
  </si>
  <si>
    <t xml:space="preserve">End-to-end spend management platform (corporate cards, AP automation, supplier payments) operated by Corpay, Inc.</t>
  </si>
  <si>
    <t xml:space="preserve">Public (NYSE: CPAY) — parent company Corpay, Inc., formerly FLEETCOR (rebranded March 2024, pre-window, name change only, not an M&amp;A event)</t>
  </si>
  <si>
    <t xml:space="preserve">Corpay, Inc. overall headcount not independently confirmed via WebSearch for this product line specifically — left blank; parent is a large public company.</t>
  </si>
  <si>
    <t xml:space="preserve">No acquisition of Corpay itself in window. Corpay Complete product launched Jan 23, 2024 (pre-window) as an internal build, not an acquisition.</t>
  </si>
  <si>
    <t xml:space="preserve">Parent company is public, stable, and large; Corpay Complete is a flagship product directly within Corpay's core payments/spend-management business (unlike non-core-asset exclusions such as SAP Ariba or Salesforce Service Cloud, where the parent's core business is in a different category).</t>
  </si>
  <si>
    <t xml:space="preserve">Considered for non-core-asset gate but NOT excluded: Corpay's core business is corporate payments/spend management itself, so Corpay Complete is a core product line, not a minor feature of a differently-focused parent.</t>
  </si>
  <si>
    <t xml:space="preserve">procurify.com</t>
  </si>
  <si>
    <t xml:space="preserve">Procurement and intelligent spend management platform.</t>
  </si>
  <si>
    <t xml:space="preserve">Private (Series C, ~$82.5-103M total raised across sources — cross-source variance flagged)</t>
  </si>
  <si>
    <t xml:space="preserve">164 employees (as of Feb 2026).</t>
  </si>
  <si>
    <t xml:space="preserve">No acquisitions of or by Procurify identified.</t>
  </si>
  <si>
    <t xml:space="preserve">Total-raised figure varies across sources ($82.5M vs. $103M) — flagged as cross-source variance per standing accuracy rule rather than picking one figure.</t>
  </si>
  <si>
    <t xml:space="preserve">Jira</t>
  </si>
  <si>
    <t xml:space="preserve">atlassian.com</t>
  </si>
  <si>
    <t xml:space="preserve">https://www.g2.com/categories/project-management</t>
  </si>
  <si>
    <t xml:space="preserve">Agile project/issue tracking software for software and cross-functional teams, made by Atlassian.</t>
  </si>
  <si>
    <t xml:space="preserve">Public (NASDAQ: TEAM, parent Atlassian)</t>
  </si>
  <si>
    <t xml:space="preserve">Atlassian overall is large (public company); Jira-specific headcount not separately disclosed.</t>
  </si>
  <si>
    <t xml:space="preserve">No acquisition of Jira/Atlassian identified in window.</t>
  </si>
  <si>
    <t xml:space="preserve">CROSS-VERTICAL FLAG: Jira is also a candidate for the Developer Tools/DevOps vertical (#8, not yet sourced). Locking it here under Project Management per G2's #1 ranking in this category — exclude from the Dev Tools/DevOps pool when sourced to avoid double-counting the same company twice.</t>
  </si>
  <si>
    <t xml:space="preserve">asana.com</t>
  </si>
  <si>
    <t xml:space="preserve">Work and project management platform for teams.</t>
  </si>
  <si>
    <t xml:space="preserve">Public (NYSE: ASAN)</t>
  </si>
  <si>
    <t xml:space="preserve">Employee count not independently re-confirmed this session — recommend Pass 2 verification.</t>
  </si>
  <si>
    <t xml:space="preserve">No acquisition of Asana identified in window.</t>
  </si>
  <si>
    <t xml:space="preserve">monday.com</t>
  </si>
  <si>
    <t xml:space="preserve">Work operating system / project management platform.</t>
  </si>
  <si>
    <t xml:space="preserve">Public (NASDAQ: MNDY)</t>
  </si>
  <si>
    <t xml:space="preserve">No acquisition of monday.com identified in window.</t>
  </si>
  <si>
    <t xml:space="preserve">notion.so</t>
  </si>
  <si>
    <t xml:space="preserve">All-in-one workspace combining notes, docs, wikis, and project/task management.</t>
  </si>
  <si>
    <t xml:space="preserve">Private ($11B valuation per Dec 2025 tender)</t>
  </si>
  <si>
    <t xml:space="preserve">Employee counts vary widely by source (roughly 800-6,000+ depending on source/methodology) — flagged as cross-source variance rather than picking one figure.</t>
  </si>
  <si>
    <t xml:space="preserve">No acquisition of Notion itself. Notion acquired Embra (smaller AI company) in Jan 2026 — Notion as acquirer, not acquiree.</t>
  </si>
  <si>
    <t xml:space="preserve">Stable, independent (acquirer, not acquiree — no domain-stability concern).</t>
  </si>
  <si>
    <t xml:space="preserve">Employee count cross-source variance is unusually wide for this candidate — flagged for mandatory Pass 2 verification rather than treated as settled.</t>
  </si>
  <si>
    <t xml:space="preserve">ClickUp</t>
  </si>
  <si>
    <t xml:space="preserve">clickup.com</t>
  </si>
  <si>
    <t xml:space="preserve">All-in-one productivity and project management platform.</t>
  </si>
  <si>
    <t xml:space="preserve">Private ($4B valuation as of 2025; IPO reportedly being considered for 2026 per industry reporting, not yet confirmed/filed)</t>
  </si>
  <si>
    <t xml:space="preserve">Approximately 1,500 employees as of 2026 (down from ~2,000 in 2024 after workforce reductions).</t>
  </si>
  <si>
    <t xml:space="preserve">No acquisition of ClickUp itself. ClickUp acquired Codegen (AI coding platform) in Dec 2025 — ClickUp as acquirer, not acquiree.</t>
  </si>
  <si>
    <t xml:space="preserve">Stable, independent (acquirer, not acquiree).</t>
  </si>
  <si>
    <t xml:space="preserve">FLAG: ClickUp announced workforce reductions of ~22% in May 2026 (within study window), following an earlier ~10% reduction in 2023 — recommend Pass 2 traffic-trajectory check around this date, parallel to the BILL Holdings flag in the Finance/Spend Management vertical.</t>
  </si>
  <si>
    <t xml:space="preserve">airtable.com</t>
  </si>
  <si>
    <t xml:space="preserve">No-code database/spreadsheet-hybrid platform with project and workflow management use cases.</t>
  </si>
  <si>
    <t xml:space="preserve">Private (last funding valuation $11.6B per company's Jan 2026 letter; some secondary-market estimates as low as ~$4B as of late 2025 — flagged as a notable valuation-source discrepancy)</t>
  </si>
  <si>
    <t xml:space="preserve">936-947 employees (as of 2026, sources broadly agree).</t>
  </si>
  <si>
    <t xml:space="preserve">No acquisition of Airtable identified in window.</t>
  </si>
  <si>
    <t xml:space="preserve">Valuation figures vary sharply by source ($4B vs. $11.6B) — flagged as cross-source variance; does not affect inclusion decision.</t>
  </si>
  <si>
    <t xml:space="preserve">wrike.com</t>
  </si>
  <si>
    <t xml:space="preserve">Enterprise work management and project collaboration platform.</t>
  </si>
  <si>
    <t xml:space="preserve">Private (majority owner: Symphony Technology Group, since July 2023)</t>
  </si>
  <si>
    <t xml:space="preserve">No acquisition of Wrike in window. Pre-window ownership history: Vista Equity (2018) -&gt; Citrix (2021) -&gt; Citrix taken private by Vista/Elliott (2022) -&gt; spun out to Symphony Technology Group (July 2023, pre-window).</t>
  </si>
  <si>
    <t xml:space="preserve">Multiple pre-window ownership changes, all settled by July 2023 (before study window begins); no M&amp;A activity during the window itself.</t>
  </si>
  <si>
    <t xml:space="preserve">Notably volatile pre-window ownership history (3 changes in ~5 years) — flagged for awareness, included per Gate 2/3 since the most recent change (July 2023) is well before the window and no further disruption is reported during it.</t>
  </si>
  <si>
    <t xml:space="preserve">quickbase.com</t>
  </si>
  <si>
    <t xml:space="preserve">No-code application development platform with project/work management use cases.</t>
  </si>
  <si>
    <t xml:space="preserve">Private (majority owner: Vista Equity Partners since Jan 2019, minority: Welsh, Carson, Anderson &amp; Stowe)</t>
  </si>
  <si>
    <t xml:space="preserve">No acquisition of Quickbase in window; ownership stable since 2019 (pre-window).</t>
  </si>
  <si>
    <t xml:space="preserve">Stable under long-standing PE ownership, no in-window disruption.</t>
  </si>
  <si>
    <t xml:space="preserve">PE-majority-owned since 2019 but NOT treated as a non-core-asset exclusion: Quickbase itself is the core product/platform (unlike e.g. SAP Ariba or Salesforce Service Cloud, which are minor lines within differently-focused operating companies).</t>
  </si>
  <si>
    <t xml:space="preserve">celoxis.com</t>
  </si>
  <si>
    <t xml:space="preserve">Project management and PPO (project portfolio/PMO) software for mid-sized and enterprise teams.</t>
  </si>
  <si>
    <t xml:space="preserve">Private (bootstrapped/profitable since founding, per company history; no institutional funding rounds identified)</t>
  </si>
  <si>
    <t xml:space="preserve">48-51 employees (as of Feb-Jul 2025).</t>
  </si>
  <si>
    <t xml:space="preserve">No acquisitions of or by Celoxis identified.</t>
  </si>
  <si>
    <t xml:space="preserve">Smallest headcount among the locked 15 in this vertical — flagged for awareness, not excluded (meets B2B SaaS and category-fit criteria).</t>
  </si>
  <si>
    <t xml:space="preserve">basecamp.com</t>
  </si>
  <si>
    <t xml:space="preserve">Project management and team communication software, made by 37signals.</t>
  </si>
  <si>
    <t xml:space="preserve">Private (founder-owned; Jeff Bezos holds a long-standing minority stake via Bezos Expeditions since 2006, not an operating parent)</t>
  </si>
  <si>
    <t xml:space="preserve">Approximately 171 employees (as of 2026).</t>
  </si>
  <si>
    <t xml:space="preserve">No acquisition of Basecamp/37signals identified in window.</t>
  </si>
  <si>
    <t xml:space="preserve">Backlog</t>
  </si>
  <si>
    <t xml:space="preserve">backlog.com</t>
  </si>
  <si>
    <t xml:space="preserve">Project management and issue-tracking tool for software development teams, made by Nulab.</t>
  </si>
  <si>
    <t xml:space="preserve">Public (Tokyo Stock Exchange: 5033, IPO'd June 2022 — pre-window)</t>
  </si>
  <si>
    <t xml:space="preserve">131 employees (parent company Nulab, as of Jan 2026).</t>
  </si>
  <si>
    <t xml:space="preserve">No acquisition of Nulab/Backlog identified in window.</t>
  </si>
  <si>
    <t xml:space="preserve">Stable, independent; pre-window IPO with no reported disruption.</t>
  </si>
  <si>
    <t xml:space="preserve">morningmate</t>
  </si>
  <si>
    <t xml:space="preserve">morningmate.com</t>
  </si>
  <si>
    <t xml:space="preserve">Work management and team collaboration platform, strong in the South Korean market.</t>
  </si>
  <si>
    <t xml:space="preserve">Not confirmed (presumed private; no public-listing evidence found)</t>
  </si>
  <si>
    <t xml:space="preserve">Founding year, employee count, and funding details not independently confirmed via WebSearch — left blank rather than guessed; recommend Pass 2 verification.</t>
  </si>
  <si>
    <t xml:space="preserve">No acquisition identified, but verification was limited — recommend Pass 2 confirmation.</t>
  </si>
  <si>
    <t xml:space="preserve">Data availability for this candidate was thin relative to other candidates in this vertical.</t>
  </si>
  <si>
    <t xml:space="preserve">Lowest data-confidence candidate in this vertical's locked 15 — founding year, headcount, funding, and public/private status could not be independently confirmed this session; flagged as a priority for Pass 2 verification before any deep-dive work.</t>
  </si>
  <si>
    <t xml:space="preserve">teamwork.com</t>
  </si>
  <si>
    <t xml:space="preserve">Project management and client-work platform, headquartered in Ireland.</t>
  </si>
  <si>
    <t xml:space="preserve">Private (investors include Bregal Milestone, Afia Capital, Delta-v Capital; ~$100M raised total)</t>
  </si>
  <si>
    <t xml:space="preserve">200 employees.</t>
  </si>
  <si>
    <t xml:space="preserve">No acquisition of Teamwork.com identified in window.</t>
  </si>
  <si>
    <t xml:space="preserve">Note: not to be confused with 'Teamworks' (a different, larger sports-technology company) — verified this is the distinct Teamwork.com PM software entity.</t>
  </si>
  <si>
    <t xml:space="preserve">hive.com</t>
  </si>
  <si>
    <t xml:space="preserve">Productivity and project management platform with collaboration tools.</t>
  </si>
  <si>
    <t xml:space="preserve">Private ($26.7M raised; investors include Zoom Communications, Comcast Ventures, Valor Equity Partners)</t>
  </si>
  <si>
    <t xml:space="preserve">69 employees.</t>
  </si>
  <si>
    <t xml:space="preserve">No acquisition of Hive identified in window.</t>
  </si>
  <si>
    <t xml:space="preserve">float.com</t>
  </si>
  <si>
    <t xml:space="preserve">Resource scheduling and capacity-planning software for project teams.</t>
  </si>
  <si>
    <t xml:space="preserve">Private (self-funded/profitable per company statements; B Corp certified March 2024; no institutional funding rounds identified)</t>
  </si>
  <si>
    <t xml:space="preserve">45-62 employees (sources vary slightly).</t>
  </si>
  <si>
    <t xml:space="preserve">No acquisitions of or by Float identified.</t>
  </si>
  <si>
    <t xml:space="preserve">github.com</t>
  </si>
  <si>
    <t xml:space="preserve">2026-06-27</t>
  </si>
  <si>
    <t xml:space="preserve">https://www.g2.com/categories/devops-platforms; https://www.g2.com/categories/continuous-integration; https://www.g2.com/categories/source-code-management</t>
  </si>
  <si>
    <t xml:space="preserve">Git repository hosting and developer collaboration platform (CI/CD via Actions), owned by Microsoft.</t>
  </si>
  <si>
    <t xml:space="preserve">Private (Microsoft subsidiary)</t>
  </si>
  <si>
    <t xml:space="preserve">Not separately disclosed by Microsoft; flag.</t>
  </si>
  <si>
    <t xml:space="preserve">WebSearch cross-source check, 2026-06-27 (see notes for variance/blank flags)</t>
  </si>
  <si>
    <t xml:space="preserve">Acquired by Microsoft for $7.5B, closed Oct 2018 — well before study window, no reported disruption. Retains distinct brand/product identity; developer tools are a core Microsoft business line, not a non-core asset.</t>
  </si>
  <si>
    <t xml:space="preserve">No additional flags beyond Microsoft-subsidiary headcount opacity.</t>
  </si>
  <si>
    <t xml:space="preserve">gitlab.com</t>
  </si>
  <si>
    <t xml:space="preserve">DevSecOps platform combining source control, CI/CD, and security scanning in a single application.</t>
  </si>
  <si>
    <t xml:space="preserve">Public (NASDAQ: GTLB)</t>
  </si>
  <si>
    <t xml:space="preserve">~3,473 (Unify, May 2026) vs. ~2,375 (PitchBook) — sources disagree, flagged.</t>
  </si>
  <si>
    <t xml:space="preserve">Independent, no acquisition.</t>
  </si>
  <si>
    <t xml:space="preserve">FLAG: ~14% workforce reduction and exit from 22 countries announced June 2026 (within study window) as part of 'agentic era' restructuring — parent-level layoff event, not M&amp;A; recommend Pass 2 traffic confidence check given timing.</t>
  </si>
  <si>
    <t xml:space="preserve">jfrog.com</t>
  </si>
  <si>
    <t xml:space="preserve">Artifact management and software supply chain security platform (Artifactory, Xray).</t>
  </si>
  <si>
    <t xml:space="preserve">Public (NASDAQ: FROG)</t>
  </si>
  <si>
    <t xml:space="preserve">~2,364 (May 2026).</t>
  </si>
  <si>
    <t xml:space="preserve">Independent. JFrog acquired Qwak (AI platform), June 2024 — pre-window, JFrog as acquirer not target, no disruption.</t>
  </si>
  <si>
    <t xml:space="preserve">No additional flags.</t>
  </si>
  <si>
    <t xml:space="preserve">circleci.com</t>
  </si>
  <si>
    <t xml:space="preserve">Cloud-based continuous integration and delivery (CI/CD) platform.</t>
  </si>
  <si>
    <t xml:space="preserve">~358 (April 2026).</t>
  </si>
  <si>
    <t xml:space="preserve">Independent. Unconfirmed market speculation that CircleCI is 'for sale' circulating in employee reviews — no confirmed deal found; not treated as M&amp;A event per standing accuracy rule.</t>
  </si>
  <si>
    <t xml:space="preserve">Total raised $316M over 7 rounds. Recommend Pass 2 monitoring given for-sale speculation, though unconfirmed.</t>
  </si>
  <si>
    <t xml:space="preserve">harness.io</t>
  </si>
  <si>
    <t xml:space="preserve">Software delivery platform spanning CI/CD, feature flags, and cloud cost management.</t>
  </si>
  <si>
    <t xml:space="preserve">Not independently confirmed this session; flag.</t>
  </si>
  <si>
    <t xml:space="preserve">Independent. Series E closed Dec 11, 2025 ($240M raise, $5.5B valuation, up from $3.7B in 2022) — funding event, not M&amp;A. Harness acquired Qwiet AI, Sept 2025 (Harness as acquirer, not target).</t>
  </si>
  <si>
    <t xml:space="preserve">Total raised $614M over 14 rounds.</t>
  </si>
  <si>
    <t xml:space="preserve">cloudbees.com</t>
  </si>
  <si>
    <t xml:space="preserve">Enterprise software delivery platform built around commercial Jenkins distribution (CloudBees CI).</t>
  </si>
  <si>
    <t xml:space="preserve">Independent, no acquisition of CloudBees found. CloudBees acquired Launchable, Aug 2024 (pre-window, CloudBees as acquirer).</t>
  </si>
  <si>
    <t xml:space="preserve">No additional flags beyond unconfirmed headcount.</t>
  </si>
  <si>
    <t xml:space="preserve">bitbucket.org</t>
  </si>
  <si>
    <t xml:space="preserve">Git source code management and peer code review platform, owned by Atlassian.</t>
  </si>
  <si>
    <t xml:space="preserve">Private (Atlassian subsidiary; Atlassian is NASDAQ: TEAM)</t>
  </si>
  <si>
    <t xml:space="preserve">Not separately disclosed by Atlassian; flag.</t>
  </si>
  <si>
    <t xml:space="preserve">Acquired by Atlassian, 2010 — well before study window, no disruption. Explicitly excluded from Atlassian's Sept 2025 Data Center EOL announcement, confirming product is not deprecated. Source code management is a core, longstanding Atlassian product line, not a non-core asset.</t>
  </si>
  <si>
    <t xml:space="preserve">Distinct product from Jira (already locked under Project Management/Collaboration vertical) — not double-counting.</t>
  </si>
  <si>
    <t xml:space="preserve">perforce.com</t>
  </si>
  <si>
    <t xml:space="preserve">Enterprise version control and DevOps toolchain (Helix Core) for large-scale/binary-heavy codebases (gaming, embedded, etc.).</t>
  </si>
  <si>
    <t xml:space="preserve">Private (PE-owned: Francisco Partners and Clearlake Capital, equal stake since April 2019)</t>
  </si>
  <si>
    <t xml:space="preserve">Stable PE ownership since April 2019, pre-window, no disruption. Perforce acquired Puppet, April 2022 (Perforce as acquirer, pre-window).</t>
  </si>
  <si>
    <t xml:space="preserve">octopus.com</t>
  </si>
  <si>
    <t xml:space="preserve">Deployment automation and release management platform.</t>
  </si>
  <si>
    <t xml:space="preserve">~361 (Jan 2026).</t>
  </si>
  <si>
    <t xml:space="preserve">Independent. Acquired Codefresh for $43M, 2024 (pre-window, Octopus as acquirer). Latest funding round $30M, Oct 8, 2025 (Insight Partners) — funding event, not M&amp;A.</t>
  </si>
  <si>
    <t xml:space="preserve">Total raised $204M.</t>
  </si>
  <si>
    <t xml:space="preserve">Red Hat Ansible Automation Platform</t>
  </si>
  <si>
    <t xml:space="preserve">ansible.com</t>
  </si>
  <si>
    <t xml:space="preserve">Open-source-based IT automation and configuration management platform, owned by Red Hat (IBM).</t>
  </si>
  <si>
    <t xml:space="preserve">Private (Red Hat/IBM subsidiary; IBM is NYSE: IBM)</t>
  </si>
  <si>
    <t xml:space="preserve">Not separately disclosed; flag.</t>
  </si>
  <si>
    <t xml:space="preserve">Ansible acquired by Red Hat, 2015; Red Hat acquired by IBM, closed July 2019 — both well before study window, no disruption since. Remains a core Red Hat automation product line, not a non-core asset.</t>
  </si>
  <si>
    <t xml:space="preserve">Azure Pipelines</t>
  </si>
  <si>
    <t xml:space="preserve">azure.microsoft.com</t>
  </si>
  <si>
    <t xml:space="preserve">Cloud-based CI/CD pipeline service, part of Microsoft's Azure DevOps suite.</t>
  </si>
  <si>
    <t xml:space="preserve">Private (Microsoft product line)</t>
  </si>
  <si>
    <t xml:space="preserve">Microsoft product line, no acquisition event. Developer tools are a core Microsoft business line, not a non-core asset.</t>
  </si>
  <si>
    <t xml:space="preserve">Distinct product from GitHub (also Microsoft-owned, also in this vertical) — different function (CI/CD pipelines vs. source hosting); not double-counting.</t>
  </si>
  <si>
    <t xml:space="preserve">bitrise.io</t>
  </si>
  <si>
    <t xml:space="preserve">Mobile-focused CI/CD and DevOps automation platform.</t>
  </si>
  <si>
    <t xml:space="preserve">No acquisition found.</t>
  </si>
  <si>
    <t xml:space="preserve">Founded year, employee count, and funding not independently verified this session — flagged for follow-up before Pass 2.</t>
  </si>
  <si>
    <t xml:space="preserve">Opsera</t>
  </si>
  <si>
    <t xml:space="preserve">opsera.io</t>
  </si>
  <si>
    <t xml:space="preserve">Unified DevOps orchestration platform across CI/CD toolchains.</t>
  </si>
  <si>
    <t xml:space="preserve">~114 (May 2026) vs. ~25-100 estimate elsewhere — sources disagree, flagged.</t>
  </si>
  <si>
    <t xml:space="preserve">Independent. Raised $20M Series B, April 2025 (Prosperity7, Hitachi Ventures) — funding event, not M&amp;A.</t>
  </si>
  <si>
    <t xml:space="preserve">Total raised $51.3M.</t>
  </si>
  <si>
    <t xml:space="preserve">Redgate Flyway</t>
  </si>
  <si>
    <t xml:space="preserve">flywaydb.org</t>
  </si>
  <si>
    <t xml:space="preserve">Database schema migration and version control tool, owned by Redgate.</t>
  </si>
  <si>
    <t xml:space="preserve">Redgate acquired Flyway, 2019 — pre-window. FLAG: Bregal Sagemount announced a strategic growth investment in Redgate, Jan 7 2026, becoming majority shareholder; deal expected to close late Q1 2026 — in-window ownership change. Treated as a PE growth investment (financial sponsor), not a differently-focused operating-company acquisition — consistent with the Quickbase/Vista precedent — included with lower confidence given proximity of the ownership change.</t>
  </si>
  <si>
    <t xml:space="preserve">Recommend Pass 2 domain-stability re-check given the pending Q1 2026 ownership transition.</t>
  </si>
  <si>
    <t xml:space="preserve">semaphoreci.com</t>
  </si>
  <si>
    <t xml:space="preserve">Cloud-based CI/CD platform for software delivery automation.</t>
  </si>
  <si>
    <t xml:space="preserve">~30-36 (Oct 2025).</t>
  </si>
  <si>
    <t xml:space="preserve">FLAG: one search result claimed a Docker Inc. acquisition of Semaphore; this conflicts with other sources showing Semaphore as independent (open-sourced its product, March 2025). Could not verify via a credible primary source — treated as Independent per standing 'do not invent' rule, but flagged as unconfirmed/conflicting and recommended for Pass 2 re-verification before relying on this company's data.</t>
  </si>
  <si>
    <t xml:space="preserve">M&amp;A status unconfirmed/conflicting — see notes. Revenue ~$3.3M (2025).</t>
  </si>
  <si>
    <t xml:space="preserve">vanta.com</t>
  </si>
  <si>
    <t xml:space="preserve">https://www.g2.com/categories/security-compliance</t>
  </si>
  <si>
    <t xml:space="preserve">Trust management and compliance automation platform (SOC 2, ISO 27001, and other framework evidence collection).</t>
  </si>
  <si>
    <t xml:space="preserve">Sources disagree — ~1,000 (Apr 2026) vs. ~1,917 vs. ~1,500 cited elsewhere; flag.</t>
  </si>
  <si>
    <t xml:space="preserve">Acquired Riskey (Israeli AI risk-monitoring startup), 2025 — within window, Vanta as acquirer not target, no disruption to Vanta itself.</t>
  </si>
  <si>
    <t xml:space="preserve">Series D, $150M, July 2025, $4.15B valuation. Total raised $504M+.</t>
  </si>
  <si>
    <t xml:space="preserve">sprinto.com</t>
  </si>
  <si>
    <t xml:space="preserve">Compliance automation platform for SOC 2, ISO 27001, and other security frameworks.</t>
  </si>
  <si>
    <t xml:space="preserve">316 (Jul 2025).</t>
  </si>
  <si>
    <t xml:space="preserve">Independent, no acquisition found in window.</t>
  </si>
  <si>
    <t xml:space="preserve">Total raised $32.2M; last round Series B $20.6M, Apr 2024 (pre-window).</t>
  </si>
  <si>
    <t xml:space="preserve">secureframe.com</t>
  </si>
  <si>
    <t xml:space="preserve">Compliance automation platform for SOC 2, ISO 27001, HIPAA, and other frameworks.</t>
  </si>
  <si>
    <t xml:space="preserve">Sources disagree — 127 (Apr 2026) vs. ~200 (PitchBook); flag.</t>
  </si>
  <si>
    <t xml:space="preserve">Independent, no acquisition found.</t>
  </si>
  <si>
    <t xml:space="preserve">Total raised $79M; last confirmed round Series B, Feb 2022 (pre-window, no newer round confirmed).</t>
  </si>
  <si>
    <t xml:space="preserve">drata.com</t>
  </si>
  <si>
    <t xml:space="preserve">Compliance automation platform for SOC 2, ISO 27001, and other framework evidence collection.</t>
  </si>
  <si>
    <t xml:space="preserve">~732 (2026).</t>
  </si>
  <si>
    <t xml:space="preserve">Acquired SafeBase (Feb 11, 2025), plus oak9 and Harmonize (dates unconfirmed) — within/near window, Drata as acquirer not target. FLAG: reported workforce reduction, Dec 2025, sourced from employee reports (not press) — weaker confirmation than a verified press event; recommend Pass 2 confidence check.</t>
  </si>
  <si>
    <t xml:space="preserve">Total raised $328M.</t>
  </si>
  <si>
    <t xml:space="preserve">scrut.io</t>
  </si>
  <si>
    <t xml:space="preserve">Compliance automation and risk management platform.</t>
  </si>
  <si>
    <t xml:space="preserve">Sources disagree — 126 (Aug 2025) vs. 184 (other source); flag.</t>
  </si>
  <si>
    <t xml:space="preserve">Total raised ~$20.6M; valuation ~$75M (May 2025). Founded year disputed across sources (2020 vs. 2021) — flag.</t>
  </si>
  <si>
    <t xml:space="preserve">Thoropass</t>
  </si>
  <si>
    <t xml:space="preserve">thoropass.com</t>
  </si>
  <si>
    <t xml:space="preserve">Compliance automation and audit management platform.</t>
  </si>
  <si>
    <t xml:space="preserve">Sources disagree — 200 vs. 232.</t>
  </si>
  <si>
    <t xml:space="preserve">No 2025/2026 acquisition found; remains private/independent. Founded as Laika, rebranded Thoropass — name change, not an M&amp;A event.</t>
  </si>
  <si>
    <t xml:space="preserve">Total raised ~$98-100M; Series C $50M.</t>
  </si>
  <si>
    <t xml:space="preserve">oneleet.com</t>
  </si>
  <si>
    <t xml:space="preserve">Combined compliance automation, security, and pentest platform (YC-backed).</t>
  </si>
  <si>
    <t xml:space="preserve">Sources disagree, ranges 23-60; flag.</t>
  </si>
  <si>
    <t xml:space="preserve">Independent — Series A $33M, Oct 2025 (Dawn Capital) was a funding event, not M&amp;A.</t>
  </si>
  <si>
    <t xml:space="preserve">Total raised $35M.</t>
  </si>
  <si>
    <t xml:space="preserve">onetrust.com</t>
  </si>
  <si>
    <t xml:space="preserve">Tech risk and compliance product line (SOC 2, NIST, GDPR, 55+ frameworks) within OneTrust's broader privacy/GRC platform.</t>
  </si>
  <si>
    <t xml:space="preserve">FLAG: workforce reduction of ~110 employees (~5%), March 2026 — within window, confirmed by multiple sources (SecurityWeek, layoff trackers). Parent-level layoff event, not M&amp;A; recommend Pass 2 confidence check given timing. OneTrust's core business spans privacy/GRC broadly — Tech Risk &amp; Compliance is a core line, not a non-core asset.</t>
  </si>
  <si>
    <t xml:space="preserve">OneTrust ARR exceeded $500M (2025); growth reported as decelerating.</t>
  </si>
  <si>
    <t xml:space="preserve">apptega.com</t>
  </si>
  <si>
    <t xml:space="preserve">Cybersecurity and compliance management platform mapping controls across multiple frameworks.</t>
  </si>
  <si>
    <t xml:space="preserve">~54-57, reported declining YoY (-15.6%) per one source.</t>
  </si>
  <si>
    <t xml:space="preserve">Total raised $52.9M; last major round $15M, Apr 2024 (pre-window, Mainsail Partners). Founded year has minor source conflict (2017 vs. 2018).</t>
  </si>
  <si>
    <t xml:space="preserve">secfix.com</t>
  </si>
  <si>
    <t xml:space="preserve">Compliance automation platform for SOC 2, ISO 27001, and other frameworks (EU-focused).</t>
  </si>
  <si>
    <t xml:space="preserve">36 (Apr 2026).</t>
  </si>
  <si>
    <t xml:space="preserve">Series A $12M closed Feb 2026 (Alstin Capital) — within window, funding event not M&amp;A. Total raised $15.8M.</t>
  </si>
  <si>
    <t xml:space="preserve">logicgate.com</t>
  </si>
  <si>
    <t xml:space="preserve">Risk Cloud — no-code GRC (governance, risk, and compliance) platform.</t>
  </si>
  <si>
    <t xml:space="preserve">Estimated 100-250 — wide/imprecise range across sources; flag.</t>
  </si>
  <si>
    <t xml:space="preserve">Independent, no acquisition found. Leadership change only: new President/COO appointed May 2025 (not an M&amp;A event).</t>
  </si>
  <si>
    <t xml:space="preserve">Total raised figures strongly conflicting across sources ($156M vs. $269M vs. $386M) — flagged, not resolved. Confirmed Series C was $113M led by PSG.</t>
  </si>
  <si>
    <t xml:space="preserve">kertos.io</t>
  </si>
  <si>
    <t xml:space="preserve">Compliance and privacy automation platform (EU-focused, GDPR/ISO 27001).</t>
  </si>
  <si>
    <t xml:space="preserve">56-58 (2025); one source showed '2' which is treated as a data error.</t>
  </si>
  <si>
    <t xml:space="preserve">Series A €14M/$16.5M, Sep 2025 (Portage) — within window, funding event not M&amp;A. Total raised $22M.</t>
  </si>
  <si>
    <t xml:space="preserve">isms.online</t>
  </si>
  <si>
    <t xml:space="preserve">ISO 27001 and information security management system (ISMS) compliance platform.</t>
  </si>
  <si>
    <t xml:space="preserve">80.</t>
  </si>
  <si>
    <t xml:space="preserve">Total raised $2.63M, Series A, Nov 2023 (pre-window).</t>
  </si>
  <si>
    <t xml:space="preserve">hyperproof.io</t>
  </si>
  <si>
    <t xml:space="preserve">Compliance operations and risk management platform.</t>
  </si>
  <si>
    <t xml:space="preserve">~200.</t>
  </si>
  <si>
    <t xml:space="preserve">Acquired Expent (vendor lifecycle/third-party risk management), described as buyout/LBO, Oct 6, 2025 — within window, Hyperproof as acquirer not target, no disruption to Hyperproof itself.</t>
  </si>
  <si>
    <t xml:space="preserve">Total raised $77.3M; $40M growth round led by Riverwood Capital.</t>
  </si>
  <si>
    <t xml:space="preserve">sai360.com</t>
  </si>
  <si>
    <t xml:space="preserve">Integrated risk and compliance (GRC) platform.</t>
  </si>
  <si>
    <t xml:space="preserve">Private (PE-owned: Symphony Technology Group, since March 2023)</t>
  </si>
  <si>
    <t xml:space="preserve">Not disclosed (PE-owned); flag.</t>
  </si>
  <si>
    <t xml:space="preserve">Acquired by Symphony Technology Group, completed March 2023 — pre-window, stable since (financial sponsor, consistent with the Quickbase/Vista precedent — not a differently-focused operating acquirer). SAI360 itself acquired Plural (AI policy-tracking/regulatory intelligence), announced Dec 1, 2025 — within window, SAI360 as acquirer not target.</t>
  </si>
  <si>
    <t xml:space="preserve">History: SAI Global (ASX-listed) taken private 2016/17 (BPEA), sold Assurance/Standards division to Intertek 2021, remaining business rebranded SAI360, then STG acquisition 2023 — all pre-window.</t>
  </si>
  <si>
    <t xml:space="preserve">amplitude.com</t>
  </si>
  <si>
    <t xml:space="preserve">https://www.g2.com/categories/product-analytics; https://www.g2.com/categories/strategy-and-innovation-roadmapping-tools</t>
  </si>
  <si>
    <t xml:space="preserve">Digital analytics platform for product, customer journey, and behavioral analysis.</t>
  </si>
  <si>
    <t xml:space="preserve">Public (NASDAQ: AMPL)</t>
  </si>
  <si>
    <t xml:space="preserve">Sources disagree — ~800 per Q3 2025 10-Q vs. ~1,000-1,190 per third-party scrapers; flag.</t>
  </si>
  <si>
    <t xml:space="preserve">Research subagent cross-source verification, 2026-06-27 (see notes for variance/blank flags)</t>
  </si>
  <si>
    <t xml:space="preserve">Independent. Acquirer — Kraftful (Jul 2025) and InfiniGrow (Jan 2026), both within window, no disruption to Amplitude itself.</t>
  </si>
  <si>
    <t xml:space="preserve">President Thomas Hansen departure announced Feb 2026 (effective Mar 31, 2026). No confirmed company-wide layoff in window.</t>
  </si>
  <si>
    <t xml:space="preserve">pendo.io</t>
  </si>
  <si>
    <t xml:space="preserve">Product experience platform combining product analytics, in-app guidance, and feedback management.</t>
  </si>
  <si>
    <t xml:space="preserve">Sources disagree — ~970-1,000; likely lower post-layoff but not freshly confirmed.</t>
  </si>
  <si>
    <t xml:space="preserve">Independent. Acquirer — Chisel Labs (announced Feb 3, 2026), Pendo's 4th acquisition in 18 months.</t>
  </si>
  <si>
    <t xml:space="preserve">FLAG: confirmed layoff of ~90 employees (~10%), April 2026, across multiple offices — CEO cited AI-driven restructuring. Layoff without M&amp;A-as-target; flagged per established precedent, not excluded.</t>
  </si>
  <si>
    <t xml:space="preserve">mixpanel.com</t>
  </si>
  <si>
    <t xml:space="preserve">Product analytics platform for event tracking, funnels, and behavioral cohort analysis.</t>
  </si>
  <si>
    <t xml:space="preserve">Sources disagree — range 480-680; unresolved.</t>
  </si>
  <si>
    <t xml:space="preserve">Independent. Acquirer — DoubleLoop (Oct 7, 2025).</t>
  </si>
  <si>
    <t xml:space="preserve">New CEO Jen Taylor appointed Sept 2, 2025, succeeding Amir Movafaghi. No press-confirmed layoff (only an unsourced peer mention, not asserted as fact).</t>
  </si>
  <si>
    <t xml:space="preserve">posthog.com</t>
  </si>
  <si>
    <t xml:space="preserve">Open-source-rooted product analytics platform (event analytics, session replay, feature flags, experiments).</t>
  </si>
  <si>
    <t xml:space="preserve">Sources disagree sharply — range 42-202; heavily flagged, unresolved.</t>
  </si>
  <si>
    <t xml:space="preserve">Independent, no acquisition activity found.</t>
  </si>
  <si>
    <t xml:space="preserve">Series E $75M, Sept 29, 2025 ($1.4B valuation, unicorn status). Company states it has never had layoffs.</t>
  </si>
  <si>
    <t xml:space="preserve">logrocket.com</t>
  </si>
  <si>
    <t xml:space="preserve">Session replay and product analytics platform combining frontend monitoring with behavioral data.</t>
  </si>
  <si>
    <t xml:space="preserve">Possible decline ~545 (Sept 2025) to ~482 (Apr 2026) per aggregator data only — NOT corroborated by any news source; flagged as unverified trend, not a confirmed layoff.</t>
  </si>
  <si>
    <t xml:space="preserve">Shipped 'Ask Galileo' AI feature, Mar 2026. Employee-count trend above is unconfirmed and should not be treated as a layoff event.</t>
  </si>
  <si>
    <t xml:space="preserve">userpilot.com</t>
  </si>
  <si>
    <t xml:space="preserve">Product growth platform combining in-app onboarding/guidance with product analytics.</t>
  </si>
  <si>
    <t xml:space="preserve">~81-82 (Feb 2026).</t>
  </si>
  <si>
    <t xml:space="preserve">Independent. A widely-repeated claim that Userpilot 'acquired Survicate' (Feb 2024) is UNCONFIRMED and likely incorrect — no press corroboration found, and Survicate continues to operate independently. Not treated as fact.</t>
  </si>
  <si>
    <t xml:space="preserve">Smallest funding total in this vertical's analytics group ($5.98M total — ScOp Venture Capital, Silicon Badia, 500 Global). Founding year disputed across sources (2017-2019), left blank rather than guessed.</t>
  </si>
  <si>
    <t xml:space="preserve">glassbox.com</t>
  </si>
  <si>
    <t xml:space="preserve">Digital experience analytics platform (session replay, customer journey analytics) for enterprise web/mobile.</t>
  </si>
  <si>
    <t xml:space="preserve">Private (formerly public, TASE: GLBX)</t>
  </si>
  <si>
    <t xml:space="preserve">~268-272 (approximate, not directly LinkedIn-verified).</t>
  </si>
  <si>
    <t xml:space="preserve">Acquired. Taken private by Alicorn Venture Partners (all-cash, ~$150M), delisted from Tel Aviv Stock Exchange Oct 31, 2024 — pre-window, no disruption reported during the study window (Jan 2025-Jun 2026). Included per established pre-window-M&amp;A-no-disruption precedent.</t>
  </si>
  <si>
    <t xml:space="preserve">PE-owned since Oct 2024 via Alicorn + Susquehanna Growth Equity ARR financing facility; stable under CEO Yaron Morgenstern throughout window.</t>
  </si>
  <si>
    <t xml:space="preserve">Contentsquare</t>
  </si>
  <si>
    <t xml:space="preserve">contentsquare.com</t>
  </si>
  <si>
    <t xml:space="preserve">Enterprise digital experience analytics platform (behavioral analytics, session replay, customer journey analysis).</t>
  </si>
  <si>
    <t xml:space="preserve">Sources disagree — range ~1,700-1,800.</t>
  </si>
  <si>
    <t xml:space="preserve">Independent. Acquirer — completed legal-entity merger of Hotjar into Contentsquare Group (Jul 1, 2025) and acquired Loris AI (closed Oct 23, 2025).</t>
  </si>
  <si>
    <t xml:space="preserve">Parent company of Hotjar and Heap sub-brands; both excluded from this vertical's locked 15 as redundant same-parent entries (Contentsquare itself represents the parent's organic footprint). Funding figures stale relative to 2025-26 (last disclosed round 2022).</t>
  </si>
  <si>
    <t xml:space="preserve">fullstory.com</t>
  </si>
  <si>
    <t xml:space="preserve">Digital experience analytics platform (session replay, heatmaps, behavioral data) for product and UX teams.</t>
  </si>
  <si>
    <t xml:space="preserve">~390 (approximate, as-of date unconfirmed).</t>
  </si>
  <si>
    <t xml:space="preserve">Multiple 2025 leadership changes (CFO appointed Apr 22, 2025; new President/CPTO roles, exact dates unconfirmed). Anecdotal Glassdoor/Blind layoff mentions exist but are NOT press-confirmed to a specific date in window — not treated as fact.</t>
  </si>
  <si>
    <t xml:space="preserve">launchdarkly.com</t>
  </si>
  <si>
    <t xml:space="preserve">Feature management and experimentation platform (feature flags, progressive delivery, A/B testing analytics).</t>
  </si>
  <si>
    <t xml:space="preserve">Sources disagree — range ~620-645.</t>
  </si>
  <si>
    <t xml:space="preserve">Independent. Acquirer — Highlight (announced Apr 23, 2025); also referenced acquisition of Houseware (exact date unconfirmed).</t>
  </si>
  <si>
    <t xml:space="preserve">Co-founder Edith Harbaugh returned as CEO Aug 2025, succeeding Dan Rogers; new CTO and CFO added Jan 2026. Anecdotal layoff/culture-change mentions exist but lack official press confirmation of a specific event/number — not treated as fact.</t>
  </si>
  <si>
    <t xml:space="preserve">whatfix.com</t>
  </si>
  <si>
    <t xml:space="preserve">Digital adoption platform combining in-app guidance with product analytics for enterprise software rollouts.</t>
  </si>
  <si>
    <t xml:space="preserve">Private (reportedly pursuing a 2026 IPO)</t>
  </si>
  <si>
    <t xml:space="preserve">~1,107 (May 2026), reasonably consistent across sources.</t>
  </si>
  <si>
    <t xml:space="preserve">Independent, no acquisition activity found in window.</t>
  </si>
  <si>
    <t xml:space="preserve">FLAG: confirmed layoff of ~60 employees (~6%), described as Whatfix's first-ever layoff, tied to an 'AI push' — exact 2025 date not precisely pinned. Flagged per established layoff-without-M&amp;A precedent, not excluded.</t>
  </si>
  <si>
    <t xml:space="preserve">aha.io</t>
  </si>
  <si>
    <t xml:space="preserve">Product management software for roadmapping, idea management, and strategy alignment.</t>
  </si>
  <si>
    <t xml:space="preserve">Private (self-funded — $0 external funding raised, confirmed across multiple sources)</t>
  </si>
  <si>
    <t xml:space="preserve">Sources disagree sharply — range 125 to 500+; heavily flagged, unresolved.</t>
  </si>
  <si>
    <t xml:space="preserve">Bootstrapped since founding, no VC funding ever raised; CEO Brian de Haaff unchanged. Self-reported ~$300M valuation is a third-party estimate, not a priced round.</t>
  </si>
  <si>
    <t xml:space="preserve">productboard.com</t>
  </si>
  <si>
    <t xml:space="preserve">Product management platform for customer feedback aggregation, prioritization, and roadmapping.</t>
  </si>
  <si>
    <t xml:space="preserve">Sources disagree — ~303 (Apr 30, 2026) vs. ~338 (Mar 2026); lower figure likely reflects post-layoff headcount but not fully reconciled.</t>
  </si>
  <si>
    <t xml:space="preserve">FLAG: confirmed major layoff of 30%+ of global workforce, April 15, 2026 — third layoff round in ~2 years (earlier round Jan 2024, outside window). CEO framed this as a pivot to an 'AI-only' product, 'Productboard Spark.' Flagged heavily for Pass 2 confidence check per established layoff-without-M&amp;A precedent (BILL Holdings/GitLab/OneTrust/Drata), not excluded. Anecdotal Glassdoor mentions of executive turnover not independently verified.</t>
  </si>
  <si>
    <t xml:space="preserve">productplan.com</t>
  </si>
  <si>
    <t xml:space="preserve">Product roadmapping software for strategy alignment and stakeholder communication.</t>
  </si>
  <si>
    <t xml:space="preserve">Private (PE-backed)</t>
  </si>
  <si>
    <t xml:space="preserve">~50 (2024 figure, stale — no fresher count found).</t>
  </si>
  <si>
    <t xml:space="preserve">Acquired (PE-backed). Majority-owned/backed by Bow River Capital since a recapitalization May 12, 2022 — pre-window, stable since (consistent with Quickbase/SAI360 PE-ownership precedent). Also acquirer — acquired Winware.ai (announced Jan 12, 2026) to build an 'AI-Driven Product Intelligence Platform.'</t>
  </si>
  <si>
    <t xml:space="preserve">Notable leadership transition: Winware.ai's founder Steven Cohn became ProductPlan's new CEO (Jan 2026); former President/CEO Ben Jubenville moved to a board/advisory role. No connection found to any company called 'Alpha' despite an initial unverified assumption — corrected during verification.</t>
  </si>
  <si>
    <t xml:space="preserve">canny.io</t>
  </si>
  <si>
    <t xml:space="preserve">Customer feedback management and product roadmapping platform.</t>
  </si>
  <si>
    <t xml:space="preserve">~20-21 (late 2025/2026).</t>
  </si>
  <si>
    <t xml:space="preserve">~$3.5M ARR (2024 data). Founding year has a minor source conflict (2015 vs. 2017); 2017 is more commonly cited.</t>
  </si>
  <si>
    <t xml:space="preserve">Traffic Start</t>
  </si>
  <si>
    <t xml:space="preserve">Traffic End</t>
  </si>
  <si>
    <t xml:space="preserve">% Change</t>
  </si>
  <si>
    <t xml:space="preserve">Ref. Domains Start</t>
  </si>
  <si>
    <t xml:space="preserve">Ref. Domains End</t>
  </si>
  <si>
    <t xml:space="preserve">URL 1</t>
  </si>
  <si>
    <t xml:space="preserve">Content Type 1</t>
  </si>
  <si>
    <t xml:space="preserve">Traffic Change 1</t>
  </si>
  <si>
    <t xml:space="preserve">URL 2</t>
  </si>
  <si>
    <t xml:space="preserve">Content Type 2</t>
  </si>
  <si>
    <t xml:space="preserve">Traffic Change 2</t>
  </si>
  <si>
    <t xml:space="preserve">URL 3</t>
  </si>
  <si>
    <t xml:space="preserve">Content Type 3</t>
  </si>
  <si>
    <t xml:space="preserve">Traffic Change 3</t>
  </si>
  <si>
    <t xml:space="preserve">URL 4</t>
  </si>
  <si>
    <t xml:space="preserve">Content Type 4</t>
  </si>
  <si>
    <t xml:space="preserve">Traffic Change 4</t>
  </si>
  <si>
    <t xml:space="preserve">URL 5</t>
  </si>
  <si>
    <t xml:space="preserve">Content Type 5</t>
  </si>
  <si>
    <t xml:space="preserve">Traffic Change 5</t>
  </si>
  <si>
    <t xml:space="preserve">Related Company ID</t>
  </si>
  <si>
    <t xml:space="preserve">Reply.io, Workday, BoldDesk, EngageBay, Sobot</t>
  </si>
  <si>
    <t xml:space="preserve">finding</t>
  </si>
  <si>
    <t xml:space="preserve">Five companies across five unrelated verticals (Sales Engagement, HR/People Ops, Customer Support x3) show the same shape: genuine mid-window growth into a peak, followed by a pullback severe enough to flip the net Jan2025-Jun2026 classification to Declined.</t>
  </si>
  <si>
    <t xml:space="preserve">If this keeps recurring as more verticals are entered, it suggests a meaningful share of 'declining' B2B SaaS companies aren't chronically shrinking -- they grew into a cliff. That's a more interesting and more accurate headline than a flat decline narrative, and worth testing for statistical weight once all 100 are in.</t>
  </si>
  <si>
    <t xml:space="preserve">Re-check this pattern's prevalence once all 10 verticals are entered. If it holds at scale, consider as a primary report finding.</t>
  </si>
  <si>
    <t xml:space="preserve">Open</t>
  </si>
  <si>
    <t xml:space="preserve">Keka, Justworks</t>
  </si>
  <si>
    <t xml:space="preserve">question</t>
  </si>
  <si>
    <t xml:space="preserve">Both companies show one anomalous single-month traffic collapse in their final data point (Keka: -59% MoM May-&gt;Jun 2026; Justworks: -21.5% MoM same months) that is far steeper than any other month-over-month move in their series.</t>
  </si>
  <si>
    <t xml:space="preserve">Unclear whether this reflects a real business event, a domain/tracking change, or an Ahrefs measurement artifact. Treating it as ordinary organic decline without checking could distort both companies' trajectory classification.</t>
  </si>
  <si>
    <t xml:space="preserve">Investigate both during Pass 3 deep dive / comparison group selection: check for site migrations, Google updates, or other dated events around May-Jun 2026.</t>
  </si>
  <si>
    <t xml:space="preserve">Front, Freshworks, LiveAgent, EngageBay, TriNet, Keka, Justworks, Help Scout, ZoomInfo</t>
  </si>
  <si>
    <t xml:space="preserve">future-research</t>
  </si>
  <si>
    <t xml:space="preserve">Nine companies across multiple verticals show all-time historical traffic peaks that predate the Jan 2025 study window by 1-5 years, several clustering in the 2021-2024 range, well above any traffic seen within the study window itself.</t>
  </si>
  <si>
    <t xml:space="preserve">This may point to a sector-wide organic decay pattern (post-ZIRP marketing pullback, a Google core update, category maturity) that is bigger than any single company's story -- exactly the kind of cross-company signal this research project is designed to surface, as opposed to company-specific narratives.</t>
  </si>
  <si>
    <t xml:space="preserve">Track whether this clustering continues as the remaining 5 verticals are entered. If the historical-peak dates cluster further, consider a dedicated chart/finding on sector-wide organic decay timing.</t>
  </si>
  <si>
    <t xml:space="preserve">Sobot, TeamSupport</t>
  </si>
  <si>
    <t xml:space="preserve">methodology-note</t>
  </si>
  <si>
    <t xml:space="preserve">Both companies are classified Grew off extremely large percentage changes (Sobot +395%, TeamSupport +298%) driven by tiny Jan 2025 starting traffic (1,149 and 596/mo respectively), not real momentum at scale.</t>
  </si>
  <si>
    <t xml:space="preserve">Leading with the percentage alone in the report would overstate these as standout growth stories when the underlying absolute traffic remains small and, in both cases, the trajectory shape is volatile/plateaued rather than sustained growth.</t>
  </si>
  <si>
    <t xml:space="preserve">When writing the report, always pair small-base percentage changes with absolute traffic numbers; flag for exclusion from any 'top growth' ranking that doesn't control for starting base.</t>
  </si>
  <si>
    <t xml:space="preserve">All companies entered to date (57 of 100, 5 of 10 verticals)</t>
  </si>
  <si>
    <t xml:space="preserve">Declined-rate varies sharply by vertical so far: Customer Success 31% Declined, Sales Engagement 45%, Marketing Automation 64%, HR/People Operations 73%, Customer Support/Help Desk 73%.</t>
  </si>
  <si>
    <t xml:space="preserve">Organic decline isn't uniform across B2B SaaS categories -- if this spread holds once all 10 verticals are in, it suggests category-level dynamics (competitive intensity, AI-answer-engine disruption, category maturity) matter more than company-specific execution for at least some verticals. Preliminary only -- based on 5 of 10 categories and small per-category samples (11-13 each).</t>
  </si>
  <si>
    <t xml:space="preserve">Re-run this breakdown once all 100 companies are entered. If the spread holds, it's a strong candidate for a report section on which B2B SaaS categories are most exposed to organic decline.</t>
  </si>
  <si>
    <t xml:space="preserve">2026-06-28</t>
  </si>
  <si>
    <t xml:space="preserve">Semaphore (Developer Tools/DevOps) had literally 0 organic traffic in Jan-Feb 2025 and built its entire organic presence (0 -&gt; 27,797 monthly traffic) during the study window itself.</t>
  </si>
  <si>
    <t xml:space="preserve">Every other company in the dataset had pre-existing organic traffic before the study window began. Semaphore is the only true from-zero organic launch observed -- a fundamentally different growth story than 'declined' or 'grew from an established base.' Worth a closer look at what drove the Mar 2025 inflection and the sustained 2026 acceleration.</t>
  </si>
  <si>
    <t xml:space="preserve">Flag as Deep Dive candidate during the selection pass -- a from-zero launch case study would be a distinctive, evidence-backed narrative for content/positioning.</t>
  </si>
  <si>
    <t xml:space="preserve">GitHub's organic traffic fell ~72% from Jan 2025 (172.3M) to a Feb 2026 trough (39.6M), with the all-time peak (214.7M) occurring just 3 months before the study window opened (Oct 2024) -- by far the largest decline of any company in the dataset, on what is likely its single most authoritative domain.</t>
  </si>
  <si>
    <t xml:space="preserve">The scale and timing (peak right before the window, freefall through 2025, partial stabilization in 2026) lines up with the period when AI coding assistants and chat-based search became mainstream developer workflow. If even GitHub -- a domain with enormous existing authority -- is losing this much organic search traffic, it's a strong data point for the project's core AEO/GEO thesis: traditional SEO authority does not protect against AI-mediated answer retrieval bypassing the search click entirely.</t>
  </si>
  <si>
    <t xml:space="preserve">Treat as a hypothesis, not confirmed causation. Worth checking whether the decline correlates with known Google algorithm updates, AI Overview rollout dates, or GitHub-specific product/SEO changes before citing this as an AEO/GEO proof point externally.</t>
  </si>
  <si>
    <t xml:space="preserve">anomaly</t>
  </si>
  <si>
    <t xml:space="preserve">Whatfix's traffic spiked to 990,660 in Jul2025 (over 16x its Jan2025 baseline of 319,454 and 3x the surrounding months), then declined almost continuously and severely afterward, falling to 27,947 by Jun2026 -- a -91.25% net change over the window and -97.18% off the spike peak. This is the single most extreme traffic pattern recorded anywhere in this study, exceeding even GitHub's decline in magnitude.</t>
  </si>
  <si>
    <t xml:space="preserve">The size and isolation of the Jul2025 spike (one month, ~2x even the next-highest month) raises real doubt about whether the subsequent 'decline' is a genuine organic collapse or simply reversion to baseline after a one-time event (viral content, a short-lived high-volume SERP feature, or a measurement/tracking anomaly). If genuine, it would be one of the most dramatic single-company collapses in the dataset and worth flagging as an extreme case in any cross-company synthesis; if it's an artifact, including it uncorrected would badly distort vertical-level averages.</t>
  </si>
  <si>
    <t xml:space="preserve">Pass 3: pull keyword-level data for Jul2025 to identify what drove the spike before drawing any conclusion. Do not include Whatfix's raw % change in any vertical-level summary statistic until this is resolved -- it will skew the Product Analytics/PM average significantly.</t>
  </si>
  <si>
    <t xml:space="preserve">Cross-Cut Notes (Buying Motion / Buyer Type)</t>
  </si>
  <si>
    <t xml:space="preserve">Categories</t>
  </si>
  <si>
    <t xml:space="preserve">GrowthDriver</t>
  </si>
  <si>
    <t xml:space="preserve">ContentType</t>
  </si>
  <si>
    <t xml:space="preserve">TrafficTrajectory</t>
  </si>
  <si>
    <t xml:space="preserve">Docs hub</t>
  </si>
  <si>
    <t xml:space="preserve">Comparison pages</t>
  </si>
  <si>
    <t xml:space="preserve">Alternatives pages</t>
  </si>
  <si>
    <t xml:space="preserve">Documentation/Help center</t>
  </si>
  <si>
    <t xml:space="preserve">Free tool</t>
  </si>
  <si>
    <t xml:space="preserve">Glossary/Definitional</t>
  </si>
  <si>
    <t xml:space="preserve">Brand/domain strength</t>
  </si>
  <si>
    <t xml:space="preserve">Product/Feature pages</t>
  </si>
  <si>
    <t xml:space="preserve">Content refreshes</t>
  </si>
  <si>
    <t xml:space="preserve">Educational/How-to</t>
  </si>
  <si>
    <t xml:space="preserve">New product/category expansion</t>
  </si>
  <si>
    <t xml:space="preserve">Original data/Research</t>
  </si>
  <si>
    <t xml:space="preserve">Backlink growth</t>
  </si>
  <si>
    <t xml:space="preserve">Customer stories/Case studies</t>
  </si>
  <si>
    <t xml:space="preserve">Unclear</t>
  </si>
  <si>
    <t xml:space="preserve">Free tool/Calculator</t>
  </si>
  <si>
    <t xml:space="preserve">Other</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</si>
</sst>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D9E1F2"/>
        <bgColor rgb="FFEDEDED"/>
      </patternFill>
    </fill>
    <fill>
      <patternFill patternType="solid">
        <fgColor rgb="FFEDEDED"/>
        <bgColor rgb="FFD9E1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3" min="3" style="1" width="10"/>
  </cols>
  <sheetData>
    <row r="1" customFormat="false" ht="17.25" hidden="false" customHeight="true" outlineLevel="0" collapsed="false">
      <c r="A1" s="2" t="s">
        <v>0</v>
      </c>
      <c r="B1" s="2"/>
      <c r="C1" s="2"/>
      <c r="D1" s="2"/>
    </row>
    <row r="2" customFormat="false" ht="15" hidden="false" customHeight="true" outlineLevel="0" collapsed="false">
      <c r="A2" s="3" t="s">
        <v>1</v>
      </c>
      <c r="B2" s="3"/>
      <c r="C2" s="3"/>
      <c r="D2" s="3"/>
      <c r="E2" s="3"/>
      <c r="F2" s="3"/>
    </row>
    <row r="4" customFormat="false" ht="15" hidden="false" customHeight="true" outlineLevel="0" collapsed="false">
      <c r="A4" s="4" t="s">
        <v>2</v>
      </c>
      <c r="B4" s="4" t="s">
        <v>3</v>
      </c>
    </row>
    <row r="5" customFormat="false" ht="15" hidden="false" customHeight="true" outlineLevel="0" collapsed="false">
      <c r="A5" s="5" t="s">
        <v>4</v>
      </c>
      <c r="B5" s="6" t="n">
        <f aca="false">COUNTA('Pass 1 Archive'!A2:A500)</f>
        <v>195</v>
      </c>
    </row>
    <row r="6" customFormat="false" ht="15" hidden="false" customHeight="true" outlineLevel="0" collapsed="false">
      <c r="A6" s="5" t="s">
        <v>5</v>
      </c>
      <c r="B6" s="6" t="n">
        <f aca="false">COUNTA('Pass 2'!A2:A500)</f>
        <v>118</v>
      </c>
    </row>
    <row r="7" customFormat="false" ht="15" hidden="false" customHeight="true" outlineLevel="0" collapsed="false">
      <c r="A7" s="5" t="s">
        <v>6</v>
      </c>
      <c r="B7" s="6" t="n">
        <f aca="false">COUNTIF('Pass 1 Archive'!X2:X500,"Exclude")</f>
        <v>23</v>
      </c>
    </row>
    <row r="8" customFormat="false" ht="15" hidden="false" customHeight="true" outlineLevel="0" collapsed="false">
      <c r="A8" s="5" t="s">
        <v>7</v>
      </c>
      <c r="B8" s="6" t="n">
        <f aca="false">COUNTIF('Pass 1 Archive'!X2:X500,"Pending")</f>
        <v>24</v>
      </c>
    </row>
    <row r="9" customFormat="false" ht="15" hidden="false" customHeight="true" outlineLevel="0" collapsed="false">
      <c r="A9" s="5" t="s">
        <v>8</v>
      </c>
      <c r="B9" s="6" t="n">
        <f aca="false">COUNTA('Pass 2'!T2:T500)</f>
        <v>118</v>
      </c>
    </row>
    <row r="10" customFormat="false" ht="15" hidden="false" customHeight="true" outlineLevel="0" collapsed="false">
      <c r="A10" s="5" t="s">
        <v>9</v>
      </c>
      <c r="B10" s="6" t="n">
        <f aca="false">COUNTIF('Pass 2'!T2:T500,"Grew")</f>
        <v>44</v>
      </c>
    </row>
    <row r="11" customFormat="false" ht="15" hidden="false" customHeight="true" outlineLevel="0" collapsed="false">
      <c r="A11" s="5" t="s">
        <v>10</v>
      </c>
      <c r="B11" s="6" t="n">
        <f aca="false">COUNTIF('Pass 2'!T2:T500,"Flat")</f>
        <v>19</v>
      </c>
    </row>
    <row r="12" customFormat="false" ht="15" hidden="false" customHeight="true" outlineLevel="0" collapsed="false">
      <c r="A12" s="5" t="s">
        <v>11</v>
      </c>
      <c r="B12" s="6" t="n">
        <f aca="false">COUNTIF('Pass 2'!T2:T500,"Declined")</f>
        <v>55</v>
      </c>
    </row>
    <row r="13" customFormat="false" ht="15" hidden="false" customHeight="true" outlineLevel="0" collapsed="false">
      <c r="A13" s="5" t="s">
        <v>12</v>
      </c>
      <c r="B13" s="6" t="n">
        <f aca="false">COUNTIF('Pass 1 Archive'!Z2:Z500,"Yes")</f>
        <v>11</v>
      </c>
    </row>
    <row r="14" customFormat="false" ht="15" hidden="false" customHeight="true" outlineLevel="0" collapsed="false">
      <c r="A14" s="5" t="s">
        <v>13</v>
      </c>
      <c r="B14" s="6" t="n">
        <f aca="false">COUNTIF('Deep Dive Database'!AK2:AK500,"Complete")</f>
        <v>0</v>
      </c>
    </row>
    <row r="15" customFormat="false" ht="15" hidden="false" customHeight="true" outlineLevel="0" collapsed="false">
      <c r="A15" s="5" t="s">
        <v>14</v>
      </c>
      <c r="B15" s="6" t="n">
        <f aca="false">COUNTIF('Pass 1 Archive'!AA2:AA500,"Yes")</f>
        <v>6</v>
      </c>
    </row>
    <row r="16" customFormat="false" ht="15" hidden="false" customHeight="true" outlineLevel="0" collapsed="false">
      <c r="A16" s="5" t="s">
        <v>15</v>
      </c>
      <c r="B16" s="6" t="n">
        <f aca="false">COUNTIF('Comparison Group Database'!Q2:Q500,"Complete")</f>
        <v>0</v>
      </c>
    </row>
    <row r="17" customFormat="false" ht="15" hidden="false" customHeight="true" outlineLevel="0" collapsed="false">
      <c r="A17" s="5" t="s">
        <v>16</v>
      </c>
      <c r="B17" s="6" t="n">
        <f aca="false">COUNTA('Pattern Tracker'!A2:A500)</f>
        <v>0</v>
      </c>
    </row>
    <row r="18" customFormat="false" ht="15" hidden="false" customHeight="true" outlineLevel="0" collapsed="false">
      <c r="A18" s="5" t="s">
        <v>17</v>
      </c>
      <c r="B18" s="6" t="n">
        <f aca="false">COUNTA('Research Log'!A2:A500)</f>
        <v>8</v>
      </c>
    </row>
    <row r="20" customFormat="false" ht="15" hidden="false" customHeight="true" outlineLevel="0" collapsed="false">
      <c r="A20" s="7" t="s">
        <v>18</v>
      </c>
    </row>
    <row r="21" customFormat="false" ht="15" hidden="false" customHeight="true" outlineLevel="0" collapsed="false">
      <c r="A21" s="4" t="s">
        <v>19</v>
      </c>
      <c r="B21" s="4" t="s">
        <v>20</v>
      </c>
      <c r="C21" s="4" t="s">
        <v>21</v>
      </c>
    </row>
    <row r="22" customFormat="false" ht="15" hidden="false" customHeight="true" outlineLevel="0" collapsed="false">
      <c r="A22" s="5" t="s">
        <v>22</v>
      </c>
      <c r="B22" s="6" t="n">
        <f aca="false">COUNTIF('Pass 2'!B2:B500,A22)</f>
        <v>11</v>
      </c>
      <c r="C22" s="5" t="n">
        <v>10</v>
      </c>
    </row>
    <row r="23" customFormat="false" ht="15" hidden="false" customHeight="true" outlineLevel="0" collapsed="false">
      <c r="A23" s="5" t="s">
        <v>23</v>
      </c>
      <c r="B23" s="6" t="n">
        <f aca="false">COUNTIF('Pass 2'!B2:B500,A23)</f>
        <v>11</v>
      </c>
      <c r="C23" s="5" t="n">
        <v>10</v>
      </c>
    </row>
    <row r="24" customFormat="false" ht="15" hidden="false" customHeight="true" outlineLevel="0" collapsed="false">
      <c r="A24" s="5" t="s">
        <v>24</v>
      </c>
      <c r="B24" s="6" t="n">
        <f aca="false">COUNTIF('Pass 2'!B2:B500,A24)</f>
        <v>11</v>
      </c>
      <c r="C24" s="5" t="n">
        <v>10</v>
      </c>
    </row>
    <row r="25" customFormat="false" ht="15" hidden="false" customHeight="true" outlineLevel="0" collapsed="false">
      <c r="A25" s="5" t="s">
        <v>25</v>
      </c>
      <c r="B25" s="6" t="n">
        <f aca="false">COUNTIF('Pass 2'!B2:B500,A25)</f>
        <v>13</v>
      </c>
      <c r="C25" s="5" t="n">
        <v>10</v>
      </c>
    </row>
    <row r="26" customFormat="false" ht="15" hidden="false" customHeight="true" outlineLevel="0" collapsed="false">
      <c r="A26" s="5" t="s">
        <v>26</v>
      </c>
      <c r="B26" s="6" t="n">
        <f aca="false">COUNTIF('Pass 2'!B2:B500,A26)</f>
        <v>11</v>
      </c>
      <c r="C26" s="5" t="n">
        <v>10</v>
      </c>
    </row>
    <row r="27" customFormat="false" ht="15" hidden="false" customHeight="true" outlineLevel="0" collapsed="false">
      <c r="A27" s="5" t="s">
        <v>27</v>
      </c>
      <c r="B27" s="6" t="n">
        <f aca="false">COUNTIF('Pass 2'!B2:B500,A27)</f>
        <v>11</v>
      </c>
      <c r="C27" s="5" t="n">
        <v>10</v>
      </c>
    </row>
    <row r="28" customFormat="false" ht="15" hidden="false" customHeight="true" outlineLevel="0" collapsed="false">
      <c r="A28" s="5" t="s">
        <v>28</v>
      </c>
      <c r="B28" s="6" t="n">
        <f aca="false">COUNTIF('Pass 2'!B2:B500,A28)</f>
        <v>11</v>
      </c>
      <c r="C28" s="5" t="n">
        <v>10</v>
      </c>
    </row>
    <row r="29" customFormat="false" ht="15" hidden="false" customHeight="true" outlineLevel="0" collapsed="false">
      <c r="A29" s="5" t="s">
        <v>29</v>
      </c>
      <c r="B29" s="6" t="n">
        <f aca="false">COUNTIF('Pass 2'!B2:B500,A29)</f>
        <v>11</v>
      </c>
      <c r="C29" s="5" t="n">
        <v>10</v>
      </c>
    </row>
    <row r="30" customFormat="false" ht="15" hidden="false" customHeight="true" outlineLevel="0" collapsed="false">
      <c r="A30" s="5" t="s">
        <v>30</v>
      </c>
      <c r="B30" s="6" t="n">
        <f aca="false">COUNTIF('Pass 2'!B2:B500,A30)</f>
        <v>14</v>
      </c>
      <c r="C30" s="5" t="n">
        <v>10</v>
      </c>
    </row>
    <row r="31" customFormat="false" ht="15" hidden="false" customHeight="true" outlineLevel="0" collapsed="false">
      <c r="A31" s="5" t="s">
        <v>31</v>
      </c>
      <c r="B31" s="6" t="n">
        <f aca="false">COUNTIF('Pass 2'!B2:B500,A31)</f>
        <v>14</v>
      </c>
      <c r="C31" s="5" t="n">
        <v>10</v>
      </c>
    </row>
    <row r="32" customFormat="false" ht="15" hidden="false" customHeight="true" outlineLevel="0" collapsed="false">
      <c r="A32" s="7" t="s">
        <v>32</v>
      </c>
      <c r="B32" s="8" t="n">
        <f aca="false">SUM(B22:B31)</f>
        <v>118</v>
      </c>
    </row>
    <row r="34" customFormat="false" ht="15" hidden="false" customHeight="true" outlineLevel="0" collapsed="false">
      <c r="A34" s="7" t="s">
        <v>33</v>
      </c>
    </row>
    <row r="35" customFormat="false" ht="15" hidden="false" customHeight="true" outlineLevel="0" collapsed="false">
      <c r="A35" s="9" t="s">
        <v>34</v>
      </c>
      <c r="B35" s="9" t="s">
        <v>3</v>
      </c>
    </row>
    <row r="36" customFormat="false" ht="15" hidden="false" customHeight="true" outlineLevel="0" collapsed="false">
      <c r="A36" s="10" t="s">
        <v>35</v>
      </c>
      <c r="B36" s="11" t="n">
        <f aca="false">COUNTIF('Pass 2'!S2:S500,A36)</f>
        <v>25</v>
      </c>
    </row>
    <row r="37" customFormat="false" ht="15" hidden="false" customHeight="true" outlineLevel="0" collapsed="false">
      <c r="A37" s="10" t="s">
        <v>36</v>
      </c>
      <c r="B37" s="11" t="n">
        <f aca="false">COUNTIF('Pass 2'!S2:S500,A37)</f>
        <v>2</v>
      </c>
    </row>
    <row r="38" customFormat="false" ht="15" hidden="false" customHeight="true" outlineLevel="0" collapsed="false">
      <c r="A38" s="10" t="s">
        <v>37</v>
      </c>
      <c r="B38" s="11" t="n">
        <f aca="false">COUNTIF('Pass 2'!S2:S500,A38)</f>
        <v>25</v>
      </c>
    </row>
    <row r="39" customFormat="false" ht="15" hidden="false" customHeight="true" outlineLevel="0" collapsed="false">
      <c r="A39" s="10" t="s">
        <v>38</v>
      </c>
      <c r="B39" s="11" t="n">
        <f aca="false">COUNTIF('Pass 2'!S2:S500,A39)</f>
        <v>1</v>
      </c>
    </row>
    <row r="40" customFormat="false" ht="15" hidden="false" customHeight="true" outlineLevel="0" collapsed="false">
      <c r="A40" s="10" t="s">
        <v>39</v>
      </c>
      <c r="B40" s="11" t="n">
        <f aca="false">COUNTIF('Pass 2'!S2:S500,A40)</f>
        <v>28</v>
      </c>
    </row>
    <row r="41" customFormat="false" ht="15" hidden="false" customHeight="true" outlineLevel="0" collapsed="false">
      <c r="A41" s="10" t="s">
        <v>40</v>
      </c>
      <c r="B41" s="11" t="n">
        <f aca="false">COUNTIF('Pass 2'!S2:S500,A41)</f>
        <v>11</v>
      </c>
    </row>
    <row r="42" customFormat="false" ht="15" hidden="false" customHeight="true" outlineLevel="0" collapsed="false">
      <c r="A42" s="10" t="s">
        <v>41</v>
      </c>
      <c r="B42" s="11" t="n">
        <f aca="false">COUNTIF('Pass 2'!S2:S500,A42)</f>
        <v>3</v>
      </c>
    </row>
    <row r="43" customFormat="false" ht="15" hidden="false" customHeight="true" outlineLevel="0" collapsed="false">
      <c r="A43" s="10" t="s">
        <v>42</v>
      </c>
      <c r="B43" s="11" t="n">
        <f aca="false">COUNTIF('Pass 2'!S2:S500,A43)</f>
        <v>9</v>
      </c>
    </row>
    <row r="44" customFormat="false" ht="15" hidden="false" customHeight="true" outlineLevel="0" collapsed="false">
      <c r="A44" s="10" t="s">
        <v>43</v>
      </c>
      <c r="B44" s="11" t="n">
        <f aca="false">COUNTIF('Pass 2'!S2:S500,A44)</f>
        <v>14</v>
      </c>
    </row>
    <row r="45" customFormat="false" ht="15" hidden="false" customHeight="true" outlineLevel="0" collapsed="false">
      <c r="A45" s="7" t="s">
        <v>32</v>
      </c>
      <c r="B45" s="7" t="n">
        <f aca="false">SUM(B36:B44)</f>
        <v>118</v>
      </c>
    </row>
  </sheetData>
  <mergeCells count="2">
    <mergeCell ref="A1:D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30"/>
    <col collapsed="false" customWidth="true" hidden="false" outlineLevel="0" max="3" min="3" style="1" width="55"/>
    <col collapsed="false" customWidth="true" hidden="false" outlineLevel="0" max="4" min="4" style="1" width="14"/>
    <col collapsed="false" customWidth="true" hidden="false" outlineLevel="0" max="5" min="5" style="1" width="55"/>
  </cols>
  <sheetData>
    <row r="1" customFormat="false" ht="17.25" hidden="false" customHeight="true" outlineLevel="0" collapsed="false">
      <c r="A1" s="2" t="s">
        <v>44</v>
      </c>
      <c r="B1" s="2"/>
      <c r="C1" s="2"/>
      <c r="D1" s="2"/>
      <c r="E1" s="2"/>
    </row>
    <row r="2" customFormat="false" ht="15" hidden="false" customHeight="true" outlineLevel="0" collapsed="false">
      <c r="A2" s="3" t="s">
        <v>45</v>
      </c>
      <c r="B2" s="3"/>
      <c r="C2" s="3"/>
      <c r="D2" s="3"/>
      <c r="E2" s="3"/>
    </row>
    <row r="4" customFormat="false" ht="31.5" hidden="false" customHeight="true" outlineLevel="0" collapsed="false">
      <c r="A4" s="12" t="s">
        <v>46</v>
      </c>
      <c r="B4" s="12" t="s">
        <v>47</v>
      </c>
      <c r="C4" s="12" t="s">
        <v>48</v>
      </c>
      <c r="D4" s="12" t="s">
        <v>49</v>
      </c>
      <c r="E4" s="12" t="s">
        <v>50</v>
      </c>
    </row>
    <row r="5" customFormat="false" ht="23.25" hidden="false" customHeight="true" outlineLevel="0" collapsed="false">
      <c r="A5" s="10" t="s">
        <v>51</v>
      </c>
      <c r="B5" s="10" t="s">
        <v>52</v>
      </c>
      <c r="C5" s="10" t="s">
        <v>53</v>
      </c>
      <c r="D5" s="10" t="s">
        <v>54</v>
      </c>
      <c r="E5" s="10"/>
    </row>
    <row r="6" customFormat="false" ht="15" hidden="false" customHeight="true" outlineLevel="0" collapsed="false">
      <c r="A6" s="10" t="s">
        <v>51</v>
      </c>
      <c r="B6" s="10" t="s">
        <v>19</v>
      </c>
      <c r="C6" s="10" t="s">
        <v>55</v>
      </c>
      <c r="D6" s="10" t="s">
        <v>56</v>
      </c>
      <c r="E6" s="10" t="s">
        <v>57</v>
      </c>
    </row>
    <row r="7" customFormat="false" ht="23.25" hidden="false" customHeight="true" outlineLevel="0" collapsed="false">
      <c r="A7" s="10" t="s">
        <v>51</v>
      </c>
      <c r="B7" s="10" t="s">
        <v>58</v>
      </c>
      <c r="C7" s="10" t="s">
        <v>59</v>
      </c>
      <c r="D7" s="10" t="s">
        <v>60</v>
      </c>
      <c r="E7" s="10"/>
    </row>
    <row r="8" customFormat="false" ht="15" hidden="false" customHeight="true" outlineLevel="0" collapsed="false">
      <c r="A8" s="10" t="s">
        <v>51</v>
      </c>
      <c r="B8" s="10" t="s">
        <v>61</v>
      </c>
      <c r="C8" s="10" t="s">
        <v>62</v>
      </c>
      <c r="D8" s="10" t="s">
        <v>60</v>
      </c>
      <c r="E8" s="10"/>
    </row>
    <row r="9" customFormat="false" ht="23.25" hidden="false" customHeight="true" outlineLevel="0" collapsed="false">
      <c r="A9" s="10" t="s">
        <v>51</v>
      </c>
      <c r="B9" s="10" t="s">
        <v>63</v>
      </c>
      <c r="C9" s="10" t="s">
        <v>64</v>
      </c>
      <c r="D9" s="10" t="s">
        <v>65</v>
      </c>
      <c r="E9" s="10" t="str">
        <f aca="false">IFERROR((JUN2026-JAN2025)/JAN2025,"")</f>
        <v/>
      </c>
    </row>
    <row r="10" customFormat="false" ht="15" hidden="false" customHeight="true" outlineLevel="0" collapsed="false">
      <c r="A10" s="10" t="s">
        <v>51</v>
      </c>
      <c r="B10" s="10" t="s">
        <v>66</v>
      </c>
      <c r="C10" s="10" t="s">
        <v>67</v>
      </c>
      <c r="D10" s="10" t="s">
        <v>60</v>
      </c>
      <c r="E10" s="10"/>
    </row>
    <row r="11" customFormat="false" ht="23.25" hidden="false" customHeight="true" outlineLevel="0" collapsed="false">
      <c r="A11" s="10" t="s">
        <v>51</v>
      </c>
      <c r="B11" s="10" t="s">
        <v>68</v>
      </c>
      <c r="C11" s="10" t="s">
        <v>69</v>
      </c>
      <c r="D11" s="10" t="s">
        <v>60</v>
      </c>
      <c r="E11" s="10"/>
    </row>
    <row r="12" customFormat="false" ht="15" hidden="false" customHeight="true" outlineLevel="0" collapsed="false">
      <c r="A12" s="10" t="s">
        <v>51</v>
      </c>
      <c r="B12" s="10" t="s">
        <v>70</v>
      </c>
      <c r="C12" s="10" t="s">
        <v>64</v>
      </c>
      <c r="D12" s="10" t="s">
        <v>65</v>
      </c>
      <c r="E12" s="10" t="str">
        <f aca="false">IFERROR((end-start)/start,"")</f>
        <v/>
      </c>
    </row>
    <row r="13" customFormat="false" ht="15" hidden="false" customHeight="true" outlineLevel="0" collapsed="false">
      <c r="A13" s="10" t="s">
        <v>51</v>
      </c>
      <c r="B13" s="10" t="s">
        <v>71</v>
      </c>
      <c r="C13" s="10" t="s">
        <v>72</v>
      </c>
      <c r="D13" s="10" t="s">
        <v>60</v>
      </c>
      <c r="E13" s="10"/>
    </row>
    <row r="14" customFormat="false" ht="23.25" hidden="false" customHeight="true" outlineLevel="0" collapsed="false">
      <c r="A14" s="10" t="s">
        <v>51</v>
      </c>
      <c r="B14" s="10" t="s">
        <v>73</v>
      </c>
      <c r="C14" s="10" t="s">
        <v>74</v>
      </c>
      <c r="D14" s="10" t="s">
        <v>60</v>
      </c>
      <c r="E14" s="10"/>
    </row>
    <row r="15" customFormat="false" ht="15" hidden="false" customHeight="true" outlineLevel="0" collapsed="false">
      <c r="A15" s="10" t="s">
        <v>51</v>
      </c>
      <c r="B15" s="10" t="s">
        <v>75</v>
      </c>
      <c r="C15" s="10" t="s">
        <v>64</v>
      </c>
      <c r="D15" s="10" t="s">
        <v>65</v>
      </c>
      <c r="E15" s="10" t="str">
        <f aca="false">IFERROR((end-start)/start,"")</f>
        <v/>
      </c>
    </row>
    <row r="16" customFormat="false" ht="15" hidden="false" customHeight="true" outlineLevel="0" collapsed="false">
      <c r="A16" s="10" t="s">
        <v>51</v>
      </c>
      <c r="B16" s="10" t="s">
        <v>76</v>
      </c>
      <c r="C16" s="10" t="s">
        <v>77</v>
      </c>
      <c r="D16" s="10" t="s">
        <v>60</v>
      </c>
      <c r="E16" s="10"/>
    </row>
    <row r="17" customFormat="false" ht="15" hidden="false" customHeight="true" outlineLevel="0" collapsed="false">
      <c r="A17" s="10" t="s">
        <v>51</v>
      </c>
      <c r="B17" s="10" t="s">
        <v>78</v>
      </c>
      <c r="C17" s="10" t="s">
        <v>79</v>
      </c>
      <c r="D17" s="10" t="s">
        <v>54</v>
      </c>
      <c r="E17" s="10"/>
    </row>
    <row r="18" customFormat="false" ht="34.5" hidden="false" customHeight="true" outlineLevel="0" collapsed="false">
      <c r="A18" s="10" t="s">
        <v>51</v>
      </c>
      <c r="B18" s="10" t="s">
        <v>80</v>
      </c>
      <c r="C18" s="10" t="s">
        <v>81</v>
      </c>
      <c r="D18" s="10" t="s">
        <v>60</v>
      </c>
      <c r="E18" s="10"/>
    </row>
    <row r="19" customFormat="false" ht="15" hidden="false" customHeight="true" outlineLevel="0" collapsed="false">
      <c r="A19" s="10" t="s">
        <v>51</v>
      </c>
      <c r="B19" s="10" t="s">
        <v>82</v>
      </c>
      <c r="C19" s="10" t="s">
        <v>83</v>
      </c>
      <c r="D19" s="10" t="s">
        <v>54</v>
      </c>
      <c r="E19" s="10"/>
    </row>
    <row r="20" customFormat="false" ht="15" hidden="false" customHeight="true" outlineLevel="0" collapsed="false">
      <c r="A20" s="10" t="s">
        <v>51</v>
      </c>
      <c r="B20" s="10" t="s">
        <v>84</v>
      </c>
      <c r="C20" s="10" t="s">
        <v>85</v>
      </c>
      <c r="D20" s="10" t="s">
        <v>65</v>
      </c>
      <c r="E20" s="10" t="str">
        <f aca="false">IFERROR((jun2026traffic-historicalpeaktraffic)/historicalpeaktraffic,"")</f>
        <v/>
      </c>
    </row>
    <row r="21" customFormat="false" ht="23.25" hidden="false" customHeight="true" outlineLevel="0" collapsed="false">
      <c r="A21" s="10" t="s">
        <v>51</v>
      </c>
      <c r="B21" s="10" t="s">
        <v>86</v>
      </c>
      <c r="C21" s="10" t="s">
        <v>87</v>
      </c>
      <c r="D21" s="10" t="s">
        <v>56</v>
      </c>
      <c r="E21" s="10" t="s">
        <v>88</v>
      </c>
    </row>
    <row r="22" customFormat="false" ht="15" hidden="false" customHeight="true" outlineLevel="0" collapsed="false">
      <c r="A22" s="10" t="s">
        <v>51</v>
      </c>
      <c r="B22" s="10" t="s">
        <v>89</v>
      </c>
      <c r="C22" s="10" t="s">
        <v>90</v>
      </c>
      <c r="D22" s="10" t="s">
        <v>56</v>
      </c>
      <c r="E22" s="10" t="s">
        <v>91</v>
      </c>
    </row>
    <row r="23" customFormat="false" ht="15" hidden="false" customHeight="true" outlineLevel="0" collapsed="false">
      <c r="A23" s="10" t="s">
        <v>51</v>
      </c>
      <c r="B23" s="10" t="s">
        <v>92</v>
      </c>
      <c r="C23" s="10" t="s">
        <v>93</v>
      </c>
      <c r="D23" s="10" t="s">
        <v>54</v>
      </c>
      <c r="E23" s="10"/>
    </row>
    <row r="24" customFormat="false" ht="23.25" hidden="false" customHeight="true" outlineLevel="0" collapsed="false">
      <c r="A24" s="10" t="s">
        <v>94</v>
      </c>
      <c r="B24" s="10" t="s">
        <v>52</v>
      </c>
      <c r="C24" s="10" t="s">
        <v>95</v>
      </c>
      <c r="D24" s="10" t="s">
        <v>54</v>
      </c>
      <c r="E24" s="10"/>
    </row>
    <row r="25" customFormat="false" ht="23.25" hidden="false" customHeight="true" outlineLevel="0" collapsed="false">
      <c r="A25" s="10" t="s">
        <v>94</v>
      </c>
      <c r="B25" s="10" t="s">
        <v>96</v>
      </c>
      <c r="C25" s="10" t="s">
        <v>97</v>
      </c>
      <c r="D25" s="10" t="s">
        <v>98</v>
      </c>
      <c r="E25" s="10"/>
    </row>
    <row r="26" customFormat="false" ht="15" hidden="false" customHeight="true" outlineLevel="0" collapsed="false">
      <c r="A26" s="1" t="s">
        <v>94</v>
      </c>
      <c r="B26" s="1" t="s">
        <v>19</v>
      </c>
      <c r="C26" s="1" t="s">
        <v>99</v>
      </c>
      <c r="D26" s="1" t="s">
        <v>56</v>
      </c>
    </row>
    <row r="27" customFormat="false" ht="34.5" hidden="false" customHeight="true" outlineLevel="0" collapsed="false">
      <c r="A27" s="10" t="s">
        <v>94</v>
      </c>
      <c r="B27" s="10" t="s">
        <v>100</v>
      </c>
      <c r="C27" s="10" t="s">
        <v>101</v>
      </c>
      <c r="D27" s="10" t="s">
        <v>102</v>
      </c>
      <c r="E27" s="10"/>
    </row>
    <row r="28" customFormat="false" ht="15" hidden="false" customHeight="true" outlineLevel="0" collapsed="false">
      <c r="A28" s="10" t="s">
        <v>94</v>
      </c>
      <c r="B28" s="10" t="s">
        <v>103</v>
      </c>
      <c r="C28" s="10" t="s">
        <v>104</v>
      </c>
      <c r="D28" s="10" t="s">
        <v>56</v>
      </c>
      <c r="E28" s="10" t="s">
        <v>105</v>
      </c>
    </row>
    <row r="29" customFormat="false" ht="15" hidden="false" customHeight="true" outlineLevel="0" collapsed="false">
      <c r="A29" s="10" t="s">
        <v>94</v>
      </c>
      <c r="B29" s="10" t="s">
        <v>106</v>
      </c>
      <c r="C29" s="10" t="s">
        <v>107</v>
      </c>
      <c r="D29" s="10" t="s">
        <v>98</v>
      </c>
      <c r="E29" s="10"/>
    </row>
    <row r="30" customFormat="false" ht="23.25" hidden="false" customHeight="true" outlineLevel="0" collapsed="false">
      <c r="A30" s="10" t="s">
        <v>94</v>
      </c>
      <c r="B30" s="10" t="s">
        <v>108</v>
      </c>
      <c r="C30" s="10" t="s">
        <v>109</v>
      </c>
      <c r="D30" s="10" t="s">
        <v>54</v>
      </c>
      <c r="E30" s="10"/>
    </row>
    <row r="31" customFormat="false" ht="15" hidden="false" customHeight="true" outlineLevel="0" collapsed="false">
      <c r="A31" s="10" t="s">
        <v>94</v>
      </c>
      <c r="B31" s="10" t="s">
        <v>110</v>
      </c>
      <c r="C31" s="10" t="s">
        <v>111</v>
      </c>
      <c r="D31" s="10" t="s">
        <v>102</v>
      </c>
      <c r="E31" s="10"/>
    </row>
    <row r="32" customFormat="false" ht="15" hidden="false" customHeight="true" outlineLevel="0" collapsed="false">
      <c r="A32" s="10" t="s">
        <v>94</v>
      </c>
      <c r="B32" s="10" t="s">
        <v>112</v>
      </c>
      <c r="C32" s="10" t="s">
        <v>113</v>
      </c>
      <c r="D32" s="10" t="s">
        <v>56</v>
      </c>
      <c r="E32" s="10" t="s">
        <v>114</v>
      </c>
    </row>
    <row r="33" customFormat="false" ht="15" hidden="false" customHeight="true" outlineLevel="0" collapsed="false">
      <c r="A33" s="10" t="s">
        <v>94</v>
      </c>
      <c r="B33" s="10" t="s">
        <v>115</v>
      </c>
      <c r="C33" s="10" t="s">
        <v>116</v>
      </c>
      <c r="D33" s="10" t="s">
        <v>54</v>
      </c>
      <c r="E33" s="10"/>
    </row>
    <row r="34" customFormat="false" ht="15" hidden="false" customHeight="true" outlineLevel="0" collapsed="false">
      <c r="A34" s="10" t="s">
        <v>94</v>
      </c>
      <c r="B34" s="10" t="s">
        <v>117</v>
      </c>
      <c r="C34" s="10" t="s">
        <v>118</v>
      </c>
      <c r="D34" s="10" t="s">
        <v>60</v>
      </c>
      <c r="E34" s="10"/>
    </row>
    <row r="35" customFormat="false" ht="15" hidden="false" customHeight="true" outlineLevel="0" collapsed="false">
      <c r="A35" s="10" t="s">
        <v>94</v>
      </c>
      <c r="B35" s="10" t="s">
        <v>119</v>
      </c>
      <c r="C35" s="10" t="s">
        <v>120</v>
      </c>
      <c r="D35" s="10" t="s">
        <v>56</v>
      </c>
      <c r="E35" s="10" t="s">
        <v>121</v>
      </c>
    </row>
    <row r="36" customFormat="false" ht="34.5" hidden="false" customHeight="true" outlineLevel="0" collapsed="false">
      <c r="A36" s="10" t="s">
        <v>94</v>
      </c>
      <c r="B36" s="10" t="s">
        <v>122</v>
      </c>
      <c r="C36" s="10" t="s">
        <v>123</v>
      </c>
      <c r="D36" s="10" t="s">
        <v>60</v>
      </c>
      <c r="E36" s="10"/>
    </row>
    <row r="37" customFormat="false" ht="15" hidden="false" customHeight="true" outlineLevel="0" collapsed="false">
      <c r="A37" s="10" t="s">
        <v>94</v>
      </c>
      <c r="B37" s="10" t="s">
        <v>124</v>
      </c>
      <c r="C37" s="10" t="s">
        <v>125</v>
      </c>
      <c r="D37" s="10" t="s">
        <v>54</v>
      </c>
      <c r="E37" s="10"/>
    </row>
    <row r="38" customFormat="false" ht="23.25" hidden="false" customHeight="true" outlineLevel="0" collapsed="false">
      <c r="A38" s="10" t="s">
        <v>94</v>
      </c>
      <c r="B38" s="10" t="s">
        <v>126</v>
      </c>
      <c r="C38" s="10" t="s">
        <v>120</v>
      </c>
      <c r="D38" s="10" t="s">
        <v>54</v>
      </c>
      <c r="E38" s="10"/>
    </row>
    <row r="39" customFormat="false" ht="15" hidden="false" customHeight="true" outlineLevel="0" collapsed="false">
      <c r="A39" s="10" t="s">
        <v>94</v>
      </c>
      <c r="B39" s="10" t="s">
        <v>127</v>
      </c>
      <c r="C39" s="10" t="s">
        <v>128</v>
      </c>
      <c r="D39" s="10" t="s">
        <v>56</v>
      </c>
      <c r="E39" s="10" t="s">
        <v>129</v>
      </c>
    </row>
    <row r="40" customFormat="false" ht="15" hidden="false" customHeight="true" outlineLevel="0" collapsed="false">
      <c r="A40" s="10" t="s">
        <v>94</v>
      </c>
      <c r="B40" s="10" t="s">
        <v>130</v>
      </c>
      <c r="C40" s="10" t="s">
        <v>131</v>
      </c>
      <c r="D40" s="10" t="s">
        <v>54</v>
      </c>
      <c r="E40" s="10"/>
    </row>
    <row r="41" customFormat="false" ht="15" hidden="false" customHeight="true" outlineLevel="0" collapsed="false">
      <c r="A41" s="10" t="s">
        <v>94</v>
      </c>
      <c r="B41" s="10" t="s">
        <v>132</v>
      </c>
      <c r="C41" s="10" t="s">
        <v>133</v>
      </c>
      <c r="D41" s="10" t="s">
        <v>56</v>
      </c>
      <c r="E41" s="10" t="s">
        <v>114</v>
      </c>
    </row>
    <row r="42" customFormat="false" ht="23.25" hidden="false" customHeight="true" outlineLevel="0" collapsed="false">
      <c r="A42" s="10" t="s">
        <v>94</v>
      </c>
      <c r="B42" s="10" t="s">
        <v>134</v>
      </c>
      <c r="C42" s="10" t="s">
        <v>135</v>
      </c>
      <c r="D42" s="10" t="s">
        <v>56</v>
      </c>
      <c r="E42" s="10" t="s">
        <v>136</v>
      </c>
    </row>
    <row r="43" customFormat="false" ht="15" hidden="false" customHeight="true" outlineLevel="0" collapsed="false">
      <c r="A43" s="10" t="s">
        <v>94</v>
      </c>
      <c r="B43" s="10" t="s">
        <v>137</v>
      </c>
      <c r="C43" s="10" t="s">
        <v>138</v>
      </c>
      <c r="D43" s="10" t="s">
        <v>56</v>
      </c>
      <c r="E43" s="10" t="s">
        <v>139</v>
      </c>
    </row>
    <row r="44" customFormat="false" ht="15" hidden="false" customHeight="true" outlineLevel="0" collapsed="false">
      <c r="A44" s="10" t="s">
        <v>94</v>
      </c>
      <c r="B44" s="10" t="s">
        <v>140</v>
      </c>
      <c r="C44" s="10" t="s">
        <v>138</v>
      </c>
      <c r="D44" s="10" t="s">
        <v>56</v>
      </c>
      <c r="E44" s="10" t="s">
        <v>141</v>
      </c>
    </row>
    <row r="45" customFormat="false" ht="15" hidden="false" customHeight="true" outlineLevel="0" collapsed="false">
      <c r="A45" s="10" t="s">
        <v>94</v>
      </c>
      <c r="B45" s="10" t="s">
        <v>142</v>
      </c>
      <c r="C45" s="10" t="s">
        <v>143</v>
      </c>
      <c r="D45" s="10" t="s">
        <v>56</v>
      </c>
      <c r="E45" s="10" t="s">
        <v>114</v>
      </c>
    </row>
    <row r="46" customFormat="false" ht="15" hidden="false" customHeight="true" outlineLevel="0" collapsed="false">
      <c r="A46" s="10" t="s">
        <v>94</v>
      </c>
      <c r="B46" s="10" t="s">
        <v>144</v>
      </c>
      <c r="C46" s="10" t="s">
        <v>145</v>
      </c>
      <c r="D46" s="10" t="s">
        <v>54</v>
      </c>
      <c r="E46" s="10"/>
    </row>
    <row r="47" customFormat="false" ht="15" hidden="false" customHeight="true" outlineLevel="0" collapsed="false">
      <c r="A47" s="10" t="s">
        <v>94</v>
      </c>
      <c r="B47" s="10" t="s">
        <v>146</v>
      </c>
      <c r="C47" s="10" t="s">
        <v>147</v>
      </c>
      <c r="D47" s="10" t="s">
        <v>56</v>
      </c>
      <c r="E47" s="10" t="s">
        <v>148</v>
      </c>
    </row>
    <row r="48" customFormat="false" ht="15" hidden="false" customHeight="true" outlineLevel="0" collapsed="false">
      <c r="A48" s="10" t="s">
        <v>94</v>
      </c>
      <c r="B48" s="10" t="s">
        <v>149</v>
      </c>
      <c r="C48" s="10" t="s">
        <v>150</v>
      </c>
      <c r="D48" s="10" t="s">
        <v>54</v>
      </c>
      <c r="E48" s="10"/>
    </row>
    <row r="49" customFormat="false" ht="23.25" hidden="false" customHeight="true" outlineLevel="0" collapsed="false">
      <c r="A49" s="10" t="s">
        <v>94</v>
      </c>
      <c r="B49" s="10" t="s">
        <v>151</v>
      </c>
      <c r="C49" s="10" t="s">
        <v>152</v>
      </c>
      <c r="D49" s="10" t="s">
        <v>56</v>
      </c>
      <c r="E49" s="10" t="s">
        <v>114</v>
      </c>
    </row>
    <row r="50" customFormat="false" ht="15" hidden="false" customHeight="true" outlineLevel="0" collapsed="false">
      <c r="A50" s="10" t="s">
        <v>94</v>
      </c>
      <c r="B50" s="10" t="s">
        <v>153</v>
      </c>
      <c r="C50" s="10" t="s">
        <v>154</v>
      </c>
      <c r="D50" s="10" t="s">
        <v>56</v>
      </c>
      <c r="E50" s="10" t="s">
        <v>114</v>
      </c>
    </row>
    <row r="51" customFormat="false" ht="15" hidden="false" customHeight="true" outlineLevel="0" collapsed="false">
      <c r="A51" s="10" t="s">
        <v>94</v>
      </c>
      <c r="B51" s="10" t="s">
        <v>155</v>
      </c>
      <c r="C51" s="10" t="s">
        <v>156</v>
      </c>
      <c r="D51" s="10" t="s">
        <v>56</v>
      </c>
      <c r="E51" s="10" t="s">
        <v>157</v>
      </c>
    </row>
    <row r="52" customFormat="false" ht="15" hidden="false" customHeight="true" outlineLevel="0" collapsed="false">
      <c r="A52" s="10" t="s">
        <v>94</v>
      </c>
      <c r="B52" s="10" t="s">
        <v>158</v>
      </c>
      <c r="C52" s="10" t="s">
        <v>159</v>
      </c>
      <c r="D52" s="10" t="s">
        <v>54</v>
      </c>
      <c r="E52" s="10"/>
    </row>
    <row r="53" customFormat="false" ht="15" hidden="false" customHeight="true" outlineLevel="0" collapsed="false">
      <c r="A53" s="10" t="s">
        <v>94</v>
      </c>
      <c r="B53" s="10" t="s">
        <v>160</v>
      </c>
      <c r="C53" s="10" t="s">
        <v>161</v>
      </c>
      <c r="D53" s="10" t="s">
        <v>102</v>
      </c>
      <c r="E53" s="10"/>
    </row>
    <row r="54" customFormat="false" ht="34.5" hidden="false" customHeight="true" outlineLevel="0" collapsed="false">
      <c r="A54" s="10" t="s">
        <v>162</v>
      </c>
      <c r="B54" s="10" t="s">
        <v>52</v>
      </c>
      <c r="C54" s="10" t="s">
        <v>163</v>
      </c>
      <c r="D54" s="10" t="s">
        <v>54</v>
      </c>
      <c r="E54" s="10"/>
    </row>
    <row r="55" customFormat="false" ht="15" hidden="false" customHeight="true" outlineLevel="0" collapsed="false">
      <c r="A55" s="10" t="s">
        <v>162</v>
      </c>
      <c r="B55" s="10" t="s">
        <v>164</v>
      </c>
      <c r="C55" s="10" t="s">
        <v>165</v>
      </c>
      <c r="D55" s="10" t="s">
        <v>65</v>
      </c>
      <c r="E55" s="10"/>
    </row>
    <row r="56" customFormat="false" ht="15" hidden="false" customHeight="true" outlineLevel="0" collapsed="false">
      <c r="A56" s="10" t="s">
        <v>162</v>
      </c>
      <c r="B56" s="10" t="s">
        <v>166</v>
      </c>
      <c r="C56" s="10" t="s">
        <v>167</v>
      </c>
      <c r="D56" s="10" t="s">
        <v>65</v>
      </c>
      <c r="E56" s="10"/>
    </row>
    <row r="57" customFormat="false" ht="15" hidden="false" customHeight="true" outlineLevel="0" collapsed="false">
      <c r="A57" s="10" t="s">
        <v>162</v>
      </c>
      <c r="B57" s="10" t="s">
        <v>168</v>
      </c>
      <c r="C57" s="10" t="s">
        <v>169</v>
      </c>
      <c r="D57" s="10" t="s">
        <v>102</v>
      </c>
      <c r="E57" s="10"/>
    </row>
    <row r="58" customFormat="false" ht="15" hidden="false" customHeight="true" outlineLevel="0" collapsed="false">
      <c r="A58" s="10" t="s">
        <v>162</v>
      </c>
      <c r="B58" s="10" t="s">
        <v>170</v>
      </c>
      <c r="C58" s="10" t="s">
        <v>171</v>
      </c>
      <c r="D58" s="10" t="s">
        <v>60</v>
      </c>
      <c r="E58" s="10"/>
    </row>
    <row r="59" customFormat="false" ht="23.25" hidden="false" customHeight="true" outlineLevel="0" collapsed="false">
      <c r="A59" s="10" t="s">
        <v>162</v>
      </c>
      <c r="B59" s="10" t="s">
        <v>172</v>
      </c>
      <c r="C59" s="10" t="s">
        <v>173</v>
      </c>
      <c r="D59" s="10" t="s">
        <v>54</v>
      </c>
      <c r="E59" s="10"/>
    </row>
    <row r="60" customFormat="false" ht="15" hidden="false" customHeight="true" outlineLevel="0" collapsed="false">
      <c r="A60" s="10" t="s">
        <v>162</v>
      </c>
      <c r="B60" s="10" t="s">
        <v>174</v>
      </c>
      <c r="C60" s="10" t="s">
        <v>175</v>
      </c>
      <c r="D60" s="10" t="s">
        <v>176</v>
      </c>
      <c r="E60" s="10" t="s">
        <v>177</v>
      </c>
    </row>
    <row r="61" customFormat="false" ht="15" hidden="false" customHeight="true" outlineLevel="0" collapsed="false">
      <c r="A61" s="10" t="s">
        <v>162</v>
      </c>
      <c r="B61" s="10" t="s">
        <v>178</v>
      </c>
      <c r="C61" s="10" t="s">
        <v>179</v>
      </c>
      <c r="D61" s="10" t="s">
        <v>56</v>
      </c>
      <c r="E61" s="10" t="s">
        <v>180</v>
      </c>
    </row>
    <row r="62" customFormat="false" ht="15" hidden="false" customHeight="true" outlineLevel="0" collapsed="false">
      <c r="A62" s="10" t="s">
        <v>162</v>
      </c>
      <c r="B62" s="10" t="s">
        <v>181</v>
      </c>
      <c r="C62" s="10" t="s">
        <v>182</v>
      </c>
      <c r="D62" s="10" t="s">
        <v>56</v>
      </c>
      <c r="E62" s="10" t="s">
        <v>183</v>
      </c>
    </row>
    <row r="63" customFormat="false" ht="15" hidden="false" customHeight="true" outlineLevel="0" collapsed="false">
      <c r="A63" s="10" t="s">
        <v>162</v>
      </c>
      <c r="B63" s="10" t="s">
        <v>184</v>
      </c>
      <c r="C63" s="10" t="s">
        <v>185</v>
      </c>
      <c r="D63" s="10" t="s">
        <v>56</v>
      </c>
      <c r="E63" s="10" t="s">
        <v>186</v>
      </c>
    </row>
    <row r="64" customFormat="false" ht="23.25" hidden="false" customHeight="true" outlineLevel="0" collapsed="false">
      <c r="A64" s="10" t="s">
        <v>162</v>
      </c>
      <c r="B64" s="10" t="s">
        <v>187</v>
      </c>
      <c r="C64" s="10" t="s">
        <v>188</v>
      </c>
      <c r="D64" s="10" t="s">
        <v>54</v>
      </c>
      <c r="E64" s="10"/>
    </row>
    <row r="65" customFormat="false" ht="15" hidden="false" customHeight="true" outlineLevel="0" collapsed="false">
      <c r="A65" s="10" t="s">
        <v>162</v>
      </c>
      <c r="B65" s="10" t="s">
        <v>189</v>
      </c>
      <c r="C65" s="10" t="s">
        <v>190</v>
      </c>
      <c r="D65" s="10" t="s">
        <v>54</v>
      </c>
      <c r="E65" s="10"/>
    </row>
    <row r="66" customFormat="false" ht="15" hidden="false" customHeight="true" outlineLevel="0" collapsed="false">
      <c r="A66" s="10" t="s">
        <v>162</v>
      </c>
      <c r="B66" s="10" t="s">
        <v>191</v>
      </c>
      <c r="C66" s="10" t="s">
        <v>192</v>
      </c>
      <c r="D66" s="10" t="s">
        <v>54</v>
      </c>
      <c r="E66" s="10"/>
    </row>
    <row r="67" customFormat="false" ht="23.25" hidden="false" customHeight="true" outlineLevel="0" collapsed="false">
      <c r="A67" s="10" t="s">
        <v>162</v>
      </c>
      <c r="B67" s="10" t="s">
        <v>193</v>
      </c>
      <c r="C67" s="10" t="s">
        <v>194</v>
      </c>
      <c r="D67" s="10" t="s">
        <v>54</v>
      </c>
      <c r="E67" s="10"/>
    </row>
    <row r="68" customFormat="false" ht="34.5" hidden="false" customHeight="true" outlineLevel="0" collapsed="false">
      <c r="A68" s="10" t="s">
        <v>162</v>
      </c>
      <c r="B68" s="10" t="s">
        <v>195</v>
      </c>
      <c r="C68" s="10" t="s">
        <v>196</v>
      </c>
      <c r="D68" s="10" t="s">
        <v>54</v>
      </c>
      <c r="E68" s="10"/>
    </row>
    <row r="69" customFormat="false" ht="23.25" hidden="false" customHeight="true" outlineLevel="0" collapsed="false">
      <c r="A69" s="10" t="s">
        <v>162</v>
      </c>
      <c r="B69" s="10" t="s">
        <v>197</v>
      </c>
      <c r="C69" s="10" t="s">
        <v>198</v>
      </c>
      <c r="D69" s="10" t="s">
        <v>54</v>
      </c>
      <c r="E69" s="10"/>
    </row>
    <row r="70" customFormat="false" ht="23.25" hidden="false" customHeight="true" outlineLevel="0" collapsed="false">
      <c r="A70" s="10" t="s">
        <v>162</v>
      </c>
      <c r="B70" s="10" t="s">
        <v>199</v>
      </c>
      <c r="C70" s="10" t="s">
        <v>200</v>
      </c>
      <c r="D70" s="10" t="s">
        <v>56</v>
      </c>
      <c r="E70" s="10" t="s">
        <v>201</v>
      </c>
    </row>
    <row r="71" customFormat="false" ht="23.25" hidden="false" customHeight="true" outlineLevel="0" collapsed="false">
      <c r="A71" s="10" t="s">
        <v>162</v>
      </c>
      <c r="B71" s="10" t="s">
        <v>202</v>
      </c>
      <c r="C71" s="10"/>
      <c r="D71" s="10" t="s">
        <v>56</v>
      </c>
      <c r="E71" s="10" t="s">
        <v>157</v>
      </c>
    </row>
    <row r="72" customFormat="false" ht="23.25" hidden="false" customHeight="true" outlineLevel="0" collapsed="false">
      <c r="A72" s="10" t="s">
        <v>162</v>
      </c>
      <c r="B72" s="10" t="s">
        <v>203</v>
      </c>
      <c r="C72" s="10"/>
      <c r="D72" s="10" t="s">
        <v>54</v>
      </c>
      <c r="E72" s="10"/>
    </row>
    <row r="73" customFormat="false" ht="23.25" hidden="false" customHeight="true" outlineLevel="0" collapsed="false">
      <c r="A73" s="10" t="s">
        <v>162</v>
      </c>
      <c r="B73" s="10" t="s">
        <v>204</v>
      </c>
      <c r="C73" s="10" t="s">
        <v>205</v>
      </c>
      <c r="D73" s="10" t="s">
        <v>56</v>
      </c>
      <c r="E73" s="10" t="s">
        <v>114</v>
      </c>
    </row>
    <row r="74" customFormat="false" ht="23.25" hidden="false" customHeight="true" outlineLevel="0" collapsed="false">
      <c r="A74" s="10" t="s">
        <v>162</v>
      </c>
      <c r="B74" s="10" t="s">
        <v>206</v>
      </c>
      <c r="C74" s="10" t="s">
        <v>207</v>
      </c>
      <c r="D74" s="10" t="s">
        <v>54</v>
      </c>
      <c r="E74" s="10"/>
    </row>
    <row r="75" customFormat="false" ht="23.25" hidden="false" customHeight="true" outlineLevel="0" collapsed="false">
      <c r="A75" s="10" t="s">
        <v>162</v>
      </c>
      <c r="B75" s="10" t="s">
        <v>208</v>
      </c>
      <c r="C75" s="10" t="s">
        <v>209</v>
      </c>
      <c r="D75" s="10" t="s">
        <v>54</v>
      </c>
      <c r="E75" s="10"/>
    </row>
    <row r="76" customFormat="false" ht="23.25" hidden="false" customHeight="true" outlineLevel="0" collapsed="false">
      <c r="A76" s="10" t="s">
        <v>162</v>
      </c>
      <c r="B76" s="10" t="s">
        <v>210</v>
      </c>
      <c r="C76" s="10" t="s">
        <v>211</v>
      </c>
      <c r="D76" s="10" t="s">
        <v>54</v>
      </c>
      <c r="E76" s="10"/>
    </row>
    <row r="77" customFormat="false" ht="23.25" hidden="false" customHeight="true" outlineLevel="0" collapsed="false">
      <c r="A77" s="10" t="s">
        <v>162</v>
      </c>
      <c r="B77" s="10" t="s">
        <v>212</v>
      </c>
      <c r="C77" s="10" t="s">
        <v>213</v>
      </c>
      <c r="D77" s="10" t="s">
        <v>54</v>
      </c>
      <c r="E77" s="10"/>
    </row>
    <row r="78" customFormat="false" ht="15" hidden="false" customHeight="true" outlineLevel="0" collapsed="false">
      <c r="A78" s="10" t="s">
        <v>162</v>
      </c>
      <c r="B78" s="10" t="s">
        <v>214</v>
      </c>
      <c r="C78" s="10" t="s">
        <v>215</v>
      </c>
      <c r="D78" s="10" t="s">
        <v>54</v>
      </c>
      <c r="E78" s="10"/>
    </row>
    <row r="79" customFormat="false" ht="15" hidden="false" customHeight="true" outlineLevel="0" collapsed="false">
      <c r="A79" s="10" t="s">
        <v>162</v>
      </c>
      <c r="B79" s="10" t="s">
        <v>216</v>
      </c>
      <c r="C79" s="10" t="s">
        <v>217</v>
      </c>
      <c r="D79" s="10" t="s">
        <v>54</v>
      </c>
      <c r="E79" s="10"/>
    </row>
    <row r="80" customFormat="false" ht="15" hidden="false" customHeight="true" outlineLevel="0" collapsed="false">
      <c r="A80" s="10" t="s">
        <v>218</v>
      </c>
      <c r="B80" s="10" t="s">
        <v>52</v>
      </c>
      <c r="C80" s="10" t="s">
        <v>163</v>
      </c>
      <c r="D80" s="10" t="s">
        <v>54</v>
      </c>
      <c r="E80" s="10"/>
    </row>
    <row r="81" customFormat="false" ht="23.25" hidden="false" customHeight="true" outlineLevel="0" collapsed="false">
      <c r="A81" s="10" t="s">
        <v>218</v>
      </c>
      <c r="B81" s="10" t="s">
        <v>219</v>
      </c>
      <c r="C81" s="10" t="s">
        <v>220</v>
      </c>
      <c r="D81" s="10" t="s">
        <v>65</v>
      </c>
      <c r="E81" s="10"/>
    </row>
    <row r="82" customFormat="false" ht="15" hidden="false" customHeight="true" outlineLevel="0" collapsed="false">
      <c r="A82" s="10" t="s">
        <v>218</v>
      </c>
      <c r="B82" s="10" t="s">
        <v>168</v>
      </c>
      <c r="C82" s="10"/>
      <c r="D82" s="10" t="s">
        <v>102</v>
      </c>
      <c r="E82" s="10"/>
    </row>
    <row r="83" customFormat="false" ht="15" hidden="false" customHeight="true" outlineLevel="0" collapsed="false">
      <c r="A83" s="10" t="s">
        <v>218</v>
      </c>
      <c r="B83" s="10" t="s">
        <v>170</v>
      </c>
      <c r="C83" s="10" t="s">
        <v>221</v>
      </c>
      <c r="D83" s="10" t="s">
        <v>60</v>
      </c>
      <c r="E83" s="10"/>
    </row>
    <row r="84" customFormat="false" ht="15" hidden="false" customHeight="true" outlineLevel="0" collapsed="false">
      <c r="A84" s="10" t="s">
        <v>218</v>
      </c>
      <c r="B84" s="10" t="s">
        <v>222</v>
      </c>
      <c r="C84" s="10" t="s">
        <v>223</v>
      </c>
      <c r="D84" s="10" t="s">
        <v>56</v>
      </c>
      <c r="E84" s="10" t="s">
        <v>224</v>
      </c>
    </row>
    <row r="85" customFormat="false" ht="15" hidden="false" customHeight="true" outlineLevel="0" collapsed="false">
      <c r="A85" s="10" t="s">
        <v>218</v>
      </c>
      <c r="B85" s="10" t="s">
        <v>225</v>
      </c>
      <c r="C85" s="10" t="s">
        <v>226</v>
      </c>
      <c r="D85" s="10" t="s">
        <v>56</v>
      </c>
      <c r="E85" s="10" t="s">
        <v>227</v>
      </c>
    </row>
    <row r="86" customFormat="false" ht="15" hidden="false" customHeight="true" outlineLevel="0" collapsed="false">
      <c r="A86" s="10" t="s">
        <v>218</v>
      </c>
      <c r="B86" s="10" t="s">
        <v>228</v>
      </c>
      <c r="C86" s="10"/>
      <c r="D86" s="10" t="s">
        <v>54</v>
      </c>
      <c r="E86" s="10"/>
    </row>
    <row r="87" customFormat="false" ht="23.25" hidden="false" customHeight="true" outlineLevel="0" collapsed="false">
      <c r="A87" s="10" t="s">
        <v>218</v>
      </c>
      <c r="B87" s="10" t="s">
        <v>229</v>
      </c>
      <c r="C87" s="10" t="s">
        <v>230</v>
      </c>
      <c r="D87" s="10" t="s">
        <v>56</v>
      </c>
      <c r="E87" s="10" t="s">
        <v>231</v>
      </c>
    </row>
    <row r="88" customFormat="false" ht="15" hidden="false" customHeight="true" outlineLevel="0" collapsed="false">
      <c r="A88" s="10" t="s">
        <v>218</v>
      </c>
      <c r="B88" s="10" t="s">
        <v>232</v>
      </c>
      <c r="C88" s="10"/>
      <c r="D88" s="10" t="s">
        <v>54</v>
      </c>
      <c r="E88" s="10"/>
    </row>
    <row r="89" customFormat="false" ht="15" hidden="false" customHeight="true" outlineLevel="0" collapsed="false">
      <c r="A89" s="10" t="s">
        <v>218</v>
      </c>
      <c r="B89" s="10" t="s">
        <v>233</v>
      </c>
      <c r="C89" s="10"/>
      <c r="D89" s="10" t="s">
        <v>56</v>
      </c>
      <c r="E89" s="10" t="s">
        <v>234</v>
      </c>
    </row>
    <row r="90" customFormat="false" ht="15" hidden="false" customHeight="true" outlineLevel="0" collapsed="false">
      <c r="A90" s="10" t="s">
        <v>218</v>
      </c>
      <c r="B90" s="10" t="s">
        <v>202</v>
      </c>
      <c r="C90" s="10"/>
      <c r="D90" s="10" t="s">
        <v>56</v>
      </c>
      <c r="E90" s="10" t="s">
        <v>157</v>
      </c>
    </row>
    <row r="91" customFormat="false" ht="15" hidden="false" customHeight="true" outlineLevel="0" collapsed="false">
      <c r="A91" s="10" t="s">
        <v>218</v>
      </c>
      <c r="B91" s="10" t="s">
        <v>204</v>
      </c>
      <c r="C91" s="10" t="s">
        <v>205</v>
      </c>
      <c r="D91" s="10" t="s">
        <v>56</v>
      </c>
      <c r="E91" s="10" t="s">
        <v>114</v>
      </c>
    </row>
    <row r="92" customFormat="false" ht="15" hidden="false" customHeight="true" outlineLevel="0" collapsed="false">
      <c r="A92" s="10" t="s">
        <v>235</v>
      </c>
      <c r="B92" s="10" t="s">
        <v>236</v>
      </c>
      <c r="C92" s="10" t="s">
        <v>237</v>
      </c>
      <c r="D92" s="10" t="s">
        <v>54</v>
      </c>
      <c r="E92" s="10"/>
    </row>
    <row r="93" customFormat="false" ht="23.25" hidden="false" customHeight="true" outlineLevel="0" collapsed="false">
      <c r="A93" s="10" t="s">
        <v>235</v>
      </c>
      <c r="B93" s="10" t="s">
        <v>102</v>
      </c>
      <c r="C93" s="10"/>
      <c r="D93" s="10" t="s">
        <v>102</v>
      </c>
      <c r="E93" s="10"/>
    </row>
    <row r="94" customFormat="false" ht="34.5" hidden="false" customHeight="true" outlineLevel="0" collapsed="false">
      <c r="A94" s="10" t="s">
        <v>235</v>
      </c>
      <c r="B94" s="10" t="s">
        <v>238</v>
      </c>
      <c r="C94" s="10" t="s">
        <v>239</v>
      </c>
      <c r="D94" s="10" t="s">
        <v>54</v>
      </c>
      <c r="E94" s="10"/>
    </row>
    <row r="95" customFormat="false" ht="15" hidden="false" customHeight="true" outlineLevel="0" collapsed="false">
      <c r="A95" s="10" t="s">
        <v>235</v>
      </c>
      <c r="B95" s="10" t="s">
        <v>240</v>
      </c>
      <c r="C95" s="10"/>
      <c r="D95" s="10" t="s">
        <v>56</v>
      </c>
      <c r="E95" s="10" t="s">
        <v>241</v>
      </c>
    </row>
    <row r="96" customFormat="false" ht="15" hidden="false" customHeight="true" outlineLevel="0" collapsed="false">
      <c r="A96" s="10" t="s">
        <v>235</v>
      </c>
      <c r="B96" s="10" t="s">
        <v>242</v>
      </c>
      <c r="C96" s="10"/>
      <c r="D96" s="10" t="s">
        <v>54</v>
      </c>
      <c r="E96" s="10"/>
    </row>
    <row r="97" customFormat="false" ht="23.25" hidden="false" customHeight="true" outlineLevel="0" collapsed="false">
      <c r="A97" s="10" t="s">
        <v>235</v>
      </c>
      <c r="B97" s="10" t="s">
        <v>243</v>
      </c>
      <c r="C97" s="10"/>
      <c r="D97" s="10" t="s">
        <v>54</v>
      </c>
      <c r="E97" s="10"/>
    </row>
    <row r="98" customFormat="false" ht="23.25" hidden="false" customHeight="true" outlineLevel="0" collapsed="false">
      <c r="A98" s="10" t="s">
        <v>235</v>
      </c>
      <c r="B98" s="10" t="s">
        <v>244</v>
      </c>
      <c r="C98" s="10"/>
      <c r="D98" s="10" t="s">
        <v>54</v>
      </c>
      <c r="E98" s="10"/>
    </row>
    <row r="99" customFormat="false" ht="34.5" hidden="false" customHeight="true" outlineLevel="0" collapsed="false">
      <c r="A99" s="10" t="s">
        <v>235</v>
      </c>
      <c r="B99" s="10" t="s">
        <v>245</v>
      </c>
      <c r="C99" s="10"/>
      <c r="D99" s="10" t="s">
        <v>56</v>
      </c>
      <c r="E99" s="10" t="s">
        <v>246</v>
      </c>
    </row>
    <row r="100" customFormat="false" ht="23.25" hidden="false" customHeight="true" outlineLevel="0" collapsed="false">
      <c r="A100" s="10" t="s">
        <v>247</v>
      </c>
      <c r="B100" s="10" t="s">
        <v>248</v>
      </c>
      <c r="C100" s="10" t="s">
        <v>249</v>
      </c>
      <c r="D100" s="10" t="s">
        <v>54</v>
      </c>
      <c r="E100" s="10"/>
    </row>
    <row r="101" customFormat="false" ht="57" hidden="false" customHeight="true" outlineLevel="0" collapsed="false">
      <c r="A101" s="10" t="s">
        <v>247</v>
      </c>
      <c r="B101" s="10" t="s">
        <v>250</v>
      </c>
      <c r="C101" s="10" t="s">
        <v>251</v>
      </c>
      <c r="D101" s="10" t="s">
        <v>54</v>
      </c>
      <c r="E101" s="10"/>
    </row>
    <row r="102" customFormat="false" ht="34.5" hidden="false" customHeight="true" outlineLevel="0" collapsed="false">
      <c r="A102" s="10" t="s">
        <v>247</v>
      </c>
      <c r="B102" s="10" t="s">
        <v>252</v>
      </c>
      <c r="C102" s="10" t="s">
        <v>253</v>
      </c>
      <c r="D102" s="10" t="s">
        <v>54</v>
      </c>
      <c r="E102" s="10"/>
    </row>
    <row r="103" customFormat="false" ht="23.25" hidden="false" customHeight="true" outlineLevel="0" collapsed="false">
      <c r="A103" s="10" t="s">
        <v>247</v>
      </c>
      <c r="B103" s="10" t="s">
        <v>254</v>
      </c>
      <c r="C103" s="10" t="s">
        <v>253</v>
      </c>
      <c r="D103" s="10" t="s">
        <v>54</v>
      </c>
      <c r="E103" s="10"/>
    </row>
    <row r="104" customFormat="false" ht="34.5" hidden="false" customHeight="true" outlineLevel="0" collapsed="false">
      <c r="A104" s="10" t="s">
        <v>247</v>
      </c>
      <c r="B104" s="10" t="s">
        <v>255</v>
      </c>
      <c r="C104" s="10" t="s">
        <v>256</v>
      </c>
      <c r="D104" s="10" t="s">
        <v>54</v>
      </c>
      <c r="E104" s="10"/>
    </row>
    <row r="105" customFormat="false" ht="23.25" hidden="false" customHeight="true" outlineLevel="0" collapsed="false">
      <c r="A105" s="10" t="s">
        <v>247</v>
      </c>
      <c r="B105" s="10" t="s">
        <v>233</v>
      </c>
      <c r="C105" s="10"/>
      <c r="D105" s="10" t="s">
        <v>56</v>
      </c>
      <c r="E105" s="10" t="s">
        <v>257</v>
      </c>
    </row>
    <row r="106" customFormat="false" ht="34.5" hidden="false" customHeight="true" outlineLevel="0" collapsed="false">
      <c r="A106" s="10" t="s">
        <v>247</v>
      </c>
      <c r="B106" s="10" t="s">
        <v>245</v>
      </c>
      <c r="C106" s="10"/>
      <c r="D106" s="10" t="s">
        <v>56</v>
      </c>
      <c r="E106" s="10" t="s">
        <v>258</v>
      </c>
    </row>
    <row r="107" customFormat="false" ht="15" hidden="false" customHeight="true" outlineLevel="0" collapsed="false">
      <c r="A107" s="10" t="s">
        <v>247</v>
      </c>
      <c r="B107" s="10" t="s">
        <v>259</v>
      </c>
      <c r="C107" s="10" t="s">
        <v>260</v>
      </c>
      <c r="D107" s="10" t="s">
        <v>56</v>
      </c>
      <c r="E107" s="10" t="s">
        <v>261</v>
      </c>
    </row>
    <row r="108" customFormat="false" ht="23.25" hidden="false" customHeight="true" outlineLevel="0" collapsed="false">
      <c r="A108" s="10" t="s">
        <v>247</v>
      </c>
      <c r="B108" s="10" t="s">
        <v>262</v>
      </c>
      <c r="C108" s="10" t="s">
        <v>263</v>
      </c>
      <c r="D108" s="10" t="s">
        <v>54</v>
      </c>
      <c r="E108" s="10"/>
    </row>
    <row r="109" customFormat="false" ht="23.25" hidden="false" customHeight="true" outlineLevel="0" collapsed="false">
      <c r="A109" s="10" t="s">
        <v>247</v>
      </c>
      <c r="B109" s="10" t="s">
        <v>160</v>
      </c>
      <c r="C109" s="10"/>
      <c r="D109" s="10" t="s">
        <v>102</v>
      </c>
      <c r="E109" s="10"/>
    </row>
    <row r="110" customFormat="false" ht="15" hidden="false" customHeight="true" outlineLevel="0" collapsed="false">
      <c r="A110" s="10" t="s">
        <v>247</v>
      </c>
      <c r="B110" s="10" t="s">
        <v>92</v>
      </c>
      <c r="C110" s="10"/>
      <c r="D110" s="10" t="s">
        <v>54</v>
      </c>
      <c r="E110" s="10"/>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3" min="2" style="1" width="30"/>
    <col collapsed="false" customWidth="true" hidden="false" outlineLevel="0" max="5" min="4" style="1" width="14"/>
    <col collapsed="false" customWidth="true" hidden="false" outlineLevel="0" max="15" min="6" style="1" width="16"/>
    <col collapsed="false" customWidth="true" hidden="false" outlineLevel="0" max="18" min="18" style="1" width="12"/>
    <col collapsed="false" customWidth="true" hidden="false" outlineLevel="0" max="24" min="19" style="1" width="22"/>
    <col collapsed="false" customWidth="true" hidden="false" outlineLevel="0" max="25" min="25" style="1" width="14"/>
    <col collapsed="false" customWidth="true" hidden="false" outlineLevel="0" max="26" min="26" style="1" width="22"/>
    <col collapsed="false" customWidth="true" hidden="false" outlineLevel="0" max="27" min="27" style="1" width="14"/>
    <col collapsed="false" customWidth="true" hidden="false" outlineLevel="0" max="28" min="28" style="1" width="16"/>
    <col collapsed="false" customWidth="true" hidden="false" outlineLevel="0" max="29" min="29" style="1" width="14"/>
    <col collapsed="false" customWidth="true" hidden="false" outlineLevel="0" max="30" min="30" style="1" width="10"/>
    <col collapsed="false" customWidth="true" hidden="false" outlineLevel="0" max="31" min="31" style="1" width="16"/>
    <col collapsed="false" customWidth="true" hidden="false" outlineLevel="0" max="32" min="32" style="1" width="12"/>
    <col collapsed="false" customWidth="true" hidden="false" outlineLevel="0" max="33" min="33" style="1" width="16"/>
    <col collapsed="false" customWidth="true" hidden="false" outlineLevel="0" max="34" min="34" style="1" width="20"/>
    <col collapsed="false" customWidth="true" hidden="false" outlineLevel="0" max="35" min="35" style="1" width="18"/>
    <col collapsed="false" customWidth="true" hidden="false" outlineLevel="0" max="36" min="36" style="1" width="20"/>
    <col collapsed="false" customWidth="true" hidden="false" outlineLevel="0" max="37" min="37" style="1" width="18"/>
    <col collapsed="false" customWidth="true" hidden="false" outlineLevel="0" max="39" min="38" style="1" width="24"/>
    <col collapsed="false" customWidth="true" hidden="false" outlineLevel="0" max="40" min="40" style="1" width="12"/>
    <col collapsed="false" customWidth="true" hidden="false" outlineLevel="0" max="43" min="41" style="1" width="16"/>
  </cols>
  <sheetData>
    <row r="1" customFormat="false" ht="33.75" hidden="false" customHeight="true" outlineLevel="0" collapsed="false">
      <c r="A1" s="13" t="s">
        <v>52</v>
      </c>
      <c r="B1" s="13" t="s">
        <v>19</v>
      </c>
      <c r="C1" s="13" t="s">
        <v>58</v>
      </c>
      <c r="D1" s="13" t="s">
        <v>61</v>
      </c>
      <c r="E1" s="13" t="s">
        <v>63</v>
      </c>
      <c r="F1" s="13" t="s">
        <v>66</v>
      </c>
      <c r="G1" s="13" t="s">
        <v>68</v>
      </c>
      <c r="H1" s="13" t="s">
        <v>70</v>
      </c>
      <c r="I1" s="13" t="s">
        <v>71</v>
      </c>
      <c r="J1" s="13" t="s">
        <v>73</v>
      </c>
      <c r="K1" s="13" t="s">
        <v>75</v>
      </c>
      <c r="L1" s="13" t="s">
        <v>76</v>
      </c>
      <c r="M1" s="13" t="s">
        <v>78</v>
      </c>
      <c r="N1" s="13" t="s">
        <v>80</v>
      </c>
      <c r="O1" s="13" t="s">
        <v>82</v>
      </c>
      <c r="P1" s="13" t="s">
        <v>264</v>
      </c>
      <c r="Q1" s="13" t="s">
        <v>265</v>
      </c>
      <c r="R1" s="13" t="s">
        <v>84</v>
      </c>
      <c r="S1" s="13" t="s">
        <v>86</v>
      </c>
      <c r="T1" s="13" t="s">
        <v>89</v>
      </c>
      <c r="U1" s="13" t="s">
        <v>92</v>
      </c>
    </row>
    <row r="2" customFormat="false" ht="15" hidden="false" customHeight="true" outlineLevel="0" collapsed="false">
      <c r="A2" s="1" t="s">
        <v>266</v>
      </c>
      <c r="B2" s="14" t="s">
        <v>25</v>
      </c>
      <c r="C2" s="1" t="n">
        <v>40301</v>
      </c>
      <c r="D2" s="1" t="n">
        <v>142301</v>
      </c>
      <c r="E2" s="1" t="n">
        <f aca="false">IFERROR((D2-C2)/C2,"")</f>
        <v>2.5309545668842</v>
      </c>
      <c r="F2" s="1" t="n">
        <v>190281</v>
      </c>
      <c r="G2" s="1" t="n">
        <v>373192</v>
      </c>
      <c r="H2" s="1" t="n">
        <f aca="false">IFERROR((G2-F2)/F2,"")</f>
        <v>0.961267809187465</v>
      </c>
      <c r="I2" s="1" t="n">
        <v>3088</v>
      </c>
      <c r="J2" s="1" t="n">
        <v>7438</v>
      </c>
      <c r="K2" s="1" t="n">
        <f aca="false">IFERROR((J2-I2)/I2,"")</f>
        <v>1.40867875647668</v>
      </c>
      <c r="L2" s="1" t="n">
        <v>142301</v>
      </c>
      <c r="M2" s="1" t="s">
        <v>267</v>
      </c>
      <c r="N2" s="1" t="n">
        <v>142301</v>
      </c>
      <c r="O2" s="1" t="s">
        <v>267</v>
      </c>
      <c r="P2" s="1" t="n">
        <v>40301</v>
      </c>
      <c r="Q2" s="1" t="s">
        <v>268</v>
      </c>
      <c r="R2" s="1" t="n">
        <f aca="false">IFERROR((D2-N2)/N2,"")</f>
        <v>0</v>
      </c>
      <c r="S2" s="14" t="s">
        <v>35</v>
      </c>
      <c r="T2" s="14" t="s">
        <v>269</v>
      </c>
      <c r="U2" s="1" t="s">
        <v>270</v>
      </c>
    </row>
    <row r="3" customFormat="false" ht="15" hidden="false" customHeight="true" outlineLevel="0" collapsed="false">
      <c r="A3" s="1" t="s">
        <v>271</v>
      </c>
      <c r="B3" s="14" t="s">
        <v>25</v>
      </c>
      <c r="C3" s="1" t="n">
        <v>10085</v>
      </c>
      <c r="D3" s="1" t="n">
        <v>10716</v>
      </c>
      <c r="E3" s="1" t="n">
        <f aca="false">IFERROR((D3-C3)/C3,"")</f>
        <v>0.0625681705503223</v>
      </c>
      <c r="F3" s="1" t="n">
        <v>98425</v>
      </c>
      <c r="G3" s="1" t="n">
        <v>114192</v>
      </c>
      <c r="H3" s="1" t="n">
        <f aca="false">IFERROR((G3-F3)/F3,"")</f>
        <v>0.160193040386081</v>
      </c>
      <c r="I3" s="1" t="n">
        <v>653</v>
      </c>
      <c r="J3" s="1" t="n">
        <v>1107</v>
      </c>
      <c r="K3" s="1" t="n">
        <f aca="false">IFERROR((J3-I3)/I3,"")</f>
        <v>0.695252679938744</v>
      </c>
      <c r="L3" s="1" t="n">
        <v>12270</v>
      </c>
      <c r="M3" s="1" t="s">
        <v>272</v>
      </c>
      <c r="N3" s="1" t="n">
        <v>12270</v>
      </c>
      <c r="O3" s="1" t="s">
        <v>272</v>
      </c>
      <c r="P3" s="1" t="n">
        <v>9051</v>
      </c>
      <c r="Q3" s="1" t="s">
        <v>273</v>
      </c>
      <c r="R3" s="1" t="n">
        <f aca="false">IFERROR((D3-N3)/N3,"")</f>
        <v>-0.126650366748166</v>
      </c>
      <c r="S3" s="14" t="s">
        <v>40</v>
      </c>
      <c r="T3" s="14" t="s">
        <v>41</v>
      </c>
      <c r="U3" s="1" t="s">
        <v>274</v>
      </c>
    </row>
    <row r="4" customFormat="false" ht="15" hidden="false" customHeight="true" outlineLevel="0" collapsed="false">
      <c r="A4" s="1" t="s">
        <v>275</v>
      </c>
      <c r="B4" s="14" t="s">
        <v>25</v>
      </c>
      <c r="C4" s="1" t="n">
        <v>3593</v>
      </c>
      <c r="D4" s="1" t="n">
        <v>3458</v>
      </c>
      <c r="E4" s="1" t="n">
        <f aca="false">IFERROR((D4-C4)/C4,"")</f>
        <v>-0.0375730587252992</v>
      </c>
      <c r="F4" s="1" t="n">
        <v>17048</v>
      </c>
      <c r="G4" s="1" t="n">
        <v>25297</v>
      </c>
      <c r="H4" s="1" t="n">
        <f aca="false">IFERROR((G4-F4)/F4,"")</f>
        <v>0.483869075551384</v>
      </c>
      <c r="I4" s="1" t="n">
        <v>766</v>
      </c>
      <c r="J4" s="1" t="n">
        <v>955</v>
      </c>
      <c r="K4" s="1" t="n">
        <f aca="false">IFERROR((J4-I4)/I4,"")</f>
        <v>0.246736292428198</v>
      </c>
      <c r="L4" s="1" t="n">
        <v>4303</v>
      </c>
      <c r="M4" s="1" t="s">
        <v>276</v>
      </c>
      <c r="N4" s="1" t="n">
        <v>4831</v>
      </c>
      <c r="O4" s="1" t="s">
        <v>277</v>
      </c>
      <c r="P4" s="1" t="n">
        <v>2524</v>
      </c>
      <c r="Q4" s="1" t="s">
        <v>278</v>
      </c>
      <c r="R4" s="1" t="n">
        <f aca="false">IFERROR((D4-N4)/N4,"")</f>
        <v>-0.284206168495136</v>
      </c>
      <c r="S4" s="14" t="s">
        <v>40</v>
      </c>
      <c r="T4" s="14" t="s">
        <v>41</v>
      </c>
      <c r="U4" s="1" t="s">
        <v>279</v>
      </c>
    </row>
    <row r="5" customFormat="false" ht="15" hidden="false" customHeight="true" outlineLevel="0" collapsed="false">
      <c r="A5" s="1" t="s">
        <v>280</v>
      </c>
      <c r="B5" s="14" t="s">
        <v>25</v>
      </c>
      <c r="C5" s="1" t="n">
        <v>5692</v>
      </c>
      <c r="D5" s="1" t="n">
        <v>3609</v>
      </c>
      <c r="E5" s="1" t="n">
        <f aca="false">IFERROR((D5-C5)/C5,"")</f>
        <v>-0.365952213633169</v>
      </c>
      <c r="F5" s="1" t="n">
        <v>32421</v>
      </c>
      <c r="G5" s="1" t="n">
        <v>26642</v>
      </c>
      <c r="H5" s="1" t="n">
        <f aca="false">IFERROR((G5-F5)/F5,"")</f>
        <v>-0.178248665988094</v>
      </c>
      <c r="I5" s="1" t="n">
        <v>1018</v>
      </c>
      <c r="J5" s="1" t="n">
        <v>1540</v>
      </c>
      <c r="K5" s="1" t="n">
        <f aca="false">IFERROR((J5-I5)/I5,"")</f>
        <v>0.512770137524558</v>
      </c>
      <c r="L5" s="1" t="n">
        <v>6859</v>
      </c>
      <c r="M5" s="1" t="s">
        <v>281</v>
      </c>
      <c r="N5" s="1" t="n">
        <v>6859</v>
      </c>
      <c r="O5" s="1" t="s">
        <v>281</v>
      </c>
      <c r="P5" s="1" t="n">
        <v>3503</v>
      </c>
      <c r="Q5" s="1" t="s">
        <v>278</v>
      </c>
      <c r="R5" s="1" t="n">
        <f aca="false">IFERROR((D5-N5)/N5,"")</f>
        <v>-0.473830004373815</v>
      </c>
      <c r="S5" s="14" t="s">
        <v>37</v>
      </c>
      <c r="T5" s="14" t="s">
        <v>282</v>
      </c>
      <c r="U5" s="1" t="s">
        <v>283</v>
      </c>
    </row>
    <row r="6" customFormat="false" ht="15" hidden="false" customHeight="true" outlineLevel="0" collapsed="false">
      <c r="A6" s="1" t="s">
        <v>284</v>
      </c>
      <c r="B6" s="14" t="s">
        <v>25</v>
      </c>
      <c r="C6" s="1" t="n">
        <v>19997</v>
      </c>
      <c r="D6" s="1" t="n">
        <v>13081</v>
      </c>
      <c r="E6" s="1" t="n">
        <f aca="false">IFERROR((D6-C6)/C6,"")</f>
        <v>-0.345851877781667</v>
      </c>
      <c r="F6" s="1" t="n">
        <v>64847</v>
      </c>
      <c r="G6" s="1" t="n">
        <v>47773</v>
      </c>
      <c r="H6" s="1" t="n">
        <f aca="false">IFERROR((G6-F6)/F6,"")</f>
        <v>-0.263296682961432</v>
      </c>
      <c r="I6" s="1" t="n">
        <v>1541</v>
      </c>
      <c r="J6" s="1" t="n">
        <v>2478</v>
      </c>
      <c r="K6" s="1" t="n">
        <f aca="false">IFERROR((J6-I6)/I6,"")</f>
        <v>0.608046722907203</v>
      </c>
      <c r="L6" s="1" t="n">
        <v>22299</v>
      </c>
      <c r="M6" s="1" t="s">
        <v>285</v>
      </c>
      <c r="N6" s="1" t="n">
        <v>22299</v>
      </c>
      <c r="O6" s="1" t="s">
        <v>285</v>
      </c>
      <c r="P6" s="1" t="n">
        <v>12680</v>
      </c>
      <c r="Q6" s="1" t="s">
        <v>278</v>
      </c>
      <c r="R6" s="1" t="n">
        <f aca="false">IFERROR((D6-N6)/N6,"")</f>
        <v>-0.413381765998475</v>
      </c>
      <c r="S6" s="14" t="s">
        <v>37</v>
      </c>
      <c r="T6" s="14" t="s">
        <v>282</v>
      </c>
      <c r="U6" s="1" t="s">
        <v>286</v>
      </c>
    </row>
    <row r="7" customFormat="false" ht="15" hidden="false" customHeight="true" outlineLevel="0" collapsed="false">
      <c r="A7" s="1" t="s">
        <v>287</v>
      </c>
      <c r="B7" s="14" t="s">
        <v>25</v>
      </c>
      <c r="C7" s="1" t="n">
        <v>233</v>
      </c>
      <c r="D7" s="1" t="n">
        <v>666</v>
      </c>
      <c r="E7" s="1" t="n">
        <f aca="false">IFERROR((D7-C7)/C7,"")</f>
        <v>1.85836909871245</v>
      </c>
      <c r="F7" s="1" t="n">
        <v>219</v>
      </c>
      <c r="G7" s="1" t="n">
        <v>1696</v>
      </c>
      <c r="H7" s="1" t="n">
        <f aca="false">IFERROR((G7-F7)/F7,"")</f>
        <v>6.74429223744292</v>
      </c>
      <c r="I7" s="1" t="n">
        <v>200</v>
      </c>
      <c r="J7" s="1" t="n">
        <v>554</v>
      </c>
      <c r="K7" s="1" t="n">
        <f aca="false">IFERROR((J7-I7)/I7,"")</f>
        <v>1.77</v>
      </c>
      <c r="L7" s="1" t="n">
        <v>666</v>
      </c>
      <c r="M7" s="1" t="s">
        <v>267</v>
      </c>
      <c r="N7" s="1" t="n">
        <v>666</v>
      </c>
      <c r="O7" s="1" t="s">
        <v>267</v>
      </c>
      <c r="P7" s="1" t="n">
        <v>101</v>
      </c>
      <c r="Q7" s="1" t="s">
        <v>288</v>
      </c>
      <c r="R7" s="1" t="n">
        <f aca="false">IFERROR((D7-N7)/N7,"")</f>
        <v>0</v>
      </c>
      <c r="S7" s="14" t="s">
        <v>35</v>
      </c>
      <c r="T7" s="14" t="s">
        <v>269</v>
      </c>
      <c r="U7" s="1" t="s">
        <v>289</v>
      </c>
    </row>
    <row r="8" customFormat="false" ht="15" hidden="false" customHeight="true" outlineLevel="0" collapsed="false">
      <c r="A8" s="1" t="s">
        <v>290</v>
      </c>
      <c r="B8" s="14" t="s">
        <v>25</v>
      </c>
      <c r="C8" s="1" t="n">
        <v>5166</v>
      </c>
      <c r="D8" s="1" t="n">
        <v>3118</v>
      </c>
      <c r="E8" s="1" t="n">
        <f aca="false">IFERROR((D8-C8)/C8,"")</f>
        <v>-0.396438250096787</v>
      </c>
      <c r="F8" s="1" t="n">
        <v>7231</v>
      </c>
      <c r="G8" s="1" t="n">
        <v>4575</v>
      </c>
      <c r="H8" s="1" t="n">
        <f aca="false">IFERROR((G8-F8)/F8,"")</f>
        <v>-0.367307426358733</v>
      </c>
      <c r="I8" s="1" t="n">
        <v>467</v>
      </c>
      <c r="J8" s="1" t="n">
        <v>805</v>
      </c>
      <c r="K8" s="1" t="n">
        <f aca="false">IFERROR((J8-I8)/I8,"")</f>
        <v>0.723768736616702</v>
      </c>
      <c r="L8" s="1" t="n">
        <v>7754</v>
      </c>
      <c r="M8" s="1" t="s">
        <v>272</v>
      </c>
      <c r="N8" s="1" t="n">
        <v>7754</v>
      </c>
      <c r="O8" s="1" t="s">
        <v>272</v>
      </c>
      <c r="P8" s="1" t="n">
        <v>2999</v>
      </c>
      <c r="Q8" s="1" t="s">
        <v>291</v>
      </c>
      <c r="R8" s="1" t="n">
        <f aca="false">IFERROR((D8-N8)/N8,"")</f>
        <v>-0.597884962599948</v>
      </c>
      <c r="S8" s="14" t="s">
        <v>39</v>
      </c>
      <c r="T8" s="14" t="s">
        <v>282</v>
      </c>
      <c r="U8" s="1" t="s">
        <v>292</v>
      </c>
    </row>
    <row r="9" customFormat="false" ht="15" hidden="false" customHeight="true" outlineLevel="0" collapsed="false">
      <c r="A9" s="1" t="s">
        <v>293</v>
      </c>
      <c r="B9" s="14" t="s">
        <v>25</v>
      </c>
      <c r="C9" s="1" t="n">
        <v>18682</v>
      </c>
      <c r="D9" s="1" t="n">
        <v>23558</v>
      </c>
      <c r="E9" s="1" t="n">
        <f aca="false">IFERROR((D9-C9)/C9,"")</f>
        <v>0.260999892945081</v>
      </c>
      <c r="F9" s="1" t="n">
        <v>236975</v>
      </c>
      <c r="G9" s="1" t="n">
        <v>181454</v>
      </c>
      <c r="H9" s="1" t="n">
        <f aca="false">IFERROR((G9-F9)/F9,"")</f>
        <v>-0.234290536976474</v>
      </c>
      <c r="I9" s="1" t="n">
        <v>1271</v>
      </c>
      <c r="J9" s="1" t="n">
        <v>2454</v>
      </c>
      <c r="K9" s="1" t="n">
        <f aca="false">IFERROR((J9-I9)/I9,"")</f>
        <v>0.930763178599528</v>
      </c>
      <c r="L9" s="1" t="n">
        <v>37436</v>
      </c>
      <c r="M9" s="1" t="s">
        <v>294</v>
      </c>
      <c r="N9" s="1" t="n">
        <v>37436</v>
      </c>
      <c r="O9" s="1" t="s">
        <v>294</v>
      </c>
      <c r="P9" s="1" t="n">
        <v>16161</v>
      </c>
      <c r="Q9" s="1" t="s">
        <v>288</v>
      </c>
      <c r="R9" s="1" t="n">
        <f aca="false">IFERROR((D9-N9)/N9,"")</f>
        <v>-0.370712682978951</v>
      </c>
      <c r="S9" s="14" t="s">
        <v>37</v>
      </c>
      <c r="T9" s="14" t="s">
        <v>269</v>
      </c>
      <c r="U9" s="1" t="s">
        <v>295</v>
      </c>
    </row>
    <row r="10" customFormat="false" ht="15" hidden="false" customHeight="true" outlineLevel="0" collapsed="false">
      <c r="A10" s="1" t="s">
        <v>296</v>
      </c>
      <c r="B10" s="14" t="s">
        <v>25</v>
      </c>
      <c r="C10" s="1" t="n">
        <v>36151</v>
      </c>
      <c r="D10" s="1" t="n">
        <v>7095</v>
      </c>
      <c r="E10" s="1" t="n">
        <f aca="false">IFERROR((D10-C10)/C10,"")</f>
        <v>-0.803739868883295</v>
      </c>
      <c r="F10" s="1" t="n">
        <v>93086</v>
      </c>
      <c r="G10" s="1" t="n">
        <v>46249</v>
      </c>
      <c r="H10" s="1" t="n">
        <f aca="false">IFERROR((G10-F10)/F10,"")</f>
        <v>-0.503158369679651</v>
      </c>
      <c r="I10" s="1" t="n">
        <v>3442</v>
      </c>
      <c r="J10" s="1" t="n">
        <v>4503</v>
      </c>
      <c r="K10" s="1" t="n">
        <f aca="false">IFERROR((J10-I10)/I10,"")</f>
        <v>0.308251016850668</v>
      </c>
      <c r="L10" s="1" t="n">
        <v>48608</v>
      </c>
      <c r="M10" s="1" t="s">
        <v>297</v>
      </c>
      <c r="N10" s="1" t="n">
        <v>149605</v>
      </c>
      <c r="O10" s="1" t="s">
        <v>298</v>
      </c>
      <c r="P10" s="1" t="n">
        <v>6928</v>
      </c>
      <c r="Q10" s="1" t="s">
        <v>278</v>
      </c>
      <c r="R10" s="1" t="n">
        <f aca="false">IFERROR((D10-N10)/N10,"")</f>
        <v>-0.952575114468099</v>
      </c>
      <c r="S10" s="14" t="s">
        <v>37</v>
      </c>
      <c r="T10" s="14" t="s">
        <v>282</v>
      </c>
      <c r="U10" s="1" t="s">
        <v>299</v>
      </c>
    </row>
    <row r="11" customFormat="false" ht="15" hidden="false" customHeight="true" outlineLevel="0" collapsed="false">
      <c r="A11" s="1" t="s">
        <v>300</v>
      </c>
      <c r="B11" s="14" t="s">
        <v>25</v>
      </c>
      <c r="C11" s="1" t="n">
        <v>975</v>
      </c>
      <c r="D11" s="1" t="n">
        <v>4887</v>
      </c>
      <c r="E11" s="1" t="n">
        <f aca="false">IFERROR((D11-C11)/C11,"")</f>
        <v>4.01230769230769</v>
      </c>
      <c r="F11" s="1" t="n">
        <v>2002</v>
      </c>
      <c r="G11" s="1" t="n">
        <v>11764</v>
      </c>
      <c r="H11" s="1" t="n">
        <f aca="false">IFERROR((G11-F11)/F11,"")</f>
        <v>4.87612387612388</v>
      </c>
      <c r="I11" s="1" t="n">
        <v>227</v>
      </c>
      <c r="J11" s="1" t="n">
        <v>692</v>
      </c>
      <c r="K11" s="1" t="n">
        <f aca="false">IFERROR((J11-I11)/I11,"")</f>
        <v>2.04845814977974</v>
      </c>
      <c r="L11" s="1" t="n">
        <v>8085</v>
      </c>
      <c r="M11" s="1" t="s">
        <v>301</v>
      </c>
      <c r="N11" s="1" t="n">
        <v>8085</v>
      </c>
      <c r="O11" s="1" t="s">
        <v>301</v>
      </c>
      <c r="P11" s="1" t="n">
        <v>975</v>
      </c>
      <c r="Q11" s="1" t="s">
        <v>268</v>
      </c>
      <c r="R11" s="1" t="n">
        <f aca="false">IFERROR((D11-N11)/N11,"")</f>
        <v>-0.395547309833024</v>
      </c>
      <c r="S11" s="14" t="s">
        <v>37</v>
      </c>
      <c r="T11" s="14" t="s">
        <v>269</v>
      </c>
      <c r="U11" s="1" t="s">
        <v>302</v>
      </c>
    </row>
    <row r="12" customFormat="false" ht="15" hidden="false" customHeight="true" outlineLevel="0" collapsed="false">
      <c r="A12" s="1" t="s">
        <v>303</v>
      </c>
      <c r="B12" s="14" t="s">
        <v>25</v>
      </c>
      <c r="C12" s="1" t="n">
        <v>16602</v>
      </c>
      <c r="D12" s="1" t="n">
        <v>17994</v>
      </c>
      <c r="E12" s="1" t="n">
        <f aca="false">IFERROR((D12-C12)/C12,"")</f>
        <v>0.083845319840983</v>
      </c>
      <c r="F12" s="1" t="n">
        <v>73974</v>
      </c>
      <c r="G12" s="1" t="n">
        <v>97479</v>
      </c>
      <c r="H12" s="1" t="n">
        <f aca="false">IFERROR((G12-F12)/F12,"")</f>
        <v>0.317746775894233</v>
      </c>
      <c r="I12" s="1" t="n">
        <v>711</v>
      </c>
      <c r="J12" s="1" t="n">
        <v>2001</v>
      </c>
      <c r="K12" s="1" t="n">
        <f aca="false">IFERROR((J12-I12)/I12,"")</f>
        <v>1.81434599156118</v>
      </c>
      <c r="L12" s="1" t="n">
        <v>18375</v>
      </c>
      <c r="M12" s="1" t="s">
        <v>304</v>
      </c>
      <c r="N12" s="1" t="n">
        <v>19426</v>
      </c>
      <c r="O12" s="1" t="s">
        <v>305</v>
      </c>
      <c r="P12" s="1" t="n">
        <v>12331</v>
      </c>
      <c r="Q12" s="1" t="s">
        <v>306</v>
      </c>
      <c r="R12" s="1" t="n">
        <f aca="false">IFERROR((D12-N12)/N12,"")</f>
        <v>-0.0737156388345516</v>
      </c>
      <c r="S12" s="14" t="s">
        <v>40</v>
      </c>
      <c r="T12" s="14" t="s">
        <v>41</v>
      </c>
      <c r="U12" s="1" t="s">
        <v>307</v>
      </c>
    </row>
    <row r="13" customFormat="false" ht="15" hidden="false" customHeight="true" outlineLevel="0" collapsed="false">
      <c r="A13" s="1" t="s">
        <v>308</v>
      </c>
      <c r="B13" s="14" t="s">
        <v>25</v>
      </c>
      <c r="C13" s="1" t="n">
        <v>6257</v>
      </c>
      <c r="D13" s="1" t="n">
        <v>8272</v>
      </c>
      <c r="E13" s="1" t="n">
        <f aca="false">IFERROR((D13-C13)/C13,"")</f>
        <v>0.322039315966118</v>
      </c>
      <c r="F13" s="1" t="n">
        <v>22244</v>
      </c>
      <c r="G13" s="1" t="n">
        <v>28467</v>
      </c>
      <c r="H13" s="1" t="n">
        <f aca="false">IFERROR((G13-F13)/F13,"")</f>
        <v>0.279760834382305</v>
      </c>
      <c r="I13" s="1" t="n">
        <v>1926</v>
      </c>
      <c r="J13" s="1" t="n">
        <v>2897</v>
      </c>
      <c r="K13" s="1" t="n">
        <f aca="false">IFERROR((J13-I13)/I13,"")</f>
        <v>0.504153686396677</v>
      </c>
      <c r="L13" s="1" t="n">
        <v>9250</v>
      </c>
      <c r="M13" s="1" t="s">
        <v>301</v>
      </c>
      <c r="N13" s="1" t="n">
        <v>11653</v>
      </c>
      <c r="O13" s="1" t="s">
        <v>309</v>
      </c>
      <c r="P13" s="1" t="n">
        <v>5773</v>
      </c>
      <c r="Q13" s="1" t="s">
        <v>288</v>
      </c>
      <c r="R13" s="1" t="n">
        <f aca="false">IFERROR((D13-N13)/N13,"")</f>
        <v>-0.290139878142968</v>
      </c>
      <c r="S13" s="14" t="s">
        <v>35</v>
      </c>
      <c r="T13" s="14" t="s">
        <v>269</v>
      </c>
      <c r="U13" s="1" t="s">
        <v>310</v>
      </c>
    </row>
    <row r="14" customFormat="false" ht="15" hidden="false" customHeight="true" outlineLevel="0" collapsed="false">
      <c r="A14" s="1" t="s">
        <v>311</v>
      </c>
      <c r="B14" s="14" t="s">
        <v>25</v>
      </c>
      <c r="C14" s="1" t="n">
        <v>1542</v>
      </c>
      <c r="D14" s="1" t="n">
        <v>1443</v>
      </c>
      <c r="E14" s="1" t="n">
        <f aca="false">IFERROR((D14-C14)/C14,"")</f>
        <v>-0.0642023346303502</v>
      </c>
      <c r="F14" s="1" t="n">
        <v>1486</v>
      </c>
      <c r="G14" s="1" t="n">
        <v>3521</v>
      </c>
      <c r="H14" s="1" t="n">
        <f aca="false">IFERROR((G14-F14)/F14,"")</f>
        <v>1.36944818304172</v>
      </c>
      <c r="I14" s="1" t="n">
        <v>289</v>
      </c>
      <c r="J14" s="1" t="n">
        <v>423</v>
      </c>
      <c r="K14" s="1" t="n">
        <f aca="false">IFERROR((J14-I14)/I14,"")</f>
        <v>0.463667820069204</v>
      </c>
      <c r="L14" s="1" t="n">
        <v>1542</v>
      </c>
      <c r="M14" s="1" t="s">
        <v>268</v>
      </c>
      <c r="N14" s="1" t="n">
        <v>2594</v>
      </c>
      <c r="O14" s="1" t="s">
        <v>312</v>
      </c>
      <c r="P14" s="1" t="n">
        <v>892</v>
      </c>
      <c r="Q14" s="1" t="s">
        <v>291</v>
      </c>
      <c r="R14" s="1" t="n">
        <f aca="false">IFERROR((D14-N14)/N14,"")</f>
        <v>-0.443716268311488</v>
      </c>
      <c r="S14" s="14" t="s">
        <v>40</v>
      </c>
      <c r="T14" s="14" t="s">
        <v>41</v>
      </c>
      <c r="U14" s="1" t="s">
        <v>313</v>
      </c>
    </row>
    <row r="15" customFormat="false" ht="15" hidden="false" customHeight="true" outlineLevel="0" collapsed="false">
      <c r="A15" s="1" t="s">
        <v>314</v>
      </c>
      <c r="B15" s="14" t="s">
        <v>22</v>
      </c>
      <c r="C15" s="1" t="n">
        <v>234550</v>
      </c>
      <c r="D15" s="1" t="n">
        <v>317898</v>
      </c>
      <c r="E15" s="1" t="n">
        <f aca="false">IFERROR((D15-C15)/C15,"")</f>
        <v>0.355352803240247</v>
      </c>
      <c r="F15" s="1" t="n">
        <v>286325</v>
      </c>
      <c r="G15" s="1" t="n">
        <v>439452</v>
      </c>
      <c r="H15" s="1" t="n">
        <f aca="false">IFERROR((G15-F15)/F15,"")</f>
        <v>0.534801362088536</v>
      </c>
      <c r="I15" s="1" t="n">
        <v>9830</v>
      </c>
      <c r="J15" s="1" t="n">
        <v>16654</v>
      </c>
      <c r="K15" s="1" t="n">
        <f aca="false">IFERROR((J15-I15)/I15,"")</f>
        <v>0.694201424211597</v>
      </c>
      <c r="L15" s="1" t="n">
        <v>336101</v>
      </c>
      <c r="M15" s="1" t="s">
        <v>278</v>
      </c>
      <c r="N15" s="1" t="n">
        <v>1054917</v>
      </c>
      <c r="O15" s="1" t="s">
        <v>315</v>
      </c>
      <c r="P15" s="1" t="n">
        <v>215175</v>
      </c>
      <c r="Q15" s="1" t="s">
        <v>288</v>
      </c>
      <c r="R15" s="1" t="n">
        <f aca="false">IFERROR((D15-N15)/N15,"")</f>
        <v>-0.698651173504645</v>
      </c>
      <c r="S15" s="14" t="s">
        <v>35</v>
      </c>
      <c r="T15" s="14" t="s">
        <v>269</v>
      </c>
      <c r="U15" s="1" t="s">
        <v>316</v>
      </c>
    </row>
    <row r="16" customFormat="false" ht="15" hidden="false" customHeight="true" outlineLevel="0" collapsed="false">
      <c r="A16" s="1" t="s">
        <v>317</v>
      </c>
      <c r="B16" s="14" t="s">
        <v>22</v>
      </c>
      <c r="C16" s="1" t="n">
        <v>57246</v>
      </c>
      <c r="D16" s="1" t="n">
        <v>61309</v>
      </c>
      <c r="E16" s="1" t="n">
        <f aca="false">IFERROR((D16-C16)/C16,"")</f>
        <v>0.070974391223841</v>
      </c>
      <c r="F16" s="1" t="n">
        <v>322793</v>
      </c>
      <c r="G16" s="1" t="n">
        <v>336615</v>
      </c>
      <c r="H16" s="1" t="n">
        <f aca="false">IFERROR((G16-F16)/F16,"")</f>
        <v>0.0428200115863727</v>
      </c>
      <c r="I16" s="1" t="n">
        <v>11405</v>
      </c>
      <c r="J16" s="1" t="n">
        <v>8136</v>
      </c>
      <c r="K16" s="1" t="n">
        <f aca="false">IFERROR((J16-I16)/I16,"")</f>
        <v>-0.286628671635248</v>
      </c>
      <c r="L16" s="1" t="n">
        <v>83661</v>
      </c>
      <c r="M16" s="1" t="s">
        <v>281</v>
      </c>
      <c r="N16" s="1" t="n">
        <v>83661</v>
      </c>
      <c r="O16" s="1" t="s">
        <v>281</v>
      </c>
      <c r="P16" s="1" t="n">
        <v>56411</v>
      </c>
      <c r="Q16" s="1" t="s">
        <v>273</v>
      </c>
      <c r="R16" s="1" t="n">
        <f aca="false">IFERROR((D16-N16)/N16,"")</f>
        <v>-0.267173473900623</v>
      </c>
      <c r="S16" s="14" t="s">
        <v>37</v>
      </c>
      <c r="T16" s="14" t="s">
        <v>41</v>
      </c>
      <c r="U16" s="1" t="s">
        <v>318</v>
      </c>
    </row>
    <row r="17" customFormat="false" ht="15" hidden="false" customHeight="true" outlineLevel="0" collapsed="false">
      <c r="A17" s="1" t="s">
        <v>319</v>
      </c>
      <c r="B17" s="14" t="s">
        <v>22</v>
      </c>
      <c r="C17" s="1" t="n">
        <v>81506</v>
      </c>
      <c r="D17" s="1" t="n">
        <v>59905</v>
      </c>
      <c r="E17" s="1" t="n">
        <f aca="false">IFERROR((D17-C17)/C17,"")</f>
        <v>-0.26502343385763</v>
      </c>
      <c r="F17" s="1" t="n">
        <v>164003</v>
      </c>
      <c r="G17" s="1" t="n">
        <v>57284</v>
      </c>
      <c r="H17" s="1" t="n">
        <f aca="false">IFERROR((G17-F17)/F17,"")</f>
        <v>-0.650713706456589</v>
      </c>
      <c r="I17" s="1" t="n">
        <v>6222</v>
      </c>
      <c r="J17" s="1" t="n">
        <v>8516</v>
      </c>
      <c r="K17" s="1" t="n">
        <f aca="false">IFERROR((J17-I17)/I17,"")</f>
        <v>0.368691738990678</v>
      </c>
      <c r="L17" s="1" t="n">
        <v>109600</v>
      </c>
      <c r="M17" s="1" t="s">
        <v>320</v>
      </c>
      <c r="N17" s="1" t="n">
        <v>146300</v>
      </c>
      <c r="O17" s="1" t="s">
        <v>321</v>
      </c>
      <c r="P17" s="1" t="n">
        <v>35188</v>
      </c>
      <c r="Q17" s="1" t="s">
        <v>301</v>
      </c>
      <c r="R17" s="1" t="n">
        <f aca="false">IFERROR((D17-N17)/N17,"")</f>
        <v>-0.590533151059467</v>
      </c>
      <c r="S17" s="14" t="s">
        <v>39</v>
      </c>
      <c r="T17" s="14" t="s">
        <v>282</v>
      </c>
      <c r="U17" s="1" t="s">
        <v>322</v>
      </c>
    </row>
    <row r="18" customFormat="false" ht="15" hidden="false" customHeight="true" outlineLevel="0" collapsed="false">
      <c r="A18" s="1" t="s">
        <v>323</v>
      </c>
      <c r="B18" s="14" t="s">
        <v>22</v>
      </c>
      <c r="C18" s="1" t="n">
        <v>6940</v>
      </c>
      <c r="D18" s="1" t="n">
        <v>13337</v>
      </c>
      <c r="E18" s="1" t="n">
        <f aca="false">IFERROR((D18-C18)/C18,"")</f>
        <v>0.921757925072046</v>
      </c>
      <c r="F18" s="1" t="n">
        <v>10990</v>
      </c>
      <c r="G18" s="1" t="n">
        <v>30321</v>
      </c>
      <c r="H18" s="1" t="n">
        <f aca="false">IFERROR((G18-F18)/F18,"")</f>
        <v>1.7589626933576</v>
      </c>
      <c r="I18" s="1" t="n">
        <v>688</v>
      </c>
      <c r="J18" s="1" t="n">
        <v>1973</v>
      </c>
      <c r="K18" s="1" t="n">
        <f aca="false">IFERROR((J18-I18)/I18,"")</f>
        <v>1.86773255813954</v>
      </c>
      <c r="L18" s="1" t="n">
        <v>13337</v>
      </c>
      <c r="M18" s="1" t="s">
        <v>267</v>
      </c>
      <c r="N18" s="1" t="n">
        <v>13337</v>
      </c>
      <c r="O18" s="1" t="s">
        <v>267</v>
      </c>
      <c r="P18" s="1" t="n">
        <v>6940</v>
      </c>
      <c r="Q18" s="1" t="s">
        <v>268</v>
      </c>
      <c r="R18" s="1" t="n">
        <f aca="false">IFERROR((D18-N18)/N18,"")</f>
        <v>0</v>
      </c>
      <c r="S18" s="14" t="s">
        <v>35</v>
      </c>
      <c r="T18" s="14" t="s">
        <v>269</v>
      </c>
      <c r="U18" s="1" t="s">
        <v>324</v>
      </c>
    </row>
    <row r="19" customFormat="false" ht="15" hidden="false" customHeight="true" outlineLevel="0" collapsed="false">
      <c r="A19" s="1" t="s">
        <v>325</v>
      </c>
      <c r="B19" s="14" t="s">
        <v>22</v>
      </c>
      <c r="C19" s="1" t="n">
        <v>103975</v>
      </c>
      <c r="D19" s="1" t="n">
        <v>70174</v>
      </c>
      <c r="E19" s="1" t="n">
        <f aca="false">IFERROR((D19-C19)/C19,"")</f>
        <v>-0.325087761481125</v>
      </c>
      <c r="F19" s="1" t="n">
        <v>78114</v>
      </c>
      <c r="G19" s="1" t="n">
        <v>31153</v>
      </c>
      <c r="H19" s="1" t="n">
        <f aca="false">IFERROR((G19-F19)/F19,"")</f>
        <v>-0.601185446910925</v>
      </c>
      <c r="I19" s="1" t="n">
        <v>2938</v>
      </c>
      <c r="J19" s="1" t="n">
        <v>5692</v>
      </c>
      <c r="K19" s="1" t="n">
        <f aca="false">IFERROR((J19-I19)/I19,"")</f>
        <v>0.937372362151123</v>
      </c>
      <c r="L19" s="1" t="n">
        <v>113426</v>
      </c>
      <c r="M19" s="1" t="s">
        <v>276</v>
      </c>
      <c r="N19" s="1" t="n">
        <v>113426</v>
      </c>
      <c r="O19" s="1" t="s">
        <v>276</v>
      </c>
      <c r="P19" s="1" t="n">
        <v>56974</v>
      </c>
      <c r="Q19" s="1" t="s">
        <v>285</v>
      </c>
      <c r="R19" s="1" t="n">
        <f aca="false">IFERROR((D19-N19)/N19,"")</f>
        <v>-0.381323506074445</v>
      </c>
      <c r="S19" s="14" t="s">
        <v>39</v>
      </c>
      <c r="T19" s="14" t="s">
        <v>282</v>
      </c>
      <c r="U19" s="1" t="s">
        <v>326</v>
      </c>
    </row>
    <row r="20" customFormat="false" ht="15" hidden="false" customHeight="true" outlineLevel="0" collapsed="false">
      <c r="A20" s="1" t="s">
        <v>327</v>
      </c>
      <c r="B20" s="14" t="s">
        <v>22</v>
      </c>
      <c r="C20" s="1" t="n">
        <v>51568</v>
      </c>
      <c r="D20" s="1" t="n">
        <v>66670</v>
      </c>
      <c r="E20" s="1" t="n">
        <f aca="false">IFERROR((D20-C20)/C20,"")</f>
        <v>0.292856034750233</v>
      </c>
      <c r="F20" s="1" t="n">
        <v>121828</v>
      </c>
      <c r="G20" s="1" t="n">
        <v>134909</v>
      </c>
      <c r="H20" s="1" t="n">
        <f aca="false">IFERROR((G20-F20)/F20,"")</f>
        <v>0.107372689365335</v>
      </c>
      <c r="I20" s="1" t="n">
        <v>2777</v>
      </c>
      <c r="J20" s="1" t="n">
        <v>8452</v>
      </c>
      <c r="K20" s="1" t="n">
        <f aca="false">IFERROR((J20-I20)/I20,"")</f>
        <v>2.04357220021606</v>
      </c>
      <c r="L20" s="1" t="n">
        <v>72994</v>
      </c>
      <c r="M20" s="1" t="s">
        <v>320</v>
      </c>
      <c r="N20" s="1" t="n">
        <v>72994</v>
      </c>
      <c r="O20" s="1" t="s">
        <v>320</v>
      </c>
      <c r="P20" s="1" t="n">
        <v>51568</v>
      </c>
      <c r="Q20" s="1" t="s">
        <v>268</v>
      </c>
      <c r="R20" s="1" t="n">
        <f aca="false">IFERROR((D20-N20)/N20,"")</f>
        <v>-0.0866372578568102</v>
      </c>
      <c r="S20" s="14" t="s">
        <v>35</v>
      </c>
      <c r="T20" s="14" t="s">
        <v>269</v>
      </c>
      <c r="U20" s="1" t="s">
        <v>328</v>
      </c>
    </row>
    <row r="21" customFormat="false" ht="15" hidden="false" customHeight="true" outlineLevel="0" collapsed="false">
      <c r="A21" s="1" t="s">
        <v>329</v>
      </c>
      <c r="B21" s="14" t="s">
        <v>22</v>
      </c>
      <c r="C21" s="1" t="n">
        <v>12670</v>
      </c>
      <c r="D21" s="1" t="n">
        <v>14657</v>
      </c>
      <c r="E21" s="1" t="n">
        <f aca="false">IFERROR((D21-C21)/C21,"")</f>
        <v>0.156827150749803</v>
      </c>
      <c r="F21" s="1" t="n">
        <v>33408</v>
      </c>
      <c r="G21" s="1" t="n">
        <v>49325</v>
      </c>
      <c r="H21" s="1" t="n">
        <f aca="false">IFERROR((G21-F21)/F21,"")</f>
        <v>0.476442768199234</v>
      </c>
      <c r="I21" s="1" t="n">
        <v>1464</v>
      </c>
      <c r="J21" s="1" t="n">
        <v>2008</v>
      </c>
      <c r="K21" s="1" t="n">
        <f aca="false">IFERROR((J21-I21)/I21,"")</f>
        <v>0.371584699453552</v>
      </c>
      <c r="L21" s="1" t="n">
        <v>17780</v>
      </c>
      <c r="M21" s="1" t="s">
        <v>304</v>
      </c>
      <c r="N21" s="1" t="n">
        <v>17780</v>
      </c>
      <c r="O21" s="1" t="s">
        <v>304</v>
      </c>
      <c r="P21" s="1" t="n">
        <v>11151</v>
      </c>
      <c r="Q21" s="1" t="s">
        <v>306</v>
      </c>
      <c r="R21" s="1" t="n">
        <f aca="false">IFERROR((D21-N21)/N21,"")</f>
        <v>-0.175646794150731</v>
      </c>
      <c r="S21" s="14" t="s">
        <v>37</v>
      </c>
      <c r="T21" s="14" t="s">
        <v>269</v>
      </c>
      <c r="U21" s="1" t="s">
        <v>330</v>
      </c>
    </row>
    <row r="22" customFormat="false" ht="15" hidden="false" customHeight="true" outlineLevel="0" collapsed="false">
      <c r="A22" s="1" t="s">
        <v>331</v>
      </c>
      <c r="B22" s="14" t="s">
        <v>22</v>
      </c>
      <c r="C22" s="1" t="n">
        <v>18508</v>
      </c>
      <c r="D22" s="1" t="n">
        <v>14031</v>
      </c>
      <c r="E22" s="1" t="n">
        <f aca="false">IFERROR((D22-C22)/C22,"")</f>
        <v>-0.24189539658526</v>
      </c>
      <c r="F22" s="1" t="n">
        <v>53709</v>
      </c>
      <c r="G22" s="1" t="n">
        <v>49430</v>
      </c>
      <c r="H22" s="1" t="n">
        <f aca="false">IFERROR((G22-F22)/F22,"")</f>
        <v>-0.0796700739168482</v>
      </c>
      <c r="I22" s="1" t="n">
        <v>2517</v>
      </c>
      <c r="J22" s="1" t="n">
        <v>3121</v>
      </c>
      <c r="K22" s="1" t="n">
        <f aca="false">IFERROR((J22-I22)/I22,"")</f>
        <v>0.239968216130314</v>
      </c>
      <c r="L22" s="1" t="n">
        <v>18815</v>
      </c>
      <c r="M22" s="1" t="s">
        <v>288</v>
      </c>
      <c r="N22" s="1" t="n">
        <v>19147</v>
      </c>
      <c r="O22" s="1" t="s">
        <v>332</v>
      </c>
      <c r="P22" s="1" t="n">
        <v>11586</v>
      </c>
      <c r="Q22" s="1" t="s">
        <v>273</v>
      </c>
      <c r="R22" s="1" t="n">
        <f aca="false">IFERROR((D22-N22)/N22,"")</f>
        <v>-0.267195905363765</v>
      </c>
      <c r="S22" s="14" t="s">
        <v>39</v>
      </c>
      <c r="T22" s="14" t="s">
        <v>282</v>
      </c>
      <c r="U22" s="1" t="s">
        <v>333</v>
      </c>
    </row>
    <row r="23" customFormat="false" ht="15" hidden="false" customHeight="true" outlineLevel="0" collapsed="false">
      <c r="A23" s="1" t="s">
        <v>334</v>
      </c>
      <c r="B23" s="14" t="s">
        <v>22</v>
      </c>
      <c r="C23" s="1" t="n">
        <v>32814</v>
      </c>
      <c r="D23" s="1" t="n">
        <v>6882</v>
      </c>
      <c r="E23" s="1" t="n">
        <f aca="false">IFERROR((D23-C23)/C23,"")</f>
        <v>-0.790272444688243</v>
      </c>
      <c r="F23" s="1" t="n">
        <v>53532</v>
      </c>
      <c r="G23" s="1" t="n">
        <v>13162</v>
      </c>
      <c r="H23" s="1" t="n">
        <f aca="false">IFERROR((G23-F23)/F23,"")</f>
        <v>-0.754128371814989</v>
      </c>
      <c r="I23" s="1" t="n">
        <v>4588</v>
      </c>
      <c r="J23" s="1" t="n">
        <v>8711</v>
      </c>
      <c r="K23" s="1" t="n">
        <f aca="false">IFERROR((J23-I23)/I23,"")</f>
        <v>0.898648648648649</v>
      </c>
      <c r="L23" s="1" t="n">
        <v>50602</v>
      </c>
      <c r="M23" s="1" t="s">
        <v>335</v>
      </c>
      <c r="N23" s="1" t="n">
        <v>50602</v>
      </c>
      <c r="O23" s="1" t="s">
        <v>335</v>
      </c>
      <c r="P23" s="1" t="n">
        <v>6882</v>
      </c>
      <c r="Q23" s="1" t="s">
        <v>267</v>
      </c>
      <c r="R23" s="1" t="n">
        <f aca="false">IFERROR((D23-N23)/N23,"")</f>
        <v>-0.863997470455713</v>
      </c>
      <c r="S23" s="14" t="s">
        <v>37</v>
      </c>
      <c r="T23" s="14" t="s">
        <v>282</v>
      </c>
      <c r="U23" s="1" t="s">
        <v>336</v>
      </c>
    </row>
    <row r="24" customFormat="false" ht="15" hidden="false" customHeight="true" outlineLevel="0" collapsed="false">
      <c r="A24" s="1" t="s">
        <v>337</v>
      </c>
      <c r="B24" s="14" t="s">
        <v>22</v>
      </c>
      <c r="C24" s="1" t="n">
        <v>721030</v>
      </c>
      <c r="D24" s="1" t="n">
        <v>1836324</v>
      </c>
      <c r="E24" s="1" t="n">
        <f aca="false">IFERROR((D24-C24)/C24,"")</f>
        <v>1.54680665159563</v>
      </c>
      <c r="F24" s="1" t="n">
        <v>1765663</v>
      </c>
      <c r="G24" s="1" t="n">
        <v>2024596</v>
      </c>
      <c r="H24" s="1" t="n">
        <f aca="false">IFERROR((G24-F24)/F24,"")</f>
        <v>0.146649162382629</v>
      </c>
      <c r="I24" s="1" t="n">
        <v>24773</v>
      </c>
      <c r="J24" s="1" t="n">
        <v>30601</v>
      </c>
      <c r="K24" s="1" t="n">
        <f aca="false">IFERROR((J24-I24)/I24,"")</f>
        <v>0.235256125620635</v>
      </c>
      <c r="L24" s="1" t="n">
        <v>1836324</v>
      </c>
      <c r="M24" s="1" t="s">
        <v>267</v>
      </c>
      <c r="N24" s="1" t="n">
        <v>3378159</v>
      </c>
      <c r="O24" s="1" t="s">
        <v>338</v>
      </c>
      <c r="P24" s="1" t="n">
        <v>721030</v>
      </c>
      <c r="Q24" s="1" t="s">
        <v>268</v>
      </c>
      <c r="R24" s="1" t="n">
        <f aca="false">IFERROR((D24-N24)/N24,"")</f>
        <v>-0.456412797621426</v>
      </c>
      <c r="S24" s="14" t="s">
        <v>35</v>
      </c>
      <c r="T24" s="14" t="s">
        <v>269</v>
      </c>
      <c r="U24" s="1" t="s">
        <v>339</v>
      </c>
    </row>
    <row r="25" customFormat="false" ht="15" hidden="false" customHeight="true" outlineLevel="0" collapsed="false">
      <c r="A25" s="1" t="s">
        <v>340</v>
      </c>
      <c r="B25" s="14" t="s">
        <v>22</v>
      </c>
      <c r="C25" s="1" t="n">
        <v>233662</v>
      </c>
      <c r="D25" s="1" t="n">
        <v>111722</v>
      </c>
      <c r="E25" s="1" t="n">
        <f aca="false">IFERROR((D25-C25)/C25,"")</f>
        <v>-0.521864915989763</v>
      </c>
      <c r="F25" s="1" t="n">
        <v>911315</v>
      </c>
      <c r="G25" s="1" t="n">
        <v>408338</v>
      </c>
      <c r="H25" s="1" t="n">
        <f aca="false">IFERROR((G25-F25)/F25,"")</f>
        <v>-0.55192441691402</v>
      </c>
      <c r="I25" s="1" t="n">
        <v>3526</v>
      </c>
      <c r="J25" s="1" t="n">
        <v>6289</v>
      </c>
      <c r="K25" s="1" t="n">
        <f aca="false">IFERROR((J25-I25)/I25,"")</f>
        <v>0.783607487237663</v>
      </c>
      <c r="L25" s="1" t="n">
        <v>288571</v>
      </c>
      <c r="M25" s="1" t="s">
        <v>276</v>
      </c>
      <c r="N25" s="1" t="n">
        <v>288571</v>
      </c>
      <c r="O25" s="1" t="s">
        <v>276</v>
      </c>
      <c r="P25" s="1" t="n">
        <v>111722</v>
      </c>
      <c r="Q25" s="1" t="s">
        <v>267</v>
      </c>
      <c r="R25" s="1" t="n">
        <f aca="false">IFERROR((D25-N25)/N25,"")</f>
        <v>-0.612843979471257</v>
      </c>
      <c r="S25" s="14" t="s">
        <v>39</v>
      </c>
      <c r="T25" s="14" t="s">
        <v>282</v>
      </c>
      <c r="U25" s="1" t="s">
        <v>341</v>
      </c>
    </row>
    <row r="26" customFormat="false" ht="15" hidden="false" customHeight="true" outlineLevel="0" collapsed="false">
      <c r="A26" s="1" t="s">
        <v>342</v>
      </c>
      <c r="B26" s="14" t="s">
        <v>23</v>
      </c>
      <c r="C26" s="1" t="n">
        <v>359467</v>
      </c>
      <c r="D26" s="1" t="n">
        <v>391423</v>
      </c>
      <c r="E26" s="1" t="n">
        <f aca="false">IFERROR((D26-C26)/C26,"")</f>
        <v>0.0888982855171685</v>
      </c>
      <c r="F26" s="1" t="n">
        <v>1201284</v>
      </c>
      <c r="G26" s="1" t="n">
        <v>1137178</v>
      </c>
      <c r="H26" s="1" t="n">
        <f aca="false">IFERROR((G26-F26)/F26,"")</f>
        <v>-0.0533645665804256</v>
      </c>
      <c r="I26" s="1" t="n">
        <v>19641</v>
      </c>
      <c r="J26" s="1" t="n">
        <v>34171</v>
      </c>
      <c r="K26" s="1" t="n">
        <f aca="false">IFERROR((J26-I26)/I26,"")</f>
        <v>0.739779033654091</v>
      </c>
      <c r="L26" s="1" t="n">
        <v>459281</v>
      </c>
      <c r="M26" s="1" t="s">
        <v>294</v>
      </c>
      <c r="N26" s="1" t="n">
        <v>459281</v>
      </c>
      <c r="O26" s="1" t="s">
        <v>294</v>
      </c>
      <c r="P26" s="1" t="n">
        <v>359467</v>
      </c>
      <c r="Q26" s="1" t="s">
        <v>268</v>
      </c>
      <c r="R26" s="1" t="n">
        <f aca="false">IFERROR((D26-N26)/N26,"")</f>
        <v>-0.147748328365423</v>
      </c>
      <c r="S26" s="14" t="s">
        <v>43</v>
      </c>
      <c r="T26" s="14" t="s">
        <v>41</v>
      </c>
      <c r="U26" s="1" t="s">
        <v>343</v>
      </c>
    </row>
    <row r="27" customFormat="false" ht="15" hidden="false" customHeight="true" outlineLevel="0" collapsed="false">
      <c r="A27" s="1" t="s">
        <v>344</v>
      </c>
      <c r="B27" s="14" t="s">
        <v>23</v>
      </c>
      <c r="C27" s="1" t="n">
        <v>61524</v>
      </c>
      <c r="D27" s="1" t="n">
        <v>98396</v>
      </c>
      <c r="E27" s="1" t="n">
        <f aca="false">IFERROR((D27-C27)/C27,"")</f>
        <v>0.599310838046941</v>
      </c>
      <c r="F27" s="1" t="n">
        <v>347172</v>
      </c>
      <c r="G27" s="1" t="n">
        <v>438465</v>
      </c>
      <c r="H27" s="1" t="n">
        <f aca="false">IFERROR((G27-F27)/F27,"")</f>
        <v>0.262961874805572</v>
      </c>
      <c r="I27" s="1" t="n">
        <v>4950</v>
      </c>
      <c r="J27" s="1" t="n">
        <v>10466</v>
      </c>
      <c r="K27" s="1" t="n">
        <f aca="false">IFERROR((J27-I27)/I27,"")</f>
        <v>1.11434343434343</v>
      </c>
      <c r="L27" s="1" t="n">
        <v>103805</v>
      </c>
      <c r="M27" s="1" t="s">
        <v>301</v>
      </c>
      <c r="N27" s="1" t="n">
        <v>103805</v>
      </c>
      <c r="O27" s="1" t="s">
        <v>301</v>
      </c>
      <c r="P27" s="1" t="n">
        <v>56619</v>
      </c>
      <c r="Q27" s="1" t="s">
        <v>320</v>
      </c>
      <c r="R27" s="1" t="n">
        <f aca="false">IFERROR((D27-N27)/N27,"")</f>
        <v>-0.0521073166032465</v>
      </c>
      <c r="S27" s="14" t="s">
        <v>35</v>
      </c>
      <c r="T27" s="14" t="s">
        <v>269</v>
      </c>
      <c r="U27" s="1" t="s">
        <v>345</v>
      </c>
    </row>
    <row r="28" customFormat="false" ht="15" hidden="false" customHeight="true" outlineLevel="0" collapsed="false">
      <c r="A28" s="1" t="s">
        <v>346</v>
      </c>
      <c r="B28" s="14" t="s">
        <v>23</v>
      </c>
      <c r="C28" s="1" t="n">
        <v>332172</v>
      </c>
      <c r="D28" s="1" t="n">
        <v>278812</v>
      </c>
      <c r="E28" s="1" t="n">
        <f aca="false">IFERROR((D28-C28)/C28,"")</f>
        <v>-0.160639668605421</v>
      </c>
      <c r="F28" s="1" t="n">
        <v>710585</v>
      </c>
      <c r="G28" s="1" t="n">
        <v>598547</v>
      </c>
      <c r="H28" s="1" t="n">
        <f aca="false">IFERROR((G28-F28)/F28,"")</f>
        <v>-0.157670088729709</v>
      </c>
      <c r="I28" s="1" t="n">
        <v>43711</v>
      </c>
      <c r="J28" s="1" t="n">
        <v>54806</v>
      </c>
      <c r="K28" s="1" t="n">
        <f aca="false">IFERROR((J28-I28)/I28,"")</f>
        <v>0.253826267987463</v>
      </c>
      <c r="L28" s="1" t="n">
        <v>345889</v>
      </c>
      <c r="M28" s="1" t="s">
        <v>272</v>
      </c>
      <c r="N28" s="1" t="n">
        <v>346392</v>
      </c>
      <c r="O28" s="1" t="s">
        <v>332</v>
      </c>
      <c r="P28" s="1" t="n">
        <v>233681</v>
      </c>
      <c r="Q28" s="1" t="s">
        <v>273</v>
      </c>
      <c r="R28" s="1" t="n">
        <f aca="false">IFERROR((D28-N28)/N28,"")</f>
        <v>-0.195096884454606</v>
      </c>
      <c r="S28" s="14" t="s">
        <v>39</v>
      </c>
      <c r="T28" s="14" t="s">
        <v>282</v>
      </c>
      <c r="U28" s="1" t="s">
        <v>347</v>
      </c>
    </row>
    <row r="29" customFormat="false" ht="15" hidden="false" customHeight="true" outlineLevel="0" collapsed="false">
      <c r="A29" s="1" t="s">
        <v>348</v>
      </c>
      <c r="B29" s="14" t="s">
        <v>23</v>
      </c>
      <c r="C29" s="1" t="n">
        <v>15325</v>
      </c>
      <c r="D29" s="1" t="n">
        <v>23135</v>
      </c>
      <c r="E29" s="1" t="n">
        <f aca="false">IFERROR((D29-C29)/C29,"")</f>
        <v>0.509624796084829</v>
      </c>
      <c r="F29" s="1" t="n">
        <v>42822</v>
      </c>
      <c r="G29" s="1" t="n">
        <v>56953</v>
      </c>
      <c r="H29" s="1" t="n">
        <f aca="false">IFERROR((G29-F29)/F29,"")</f>
        <v>0.329993928354584</v>
      </c>
      <c r="I29" s="1" t="n">
        <v>4401</v>
      </c>
      <c r="J29" s="1" t="n">
        <v>7303</v>
      </c>
      <c r="K29" s="1" t="n">
        <f aca="false">IFERROR((J29-I29)/I29,"")</f>
        <v>0.659395591910929</v>
      </c>
      <c r="L29" s="1" t="n">
        <v>23135</v>
      </c>
      <c r="M29" s="1" t="s">
        <v>267</v>
      </c>
      <c r="N29" s="1" t="n">
        <v>23135</v>
      </c>
      <c r="O29" s="1" t="s">
        <v>267</v>
      </c>
      <c r="P29" s="1" t="n">
        <v>13867</v>
      </c>
      <c r="Q29" s="1" t="s">
        <v>349</v>
      </c>
      <c r="R29" s="1" t="n">
        <f aca="false">IFERROR((D29-N29)/N29,"")</f>
        <v>0</v>
      </c>
      <c r="S29" s="14" t="s">
        <v>35</v>
      </c>
      <c r="T29" s="14" t="s">
        <v>269</v>
      </c>
      <c r="U29" s="1" t="s">
        <v>350</v>
      </c>
    </row>
    <row r="30" customFormat="false" ht="15" hidden="false" customHeight="true" outlineLevel="0" collapsed="false">
      <c r="A30" s="1" t="s">
        <v>351</v>
      </c>
      <c r="B30" s="14" t="s">
        <v>23</v>
      </c>
      <c r="C30" s="1" t="n">
        <v>20642</v>
      </c>
      <c r="D30" s="1" t="n">
        <v>29376</v>
      </c>
      <c r="E30" s="1" t="n">
        <f aca="false">IFERROR((D30-C30)/C30,"")</f>
        <v>0.423117914930724</v>
      </c>
      <c r="F30" s="1" t="n">
        <v>131069</v>
      </c>
      <c r="G30" s="1" t="n">
        <v>136807</v>
      </c>
      <c r="H30" s="1" t="n">
        <f aca="false">IFERROR((G30-F30)/F30,"")</f>
        <v>0.0437784678299217</v>
      </c>
      <c r="I30" s="1" t="n">
        <v>2544</v>
      </c>
      <c r="J30" s="1" t="n">
        <v>4004</v>
      </c>
      <c r="K30" s="1" t="n">
        <f aca="false">IFERROR((J30-I30)/I30,"")</f>
        <v>0.573899371069182</v>
      </c>
      <c r="L30" s="1" t="n">
        <v>29376</v>
      </c>
      <c r="M30" s="1" t="s">
        <v>267</v>
      </c>
      <c r="N30" s="1" t="n">
        <v>29376</v>
      </c>
      <c r="O30" s="1" t="s">
        <v>267</v>
      </c>
      <c r="P30" s="1" t="n">
        <v>18421</v>
      </c>
      <c r="Q30" s="1" t="s">
        <v>288</v>
      </c>
      <c r="R30" s="1" t="n">
        <f aca="false">IFERROR((D30-N30)/N30,"")</f>
        <v>0</v>
      </c>
      <c r="S30" s="14" t="s">
        <v>35</v>
      </c>
      <c r="T30" s="14" t="s">
        <v>269</v>
      </c>
      <c r="U30" s="1" t="s">
        <v>352</v>
      </c>
    </row>
    <row r="31" customFormat="false" ht="15" hidden="false" customHeight="true" outlineLevel="0" collapsed="false">
      <c r="A31" s="1" t="s">
        <v>353</v>
      </c>
      <c r="B31" s="14" t="s">
        <v>23</v>
      </c>
      <c r="C31" s="1" t="n">
        <v>167284</v>
      </c>
      <c r="D31" s="1" t="n">
        <v>61370</v>
      </c>
      <c r="E31" s="1" t="n">
        <f aca="false">IFERROR((D31-C31)/C31,"")</f>
        <v>-0.633138853685947</v>
      </c>
      <c r="F31" s="1" t="n">
        <v>320615</v>
      </c>
      <c r="G31" s="1" t="n">
        <v>87279</v>
      </c>
      <c r="H31" s="1" t="n">
        <f aca="false">IFERROR((G31-F31)/F31,"")</f>
        <v>-0.727776304913993</v>
      </c>
      <c r="I31" s="1" t="n">
        <v>10700</v>
      </c>
      <c r="J31" s="1" t="n">
        <v>14877</v>
      </c>
      <c r="K31" s="1" t="n">
        <f aca="false">IFERROR((J31-I31)/I31,"")</f>
        <v>0.390373831775701</v>
      </c>
      <c r="L31" s="1" t="n">
        <v>197105</v>
      </c>
      <c r="M31" s="1" t="s">
        <v>276</v>
      </c>
      <c r="N31" s="1" t="n">
        <v>197105</v>
      </c>
      <c r="O31" s="1" t="s">
        <v>276</v>
      </c>
      <c r="P31" s="1" t="n">
        <v>61060</v>
      </c>
      <c r="Q31" s="1" t="s">
        <v>278</v>
      </c>
      <c r="R31" s="1" t="n">
        <f aca="false">IFERROR((D31-N31)/N31,"")</f>
        <v>-0.688643109002816</v>
      </c>
      <c r="S31" s="14" t="s">
        <v>39</v>
      </c>
      <c r="T31" s="14" t="s">
        <v>282</v>
      </c>
      <c r="U31" s="1" t="s">
        <v>354</v>
      </c>
    </row>
    <row r="32" customFormat="false" ht="15" hidden="false" customHeight="true" outlineLevel="0" collapsed="false">
      <c r="A32" s="1" t="s">
        <v>355</v>
      </c>
      <c r="B32" s="14" t="s">
        <v>23</v>
      </c>
      <c r="C32" s="1" t="n">
        <v>19583</v>
      </c>
      <c r="D32" s="1" t="n">
        <v>10756</v>
      </c>
      <c r="E32" s="1" t="n">
        <f aca="false">IFERROR((D32-C32)/C32,"")</f>
        <v>-0.450748097839963</v>
      </c>
      <c r="F32" s="1" t="n">
        <v>81990</v>
      </c>
      <c r="G32" s="1" t="n">
        <v>67600</v>
      </c>
      <c r="H32" s="1" t="n">
        <f aca="false">IFERROR((G32-F32)/F32,"")</f>
        <v>-0.175509208440054</v>
      </c>
      <c r="I32" s="1" t="n">
        <v>3216</v>
      </c>
      <c r="J32" s="1" t="n">
        <v>6531</v>
      </c>
      <c r="K32" s="1" t="n">
        <f aca="false">IFERROR((J32-I32)/I32,"")</f>
        <v>1.03078358208955</v>
      </c>
      <c r="L32" s="1" t="n">
        <v>20346</v>
      </c>
      <c r="M32" s="1" t="s">
        <v>276</v>
      </c>
      <c r="N32" s="1" t="n">
        <v>27365</v>
      </c>
      <c r="O32" s="1" t="s">
        <v>305</v>
      </c>
      <c r="P32" s="1" t="n">
        <v>10756</v>
      </c>
      <c r="Q32" s="1" t="s">
        <v>267</v>
      </c>
      <c r="R32" s="1" t="n">
        <f aca="false">IFERROR((D32-N32)/N32,"")</f>
        <v>-0.606943175589256</v>
      </c>
      <c r="S32" s="14" t="s">
        <v>39</v>
      </c>
      <c r="T32" s="14" t="s">
        <v>282</v>
      </c>
      <c r="U32" s="1" t="s">
        <v>356</v>
      </c>
    </row>
    <row r="33" customFormat="false" ht="15" hidden="false" customHeight="true" outlineLevel="0" collapsed="false">
      <c r="A33" s="1" t="s">
        <v>357</v>
      </c>
      <c r="B33" s="14" t="s">
        <v>23</v>
      </c>
      <c r="C33" s="1" t="n">
        <v>651573</v>
      </c>
      <c r="D33" s="1" t="n">
        <v>570487</v>
      </c>
      <c r="E33" s="1" t="n">
        <f aca="false">IFERROR((D33-C33)/C33,"")</f>
        <v>-0.124446531700976</v>
      </c>
      <c r="F33" s="1" t="n">
        <v>782196</v>
      </c>
      <c r="G33" s="1" t="n">
        <v>529310</v>
      </c>
      <c r="H33" s="1" t="n">
        <f aca="false">IFERROR((G33-F33)/F33,"")</f>
        <v>-0.323302599348501</v>
      </c>
      <c r="I33" s="1" t="n">
        <v>53945</v>
      </c>
      <c r="J33" s="1" t="n">
        <v>71208</v>
      </c>
      <c r="K33" s="1" t="n">
        <f aca="false">IFERROR((J33-I33)/I33,"")</f>
        <v>0.320011122439522</v>
      </c>
      <c r="L33" s="1" t="n">
        <v>675746</v>
      </c>
      <c r="M33" s="1" t="s">
        <v>272</v>
      </c>
      <c r="N33" s="1" t="n">
        <v>695425</v>
      </c>
      <c r="O33" s="1" t="s">
        <v>332</v>
      </c>
      <c r="P33" s="1" t="n">
        <v>508747</v>
      </c>
      <c r="Q33" s="1" t="s">
        <v>301</v>
      </c>
      <c r="R33" s="1" t="n">
        <f aca="false">IFERROR((D33-N33)/N33,"")</f>
        <v>-0.179657044253514</v>
      </c>
      <c r="S33" s="14" t="s">
        <v>39</v>
      </c>
      <c r="T33" s="14" t="s">
        <v>282</v>
      </c>
      <c r="U33" s="1" t="s">
        <v>358</v>
      </c>
    </row>
    <row r="34" customFormat="false" ht="15" hidden="false" customHeight="true" outlineLevel="0" collapsed="false">
      <c r="A34" s="1" t="s">
        <v>359</v>
      </c>
      <c r="B34" s="14" t="s">
        <v>23</v>
      </c>
      <c r="C34" s="1" t="n">
        <v>59565</v>
      </c>
      <c r="D34" s="1" t="n">
        <v>45294</v>
      </c>
      <c r="E34" s="1" t="n">
        <f aca="false">IFERROR((D34-C34)/C34,"")</f>
        <v>-0.239587005791992</v>
      </c>
      <c r="F34" s="1" t="n">
        <v>134244</v>
      </c>
      <c r="G34" s="1" t="n">
        <v>119060</v>
      </c>
      <c r="H34" s="1" t="n">
        <f aca="false">IFERROR((G34-F34)/F34,"")</f>
        <v>-0.113107475939334</v>
      </c>
      <c r="I34" s="1" t="n">
        <v>6676</v>
      </c>
      <c r="J34" s="1" t="n">
        <v>13375</v>
      </c>
      <c r="K34" s="1" t="n">
        <f aca="false">IFERROR((J34-I34)/I34,"")</f>
        <v>1.00344517675255</v>
      </c>
      <c r="L34" s="1" t="n">
        <v>66089</v>
      </c>
      <c r="M34" s="1" t="s">
        <v>285</v>
      </c>
      <c r="N34" s="1" t="n">
        <v>66089</v>
      </c>
      <c r="O34" s="1" t="s">
        <v>285</v>
      </c>
      <c r="P34" s="1" t="n">
        <v>40859</v>
      </c>
      <c r="Q34" s="1" t="s">
        <v>301</v>
      </c>
      <c r="R34" s="1" t="n">
        <f aca="false">IFERROR((D34-N34)/N34,"")</f>
        <v>-0.31465145485633</v>
      </c>
      <c r="S34" s="14" t="s">
        <v>37</v>
      </c>
      <c r="T34" s="14" t="s">
        <v>282</v>
      </c>
      <c r="U34" s="1" t="s">
        <v>360</v>
      </c>
    </row>
    <row r="35" customFormat="false" ht="15" hidden="false" customHeight="true" outlineLevel="0" collapsed="false">
      <c r="A35" s="1" t="s">
        <v>361</v>
      </c>
      <c r="B35" s="14" t="s">
        <v>23</v>
      </c>
      <c r="C35" s="1" t="n">
        <v>278272</v>
      </c>
      <c r="D35" s="1" t="n">
        <v>108931</v>
      </c>
      <c r="E35" s="1" t="n">
        <f aca="false">IFERROR((D35-C35)/C35,"")</f>
        <v>-0.608544876954922</v>
      </c>
      <c r="F35" s="1" t="n">
        <v>341609</v>
      </c>
      <c r="G35" s="1" t="n">
        <v>119831</v>
      </c>
      <c r="H35" s="1" t="n">
        <f aca="false">IFERROR((G35-F35)/F35,"")</f>
        <v>-0.649215916442482</v>
      </c>
      <c r="I35" s="1" t="n">
        <v>29177</v>
      </c>
      <c r="J35" s="1" t="n">
        <v>28984</v>
      </c>
      <c r="K35" s="1" t="n">
        <f aca="false">IFERROR((J35-I35)/I35,"")</f>
        <v>-0.006614799328238</v>
      </c>
      <c r="L35" s="1" t="n">
        <v>306113</v>
      </c>
      <c r="M35" s="1" t="s">
        <v>272</v>
      </c>
      <c r="N35" s="1" t="n">
        <v>306113</v>
      </c>
      <c r="O35" s="1" t="s">
        <v>272</v>
      </c>
      <c r="P35" s="1" t="n">
        <v>108931</v>
      </c>
      <c r="Q35" s="1" t="s">
        <v>267</v>
      </c>
      <c r="R35" s="1" t="n">
        <f aca="false">IFERROR((D35-N35)/N35,"")</f>
        <v>-0.64414774936053</v>
      </c>
      <c r="S35" s="14" t="s">
        <v>39</v>
      </c>
      <c r="T35" s="14" t="s">
        <v>282</v>
      </c>
      <c r="U35" s="1" t="s">
        <v>362</v>
      </c>
    </row>
    <row r="36" customFormat="false" ht="15" hidden="false" customHeight="true" outlineLevel="0" collapsed="false">
      <c r="A36" s="1" t="s">
        <v>363</v>
      </c>
      <c r="B36" s="14" t="s">
        <v>23</v>
      </c>
      <c r="C36" s="1" t="n">
        <v>1308</v>
      </c>
      <c r="D36" s="1" t="n">
        <v>1118</v>
      </c>
      <c r="E36" s="1" t="n">
        <f aca="false">IFERROR((D36-C36)/C36,"")</f>
        <v>-0.145259938837921</v>
      </c>
      <c r="F36" s="1" t="n">
        <v>778</v>
      </c>
      <c r="G36" s="1" t="n">
        <v>631</v>
      </c>
      <c r="H36" s="1" t="n">
        <f aca="false">IFERROR((G36-F36)/F36,"")</f>
        <v>-0.188946015424165</v>
      </c>
      <c r="I36" s="1" t="n">
        <v>459</v>
      </c>
      <c r="J36" s="1" t="n">
        <v>453</v>
      </c>
      <c r="K36" s="1" t="n">
        <f aca="false">IFERROR((J36-I36)/I36,"")</f>
        <v>-0.0130718954248366</v>
      </c>
      <c r="L36" s="1" t="n">
        <v>1395</v>
      </c>
      <c r="M36" s="1" t="s">
        <v>285</v>
      </c>
      <c r="N36" s="1" t="n">
        <v>1395</v>
      </c>
      <c r="O36" s="1" t="s">
        <v>285</v>
      </c>
      <c r="P36" s="1" t="n">
        <v>866</v>
      </c>
      <c r="Q36" s="1" t="s">
        <v>297</v>
      </c>
      <c r="R36" s="1" t="n">
        <f aca="false">IFERROR((D36-N36)/N36,"")</f>
        <v>-0.198566308243728</v>
      </c>
      <c r="S36" s="14" t="s">
        <v>43</v>
      </c>
      <c r="T36" s="14" t="s">
        <v>282</v>
      </c>
      <c r="U36" s="1" t="s">
        <v>364</v>
      </c>
    </row>
    <row r="37" customFormat="false" ht="15" hidden="false" customHeight="true" outlineLevel="0" collapsed="false">
      <c r="A37" s="1" t="s">
        <v>365</v>
      </c>
      <c r="B37" s="14" t="s">
        <v>26</v>
      </c>
      <c r="C37" s="1" t="n">
        <v>1265794</v>
      </c>
      <c r="D37" s="1" t="n">
        <v>1021296</v>
      </c>
      <c r="E37" s="1" t="n">
        <f aca="false">IFERROR((D37-C37)/C37,"")</f>
        <v>-0.193157812408654</v>
      </c>
      <c r="F37" s="1" t="n">
        <v>4254029</v>
      </c>
      <c r="G37" s="1" t="n">
        <v>2978322</v>
      </c>
      <c r="H37" s="1" t="n">
        <f aca="false">IFERROR((G37-F37)/F37,"")</f>
        <v>-0.299882064743799</v>
      </c>
      <c r="I37" s="1" t="n">
        <v>13622</v>
      </c>
      <c r="J37" s="1" t="n">
        <v>21023</v>
      </c>
      <c r="K37" s="1" t="n">
        <f aca="false">IFERROR((J37-I37)/I37,"")</f>
        <v>0.543312288944355</v>
      </c>
      <c r="L37" s="1" t="n">
        <v>1316674</v>
      </c>
      <c r="M37" s="1" t="s">
        <v>288</v>
      </c>
      <c r="N37" s="1" t="n">
        <v>1316674</v>
      </c>
      <c r="O37" s="1" t="s">
        <v>288</v>
      </c>
      <c r="P37" s="1" t="n">
        <v>992702</v>
      </c>
      <c r="Q37" s="1" t="s">
        <v>278</v>
      </c>
      <c r="R37" s="1" t="n">
        <f aca="false">IFERROR((D37-N37)/N37,"")</f>
        <v>-0.224336472050029</v>
      </c>
      <c r="S37" s="14" t="s">
        <v>39</v>
      </c>
      <c r="T37" s="14" t="s">
        <v>282</v>
      </c>
      <c r="U37" s="1" t="s">
        <v>366</v>
      </c>
    </row>
    <row r="38" customFormat="false" ht="15" hidden="false" customHeight="true" outlineLevel="0" collapsed="false">
      <c r="A38" s="1" t="s">
        <v>367</v>
      </c>
      <c r="B38" s="14" t="s">
        <v>26</v>
      </c>
      <c r="C38" s="1" t="n">
        <v>869878</v>
      </c>
      <c r="D38" s="1" t="n">
        <v>570347</v>
      </c>
      <c r="E38" s="1" t="n">
        <f aca="false">IFERROR((D38-C38)/C38,"")</f>
        <v>-0.344336792055898</v>
      </c>
      <c r="F38" s="1" t="n">
        <v>2117945</v>
      </c>
      <c r="G38" s="1" t="n">
        <v>1415987</v>
      </c>
      <c r="H38" s="1" t="n">
        <f aca="false">IFERROR((G38-F38)/F38,"")</f>
        <v>-0.331433535809476</v>
      </c>
      <c r="I38" s="1" t="n">
        <v>13773</v>
      </c>
      <c r="J38" s="1" t="n">
        <v>18613</v>
      </c>
      <c r="K38" s="1" t="n">
        <f aca="false">IFERROR((J38-I38)/I38,"")</f>
        <v>0.351412183257097</v>
      </c>
      <c r="L38" s="1" t="n">
        <v>869878</v>
      </c>
      <c r="M38" s="1" t="s">
        <v>268</v>
      </c>
      <c r="N38" s="1" t="n">
        <v>1071827</v>
      </c>
      <c r="O38" s="1" t="s">
        <v>312</v>
      </c>
      <c r="P38" s="1" t="n">
        <v>570347</v>
      </c>
      <c r="Q38" s="1" t="s">
        <v>267</v>
      </c>
      <c r="R38" s="1" t="n">
        <f aca="false">IFERROR((D38-N38)/N38,"")</f>
        <v>-0.467874013250273</v>
      </c>
      <c r="S38" s="14" t="s">
        <v>42</v>
      </c>
      <c r="T38" s="14" t="s">
        <v>282</v>
      </c>
      <c r="U38" s="1" t="s">
        <v>368</v>
      </c>
    </row>
    <row r="39" customFormat="false" ht="15" hidden="false" customHeight="true" outlineLevel="0" collapsed="false">
      <c r="A39" s="1" t="s">
        <v>369</v>
      </c>
      <c r="B39" s="14" t="s">
        <v>26</v>
      </c>
      <c r="C39" s="1" t="n">
        <v>384588</v>
      </c>
      <c r="D39" s="1" t="n">
        <v>492438</v>
      </c>
      <c r="E39" s="1" t="n">
        <f aca="false">IFERROR((D39-C39)/C39,"")</f>
        <v>0.280429966613623</v>
      </c>
      <c r="F39" s="1" t="n">
        <v>1009955</v>
      </c>
      <c r="G39" s="1" t="n">
        <v>1046200</v>
      </c>
      <c r="H39" s="1" t="n">
        <f aca="false">IFERROR((G39-F39)/F39,"")</f>
        <v>0.0358877375724661</v>
      </c>
      <c r="I39" s="1" t="n">
        <v>3635</v>
      </c>
      <c r="J39" s="1" t="n">
        <v>8967</v>
      </c>
      <c r="K39" s="1" t="n">
        <f aca="false">IFERROR((J39-I39)/I39,"")</f>
        <v>1.46685006877579</v>
      </c>
      <c r="L39" s="1" t="n">
        <v>532778</v>
      </c>
      <c r="M39" s="1" t="s">
        <v>306</v>
      </c>
      <c r="N39" s="1" t="n">
        <v>532778</v>
      </c>
      <c r="O39" s="1" t="s">
        <v>306</v>
      </c>
      <c r="P39" s="1" t="n">
        <v>364710</v>
      </c>
      <c r="Q39" s="1" t="s">
        <v>273</v>
      </c>
      <c r="R39" s="1" t="n">
        <f aca="false">IFERROR((D39-N39)/N39,"")</f>
        <v>-0.0757163396386487</v>
      </c>
      <c r="S39" s="14" t="s">
        <v>37</v>
      </c>
      <c r="T39" s="14" t="s">
        <v>269</v>
      </c>
      <c r="U39" s="1" t="s">
        <v>370</v>
      </c>
    </row>
    <row r="40" customFormat="false" ht="15" hidden="false" customHeight="true" outlineLevel="0" collapsed="false">
      <c r="A40" s="1" t="s">
        <v>371</v>
      </c>
      <c r="B40" s="14" t="s">
        <v>26</v>
      </c>
      <c r="C40" s="1" t="n">
        <v>376657</v>
      </c>
      <c r="D40" s="1" t="n">
        <v>401446</v>
      </c>
      <c r="E40" s="1" t="n">
        <f aca="false">IFERROR((D40-C40)/C40,"")</f>
        <v>0.0658131934359377</v>
      </c>
      <c r="F40" s="1" t="n">
        <v>867065</v>
      </c>
      <c r="G40" s="1" t="n">
        <v>1109749</v>
      </c>
      <c r="H40" s="1" t="n">
        <f aca="false">IFERROR((G40-F40)/F40,"")</f>
        <v>0.279891357626014</v>
      </c>
      <c r="I40" s="1" t="n">
        <v>7107</v>
      </c>
      <c r="J40" s="1" t="n">
        <v>14343</v>
      </c>
      <c r="K40" s="1" t="n">
        <f aca="false">IFERROR((J40-I40)/I40,"")</f>
        <v>1.01815111861545</v>
      </c>
      <c r="L40" s="1" t="n">
        <v>410628</v>
      </c>
      <c r="M40" s="1" t="s">
        <v>294</v>
      </c>
      <c r="N40" s="1" t="n">
        <v>410628</v>
      </c>
      <c r="O40" s="1" t="s">
        <v>294</v>
      </c>
      <c r="P40" s="1" t="n">
        <v>346140</v>
      </c>
      <c r="Q40" s="1" t="s">
        <v>285</v>
      </c>
      <c r="R40" s="1" t="n">
        <f aca="false">IFERROR((D40-N40)/N40,"")</f>
        <v>-0.0223608716405116</v>
      </c>
      <c r="S40" s="14" t="s">
        <v>43</v>
      </c>
      <c r="T40" s="14" t="s">
        <v>41</v>
      </c>
      <c r="U40" s="1" t="s">
        <v>372</v>
      </c>
    </row>
    <row r="41" customFormat="false" ht="15" hidden="false" customHeight="true" outlineLevel="0" collapsed="false">
      <c r="A41" s="1" t="s">
        <v>373</v>
      </c>
      <c r="B41" s="14" t="s">
        <v>26</v>
      </c>
      <c r="C41" s="1" t="n">
        <v>1763551</v>
      </c>
      <c r="D41" s="1" t="n">
        <v>1202814</v>
      </c>
      <c r="E41" s="1" t="n">
        <f aca="false">IFERROR((D41-C41)/C41,"")</f>
        <v>-0.317959049667404</v>
      </c>
      <c r="F41" s="1" t="n">
        <v>1016377</v>
      </c>
      <c r="G41" s="1" t="n">
        <v>903129</v>
      </c>
      <c r="H41" s="1" t="n">
        <f aca="false">IFERROR((G41-F41)/F41,"")</f>
        <v>-0.111423221895025</v>
      </c>
      <c r="I41" s="1" t="n">
        <v>2852</v>
      </c>
      <c r="J41" s="1" t="n">
        <v>7322</v>
      </c>
      <c r="K41" s="1" t="n">
        <f aca="false">IFERROR((J41-I41)/I41,"")</f>
        <v>1.56732117812062</v>
      </c>
      <c r="L41" s="1" t="n">
        <v>1763551</v>
      </c>
      <c r="M41" s="1" t="s">
        <v>268</v>
      </c>
      <c r="N41" s="1" t="n">
        <v>1763551</v>
      </c>
      <c r="O41" s="1" t="s">
        <v>268</v>
      </c>
      <c r="P41" s="1" t="n">
        <v>1149827</v>
      </c>
      <c r="Q41" s="1" t="s">
        <v>278</v>
      </c>
      <c r="R41" s="1" t="n">
        <f aca="false">IFERROR((D41-N41)/N41,"")</f>
        <v>-0.317959049667404</v>
      </c>
      <c r="S41" s="14" t="s">
        <v>42</v>
      </c>
      <c r="T41" s="14" t="s">
        <v>282</v>
      </c>
      <c r="U41" s="1" t="s">
        <v>374</v>
      </c>
    </row>
    <row r="42" customFormat="false" ht="15" hidden="false" customHeight="true" outlineLevel="0" collapsed="false">
      <c r="A42" s="1" t="s">
        <v>375</v>
      </c>
      <c r="B42" s="14" t="s">
        <v>26</v>
      </c>
      <c r="C42" s="1" t="n">
        <v>253016</v>
      </c>
      <c r="D42" s="1" t="n">
        <v>300712</v>
      </c>
      <c r="E42" s="1" t="n">
        <f aca="false">IFERROR((D42-C42)/C42,"")</f>
        <v>0.188509817560945</v>
      </c>
      <c r="F42" s="1" t="n">
        <v>660457</v>
      </c>
      <c r="G42" s="1" t="n">
        <v>782256</v>
      </c>
      <c r="H42" s="1" t="n">
        <f aca="false">IFERROR((G42-F42)/F42,"")</f>
        <v>0.184416245115125</v>
      </c>
      <c r="I42" s="1" t="n">
        <v>3325</v>
      </c>
      <c r="J42" s="1" t="n">
        <v>8953</v>
      </c>
      <c r="K42" s="1" t="n">
        <f aca="false">IFERROR((J42-I42)/I42,"")</f>
        <v>1.69263157894737</v>
      </c>
      <c r="L42" s="1" t="n">
        <v>328480</v>
      </c>
      <c r="M42" s="1" t="s">
        <v>304</v>
      </c>
      <c r="N42" s="1" t="n">
        <v>328480</v>
      </c>
      <c r="O42" s="1" t="s">
        <v>304</v>
      </c>
      <c r="P42" s="1" t="n">
        <v>253016</v>
      </c>
      <c r="Q42" s="1" t="s">
        <v>268</v>
      </c>
      <c r="R42" s="1" t="n">
        <f aca="false">IFERROR((D42-N42)/N42,"")</f>
        <v>-0.0845348270823186</v>
      </c>
      <c r="S42" s="14" t="s">
        <v>37</v>
      </c>
      <c r="T42" s="14" t="s">
        <v>269</v>
      </c>
      <c r="U42" s="1" t="s">
        <v>376</v>
      </c>
    </row>
    <row r="43" customFormat="false" ht="15" hidden="false" customHeight="true" outlineLevel="0" collapsed="false">
      <c r="A43" s="1" t="s">
        <v>377</v>
      </c>
      <c r="B43" s="14" t="s">
        <v>26</v>
      </c>
      <c r="C43" s="1" t="n">
        <v>421045</v>
      </c>
      <c r="D43" s="1" t="n">
        <v>176363</v>
      </c>
      <c r="E43" s="1" t="n">
        <f aca="false">IFERROR((D43-C43)/C43,"")</f>
        <v>-0.581130282986379</v>
      </c>
      <c r="F43" s="1" t="n">
        <v>540567</v>
      </c>
      <c r="G43" s="1" t="n">
        <v>359276</v>
      </c>
      <c r="H43" s="1" t="n">
        <f aca="false">IFERROR((G43-F43)/F43,"")</f>
        <v>-0.335371933543853</v>
      </c>
      <c r="I43" s="1" t="n">
        <v>8608</v>
      </c>
      <c r="J43" s="1" t="n">
        <v>14156</v>
      </c>
      <c r="K43" s="1" t="n">
        <f aca="false">IFERROR((J43-I43)/I43,"")</f>
        <v>0.644516728624535</v>
      </c>
      <c r="L43" s="1" t="n">
        <v>441598</v>
      </c>
      <c r="M43" s="1" t="s">
        <v>288</v>
      </c>
      <c r="N43" s="1" t="n">
        <v>441598</v>
      </c>
      <c r="O43" s="1" t="s">
        <v>288</v>
      </c>
      <c r="P43" s="1" t="n">
        <v>145390</v>
      </c>
      <c r="Q43" s="1" t="s">
        <v>301</v>
      </c>
      <c r="R43" s="1" t="n">
        <f aca="false">IFERROR((D43-N43)/N43,"")</f>
        <v>-0.600625455731231</v>
      </c>
      <c r="S43" s="14" t="s">
        <v>39</v>
      </c>
      <c r="T43" s="14" t="s">
        <v>282</v>
      </c>
      <c r="U43" s="1" t="s">
        <v>378</v>
      </c>
    </row>
    <row r="44" customFormat="false" ht="15" hidden="false" customHeight="true" outlineLevel="0" collapsed="false">
      <c r="A44" s="1" t="s">
        <v>379</v>
      </c>
      <c r="B44" s="14" t="s">
        <v>26</v>
      </c>
      <c r="C44" s="1" t="n">
        <v>306065</v>
      </c>
      <c r="D44" s="1" t="n">
        <v>171391</v>
      </c>
      <c r="E44" s="1" t="n">
        <f aca="false">IFERROR((D44-C44)/C44,"")</f>
        <v>-0.440017643311061</v>
      </c>
      <c r="F44" s="1" t="n">
        <v>867549</v>
      </c>
      <c r="G44" s="1" t="n">
        <v>584089</v>
      </c>
      <c r="H44" s="1" t="n">
        <f aca="false">IFERROR((G44-F44)/F44,"")</f>
        <v>-0.326736587789278</v>
      </c>
      <c r="I44" s="1" t="n">
        <v>6595</v>
      </c>
      <c r="J44" s="1" t="n">
        <v>8897</v>
      </c>
      <c r="K44" s="1" t="n">
        <f aca="false">IFERROR((J44-I44)/I44,"")</f>
        <v>0.349052312357847</v>
      </c>
      <c r="L44" s="1" t="n">
        <v>306065</v>
      </c>
      <c r="M44" s="1" t="s">
        <v>268</v>
      </c>
      <c r="N44" s="1" t="n">
        <v>311918</v>
      </c>
      <c r="O44" s="1" t="s">
        <v>380</v>
      </c>
      <c r="P44" s="1" t="n">
        <v>171391</v>
      </c>
      <c r="Q44" s="1" t="s">
        <v>267</v>
      </c>
      <c r="R44" s="1" t="n">
        <f aca="false">IFERROR((D44-N44)/N44,"")</f>
        <v>-0.450525458614123</v>
      </c>
      <c r="S44" s="14" t="s">
        <v>42</v>
      </c>
      <c r="T44" s="14" t="s">
        <v>282</v>
      </c>
      <c r="U44" s="1" t="s">
        <v>381</v>
      </c>
    </row>
    <row r="45" customFormat="false" ht="15" hidden="false" customHeight="true" outlineLevel="0" collapsed="false">
      <c r="A45" s="1" t="s">
        <v>382</v>
      </c>
      <c r="B45" s="14" t="s">
        <v>26</v>
      </c>
      <c r="C45" s="1" t="n">
        <v>721504</v>
      </c>
      <c r="D45" s="1" t="n">
        <v>159130</v>
      </c>
      <c r="E45" s="1" t="n">
        <f aca="false">IFERROR((D45-C45)/C45,"")</f>
        <v>-0.77944682219364</v>
      </c>
      <c r="F45" s="1" t="n">
        <v>79355</v>
      </c>
      <c r="G45" s="1" t="n">
        <v>40629</v>
      </c>
      <c r="H45" s="1" t="n">
        <f aca="false">IFERROR((G45-F45)/F45,"")</f>
        <v>-0.488009577216306</v>
      </c>
      <c r="I45" s="1" t="n">
        <v>1810</v>
      </c>
      <c r="J45" s="1" t="n">
        <v>4482</v>
      </c>
      <c r="K45" s="1" t="n">
        <f aca="false">IFERROR((J45-I45)/I45,"")</f>
        <v>1.47624309392265</v>
      </c>
      <c r="L45" s="1" t="n">
        <v>721504</v>
      </c>
      <c r="M45" s="1" t="s">
        <v>268</v>
      </c>
      <c r="N45" s="1" t="n">
        <v>747245</v>
      </c>
      <c r="O45" s="1" t="s">
        <v>305</v>
      </c>
      <c r="P45" s="1" t="n">
        <v>159130</v>
      </c>
      <c r="Q45" s="1" t="s">
        <v>267</v>
      </c>
      <c r="R45" s="1" t="n">
        <f aca="false">IFERROR((D45-N45)/N45,"")</f>
        <v>-0.78704440979866</v>
      </c>
      <c r="S45" s="14" t="s">
        <v>42</v>
      </c>
      <c r="T45" s="14" t="s">
        <v>282</v>
      </c>
      <c r="U45" s="1" t="s">
        <v>383</v>
      </c>
    </row>
    <row r="46" customFormat="false" ht="15" hidden="false" customHeight="true" outlineLevel="0" collapsed="false">
      <c r="A46" s="1" t="s">
        <v>384</v>
      </c>
      <c r="B46" s="14" t="s">
        <v>26</v>
      </c>
      <c r="C46" s="1" t="n">
        <v>2279161</v>
      </c>
      <c r="D46" s="1" t="n">
        <v>1909817</v>
      </c>
      <c r="E46" s="1" t="n">
        <f aca="false">IFERROR((D46-C46)/C46,"")</f>
        <v>-0.162052614975423</v>
      </c>
      <c r="F46" s="1" t="n">
        <v>3201566</v>
      </c>
      <c r="G46" s="1" t="n">
        <v>2933373</v>
      </c>
      <c r="H46" s="1" t="n">
        <f aca="false">IFERROR((G46-F46)/F46,"")</f>
        <v>-0.0837693178900576</v>
      </c>
      <c r="I46" s="1" t="n">
        <v>12266</v>
      </c>
      <c r="J46" s="1" t="n">
        <v>19718</v>
      </c>
      <c r="K46" s="1" t="n">
        <f aca="false">IFERROR((J46-I46)/I46,"")</f>
        <v>0.60753301809881</v>
      </c>
      <c r="L46" s="1" t="n">
        <v>2505386</v>
      </c>
      <c r="M46" s="1" t="s">
        <v>294</v>
      </c>
      <c r="N46" s="1" t="n">
        <v>2505386</v>
      </c>
      <c r="O46" s="1" t="s">
        <v>294</v>
      </c>
      <c r="P46" s="1" t="n">
        <v>1909817</v>
      </c>
      <c r="Q46" s="1" t="s">
        <v>267</v>
      </c>
      <c r="R46" s="1" t="n">
        <f aca="false">IFERROR((D46-N46)/N46,"")</f>
        <v>-0.237715465800479</v>
      </c>
      <c r="S46" s="14" t="s">
        <v>37</v>
      </c>
      <c r="T46" s="14" t="s">
        <v>282</v>
      </c>
      <c r="U46" s="1" t="s">
        <v>385</v>
      </c>
    </row>
    <row r="47" customFormat="false" ht="15" hidden="false" customHeight="true" outlineLevel="0" collapsed="false">
      <c r="A47" s="1" t="s">
        <v>386</v>
      </c>
      <c r="B47" s="14" t="s">
        <v>26</v>
      </c>
      <c r="C47" s="1" t="n">
        <v>135206</v>
      </c>
      <c r="D47" s="1" t="n">
        <v>87879</v>
      </c>
      <c r="E47" s="1" t="n">
        <f aca="false">IFERROR((D47-C47)/C47,"")</f>
        <v>-0.350036240995222</v>
      </c>
      <c r="F47" s="1" t="n">
        <v>678465</v>
      </c>
      <c r="G47" s="1" t="n">
        <v>348343</v>
      </c>
      <c r="H47" s="1" t="n">
        <f aca="false">IFERROR((G47-F47)/F47,"")</f>
        <v>-0.486571893907571</v>
      </c>
      <c r="I47" s="1" t="n">
        <v>3021</v>
      </c>
      <c r="J47" s="1" t="n">
        <v>4475</v>
      </c>
      <c r="K47" s="1" t="n">
        <f aca="false">IFERROR((J47-I47)/I47,"")</f>
        <v>0.481297583581596</v>
      </c>
      <c r="L47" s="1" t="n">
        <v>139391</v>
      </c>
      <c r="M47" s="1" t="s">
        <v>276</v>
      </c>
      <c r="N47" s="1" t="n">
        <v>140698</v>
      </c>
      <c r="O47" s="1" t="s">
        <v>305</v>
      </c>
      <c r="P47" s="1" t="n">
        <v>87879</v>
      </c>
      <c r="Q47" s="1" t="s">
        <v>267</v>
      </c>
      <c r="R47" s="1" t="n">
        <f aca="false">IFERROR((D47-N47)/N47,"")</f>
        <v>-0.37540689988486</v>
      </c>
      <c r="S47" s="14" t="s">
        <v>39</v>
      </c>
      <c r="T47" s="14" t="s">
        <v>282</v>
      </c>
      <c r="U47" s="1" t="s">
        <v>387</v>
      </c>
    </row>
    <row r="48" customFormat="false" ht="15" hidden="false" customHeight="true" outlineLevel="0" collapsed="false">
      <c r="A48" s="1" t="s">
        <v>388</v>
      </c>
      <c r="B48" s="14" t="s">
        <v>24</v>
      </c>
      <c r="C48" s="1" t="n">
        <v>325838</v>
      </c>
      <c r="D48" s="1" t="n">
        <v>222125</v>
      </c>
      <c r="E48" s="1" t="n">
        <f aca="false">IFERROR((D48-C48)/C48,"")</f>
        <v>-0.318296208545351</v>
      </c>
      <c r="F48" s="1" t="n">
        <v>666058</v>
      </c>
      <c r="G48" s="1" t="n">
        <v>375887</v>
      </c>
      <c r="H48" s="1" t="n">
        <f aca="false">IFERROR((G48-F48)/F48,"")</f>
        <v>-0.43565425233238</v>
      </c>
      <c r="I48" s="1" t="n">
        <v>7443</v>
      </c>
      <c r="J48" s="1" t="n">
        <v>14260</v>
      </c>
      <c r="K48" s="1" t="n">
        <f aca="false">IFERROR((J48-I48)/I48,"")</f>
        <v>0.915894128711541</v>
      </c>
      <c r="L48" s="1" t="n">
        <v>364796</v>
      </c>
      <c r="M48" s="1" t="s">
        <v>320</v>
      </c>
      <c r="N48" s="1" t="n">
        <v>364796</v>
      </c>
      <c r="O48" s="1" t="s">
        <v>320</v>
      </c>
      <c r="P48" s="1" t="n">
        <v>220973</v>
      </c>
      <c r="Q48" s="1" t="s">
        <v>278</v>
      </c>
      <c r="R48" s="1" t="n">
        <f aca="false">IFERROR((D48-N48)/N48,"")</f>
        <v>-0.391098038355684</v>
      </c>
      <c r="S48" s="14" t="s">
        <v>39</v>
      </c>
      <c r="T48" s="14" t="s">
        <v>282</v>
      </c>
      <c r="U48" s="1" t="s">
        <v>389</v>
      </c>
    </row>
    <row r="49" customFormat="false" ht="15" hidden="false" customHeight="true" outlineLevel="0" collapsed="false">
      <c r="A49" s="1" t="s">
        <v>390</v>
      </c>
      <c r="B49" s="14" t="s">
        <v>24</v>
      </c>
      <c r="C49" s="1" t="n">
        <v>44796</v>
      </c>
      <c r="D49" s="1" t="n">
        <v>51311</v>
      </c>
      <c r="E49" s="1" t="n">
        <f aca="false">IFERROR((D49-C49)/C49,"")</f>
        <v>0.145437092597553</v>
      </c>
      <c r="F49" s="1" t="n">
        <v>127516</v>
      </c>
      <c r="G49" s="1" t="n">
        <v>146971</v>
      </c>
      <c r="H49" s="1" t="n">
        <f aca="false">IFERROR((G49-F49)/F49,"")</f>
        <v>0.152569089369177</v>
      </c>
      <c r="I49" s="1" t="n">
        <v>4122</v>
      </c>
      <c r="J49" s="1" t="n">
        <v>7756</v>
      </c>
      <c r="K49" s="1" t="n">
        <f aca="false">IFERROR((J49-I49)/I49,"")</f>
        <v>0.881610868510432</v>
      </c>
      <c r="L49" s="1" t="n">
        <v>54991</v>
      </c>
      <c r="M49" s="1" t="s">
        <v>301</v>
      </c>
      <c r="N49" s="1" t="n">
        <v>70348</v>
      </c>
      <c r="O49" s="1" t="s">
        <v>391</v>
      </c>
      <c r="P49" s="1" t="n">
        <v>37845</v>
      </c>
      <c r="Q49" s="1" t="s">
        <v>273</v>
      </c>
      <c r="R49" s="1" t="n">
        <f aca="false">IFERROR((D49-N49)/N49,"")</f>
        <v>-0.270611815545573</v>
      </c>
      <c r="S49" s="14" t="s">
        <v>35</v>
      </c>
      <c r="T49" s="14" t="s">
        <v>269</v>
      </c>
      <c r="U49" s="1" t="s">
        <v>392</v>
      </c>
    </row>
    <row r="50" customFormat="false" ht="15" hidden="false" customHeight="true" outlineLevel="0" collapsed="false">
      <c r="A50" s="1" t="s">
        <v>393</v>
      </c>
      <c r="B50" s="14" t="s">
        <v>24</v>
      </c>
      <c r="C50" s="1" t="n">
        <v>410262</v>
      </c>
      <c r="D50" s="1" t="n">
        <v>245955</v>
      </c>
      <c r="E50" s="1" t="n">
        <f aca="false">IFERROR((D50-C50)/C50,"")</f>
        <v>-0.40049285578484</v>
      </c>
      <c r="F50" s="1" t="n">
        <v>1754419</v>
      </c>
      <c r="G50" s="1" t="n">
        <v>1218469</v>
      </c>
      <c r="H50" s="1" t="n">
        <f aca="false">IFERROR((G50-F50)/F50,"")</f>
        <v>-0.305485747703371</v>
      </c>
      <c r="I50" s="1" t="n">
        <v>23809</v>
      </c>
      <c r="J50" s="1" t="n">
        <v>31022</v>
      </c>
      <c r="K50" s="1" t="n">
        <f aca="false">IFERROR((J50-I50)/I50,"")</f>
        <v>0.302952664958629</v>
      </c>
      <c r="L50" s="1" t="n">
        <v>410262</v>
      </c>
      <c r="M50" s="1" t="s">
        <v>268</v>
      </c>
      <c r="N50" s="1" t="n">
        <v>542089</v>
      </c>
      <c r="O50" s="1" t="s">
        <v>394</v>
      </c>
      <c r="P50" s="1" t="n">
        <v>245955</v>
      </c>
      <c r="Q50" s="1" t="s">
        <v>267</v>
      </c>
      <c r="R50" s="1" t="n">
        <f aca="false">IFERROR((D50-N50)/N50,"")</f>
        <v>-0.546282990431461</v>
      </c>
      <c r="S50" s="14" t="s">
        <v>42</v>
      </c>
      <c r="T50" s="14" t="s">
        <v>282</v>
      </c>
      <c r="U50" s="1" t="s">
        <v>395</v>
      </c>
    </row>
    <row r="51" customFormat="false" ht="15" hidden="false" customHeight="true" outlineLevel="0" collapsed="false">
      <c r="A51" s="1" t="s">
        <v>396</v>
      </c>
      <c r="B51" s="14" t="s">
        <v>24</v>
      </c>
      <c r="C51" s="1" t="n">
        <v>70100</v>
      </c>
      <c r="D51" s="1" t="n">
        <v>11607</v>
      </c>
      <c r="E51" s="1" t="n">
        <f aca="false">IFERROR((D51-C51)/C51,"")</f>
        <v>-0.834422253922967</v>
      </c>
      <c r="F51" s="1" t="n">
        <v>220554</v>
      </c>
      <c r="G51" s="1" t="n">
        <v>48629</v>
      </c>
      <c r="H51" s="1" t="n">
        <f aca="false">IFERROR((G51-F51)/F51,"")</f>
        <v>-0.779514313954859</v>
      </c>
      <c r="I51" s="1" t="n">
        <v>4137</v>
      </c>
      <c r="J51" s="1" t="n">
        <v>6005</v>
      </c>
      <c r="K51" s="1" t="n">
        <f aca="false">IFERROR((J51-I51)/I51,"")</f>
        <v>0.451534928692289</v>
      </c>
      <c r="L51" s="1" t="n">
        <v>89280</v>
      </c>
      <c r="M51" s="1" t="s">
        <v>306</v>
      </c>
      <c r="N51" s="1" t="n">
        <v>106901</v>
      </c>
      <c r="O51" s="1" t="s">
        <v>397</v>
      </c>
      <c r="P51" s="1" t="n">
        <v>11607</v>
      </c>
      <c r="Q51" s="1" t="s">
        <v>267</v>
      </c>
      <c r="R51" s="1" t="n">
        <f aca="false">IFERROR((D51-N51)/N51,"")</f>
        <v>-0.891422905304908</v>
      </c>
      <c r="S51" s="14" t="s">
        <v>43</v>
      </c>
      <c r="T51" s="14" t="s">
        <v>282</v>
      </c>
      <c r="U51" s="1" t="s">
        <v>398</v>
      </c>
    </row>
    <row r="52" customFormat="false" ht="15" hidden="false" customHeight="true" outlineLevel="0" collapsed="false">
      <c r="A52" s="1" t="s">
        <v>399</v>
      </c>
      <c r="B52" s="14" t="s">
        <v>24</v>
      </c>
      <c r="C52" s="1" t="n">
        <v>18947</v>
      </c>
      <c r="D52" s="1" t="n">
        <v>16124</v>
      </c>
      <c r="E52" s="1" t="n">
        <f aca="false">IFERROR((D52-C52)/C52,"")</f>
        <v>-0.148994563783185</v>
      </c>
      <c r="F52" s="1" t="n">
        <v>12824</v>
      </c>
      <c r="G52" s="1" t="n">
        <v>9268</v>
      </c>
      <c r="H52" s="1" t="n">
        <f aca="false">IFERROR((G52-F52)/F52,"")</f>
        <v>-0.277292576419214</v>
      </c>
      <c r="I52" s="1" t="n">
        <v>664</v>
      </c>
      <c r="J52" s="1" t="n">
        <v>3249</v>
      </c>
      <c r="K52" s="1" t="n">
        <f aca="false">IFERROR((J52-I52)/I52,"")</f>
        <v>3.89307228915663</v>
      </c>
      <c r="L52" s="1" t="n">
        <v>67433</v>
      </c>
      <c r="M52" s="1" t="s">
        <v>273</v>
      </c>
      <c r="N52" s="1" t="n">
        <v>67433</v>
      </c>
      <c r="O52" s="1" t="s">
        <v>273</v>
      </c>
      <c r="P52" s="1" t="n">
        <v>10292</v>
      </c>
      <c r="Q52" s="1" t="s">
        <v>301</v>
      </c>
      <c r="R52" s="1" t="n">
        <f aca="false">IFERROR((D52-N52)/N52,"")</f>
        <v>-0.760888585707295</v>
      </c>
      <c r="S52" s="14" t="s">
        <v>37</v>
      </c>
      <c r="T52" s="14" t="s">
        <v>282</v>
      </c>
      <c r="U52" s="1" t="s">
        <v>400</v>
      </c>
    </row>
    <row r="53" customFormat="false" ht="15" hidden="false" customHeight="true" outlineLevel="0" collapsed="false">
      <c r="A53" s="1" t="s">
        <v>401</v>
      </c>
      <c r="B53" s="14" t="s">
        <v>24</v>
      </c>
      <c r="C53" s="1" t="n">
        <v>1149</v>
      </c>
      <c r="D53" s="1" t="n">
        <v>5683</v>
      </c>
      <c r="E53" s="1" t="n">
        <f aca="false">IFERROR((D53-C53)/C53,"")</f>
        <v>3.94604003481288</v>
      </c>
      <c r="F53" s="1" t="n">
        <v>2545</v>
      </c>
      <c r="G53" s="1" t="n">
        <v>3216</v>
      </c>
      <c r="H53" s="1" t="n">
        <f aca="false">IFERROR((G53-F53)/F53,"")</f>
        <v>0.263654223968566</v>
      </c>
      <c r="I53" s="1" t="n">
        <v>112</v>
      </c>
      <c r="J53" s="1" t="n">
        <v>1721</v>
      </c>
      <c r="K53" s="1" t="n">
        <f aca="false">IFERROR((J53-I53)/I53,"")</f>
        <v>14.3660714285714</v>
      </c>
      <c r="L53" s="1" t="n">
        <v>46959</v>
      </c>
      <c r="M53" s="1" t="s">
        <v>335</v>
      </c>
      <c r="N53" s="1" t="n">
        <v>46959</v>
      </c>
      <c r="O53" s="1" t="s">
        <v>335</v>
      </c>
      <c r="P53" s="1" t="n">
        <v>1149</v>
      </c>
      <c r="Q53" s="1" t="s">
        <v>268</v>
      </c>
      <c r="R53" s="1" t="n">
        <f aca="false">IFERROR((D53-N53)/N53,"")</f>
        <v>-0.878979535339339</v>
      </c>
      <c r="S53" s="14" t="s">
        <v>37</v>
      </c>
      <c r="T53" s="14" t="s">
        <v>269</v>
      </c>
      <c r="U53" s="1" t="s">
        <v>402</v>
      </c>
    </row>
    <row r="54" customFormat="false" ht="15" hidden="false" customHeight="true" outlineLevel="0" collapsed="false">
      <c r="A54" s="1" t="s">
        <v>403</v>
      </c>
      <c r="B54" s="14" t="s">
        <v>24</v>
      </c>
      <c r="C54" s="1" t="n">
        <v>97730</v>
      </c>
      <c r="D54" s="1" t="n">
        <v>77759</v>
      </c>
      <c r="E54" s="1" t="n">
        <f aca="false">IFERROR((D54-C54)/C54,"")</f>
        <v>-0.20434871584979</v>
      </c>
      <c r="F54" s="1" t="n">
        <v>100342</v>
      </c>
      <c r="G54" s="1" t="n">
        <v>59090</v>
      </c>
      <c r="H54" s="1" t="n">
        <f aca="false">IFERROR((G54-F54)/F54,"")</f>
        <v>-0.411113990153674</v>
      </c>
      <c r="I54" s="1" t="n">
        <v>6049</v>
      </c>
      <c r="J54" s="1" t="n">
        <v>7790</v>
      </c>
      <c r="K54" s="1" t="n">
        <f aca="false">IFERROR((J54-I54)/I54,"")</f>
        <v>0.287816167961647</v>
      </c>
      <c r="L54" s="1" t="n">
        <v>103186</v>
      </c>
      <c r="M54" s="1" t="s">
        <v>288</v>
      </c>
      <c r="N54" s="1" t="n">
        <v>333579</v>
      </c>
      <c r="O54" s="1" t="s">
        <v>298</v>
      </c>
      <c r="P54" s="1" t="n">
        <v>54347</v>
      </c>
      <c r="Q54" s="1" t="s">
        <v>285</v>
      </c>
      <c r="R54" s="1" t="n">
        <f aca="false">IFERROR((D54-N54)/N54,"")</f>
        <v>-0.766894798533481</v>
      </c>
      <c r="S54" s="14" t="s">
        <v>43</v>
      </c>
      <c r="T54" s="14" t="s">
        <v>282</v>
      </c>
      <c r="U54" s="1" t="s">
        <v>404</v>
      </c>
    </row>
    <row r="55" customFormat="false" ht="15" hidden="false" customHeight="true" outlineLevel="0" collapsed="false">
      <c r="A55" s="1" t="s">
        <v>405</v>
      </c>
      <c r="B55" s="14" t="s">
        <v>24</v>
      </c>
      <c r="C55" s="1" t="n">
        <v>45064</v>
      </c>
      <c r="D55" s="1" t="n">
        <v>30663</v>
      </c>
      <c r="E55" s="1" t="n">
        <f aca="false">IFERROR((D55-C55)/C55,"")</f>
        <v>-0.319567725900941</v>
      </c>
      <c r="F55" s="1" t="n">
        <v>210669</v>
      </c>
      <c r="G55" s="1" t="n">
        <v>129145</v>
      </c>
      <c r="H55" s="1" t="n">
        <f aca="false">IFERROR((G55-F55)/F55,"")</f>
        <v>-0.386976726523599</v>
      </c>
      <c r="I55" s="1" t="n">
        <v>4030</v>
      </c>
      <c r="J55" s="1" t="n">
        <v>6580</v>
      </c>
      <c r="K55" s="1" t="n">
        <f aca="false">IFERROR((J55-I55)/I55,"")</f>
        <v>0.632754342431762</v>
      </c>
      <c r="L55" s="1" t="n">
        <v>47669</v>
      </c>
      <c r="M55" s="1" t="s">
        <v>281</v>
      </c>
      <c r="N55" s="1" t="n">
        <v>47669</v>
      </c>
      <c r="O55" s="1" t="s">
        <v>281</v>
      </c>
      <c r="P55" s="1" t="n">
        <v>29768</v>
      </c>
      <c r="Q55" s="1" t="s">
        <v>278</v>
      </c>
      <c r="R55" s="1" t="n">
        <f aca="false">IFERROR((D55-N55)/N55,"")</f>
        <v>-0.356751767396002</v>
      </c>
      <c r="S55" s="14" t="s">
        <v>37</v>
      </c>
      <c r="T55" s="14" t="s">
        <v>282</v>
      </c>
      <c r="U55" s="1" t="s">
        <v>406</v>
      </c>
    </row>
    <row r="56" customFormat="false" ht="15" hidden="false" customHeight="true" outlineLevel="0" collapsed="false">
      <c r="A56" s="1" t="s">
        <v>407</v>
      </c>
      <c r="B56" s="14" t="s">
        <v>24</v>
      </c>
      <c r="C56" s="1" t="n">
        <v>94856</v>
      </c>
      <c r="D56" s="1" t="n">
        <v>10673</v>
      </c>
      <c r="E56" s="1" t="n">
        <f aca="false">IFERROR((D56-C56)/C56,"")</f>
        <v>-0.887482078097327</v>
      </c>
      <c r="F56" s="1" t="n">
        <v>72336</v>
      </c>
      <c r="G56" s="1" t="n">
        <v>11025</v>
      </c>
      <c r="H56" s="1" t="n">
        <f aca="false">IFERROR((G56-F56)/F56,"")</f>
        <v>-0.847586264100863</v>
      </c>
      <c r="I56" s="1" t="n">
        <v>5167</v>
      </c>
      <c r="J56" s="1" t="n">
        <v>6880</v>
      </c>
      <c r="K56" s="1" t="n">
        <f aca="false">IFERROR((J56-I56)/I56,"")</f>
        <v>0.331526998258177</v>
      </c>
      <c r="L56" s="1" t="n">
        <v>115208</v>
      </c>
      <c r="M56" s="1" t="s">
        <v>349</v>
      </c>
      <c r="N56" s="1" t="n">
        <v>314158</v>
      </c>
      <c r="O56" s="1" t="s">
        <v>408</v>
      </c>
      <c r="P56" s="1" t="n">
        <v>9237</v>
      </c>
      <c r="Q56" s="1" t="s">
        <v>278</v>
      </c>
      <c r="R56" s="1" t="n">
        <f aca="false">IFERROR((D56-N56)/N56,"")</f>
        <v>-0.966026649011007</v>
      </c>
      <c r="S56" s="14" t="s">
        <v>37</v>
      </c>
      <c r="T56" s="14" t="s">
        <v>282</v>
      </c>
      <c r="U56" s="1" t="s">
        <v>409</v>
      </c>
    </row>
    <row r="57" customFormat="false" ht="15" hidden="false" customHeight="true" outlineLevel="0" collapsed="false">
      <c r="A57" s="1" t="s">
        <v>410</v>
      </c>
      <c r="B57" s="14" t="s">
        <v>24</v>
      </c>
      <c r="C57" s="1" t="n">
        <v>596</v>
      </c>
      <c r="D57" s="1" t="n">
        <v>2373</v>
      </c>
      <c r="E57" s="1" t="n">
        <f aca="false">IFERROR((D57-C57)/C57,"")</f>
        <v>2.98154362416107</v>
      </c>
      <c r="F57" s="1" t="n">
        <v>1807</v>
      </c>
      <c r="G57" s="1" t="n">
        <v>9070</v>
      </c>
      <c r="H57" s="1" t="n">
        <f aca="false">IFERROR((G57-F57)/F57,"")</f>
        <v>4.01936912008855</v>
      </c>
      <c r="I57" s="1" t="n">
        <v>1193</v>
      </c>
      <c r="J57" s="1" t="n">
        <v>865</v>
      </c>
      <c r="K57" s="1" t="n">
        <f aca="false">IFERROR((J57-I57)/I57,"")</f>
        <v>-0.274937133277452</v>
      </c>
      <c r="L57" s="1" t="n">
        <v>2653</v>
      </c>
      <c r="M57" s="1" t="s">
        <v>281</v>
      </c>
      <c r="N57" s="1" t="n">
        <v>10532</v>
      </c>
      <c r="O57" s="1" t="s">
        <v>411</v>
      </c>
      <c r="P57" s="1" t="n">
        <v>596</v>
      </c>
      <c r="Q57" s="1" t="s">
        <v>268</v>
      </c>
      <c r="R57" s="1" t="n">
        <f aca="false">IFERROR((D57-N57)/N57,"")</f>
        <v>-0.774686669198633</v>
      </c>
      <c r="S57" s="14" t="s">
        <v>38</v>
      </c>
      <c r="T57" s="14" t="s">
        <v>269</v>
      </c>
      <c r="U57" s="1" t="s">
        <v>412</v>
      </c>
    </row>
    <row r="58" customFormat="false" ht="15" hidden="false" customHeight="true" outlineLevel="0" collapsed="false">
      <c r="A58" s="1" t="s">
        <v>413</v>
      </c>
      <c r="B58" s="14" t="s">
        <v>24</v>
      </c>
      <c r="C58" s="1" t="n">
        <v>157694</v>
      </c>
      <c r="D58" s="1" t="n">
        <v>32083</v>
      </c>
      <c r="E58" s="1" t="n">
        <f aca="false">IFERROR((D58-C58)/C58,"")</f>
        <v>-0.796549012644742</v>
      </c>
      <c r="F58" s="1" t="n">
        <v>607736</v>
      </c>
      <c r="G58" s="1" t="n">
        <v>168673</v>
      </c>
      <c r="H58" s="1" t="n">
        <f aca="false">IFERROR((G58-F58)/F58,"")</f>
        <v>-0.722456790448484</v>
      </c>
      <c r="I58" s="1" t="n">
        <v>20126</v>
      </c>
      <c r="J58" s="1" t="n">
        <v>23268</v>
      </c>
      <c r="K58" s="1" t="n">
        <f aca="false">IFERROR((J58-I58)/I58,"")</f>
        <v>0.156116466262546</v>
      </c>
      <c r="L58" s="1" t="n">
        <v>183416</v>
      </c>
      <c r="M58" s="1" t="s">
        <v>272</v>
      </c>
      <c r="N58" s="1" t="n">
        <v>359361</v>
      </c>
      <c r="O58" s="1" t="s">
        <v>414</v>
      </c>
      <c r="P58" s="1" t="n">
        <v>32083</v>
      </c>
      <c r="Q58" s="1" t="s">
        <v>267</v>
      </c>
      <c r="R58" s="1" t="n">
        <f aca="false">IFERROR((D58-N58)/N58,"")</f>
        <v>-0.910722087260443</v>
      </c>
      <c r="S58" s="14" t="s">
        <v>39</v>
      </c>
      <c r="T58" s="14" t="s">
        <v>282</v>
      </c>
      <c r="U58" s="1" t="s">
        <v>415</v>
      </c>
    </row>
    <row r="59" customFormat="false" ht="15" hidden="false" customHeight="true" outlineLevel="0" collapsed="false">
      <c r="A59" s="1" t="s">
        <v>416</v>
      </c>
      <c r="B59" s="14" t="s">
        <v>27</v>
      </c>
      <c r="C59" s="1" t="n">
        <v>60833</v>
      </c>
      <c r="D59" s="1" t="n">
        <v>82727</v>
      </c>
      <c r="E59" s="1" t="n">
        <f aca="false">IFERROR((D59-C59)/C59,"")</f>
        <v>0.35990334193612</v>
      </c>
      <c r="F59" s="1" t="n">
        <v>245321</v>
      </c>
      <c r="G59" s="1" t="n">
        <v>246062</v>
      </c>
      <c r="H59" s="1" t="n">
        <f aca="false">IFERROR((G59-F59)/F59,"")</f>
        <v>0.00302053228219353</v>
      </c>
      <c r="I59" s="1" t="n">
        <v>2478</v>
      </c>
      <c r="J59" s="1" t="n">
        <v>7069</v>
      </c>
      <c r="K59" s="1" t="n">
        <f aca="false">IFERROR((J59-I59)/I59,"")</f>
        <v>1.85270379338176</v>
      </c>
      <c r="L59" s="1" t="n">
        <v>94881</v>
      </c>
      <c r="M59" s="1" t="s">
        <v>278</v>
      </c>
      <c r="N59" s="1" t="n">
        <v>94881</v>
      </c>
      <c r="O59" s="1" t="s">
        <v>278</v>
      </c>
      <c r="P59" s="1" t="n">
        <v>60833</v>
      </c>
      <c r="Q59" s="1" t="s">
        <v>268</v>
      </c>
      <c r="R59" s="1" t="n">
        <f aca="false">IFERROR((D59-N59)/N59,"")</f>
        <v>-0.12809730082946</v>
      </c>
      <c r="S59" s="14" t="s">
        <v>36</v>
      </c>
      <c r="T59" s="14" t="s">
        <v>269</v>
      </c>
      <c r="U59" s="1" t="s">
        <v>417</v>
      </c>
    </row>
    <row r="60" customFormat="false" ht="15" hidden="false" customHeight="true" outlineLevel="0" collapsed="false">
      <c r="A60" s="1" t="s">
        <v>418</v>
      </c>
      <c r="B60" s="14" t="s">
        <v>27</v>
      </c>
      <c r="C60" s="1" t="n">
        <v>174410</v>
      </c>
      <c r="D60" s="1" t="n">
        <v>370695</v>
      </c>
      <c r="E60" s="1" t="n">
        <f aca="false">IFERROR((D60-C60)/C60,"")</f>
        <v>1.12542285419414</v>
      </c>
      <c r="F60" s="1" t="n">
        <v>721836</v>
      </c>
      <c r="G60" s="1" t="n">
        <v>1151577</v>
      </c>
      <c r="H60" s="1" t="n">
        <f aca="false">IFERROR((G60-F60)/F60,"")</f>
        <v>0.595344371851778</v>
      </c>
      <c r="I60" s="1" t="n">
        <v>4213</v>
      </c>
      <c r="J60" s="1" t="n">
        <v>13237</v>
      </c>
      <c r="K60" s="1" t="n">
        <f aca="false">IFERROR((J60-I60)/I60,"")</f>
        <v>2.14194160930453</v>
      </c>
      <c r="L60" s="1" t="n">
        <v>393485</v>
      </c>
      <c r="M60" s="1" t="s">
        <v>278</v>
      </c>
      <c r="N60" s="1" t="n">
        <v>393485</v>
      </c>
      <c r="O60" s="1" t="s">
        <v>278</v>
      </c>
      <c r="P60" s="1" t="n">
        <v>174410</v>
      </c>
      <c r="Q60" s="1" t="s">
        <v>268</v>
      </c>
      <c r="R60" s="1" t="n">
        <f aca="false">IFERROR((D60-N60)/N60,"")</f>
        <v>-0.0579183450449191</v>
      </c>
      <c r="S60" s="14" t="s">
        <v>35</v>
      </c>
      <c r="T60" s="14" t="s">
        <v>269</v>
      </c>
      <c r="U60" s="1" t="s">
        <v>419</v>
      </c>
    </row>
    <row r="61" customFormat="false" ht="15" hidden="false" customHeight="true" outlineLevel="0" collapsed="false">
      <c r="A61" s="1" t="s">
        <v>420</v>
      </c>
      <c r="B61" s="14" t="s">
        <v>27</v>
      </c>
      <c r="C61" s="1" t="n">
        <v>259975</v>
      </c>
      <c r="D61" s="1" t="n">
        <v>324848</v>
      </c>
      <c r="E61" s="1" t="n">
        <f aca="false">IFERROR((D61-C61)/C61,"")</f>
        <v>0.249535532262718</v>
      </c>
      <c r="F61" s="1" t="n">
        <v>983217</v>
      </c>
      <c r="G61" s="1" t="n">
        <v>1188875</v>
      </c>
      <c r="H61" s="1" t="n">
        <f aca="false">IFERROR((G61-F61)/F61,"")</f>
        <v>0.209168474507662</v>
      </c>
      <c r="I61" s="1" t="n">
        <v>6408</v>
      </c>
      <c r="J61" s="1" t="n">
        <v>12636</v>
      </c>
      <c r="K61" s="1" t="n">
        <f aca="false">IFERROR((J61-I61)/I61,"")</f>
        <v>0.971910112359551</v>
      </c>
      <c r="L61" s="1" t="n">
        <v>351789</v>
      </c>
      <c r="M61" s="1" t="s">
        <v>301</v>
      </c>
      <c r="N61" s="1" t="n">
        <v>351789</v>
      </c>
      <c r="O61" s="1" t="s">
        <v>301</v>
      </c>
      <c r="P61" s="1" t="n">
        <v>233211</v>
      </c>
      <c r="Q61" s="1" t="s">
        <v>349</v>
      </c>
      <c r="R61" s="1" t="n">
        <f aca="false">IFERROR((D61-N61)/N61,"")</f>
        <v>-0.0765828380080105</v>
      </c>
      <c r="S61" s="14" t="s">
        <v>35</v>
      </c>
      <c r="T61" s="14" t="s">
        <v>269</v>
      </c>
      <c r="U61" s="1" t="s">
        <v>421</v>
      </c>
    </row>
    <row r="62" customFormat="false" ht="15" hidden="false" customHeight="true" outlineLevel="0" collapsed="false">
      <c r="A62" s="1" t="s">
        <v>422</v>
      </c>
      <c r="B62" s="14" t="s">
        <v>27</v>
      </c>
      <c r="C62" s="1" t="n">
        <v>5816</v>
      </c>
      <c r="D62" s="1" t="n">
        <v>5490</v>
      </c>
      <c r="E62" s="1" t="n">
        <f aca="false">IFERROR((D62-C62)/C62,"")</f>
        <v>-0.0560522696011004</v>
      </c>
      <c r="F62" s="1" t="n">
        <v>19946</v>
      </c>
      <c r="G62" s="1" t="n">
        <v>18389</v>
      </c>
      <c r="H62" s="1" t="n">
        <f aca="false">IFERROR((G62-F62)/F62,"")</f>
        <v>-0.07806076406297</v>
      </c>
      <c r="I62" s="1" t="n">
        <v>427</v>
      </c>
      <c r="J62" s="1" t="n">
        <v>567</v>
      </c>
      <c r="K62" s="1" t="n">
        <f aca="false">IFERROR((J62-I62)/I62,"")</f>
        <v>0.327868852459016</v>
      </c>
      <c r="L62" s="1" t="n">
        <v>6477</v>
      </c>
      <c r="M62" s="1" t="s">
        <v>278</v>
      </c>
      <c r="N62" s="1" t="n">
        <v>7417</v>
      </c>
      <c r="O62" s="1" t="s">
        <v>380</v>
      </c>
      <c r="P62" s="1" t="n">
        <v>4678</v>
      </c>
      <c r="Q62" s="1" t="s">
        <v>273</v>
      </c>
      <c r="R62" s="1" t="n">
        <f aca="false">IFERROR((D62-N62)/N62,"")</f>
        <v>-0.25980854793043</v>
      </c>
      <c r="S62" s="14" t="s">
        <v>43</v>
      </c>
      <c r="T62" s="14" t="s">
        <v>41</v>
      </c>
      <c r="U62" s="1" t="s">
        <v>423</v>
      </c>
    </row>
    <row r="63" customFormat="false" ht="15" hidden="false" customHeight="true" outlineLevel="0" collapsed="false">
      <c r="A63" s="1" t="s">
        <v>424</v>
      </c>
      <c r="B63" s="14" t="s">
        <v>27</v>
      </c>
      <c r="C63" s="1" t="n">
        <v>618</v>
      </c>
      <c r="D63" s="1" t="n">
        <v>3316</v>
      </c>
      <c r="E63" s="1" t="n">
        <f aca="false">IFERROR((D63-C63)/C63,"")</f>
        <v>4.36569579288026</v>
      </c>
      <c r="F63" s="1" t="n">
        <v>5093</v>
      </c>
      <c r="G63" s="1" t="n">
        <v>19659</v>
      </c>
      <c r="H63" s="1" t="n">
        <f aca="false">IFERROR((G63-F63)/F63,"")</f>
        <v>2.86000392695857</v>
      </c>
      <c r="I63" s="1" t="n">
        <v>41</v>
      </c>
      <c r="J63" s="1" t="n">
        <v>388</v>
      </c>
      <c r="K63" s="1" t="n">
        <f aca="false">IFERROR((J63-I63)/I63,"")</f>
        <v>8.46341463414634</v>
      </c>
      <c r="L63" s="1" t="n">
        <v>3316</v>
      </c>
      <c r="M63" s="1" t="s">
        <v>267</v>
      </c>
      <c r="N63" s="1" t="n">
        <v>3316</v>
      </c>
      <c r="O63" s="1" t="s">
        <v>267</v>
      </c>
      <c r="P63" s="1" t="n">
        <v>618</v>
      </c>
      <c r="Q63" s="1" t="s">
        <v>268</v>
      </c>
      <c r="R63" s="1" t="n">
        <f aca="false">IFERROR((D63-N63)/N63,"")</f>
        <v>0</v>
      </c>
      <c r="S63" s="14" t="s">
        <v>35</v>
      </c>
      <c r="T63" s="14" t="s">
        <v>269</v>
      </c>
      <c r="U63" s="1" t="s">
        <v>425</v>
      </c>
    </row>
    <row r="64" customFormat="false" ht="15" hidden="false" customHeight="true" outlineLevel="0" collapsed="false">
      <c r="A64" s="1" t="s">
        <v>426</v>
      </c>
      <c r="B64" s="14" t="s">
        <v>27</v>
      </c>
      <c r="C64" s="1" t="n">
        <v>84512</v>
      </c>
      <c r="D64" s="1" t="n">
        <v>68314</v>
      </c>
      <c r="E64" s="1" t="n">
        <f aca="false">IFERROR((D64-C64)/C64,"")</f>
        <v>-0.191665088981446</v>
      </c>
      <c r="F64" s="1" t="n">
        <v>694743</v>
      </c>
      <c r="G64" s="1" t="n">
        <v>425929</v>
      </c>
      <c r="H64" s="1" t="n">
        <f aca="false">IFERROR((G64-F64)/F64,"")</f>
        <v>-0.386925812854538</v>
      </c>
      <c r="I64" s="1" t="n">
        <v>1982</v>
      </c>
      <c r="J64" s="1" t="n">
        <v>3225</v>
      </c>
      <c r="K64" s="1" t="n">
        <f aca="false">IFERROR((J64-I64)/I64,"")</f>
        <v>0.627144298688194</v>
      </c>
      <c r="L64" s="1" t="n">
        <v>90083</v>
      </c>
      <c r="M64" s="1" t="s">
        <v>288</v>
      </c>
      <c r="N64" s="1" t="n">
        <v>90083</v>
      </c>
      <c r="O64" s="1" t="s">
        <v>288</v>
      </c>
      <c r="P64" s="1" t="n">
        <v>62178</v>
      </c>
      <c r="Q64" s="1" t="s">
        <v>278</v>
      </c>
      <c r="R64" s="1" t="n">
        <f aca="false">IFERROR((D64-N64)/N64,"")</f>
        <v>-0.241654918242066</v>
      </c>
      <c r="S64" s="14" t="s">
        <v>39</v>
      </c>
      <c r="T64" s="14" t="s">
        <v>282</v>
      </c>
      <c r="U64" s="1" t="s">
        <v>427</v>
      </c>
    </row>
    <row r="65" customFormat="false" ht="15" hidden="false" customHeight="true" outlineLevel="0" collapsed="false">
      <c r="A65" s="1" t="s">
        <v>428</v>
      </c>
      <c r="B65" s="14" t="s">
        <v>27</v>
      </c>
      <c r="C65" s="1" t="n">
        <v>31433</v>
      </c>
      <c r="D65" s="1" t="n">
        <v>25609</v>
      </c>
      <c r="E65" s="1" t="n">
        <f aca="false">IFERROR((D65-C65)/C65,"")</f>
        <v>-0.185282982852416</v>
      </c>
      <c r="F65" s="1" t="n">
        <v>119943</v>
      </c>
      <c r="G65" s="1" t="n">
        <v>61143</v>
      </c>
      <c r="H65" s="1" t="n">
        <f aca="false">IFERROR((G65-F65)/F65,"")</f>
        <v>-0.490232860608789</v>
      </c>
      <c r="I65" s="1" t="n">
        <v>1064</v>
      </c>
      <c r="J65" s="1" t="n">
        <v>1901</v>
      </c>
      <c r="K65" s="1" t="n">
        <f aca="false">IFERROR((J65-I65)/I65,"")</f>
        <v>0.786654135338346</v>
      </c>
      <c r="L65" s="1" t="n">
        <v>37502</v>
      </c>
      <c r="M65" s="1" t="s">
        <v>281</v>
      </c>
      <c r="N65" s="1" t="n">
        <v>47773</v>
      </c>
      <c r="O65" s="1" t="s">
        <v>305</v>
      </c>
      <c r="P65" s="1" t="n">
        <v>25143</v>
      </c>
      <c r="Q65" s="1" t="s">
        <v>273</v>
      </c>
      <c r="R65" s="1" t="n">
        <f aca="false">IFERROR((D65-N65)/N65,"")</f>
        <v>-0.463944068825487</v>
      </c>
      <c r="S65" s="14" t="s">
        <v>43</v>
      </c>
      <c r="T65" s="14" t="s">
        <v>282</v>
      </c>
      <c r="U65" s="1" t="s">
        <v>429</v>
      </c>
    </row>
    <row r="66" customFormat="false" ht="15" hidden="false" customHeight="true" outlineLevel="0" collapsed="false">
      <c r="A66" s="1" t="s">
        <v>430</v>
      </c>
      <c r="B66" s="14" t="s">
        <v>27</v>
      </c>
      <c r="C66" s="1" t="n">
        <v>29011</v>
      </c>
      <c r="D66" s="1" t="n">
        <v>36065</v>
      </c>
      <c r="E66" s="1" t="n">
        <f aca="false">IFERROR((D66-C66)/C66,"")</f>
        <v>0.243149150322292</v>
      </c>
      <c r="F66" s="1" t="n">
        <v>91917</v>
      </c>
      <c r="G66" s="1" t="n">
        <v>122336</v>
      </c>
      <c r="H66" s="1" t="n">
        <f aca="false">IFERROR((G66-F66)/F66,"")</f>
        <v>0.330939869665024</v>
      </c>
      <c r="I66" s="1" t="n">
        <v>2527</v>
      </c>
      <c r="J66" s="1" t="n">
        <v>5577</v>
      </c>
      <c r="K66" s="1" t="n">
        <f aca="false">IFERROR((J66-I66)/I66,"")</f>
        <v>1.20696478037198</v>
      </c>
      <c r="L66" s="1" t="n">
        <v>43715</v>
      </c>
      <c r="M66" s="1" t="s">
        <v>349</v>
      </c>
      <c r="N66" s="1" t="n">
        <v>43715</v>
      </c>
      <c r="O66" s="1" t="s">
        <v>349</v>
      </c>
      <c r="P66" s="1" t="n">
        <v>29011</v>
      </c>
      <c r="Q66" s="1" t="s">
        <v>268</v>
      </c>
      <c r="R66" s="1" t="n">
        <f aca="false">IFERROR((D66-N66)/N66,"")</f>
        <v>-0.174997140569599</v>
      </c>
      <c r="S66" s="14" t="s">
        <v>37</v>
      </c>
      <c r="T66" s="14" t="s">
        <v>269</v>
      </c>
      <c r="U66" s="1" t="s">
        <v>431</v>
      </c>
    </row>
    <row r="67" customFormat="false" ht="15" hidden="false" customHeight="true" outlineLevel="0" collapsed="false">
      <c r="A67" s="1" t="s">
        <v>432</v>
      </c>
      <c r="B67" s="14" t="s">
        <v>27</v>
      </c>
      <c r="C67" s="1" t="n">
        <v>19617</v>
      </c>
      <c r="D67" s="1" t="n">
        <v>9594</v>
      </c>
      <c r="E67" s="1" t="n">
        <f aca="false">IFERROR((D67-C67)/C67,"")</f>
        <v>-0.510934393638171</v>
      </c>
      <c r="F67" s="1" t="n">
        <v>85829</v>
      </c>
      <c r="G67" s="1" t="n">
        <v>39763</v>
      </c>
      <c r="H67" s="1" t="n">
        <f aca="false">IFERROR((G67-F67)/F67,"")</f>
        <v>-0.536718358596745</v>
      </c>
      <c r="I67" s="1" t="n">
        <v>955</v>
      </c>
      <c r="J67" s="1" t="n">
        <v>1755</v>
      </c>
      <c r="K67" s="1" t="n">
        <f aca="false">IFERROR((J67-I67)/I67,"")</f>
        <v>0.837696335078534</v>
      </c>
      <c r="L67" s="1" t="n">
        <v>31470</v>
      </c>
      <c r="M67" s="1" t="s">
        <v>285</v>
      </c>
      <c r="N67" s="1" t="n">
        <v>31470</v>
      </c>
      <c r="O67" s="1" t="s">
        <v>285</v>
      </c>
      <c r="P67" s="1" t="n">
        <v>9594</v>
      </c>
      <c r="Q67" s="1" t="s">
        <v>267</v>
      </c>
      <c r="R67" s="1" t="n">
        <f aca="false">IFERROR((D67-N67)/N67,"")</f>
        <v>-0.695138226882746</v>
      </c>
      <c r="S67" s="14" t="s">
        <v>37</v>
      </c>
      <c r="T67" s="14" t="s">
        <v>282</v>
      </c>
      <c r="U67" s="1" t="s">
        <v>433</v>
      </c>
    </row>
    <row r="68" customFormat="false" ht="15" hidden="false" customHeight="true" outlineLevel="0" collapsed="false">
      <c r="A68" s="1" t="s">
        <v>434</v>
      </c>
      <c r="B68" s="14" t="s">
        <v>27</v>
      </c>
      <c r="C68" s="1" t="n">
        <v>29003</v>
      </c>
      <c r="D68" s="1" t="n">
        <v>16739</v>
      </c>
      <c r="E68" s="1" t="n">
        <f aca="false">IFERROR((D68-C68)/C68,"")</f>
        <v>-0.422852808330173</v>
      </c>
      <c r="F68" s="1" t="n">
        <v>29601</v>
      </c>
      <c r="G68" s="1" t="n">
        <v>48119</v>
      </c>
      <c r="H68" s="1" t="n">
        <f aca="false">IFERROR((G68-F68)/F68,"")</f>
        <v>0.62558697341306</v>
      </c>
      <c r="I68" s="1" t="n">
        <v>975</v>
      </c>
      <c r="J68" s="1" t="n">
        <v>1560</v>
      </c>
      <c r="K68" s="1" t="n">
        <f aca="false">IFERROR((J68-I68)/I68,"")</f>
        <v>0.6</v>
      </c>
      <c r="L68" s="1" t="n">
        <v>29003</v>
      </c>
      <c r="M68" s="1" t="s">
        <v>268</v>
      </c>
      <c r="N68" s="1" t="n">
        <v>54411</v>
      </c>
      <c r="O68" s="1" t="s">
        <v>435</v>
      </c>
      <c r="P68" s="1" t="n">
        <v>15314</v>
      </c>
      <c r="Q68" s="1" t="s">
        <v>301</v>
      </c>
      <c r="R68" s="1" t="n">
        <f aca="false">IFERROR((D68-N68)/N68,"")</f>
        <v>-0.692360000735146</v>
      </c>
      <c r="S68" s="14" t="s">
        <v>39</v>
      </c>
      <c r="T68" s="14" t="s">
        <v>282</v>
      </c>
      <c r="U68" s="1" t="s">
        <v>436</v>
      </c>
    </row>
    <row r="69" customFormat="false" ht="15" hidden="false" customHeight="true" outlineLevel="0" collapsed="false">
      <c r="A69" s="1" t="s">
        <v>437</v>
      </c>
      <c r="B69" s="14" t="s">
        <v>27</v>
      </c>
      <c r="C69" s="1" t="n">
        <v>992745</v>
      </c>
      <c r="D69" s="1" t="n">
        <v>886724</v>
      </c>
      <c r="E69" s="1" t="n">
        <f aca="false">IFERROR((D69-C69)/C69,"")</f>
        <v>-0.10679580355479</v>
      </c>
      <c r="F69" s="1" t="n">
        <v>1403118</v>
      </c>
      <c r="G69" s="1" t="n">
        <v>1230315</v>
      </c>
      <c r="H69" s="1" t="n">
        <f aca="false">IFERROR((G69-F69)/F69,"")</f>
        <v>-0.123156427328279</v>
      </c>
      <c r="I69" s="1" t="n">
        <v>5336</v>
      </c>
      <c r="J69" s="1" t="n">
        <v>10222</v>
      </c>
      <c r="K69" s="1" t="n">
        <f aca="false">IFERROR((J69-I69)/I69,"")</f>
        <v>0.915667166416792</v>
      </c>
      <c r="L69" s="1" t="n">
        <v>1039259</v>
      </c>
      <c r="M69" s="1" t="s">
        <v>272</v>
      </c>
      <c r="N69" s="1" t="n">
        <v>1039259</v>
      </c>
      <c r="O69" s="1" t="s">
        <v>272</v>
      </c>
      <c r="P69" s="1" t="n">
        <v>867837</v>
      </c>
      <c r="Q69" s="1" t="s">
        <v>301</v>
      </c>
      <c r="R69" s="1" t="n">
        <f aca="false">IFERROR((D69-N69)/N69,"")</f>
        <v>-0.146772844882748</v>
      </c>
      <c r="S69" s="14" t="s">
        <v>43</v>
      </c>
      <c r="T69" s="14" t="s">
        <v>282</v>
      </c>
      <c r="U69" s="1" t="s">
        <v>438</v>
      </c>
    </row>
    <row r="70" customFormat="false" ht="15" hidden="false" customHeight="true" outlineLevel="0" collapsed="false">
      <c r="A70" s="1" t="s">
        <v>439</v>
      </c>
      <c r="B70" s="14" t="s">
        <v>28</v>
      </c>
      <c r="C70" s="1" t="n">
        <v>826593</v>
      </c>
      <c r="D70" s="1" t="n">
        <v>792433</v>
      </c>
      <c r="E70" s="1" t="n">
        <f aca="false">IFERROR((D70-C70)/C70,"")</f>
        <v>-0.0413262633484678</v>
      </c>
      <c r="F70" s="1" t="n">
        <v>1268209</v>
      </c>
      <c r="G70" s="1" t="n">
        <v>1387339</v>
      </c>
      <c r="H70" s="1" t="n">
        <f aca="false">IFERROR((G70-F70)/F70,"")</f>
        <v>0.0939356210214562</v>
      </c>
      <c r="I70" s="1" t="n">
        <v>51164</v>
      </c>
      <c r="J70" s="1" t="n">
        <v>75640</v>
      </c>
      <c r="K70" s="1" t="n">
        <f aca="false">IFERROR((J70-I70)/I70,"")</f>
        <v>0.478383238214369</v>
      </c>
      <c r="L70" s="1" t="n">
        <v>860145</v>
      </c>
      <c r="M70" s="1" t="s">
        <v>301</v>
      </c>
      <c r="N70" s="1" t="n">
        <v>1520805</v>
      </c>
      <c r="O70" s="1" t="s">
        <v>298</v>
      </c>
      <c r="P70" s="1" t="n">
        <v>693388</v>
      </c>
      <c r="Q70" s="1" t="s">
        <v>273</v>
      </c>
      <c r="R70" s="1" t="n">
        <f aca="false">IFERROR((D70-N70)/N70,"")</f>
        <v>-0.478938456935636</v>
      </c>
      <c r="S70" s="14" t="s">
        <v>40</v>
      </c>
      <c r="T70" s="14" t="s">
        <v>41</v>
      </c>
      <c r="U70" s="1" t="s">
        <v>440</v>
      </c>
    </row>
    <row r="71" customFormat="false" ht="15" hidden="false" customHeight="true" outlineLevel="0" collapsed="false">
      <c r="A71" s="1" t="s">
        <v>441</v>
      </c>
      <c r="B71" s="14" t="s">
        <v>28</v>
      </c>
      <c r="C71" s="1" t="n">
        <v>4614545</v>
      </c>
      <c r="D71" s="1" t="n">
        <v>5193646</v>
      </c>
      <c r="E71" s="1" t="n">
        <f aca="false">IFERROR((D71-C71)/C71,"")</f>
        <v>0.125494712913191</v>
      </c>
      <c r="F71" s="1" t="n">
        <v>2584252</v>
      </c>
      <c r="G71" s="1" t="n">
        <v>2804200</v>
      </c>
      <c r="H71" s="1" t="n">
        <f aca="false">IFERROR((G71-F71)/F71,"")</f>
        <v>0.0851108947579416</v>
      </c>
      <c r="I71" s="1" t="n">
        <v>4644</v>
      </c>
      <c r="J71" s="1" t="n">
        <v>36263</v>
      </c>
      <c r="K71" s="1" t="n">
        <f aca="false">IFERROR((J71-I71)/I71,"")</f>
        <v>6.80857019810508</v>
      </c>
      <c r="L71" s="1" t="n">
        <v>5781275</v>
      </c>
      <c r="M71" s="1" t="s">
        <v>281</v>
      </c>
      <c r="N71" s="1" t="n">
        <v>5781275</v>
      </c>
      <c r="O71" s="1" t="s">
        <v>281</v>
      </c>
      <c r="P71" s="1" t="n">
        <v>4529146</v>
      </c>
      <c r="Q71" s="1" t="s">
        <v>288</v>
      </c>
      <c r="R71" s="1" t="n">
        <f aca="false">IFERROR((D71-N71)/N71,"")</f>
        <v>-0.101643495595695</v>
      </c>
      <c r="S71" s="14" t="s">
        <v>37</v>
      </c>
      <c r="T71" s="14" t="s">
        <v>269</v>
      </c>
      <c r="U71" s="1" t="s">
        <v>442</v>
      </c>
    </row>
    <row r="72" customFormat="false" ht="15" hidden="false" customHeight="true" outlineLevel="0" collapsed="false">
      <c r="A72" s="1" t="s">
        <v>443</v>
      </c>
      <c r="B72" s="14" t="s">
        <v>28</v>
      </c>
      <c r="C72" s="1" t="n">
        <v>5073100</v>
      </c>
      <c r="D72" s="1" t="n">
        <v>4127867</v>
      </c>
      <c r="E72" s="1" t="n">
        <f aca="false">IFERROR((D72-C72)/C72,"")</f>
        <v>-0.186322564112673</v>
      </c>
      <c r="F72" s="1" t="n">
        <v>3176758</v>
      </c>
      <c r="G72" s="1" t="n">
        <v>2362165</v>
      </c>
      <c r="H72" s="1" t="n">
        <f aca="false">IFERROR((G72-F72)/F72,"")</f>
        <v>-0.256422742934778</v>
      </c>
      <c r="I72" s="1" t="n">
        <v>64620</v>
      </c>
      <c r="J72" s="1" t="n">
        <v>83028</v>
      </c>
      <c r="K72" s="1" t="n">
        <f aca="false">IFERROR((J72-I72)/I72,"")</f>
        <v>0.284865366759517</v>
      </c>
      <c r="L72" s="1" t="n">
        <v>5826518</v>
      </c>
      <c r="M72" s="1" t="s">
        <v>272</v>
      </c>
      <c r="N72" s="1" t="n">
        <v>6117338</v>
      </c>
      <c r="O72" s="1" t="s">
        <v>332</v>
      </c>
      <c r="P72" s="1" t="n">
        <v>3896271</v>
      </c>
      <c r="Q72" s="1" t="s">
        <v>335</v>
      </c>
      <c r="R72" s="1" t="n">
        <f aca="false">IFERROR((D72-N72)/N72,"")</f>
        <v>-0.325218420169034</v>
      </c>
      <c r="S72" s="14" t="s">
        <v>39</v>
      </c>
      <c r="T72" s="14" t="s">
        <v>282</v>
      </c>
      <c r="U72" s="1" t="s">
        <v>444</v>
      </c>
    </row>
    <row r="73" customFormat="false" ht="15" hidden="false" customHeight="true" outlineLevel="0" collapsed="false">
      <c r="A73" s="1" t="s">
        <v>445</v>
      </c>
      <c r="B73" s="14" t="s">
        <v>28</v>
      </c>
      <c r="C73" s="1" t="n">
        <v>1471259</v>
      </c>
      <c r="D73" s="1" t="n">
        <v>1563925</v>
      </c>
      <c r="E73" s="1" t="n">
        <f aca="false">IFERROR((D73-C73)/C73,"")</f>
        <v>0.0629841516687409</v>
      </c>
      <c r="F73" s="1" t="n">
        <v>7307</v>
      </c>
      <c r="G73" s="1" t="n">
        <v>9415</v>
      </c>
      <c r="H73" s="1" t="n">
        <f aca="false">IFERROR((G73-F73)/F73,"")</f>
        <v>0.288490488572602</v>
      </c>
      <c r="I73" s="1" t="n">
        <v>665672</v>
      </c>
      <c r="J73" s="1" t="n">
        <v>712196</v>
      </c>
      <c r="K73" s="1" t="n">
        <f aca="false">IFERROR((J73-I73)/I73,"")</f>
        <v>0.069890276292228</v>
      </c>
      <c r="L73" s="1" t="n">
        <v>1950484</v>
      </c>
      <c r="M73" s="1" t="s">
        <v>306</v>
      </c>
      <c r="N73" s="1" t="n">
        <v>1950484</v>
      </c>
      <c r="O73" s="1" t="s">
        <v>306</v>
      </c>
      <c r="P73" s="1" t="n">
        <v>1471259</v>
      </c>
      <c r="Q73" s="1" t="s">
        <v>268</v>
      </c>
      <c r="R73" s="1" t="n">
        <f aca="false">IFERROR((D73-N73)/N73,"")</f>
        <v>-0.198186193785748</v>
      </c>
      <c r="S73" s="14" t="s">
        <v>43</v>
      </c>
      <c r="T73" s="14" t="s">
        <v>41</v>
      </c>
      <c r="U73" s="1" t="s">
        <v>446</v>
      </c>
    </row>
    <row r="74" customFormat="false" ht="15" hidden="false" customHeight="true" outlineLevel="0" collapsed="false">
      <c r="A74" s="1" t="s">
        <v>447</v>
      </c>
      <c r="B74" s="14" t="s">
        <v>28</v>
      </c>
      <c r="C74" s="1" t="n">
        <v>592916</v>
      </c>
      <c r="D74" s="1" t="n">
        <v>476194</v>
      </c>
      <c r="E74" s="1" t="n">
        <f aca="false">IFERROR((D74-C74)/C74,"")</f>
        <v>-0.196860938143008</v>
      </c>
      <c r="F74" s="1" t="n">
        <v>1336429</v>
      </c>
      <c r="G74" s="1" t="n">
        <v>1151431</v>
      </c>
      <c r="H74" s="1" t="n">
        <f aca="false">IFERROR((G74-F74)/F74,"")</f>
        <v>-0.138427106864637</v>
      </c>
      <c r="I74" s="1" t="n">
        <v>18646</v>
      </c>
      <c r="J74" s="1" t="n">
        <v>22095</v>
      </c>
      <c r="K74" s="1" t="n">
        <f aca="false">IFERROR((J74-I74)/I74,"")</f>
        <v>0.184972648289177</v>
      </c>
      <c r="L74" s="1" t="n">
        <v>1262828</v>
      </c>
      <c r="M74" s="1" t="s">
        <v>306</v>
      </c>
      <c r="N74" s="1" t="n">
        <v>1262828</v>
      </c>
      <c r="O74" s="1" t="s">
        <v>306</v>
      </c>
      <c r="P74" s="1" t="n">
        <v>437232</v>
      </c>
      <c r="Q74" s="1" t="s">
        <v>273</v>
      </c>
      <c r="R74" s="1" t="n">
        <f aca="false">IFERROR((D74-N74)/N74,"")</f>
        <v>-0.622914601196679</v>
      </c>
      <c r="S74" s="14" t="s">
        <v>39</v>
      </c>
      <c r="T74" s="14" t="s">
        <v>282</v>
      </c>
      <c r="U74" s="1" t="s">
        <v>448</v>
      </c>
    </row>
    <row r="75" customFormat="false" ht="15" hidden="false" customHeight="true" outlineLevel="0" collapsed="false">
      <c r="A75" s="1" t="s">
        <v>449</v>
      </c>
      <c r="B75" s="14" t="s">
        <v>28</v>
      </c>
      <c r="C75" s="1" t="n">
        <v>76631</v>
      </c>
      <c r="D75" s="1" t="n">
        <v>53709</v>
      </c>
      <c r="E75" s="1" t="n">
        <f aca="false">IFERROR((D75-C75)/C75,"")</f>
        <v>-0.299121765343007</v>
      </c>
      <c r="F75" s="1" t="n">
        <v>214633</v>
      </c>
      <c r="G75" s="1" t="n">
        <v>186514</v>
      </c>
      <c r="H75" s="1" t="n">
        <f aca="false">IFERROR((G75-F75)/F75,"")</f>
        <v>-0.131009676983502</v>
      </c>
      <c r="I75" s="1" t="n">
        <v>6606</v>
      </c>
      <c r="J75" s="1" t="n">
        <v>7025</v>
      </c>
      <c r="K75" s="1" t="n">
        <f aca="false">IFERROR((J75-I75)/I75,"")</f>
        <v>0.063427187405389</v>
      </c>
      <c r="L75" s="1" t="n">
        <v>78637</v>
      </c>
      <c r="M75" s="1" t="s">
        <v>288</v>
      </c>
      <c r="N75" s="1" t="n">
        <v>113106</v>
      </c>
      <c r="O75" s="1" t="s">
        <v>394</v>
      </c>
      <c r="P75" s="1" t="n">
        <v>53709</v>
      </c>
      <c r="Q75" s="1" t="s">
        <v>267</v>
      </c>
      <c r="R75" s="1" t="n">
        <f aca="false">IFERROR((D75-N75)/N75,"")</f>
        <v>-0.525144554665535</v>
      </c>
      <c r="S75" s="14" t="s">
        <v>42</v>
      </c>
      <c r="T75" s="14" t="s">
        <v>282</v>
      </c>
      <c r="U75" s="1" t="s">
        <v>450</v>
      </c>
    </row>
    <row r="76" customFormat="false" ht="15" hidden="false" customHeight="true" outlineLevel="0" collapsed="false">
      <c r="A76" s="1" t="s">
        <v>451</v>
      </c>
      <c r="B76" s="14" t="s">
        <v>28</v>
      </c>
      <c r="C76" s="1" t="n">
        <v>188256</v>
      </c>
      <c r="D76" s="1" t="n">
        <v>134779</v>
      </c>
      <c r="E76" s="1" t="n">
        <f aca="false">IFERROR((D76-C76)/C76,"")</f>
        <v>-0.284065315315315</v>
      </c>
      <c r="F76" s="1" t="n">
        <v>315075</v>
      </c>
      <c r="G76" s="1" t="n">
        <v>261003</v>
      </c>
      <c r="H76" s="1" t="n">
        <f aca="false">IFERROR((G76-F76)/F76,"")</f>
        <v>-0.171616281837658</v>
      </c>
      <c r="I76" s="1" t="n">
        <v>7141</v>
      </c>
      <c r="J76" s="1" t="n">
        <v>10200</v>
      </c>
      <c r="K76" s="1" t="n">
        <f aca="false">IFERROR((J76-I76)/I76,"")</f>
        <v>0.428371376557905</v>
      </c>
      <c r="L76" s="1" t="n">
        <v>213502</v>
      </c>
      <c r="M76" s="1" t="s">
        <v>304</v>
      </c>
      <c r="N76" s="1" t="n">
        <v>237265</v>
      </c>
      <c r="O76" s="1" t="s">
        <v>452</v>
      </c>
      <c r="P76" s="1" t="n">
        <v>134779</v>
      </c>
      <c r="Q76" s="1" t="s">
        <v>267</v>
      </c>
      <c r="R76" s="1" t="n">
        <f aca="false">IFERROR((D76-N76)/N76,"")</f>
        <v>-0.431947400585843</v>
      </c>
      <c r="S76" s="14" t="s">
        <v>43</v>
      </c>
      <c r="T76" s="14" t="s">
        <v>282</v>
      </c>
      <c r="U76" s="1" t="s">
        <v>453</v>
      </c>
    </row>
    <row r="77" customFormat="false" ht="15" hidden="false" customHeight="true" outlineLevel="0" collapsed="false">
      <c r="A77" s="1" t="s">
        <v>454</v>
      </c>
      <c r="B77" s="14" t="s">
        <v>28</v>
      </c>
      <c r="C77" s="1" t="n">
        <v>286018</v>
      </c>
      <c r="D77" s="1" t="n">
        <v>298052</v>
      </c>
      <c r="E77" s="1" t="n">
        <f aca="false">IFERROR((D77-C77)/C77,"")</f>
        <v>0.0420742750456265</v>
      </c>
      <c r="F77" s="1" t="n">
        <v>550639</v>
      </c>
      <c r="G77" s="1" t="n">
        <v>533135</v>
      </c>
      <c r="H77" s="1" t="n">
        <f aca="false">IFERROR((G77-F77)/F77,"")</f>
        <v>-0.0317885220625491</v>
      </c>
      <c r="I77" s="1" t="n">
        <v>29290</v>
      </c>
      <c r="J77" s="1" t="n">
        <v>33479</v>
      </c>
      <c r="K77" s="1" t="n">
        <f aca="false">IFERROR((J77-I77)/I77,"")</f>
        <v>0.14301809491294</v>
      </c>
      <c r="L77" s="1" t="n">
        <v>307150</v>
      </c>
      <c r="M77" s="1" t="s">
        <v>306</v>
      </c>
      <c r="N77" s="1" t="n">
        <v>412554</v>
      </c>
      <c r="O77" s="1" t="s">
        <v>338</v>
      </c>
      <c r="P77" s="1" t="n">
        <v>274754</v>
      </c>
      <c r="Q77" s="1" t="s">
        <v>288</v>
      </c>
      <c r="R77" s="1" t="n">
        <f aca="false">IFERROR((D77-N77)/N77,"")</f>
        <v>-0.277544272992142</v>
      </c>
      <c r="S77" s="14" t="s">
        <v>41</v>
      </c>
      <c r="T77" s="14" t="s">
        <v>41</v>
      </c>
      <c r="U77" s="1" t="s">
        <v>455</v>
      </c>
    </row>
    <row r="78" customFormat="false" ht="15" hidden="false" customHeight="true" outlineLevel="0" collapsed="false">
      <c r="A78" s="1" t="s">
        <v>456</v>
      </c>
      <c r="B78" s="14" t="s">
        <v>28</v>
      </c>
      <c r="C78" s="1" t="n">
        <v>5063</v>
      </c>
      <c r="D78" s="1" t="n">
        <v>14479</v>
      </c>
      <c r="E78" s="1" t="n">
        <f aca="false">IFERROR((D78-C78)/C78,"")</f>
        <v>1.85976693659885</v>
      </c>
      <c r="F78" s="1" t="n">
        <v>16995</v>
      </c>
      <c r="G78" s="1" t="n">
        <v>44637</v>
      </c>
      <c r="H78" s="1" t="n">
        <f aca="false">IFERROR((G78-F78)/F78,"")</f>
        <v>1.62647837599294</v>
      </c>
      <c r="I78" s="1" t="n">
        <v>1756</v>
      </c>
      <c r="J78" s="1" t="n">
        <v>2437</v>
      </c>
      <c r="K78" s="1" t="n">
        <f aca="false">IFERROR((J78-I78)/I78,"")</f>
        <v>0.387813211845103</v>
      </c>
      <c r="L78" s="1" t="n">
        <v>14479</v>
      </c>
      <c r="M78" s="1" t="s">
        <v>267</v>
      </c>
      <c r="N78" s="1" t="n">
        <v>14479</v>
      </c>
      <c r="O78" s="1" t="s">
        <v>267</v>
      </c>
      <c r="P78" s="1" t="n">
        <v>5063</v>
      </c>
      <c r="Q78" s="1" t="s">
        <v>268</v>
      </c>
      <c r="R78" s="1" t="n">
        <f aca="false">IFERROR((D78-N78)/N78,"")</f>
        <v>0</v>
      </c>
      <c r="S78" s="14" t="s">
        <v>35</v>
      </c>
      <c r="T78" s="14" t="s">
        <v>269</v>
      </c>
      <c r="U78" s="1" t="s">
        <v>457</v>
      </c>
    </row>
    <row r="79" customFormat="false" ht="15" hidden="false" customHeight="true" outlineLevel="0" collapsed="false">
      <c r="A79" s="1" t="s">
        <v>458</v>
      </c>
      <c r="B79" s="14" t="s">
        <v>28</v>
      </c>
      <c r="C79" s="1" t="n">
        <v>67804</v>
      </c>
      <c r="D79" s="1" t="n">
        <v>34357</v>
      </c>
      <c r="E79" s="1" t="n">
        <f aca="false">IFERROR((D79-C79)/C79,"")</f>
        <v>-0.493289481446522</v>
      </c>
      <c r="F79" s="1" t="n">
        <v>59772</v>
      </c>
      <c r="G79" s="1" t="n">
        <v>17793</v>
      </c>
      <c r="H79" s="1" t="n">
        <f aca="false">IFERROR((G79-F79)/F79,"")</f>
        <v>-0.702318811483638</v>
      </c>
      <c r="I79" s="1" t="n">
        <v>5613</v>
      </c>
      <c r="J79" s="1" t="n">
        <v>6127</v>
      </c>
      <c r="K79" s="1" t="n">
        <f aca="false">IFERROR((J79-I79)/I79,"")</f>
        <v>0.0915731337965437</v>
      </c>
      <c r="L79" s="1" t="n">
        <v>96150</v>
      </c>
      <c r="M79" s="1" t="s">
        <v>306</v>
      </c>
      <c r="N79" s="1" t="n">
        <v>169890</v>
      </c>
      <c r="O79" s="1" t="s">
        <v>459</v>
      </c>
      <c r="P79" s="1" t="n">
        <v>34357</v>
      </c>
      <c r="Q79" s="1" t="s">
        <v>267</v>
      </c>
      <c r="R79" s="1" t="n">
        <f aca="false">IFERROR((D79-N79)/N79,"")</f>
        <v>-0.797769144740715</v>
      </c>
      <c r="S79" s="14" t="s">
        <v>39</v>
      </c>
      <c r="T79" s="14" t="s">
        <v>282</v>
      </c>
      <c r="U79" s="1" t="s">
        <v>460</v>
      </c>
    </row>
    <row r="80" customFormat="false" ht="15" hidden="false" customHeight="true" outlineLevel="0" collapsed="false">
      <c r="A80" s="1" t="s">
        <v>461</v>
      </c>
      <c r="B80" s="14" t="s">
        <v>28</v>
      </c>
      <c r="C80" s="1" t="n">
        <v>48577</v>
      </c>
      <c r="D80" s="1" t="n">
        <v>27683</v>
      </c>
      <c r="E80" s="1" t="n">
        <f aca="false">IFERROR((D80-C80)/C80,"")</f>
        <v>-0.430121250797703</v>
      </c>
      <c r="F80" s="1" t="n">
        <v>63321</v>
      </c>
      <c r="G80" s="1" t="n">
        <v>36670</v>
      </c>
      <c r="H80" s="1" t="n">
        <f aca="false">IFERROR((G80-F80)/F80,"")</f>
        <v>-0.420887225407053</v>
      </c>
      <c r="I80" s="1" t="n">
        <v>1651</v>
      </c>
      <c r="J80" s="1" t="n">
        <v>2639</v>
      </c>
      <c r="K80" s="1" t="n">
        <f aca="false">IFERROR((J80-I80)/I80,"")</f>
        <v>0.598425196850394</v>
      </c>
      <c r="L80" s="1" t="n">
        <v>245698</v>
      </c>
      <c r="M80" s="1" t="s">
        <v>306</v>
      </c>
      <c r="N80" s="1" t="n">
        <v>245698</v>
      </c>
      <c r="O80" s="1" t="s">
        <v>306</v>
      </c>
      <c r="P80" s="1" t="n">
        <v>26829</v>
      </c>
      <c r="Q80" s="1" t="s">
        <v>278</v>
      </c>
      <c r="R80" s="1" t="n">
        <f aca="false">IFERROR((D80-N80)/N80,"")</f>
        <v>-0.887329160188524</v>
      </c>
      <c r="S80" s="14" t="s">
        <v>39</v>
      </c>
      <c r="T80" s="14" t="s">
        <v>282</v>
      </c>
      <c r="U80" s="1" t="s">
        <v>462</v>
      </c>
    </row>
    <row r="81" customFormat="false" ht="15" hidden="false" customHeight="true" outlineLevel="0" collapsed="false">
      <c r="A81" s="1" t="s">
        <v>463</v>
      </c>
      <c r="B81" s="14" t="s">
        <v>29</v>
      </c>
      <c r="C81" s="1" t="n">
        <v>31700</v>
      </c>
      <c r="D81" s="1" t="n">
        <v>55786</v>
      </c>
      <c r="E81" s="1" t="n">
        <f aca="false">IFERROR((D81-C81)/C81,"")</f>
        <v>0.75981072555205</v>
      </c>
      <c r="F81" s="1" t="n">
        <v>27956</v>
      </c>
      <c r="G81" s="1" t="n">
        <v>74896</v>
      </c>
      <c r="H81" s="1" t="n">
        <f aca="false">IFERROR((G81-F81)/F81,"")</f>
        <v>1.67906710545142</v>
      </c>
      <c r="I81" s="1" t="n">
        <v>2879</v>
      </c>
      <c r="J81" s="1" t="n">
        <v>6589</v>
      </c>
      <c r="K81" s="1" t="n">
        <f aca="false">IFERROR((J81-I81)/I81,"")</f>
        <v>1.28864188954498</v>
      </c>
      <c r="L81" s="1" t="n">
        <v>55786</v>
      </c>
      <c r="M81" s="1" t="s">
        <v>267</v>
      </c>
      <c r="N81" s="1" t="n">
        <v>55786</v>
      </c>
      <c r="O81" s="1" t="s">
        <v>267</v>
      </c>
      <c r="P81" s="1" t="n">
        <v>27955</v>
      </c>
      <c r="Q81" s="1" t="s">
        <v>349</v>
      </c>
      <c r="R81" s="1" t="n">
        <f aca="false">IFERROR((D81-N81)/N81,"")</f>
        <v>0</v>
      </c>
      <c r="S81" s="14" t="s">
        <v>35</v>
      </c>
      <c r="T81" s="14" t="s">
        <v>269</v>
      </c>
      <c r="U81" s="1" t="s">
        <v>464</v>
      </c>
    </row>
    <row r="82" customFormat="false" ht="15" hidden="false" customHeight="true" outlineLevel="0" collapsed="false">
      <c r="A82" s="1" t="s">
        <v>465</v>
      </c>
      <c r="B82" s="14" t="s">
        <v>29</v>
      </c>
      <c r="C82" s="1" t="n">
        <v>17816</v>
      </c>
      <c r="D82" s="1" t="n">
        <v>13409</v>
      </c>
      <c r="E82" s="1" t="n">
        <f aca="false">IFERROR((D82-C82)/C82,"")</f>
        <v>-0.247361921867984</v>
      </c>
      <c r="F82" s="1" t="n">
        <v>54304</v>
      </c>
      <c r="G82" s="1" t="n">
        <v>36123</v>
      </c>
      <c r="H82" s="1" t="n">
        <f aca="false">IFERROR((G82-F82)/F82,"")</f>
        <v>-0.334800383028875</v>
      </c>
      <c r="I82" s="1" t="n">
        <v>2436</v>
      </c>
      <c r="J82" s="1" t="n">
        <v>4968</v>
      </c>
      <c r="K82" s="1" t="n">
        <f aca="false">IFERROR((J82-I82)/I82,"")</f>
        <v>1.03940886699507</v>
      </c>
      <c r="L82" s="1" t="n">
        <v>19161</v>
      </c>
      <c r="M82" s="1" t="s">
        <v>278</v>
      </c>
      <c r="N82" s="1" t="n">
        <v>63842</v>
      </c>
      <c r="O82" s="1" t="s">
        <v>466</v>
      </c>
      <c r="P82" s="1" t="n">
        <v>13409</v>
      </c>
      <c r="Q82" s="1" t="s">
        <v>267</v>
      </c>
      <c r="R82" s="1" t="n">
        <f aca="false">IFERROR((D82-N82)/N82,"")</f>
        <v>-0.789965853200088</v>
      </c>
      <c r="S82" s="14" t="s">
        <v>43</v>
      </c>
      <c r="T82" s="14" t="s">
        <v>282</v>
      </c>
      <c r="U82" s="1" t="s">
        <v>467</v>
      </c>
    </row>
    <row r="83" customFormat="false" ht="15" hidden="false" customHeight="true" outlineLevel="0" collapsed="false">
      <c r="A83" s="1" t="s">
        <v>468</v>
      </c>
      <c r="B83" s="14" t="s">
        <v>29</v>
      </c>
      <c r="C83" s="1" t="n">
        <v>0</v>
      </c>
      <c r="D83" s="1" t="n">
        <v>27797</v>
      </c>
      <c r="E83" s="1" t="str">
        <f aca="false">IFERROR((D83-C83)/C83,"")</f>
        <v/>
      </c>
      <c r="F83" s="1" t="n">
        <v>0</v>
      </c>
      <c r="G83" s="1" t="n">
        <v>11325</v>
      </c>
      <c r="H83" s="1" t="str">
        <f aca="false">IFERROR((G83-F83)/F83,"")</f>
        <v/>
      </c>
      <c r="I83" s="1" t="n">
        <v>2</v>
      </c>
      <c r="J83" s="1" t="n">
        <v>5971</v>
      </c>
      <c r="K83" s="1" t="n">
        <f aca="false">IFERROR((J83-I83)/I83,"")</f>
        <v>2984.5</v>
      </c>
      <c r="L83" s="1" t="n">
        <v>27797</v>
      </c>
      <c r="M83" s="1" t="s">
        <v>267</v>
      </c>
      <c r="N83" s="1" t="n">
        <v>27797</v>
      </c>
      <c r="O83" s="1" t="s">
        <v>267</v>
      </c>
      <c r="P83" s="1" t="n">
        <v>0</v>
      </c>
      <c r="Q83" s="1" t="s">
        <v>268</v>
      </c>
      <c r="R83" s="1" t="n">
        <f aca="false">IFERROR((D83-N83)/N83,"")</f>
        <v>0</v>
      </c>
      <c r="S83" s="14" t="s">
        <v>35</v>
      </c>
      <c r="T83" s="14" t="s">
        <v>269</v>
      </c>
      <c r="U83" s="1" t="s">
        <v>469</v>
      </c>
    </row>
    <row r="84" customFormat="false" ht="15" hidden="false" customHeight="true" outlineLevel="0" collapsed="false">
      <c r="A84" s="1" t="s">
        <v>470</v>
      </c>
      <c r="B84" s="14" t="s">
        <v>29</v>
      </c>
      <c r="C84" s="1" t="n">
        <v>47036</v>
      </c>
      <c r="D84" s="1" t="n">
        <v>80857</v>
      </c>
      <c r="E84" s="1" t="n">
        <f aca="false">(D84-C84)/C84</f>
        <v>0.719044986818607</v>
      </c>
      <c r="F84" s="1" t="n">
        <v>30983</v>
      </c>
      <c r="G84" s="1" t="n">
        <v>51252</v>
      </c>
      <c r="H84" s="1" t="n">
        <f aca="false">(G84-F84)/F84</f>
        <v>0.65419746312494</v>
      </c>
      <c r="I84" s="1" t="s">
        <v>471</v>
      </c>
      <c r="J84" s="1" t="s">
        <v>471</v>
      </c>
      <c r="L84" s="1" t="n">
        <v>80857</v>
      </c>
      <c r="M84" s="1" t="s">
        <v>267</v>
      </c>
      <c r="N84" s="1" t="n">
        <v>136304</v>
      </c>
      <c r="O84" s="1" t="s">
        <v>472</v>
      </c>
      <c r="P84" s="1" t="n">
        <v>38615</v>
      </c>
      <c r="Q84" s="1" t="s">
        <v>273</v>
      </c>
      <c r="R84" s="1" t="n">
        <f aca="false">(D84-N84)/N84</f>
        <v>-0.406789235825801</v>
      </c>
      <c r="S84" s="14" t="s">
        <v>35</v>
      </c>
      <c r="T84" s="14" t="s">
        <v>269</v>
      </c>
      <c r="U84" s="1" t="s">
        <v>473</v>
      </c>
    </row>
    <row r="85" customFormat="false" ht="15" hidden="false" customHeight="true" outlineLevel="0" collapsed="false">
      <c r="A85" s="1" t="s">
        <v>474</v>
      </c>
      <c r="B85" s="14" t="s">
        <v>29</v>
      </c>
      <c r="C85" s="1" t="n">
        <v>298258</v>
      </c>
      <c r="D85" s="1" t="n">
        <v>287294</v>
      </c>
      <c r="E85" s="1" t="n">
        <f aca="false">IFERROR((D85-C85)/C85,"")</f>
        <v>-0.0367601204326456</v>
      </c>
      <c r="F85" s="1" t="n">
        <v>455205</v>
      </c>
      <c r="G85" s="1" t="n">
        <v>428505</v>
      </c>
      <c r="H85" s="1" t="n">
        <f aca="false">IFERROR((G85-F85)/F85,"")</f>
        <v>-0.0586548917520678</v>
      </c>
      <c r="I85" s="1" t="n">
        <v>58324</v>
      </c>
      <c r="J85" s="1" t="n">
        <v>59328</v>
      </c>
      <c r="K85" s="1" t="n">
        <f aca="false">IFERROR((J85-I85)/I85,"")</f>
        <v>0.0172141828406831</v>
      </c>
      <c r="L85" s="1" t="n">
        <v>309467</v>
      </c>
      <c r="M85" s="1" t="s">
        <v>281</v>
      </c>
      <c r="N85" s="1" t="n">
        <v>1416653</v>
      </c>
      <c r="O85" s="1" t="s">
        <v>475</v>
      </c>
      <c r="P85" s="1" t="n">
        <v>266714</v>
      </c>
      <c r="Q85" s="1" t="s">
        <v>301</v>
      </c>
      <c r="R85" s="1" t="n">
        <f aca="false">IFERROR((D85-N85)/N85,"")</f>
        <v>-0.797202278892573</v>
      </c>
      <c r="S85" s="14" t="s">
        <v>41</v>
      </c>
      <c r="T85" s="14" t="s">
        <v>41</v>
      </c>
      <c r="U85" s="1" t="s">
        <v>476</v>
      </c>
    </row>
    <row r="86" customFormat="false" ht="15" hidden="false" customHeight="true" outlineLevel="0" collapsed="false">
      <c r="A86" s="1" t="s">
        <v>477</v>
      </c>
      <c r="B86" s="14" t="s">
        <v>29</v>
      </c>
      <c r="C86" s="1" t="n">
        <v>80785</v>
      </c>
      <c r="D86" s="1" t="n">
        <v>62949</v>
      </c>
      <c r="E86" s="1" t="n">
        <f aca="false">IFERROR((D86-C86)/C86,"")</f>
        <v>-0.220783561304698</v>
      </c>
      <c r="F86" s="1" t="n">
        <v>105825</v>
      </c>
      <c r="G86" s="1" t="n">
        <v>78244</v>
      </c>
      <c r="H86" s="1" t="n">
        <f aca="false">IFERROR((G86-F86)/F86,"")</f>
        <v>-0.260628395936688</v>
      </c>
      <c r="I86" s="1" t="n">
        <v>9353</v>
      </c>
      <c r="J86" s="1" t="n">
        <v>13935</v>
      </c>
      <c r="K86" s="1" t="n">
        <f aca="false">IFERROR((J86-I86)/I86,"")</f>
        <v>0.489896289960441</v>
      </c>
      <c r="L86" s="1" t="n">
        <v>81807</v>
      </c>
      <c r="M86" s="1" t="s">
        <v>276</v>
      </c>
      <c r="N86" s="1" t="n">
        <v>112197</v>
      </c>
      <c r="O86" s="1" t="s">
        <v>478</v>
      </c>
      <c r="P86" s="1" t="n">
        <v>57113</v>
      </c>
      <c r="Q86" s="1" t="s">
        <v>273</v>
      </c>
      <c r="R86" s="1" t="n">
        <f aca="false">IFERROR((D86-N86)/N86,"")</f>
        <v>-0.438942217706356</v>
      </c>
      <c r="S86" s="14" t="s">
        <v>39</v>
      </c>
      <c r="T86" s="14" t="s">
        <v>282</v>
      </c>
      <c r="U86" s="1" t="s">
        <v>479</v>
      </c>
    </row>
    <row r="87" customFormat="false" ht="15" hidden="false" customHeight="true" outlineLevel="0" collapsed="false">
      <c r="A87" s="1" t="s">
        <v>480</v>
      </c>
      <c r="B87" s="14" t="s">
        <v>29</v>
      </c>
      <c r="C87" s="1" t="n">
        <v>191144</v>
      </c>
      <c r="D87" s="1" t="n">
        <v>195356</v>
      </c>
      <c r="E87" s="1" t="n">
        <f aca="false">IFERROR((D87-C87)/C87,"")</f>
        <v>0.0220357426861424</v>
      </c>
      <c r="F87" s="1" t="n">
        <v>3815</v>
      </c>
      <c r="G87" s="1" t="n">
        <v>4763</v>
      </c>
      <c r="H87" s="1" t="n">
        <f aca="false">IFERROR((G87-F87)/F87,"")</f>
        <v>0.248492791612058</v>
      </c>
      <c r="I87" s="1" t="n">
        <v>84685</v>
      </c>
      <c r="J87" s="1" t="n">
        <v>87362</v>
      </c>
      <c r="K87" s="1" t="n">
        <f aca="false">IFERROR((J87-I87)/I87,"")</f>
        <v>0.0316112652772038</v>
      </c>
      <c r="L87" s="1" t="n">
        <v>219538</v>
      </c>
      <c r="M87" s="1" t="s">
        <v>281</v>
      </c>
      <c r="N87" s="1" t="n">
        <v>261639</v>
      </c>
      <c r="O87" s="1" t="s">
        <v>481</v>
      </c>
      <c r="P87" s="1" t="n">
        <v>185004</v>
      </c>
      <c r="Q87" s="1" t="s">
        <v>273</v>
      </c>
      <c r="R87" s="1" t="n">
        <f aca="false">IFERROR((D87-N87)/N87,"")</f>
        <v>-0.25333761404072</v>
      </c>
      <c r="S87" s="14" t="s">
        <v>41</v>
      </c>
      <c r="T87" s="14" t="s">
        <v>41</v>
      </c>
      <c r="U87" s="1" t="s">
        <v>482</v>
      </c>
    </row>
    <row r="88" customFormat="false" ht="15" hidden="false" customHeight="true" outlineLevel="0" collapsed="false">
      <c r="A88" s="1" t="s">
        <v>483</v>
      </c>
      <c r="B88" s="14" t="s">
        <v>29</v>
      </c>
      <c r="C88" s="1" t="n">
        <v>132735</v>
      </c>
      <c r="D88" s="1" t="n">
        <v>182297</v>
      </c>
      <c r="E88" s="1" t="n">
        <f aca="false">IFERROR((D88-C88)/C88,"")</f>
        <v>0.373390590273854</v>
      </c>
      <c r="F88" s="1" t="n">
        <v>99992</v>
      </c>
      <c r="G88" s="1" t="n">
        <v>158125</v>
      </c>
      <c r="H88" s="1" t="n">
        <f aca="false">IFERROR((G88-F88)/F88,"")</f>
        <v>0.58137651012081</v>
      </c>
      <c r="I88" s="1" t="n">
        <v>10943</v>
      </c>
      <c r="J88" s="1" t="n">
        <v>15397</v>
      </c>
      <c r="K88" s="1" t="n">
        <f aca="false">IFERROR((J88-I88)/I88,"")</f>
        <v>0.407018185141186</v>
      </c>
      <c r="L88" s="1" t="n">
        <v>182297</v>
      </c>
      <c r="M88" s="1" t="s">
        <v>267</v>
      </c>
      <c r="N88" s="1" t="n">
        <v>182297</v>
      </c>
      <c r="O88" s="1" t="s">
        <v>267</v>
      </c>
      <c r="P88" s="1" t="n">
        <v>82217</v>
      </c>
      <c r="Q88" s="1" t="s">
        <v>273</v>
      </c>
      <c r="R88" s="1" t="n">
        <f aca="false">IFERROR((D88-N88)/N88,"")</f>
        <v>0</v>
      </c>
      <c r="S88" s="14" t="s">
        <v>40</v>
      </c>
      <c r="T88" s="14" t="s">
        <v>269</v>
      </c>
      <c r="U88" s="1" t="s">
        <v>484</v>
      </c>
    </row>
    <row r="89" customFormat="false" ht="15" hidden="false" customHeight="true" outlineLevel="0" collapsed="false">
      <c r="A89" s="1" t="s">
        <v>485</v>
      </c>
      <c r="B89" s="14" t="s">
        <v>29</v>
      </c>
      <c r="C89" s="1" t="n">
        <v>35174</v>
      </c>
      <c r="D89" s="1" t="n">
        <v>72397</v>
      </c>
      <c r="E89" s="1" t="n">
        <f aca="false">IFERROR((D89-C89)/C89,"")</f>
        <v>1.05825325524535</v>
      </c>
      <c r="F89" s="1" t="n">
        <v>40268</v>
      </c>
      <c r="G89" s="1" t="n">
        <v>66206</v>
      </c>
      <c r="H89" s="1" t="n">
        <f aca="false">IFERROR((G89-F89)/F89,"")</f>
        <v>0.644134300188736</v>
      </c>
      <c r="I89" s="1" t="n">
        <v>3096</v>
      </c>
      <c r="J89" s="1" t="n">
        <v>7753</v>
      </c>
      <c r="K89" s="1" t="n">
        <f aca="false">IFERROR((J89-I89)/I89,"")</f>
        <v>1.50419896640827</v>
      </c>
      <c r="L89" s="1" t="n">
        <v>72397</v>
      </c>
      <c r="M89" s="1" t="s">
        <v>267</v>
      </c>
      <c r="N89" s="1" t="n">
        <v>72397</v>
      </c>
      <c r="O89" s="1" t="s">
        <v>267</v>
      </c>
      <c r="P89" s="1" t="n">
        <v>33988</v>
      </c>
      <c r="Q89" s="1" t="s">
        <v>288</v>
      </c>
      <c r="R89" s="1" t="n">
        <f aca="false">IFERROR((D89-N89)/N89,"")</f>
        <v>0</v>
      </c>
      <c r="S89" s="14" t="s">
        <v>35</v>
      </c>
      <c r="T89" s="14" t="s">
        <v>269</v>
      </c>
      <c r="U89" s="1" t="s">
        <v>486</v>
      </c>
    </row>
    <row r="90" customFormat="false" ht="15" hidden="false" customHeight="true" outlineLevel="0" collapsed="false">
      <c r="A90" s="1" t="s">
        <v>487</v>
      </c>
      <c r="B90" s="14" t="s">
        <v>29</v>
      </c>
      <c r="C90" s="1" t="n">
        <v>588819</v>
      </c>
      <c r="D90" s="1" t="n">
        <v>577739</v>
      </c>
      <c r="E90" s="1" t="n">
        <f aca="false">IFERROR((D90-C90)/C90,"")</f>
        <v>-0.0188173275658564</v>
      </c>
      <c r="F90" s="1" t="n">
        <v>28955</v>
      </c>
      <c r="G90" s="1" t="n">
        <v>41064</v>
      </c>
      <c r="H90" s="1" t="n">
        <f aca="false">IFERROR((G90-F90)/F90,"")</f>
        <v>0.418200656190641</v>
      </c>
      <c r="I90" s="1" t="n">
        <v>1148700</v>
      </c>
      <c r="J90" s="1" t="n">
        <v>1354947</v>
      </c>
      <c r="K90" s="1" t="n">
        <f aca="false">IFERROR((J90-I90)/I90,"")</f>
        <v>0.179548184904675</v>
      </c>
      <c r="L90" s="1" t="n">
        <v>1944249</v>
      </c>
      <c r="M90" s="1" t="s">
        <v>306</v>
      </c>
      <c r="N90" s="1" t="n">
        <v>1944249</v>
      </c>
      <c r="O90" s="1" t="s">
        <v>306</v>
      </c>
      <c r="P90" s="1" t="n">
        <v>547848</v>
      </c>
      <c r="Q90" s="1" t="s">
        <v>273</v>
      </c>
      <c r="R90" s="1" t="n">
        <f aca="false">IFERROR((D90-N90)/N90,"")</f>
        <v>-0.702847217614616</v>
      </c>
      <c r="S90" s="14" t="s">
        <v>43</v>
      </c>
      <c r="T90" s="14" t="s">
        <v>41</v>
      </c>
      <c r="U90" s="1" t="s">
        <v>488</v>
      </c>
    </row>
    <row r="91" customFormat="false" ht="15" hidden="false" customHeight="true" outlineLevel="0" collapsed="false">
      <c r="A91" s="1" t="s">
        <v>489</v>
      </c>
      <c r="B91" s="14" t="s">
        <v>29</v>
      </c>
      <c r="C91" s="1" t="n">
        <v>172263997</v>
      </c>
      <c r="D91" s="1" t="n">
        <v>48205217</v>
      </c>
      <c r="E91" s="1" t="n">
        <f aca="false">IFERROR((D91-C91)/C91,"")</f>
        <v>-0.720166617287999</v>
      </c>
      <c r="F91" s="1" t="n">
        <v>32328621</v>
      </c>
      <c r="G91" s="1" t="n">
        <v>18220273</v>
      </c>
      <c r="H91" s="1" t="n">
        <f aca="false">IFERROR((G91-F91)/F91,"")</f>
        <v>-0.436404262340791</v>
      </c>
      <c r="I91" s="1" t="n">
        <v>0</v>
      </c>
      <c r="J91" s="1" t="n">
        <v>0</v>
      </c>
      <c r="K91" s="1" t="str">
        <f aca="false">IFERROR((J91-I91)/I91,"")</f>
        <v/>
      </c>
      <c r="L91" s="1" t="n">
        <v>172263997</v>
      </c>
      <c r="M91" s="1" t="s">
        <v>268</v>
      </c>
      <c r="N91" s="1" t="n">
        <v>214693421</v>
      </c>
      <c r="O91" s="1" t="s">
        <v>332</v>
      </c>
      <c r="P91" s="1" t="n">
        <v>39574026</v>
      </c>
      <c r="Q91" s="1" t="s">
        <v>304</v>
      </c>
      <c r="R91" s="1" t="n">
        <f aca="false">IFERROR((D91-N91)/N91,"")</f>
        <v>-0.775469519394355</v>
      </c>
      <c r="S91" s="14" t="s">
        <v>39</v>
      </c>
      <c r="T91" s="14" t="s">
        <v>282</v>
      </c>
      <c r="U91" s="1" t="s">
        <v>490</v>
      </c>
    </row>
    <row r="92" customFormat="false" ht="15" hidden="false" customHeight="true" outlineLevel="0" collapsed="false">
      <c r="A92" s="1" t="s">
        <v>491</v>
      </c>
      <c r="B92" s="14" t="s">
        <v>30</v>
      </c>
      <c r="C92" s="1" t="n">
        <v>34543</v>
      </c>
      <c r="D92" s="1" t="n">
        <v>32713</v>
      </c>
      <c r="E92" s="1" t="n">
        <f aca="false">IFERROR((D92-C92)/C92,"")</f>
        <v>-0.0529774483976493</v>
      </c>
      <c r="F92" s="1" t="n">
        <v>73852</v>
      </c>
      <c r="G92" s="1" t="n">
        <v>78625</v>
      </c>
      <c r="H92" s="1" t="n">
        <f aca="false">IFERROR((G92-F92)/F92,"")</f>
        <v>0.0646292585170341</v>
      </c>
      <c r="I92" s="1" t="n">
        <v>950</v>
      </c>
      <c r="J92" s="1" t="n">
        <v>3032</v>
      </c>
      <c r="K92" s="1" t="n">
        <f aca="false">IFERROR((J92-I92)/I92,"")</f>
        <v>2.19157894736842</v>
      </c>
      <c r="L92" s="1" t="n">
        <v>46389</v>
      </c>
      <c r="M92" s="1" t="s">
        <v>306</v>
      </c>
      <c r="N92" s="1" t="n">
        <v>46389</v>
      </c>
      <c r="O92" s="1" t="s">
        <v>306</v>
      </c>
      <c r="P92" s="1" t="n">
        <v>28602</v>
      </c>
      <c r="Q92" s="1" t="s">
        <v>288</v>
      </c>
      <c r="R92" s="1" t="n">
        <f aca="false">IFERROR((D92-N92)/N92,"")</f>
        <v>-0.294811269913126</v>
      </c>
      <c r="S92" s="14" t="s">
        <v>43</v>
      </c>
      <c r="T92" s="14" t="s">
        <v>41</v>
      </c>
      <c r="U92" s="1" t="s">
        <v>492</v>
      </c>
    </row>
    <row r="93" customFormat="false" ht="15" hidden="false" customHeight="true" outlineLevel="0" collapsed="false">
      <c r="A93" s="1" t="s">
        <v>493</v>
      </c>
      <c r="B93" s="14" t="s">
        <v>30</v>
      </c>
      <c r="C93" s="1" t="n">
        <v>36277</v>
      </c>
      <c r="D93" s="1" t="n">
        <v>45989</v>
      </c>
      <c r="E93" s="1" t="n">
        <f aca="false">IFERROR((D93-C93)/C93,"")</f>
        <v>0.267717837748436</v>
      </c>
      <c r="F93" s="1" t="n">
        <v>105979</v>
      </c>
      <c r="G93" s="1" t="n">
        <v>117478</v>
      </c>
      <c r="H93" s="1" t="n">
        <f aca="false">IFERROR((G93-F93)/F93,"")</f>
        <v>0.108502627879108</v>
      </c>
      <c r="I93" s="1" t="n">
        <v>1160</v>
      </c>
      <c r="J93" s="1" t="n">
        <v>2540</v>
      </c>
      <c r="K93" s="1" t="n">
        <f aca="false">IFERROR((J93-I93)/I93,"")</f>
        <v>1.18965517241379</v>
      </c>
      <c r="L93" s="1" t="n">
        <v>50450</v>
      </c>
      <c r="M93" s="1" t="s">
        <v>294</v>
      </c>
      <c r="N93" s="1" t="n">
        <v>50450</v>
      </c>
      <c r="O93" s="1" t="s">
        <v>294</v>
      </c>
      <c r="P93" s="1" t="n">
        <v>27941</v>
      </c>
      <c r="Q93" s="1" t="s">
        <v>291</v>
      </c>
      <c r="R93" s="1" t="n">
        <f aca="false">IFERROR((D93-N93)/N93,"")</f>
        <v>-0.0884241823587711</v>
      </c>
      <c r="S93" s="14" t="s">
        <v>40</v>
      </c>
      <c r="T93" s="14" t="s">
        <v>269</v>
      </c>
      <c r="U93" s="1" t="s">
        <v>494</v>
      </c>
    </row>
    <row r="94" customFormat="false" ht="15" hidden="false" customHeight="true" outlineLevel="0" collapsed="false">
      <c r="A94" s="1" t="s">
        <v>495</v>
      </c>
      <c r="B94" s="14" t="s">
        <v>30</v>
      </c>
      <c r="C94" s="1" t="n">
        <v>5436</v>
      </c>
      <c r="D94" s="1" t="n">
        <v>6332</v>
      </c>
      <c r="E94" s="1" t="n">
        <f aca="false">IFERROR((D94-C94)/C94,"")</f>
        <v>0.164827078734364</v>
      </c>
      <c r="F94" s="1" t="n">
        <v>21986</v>
      </c>
      <c r="G94" s="1" t="n">
        <v>23354</v>
      </c>
      <c r="H94" s="1" t="n">
        <f aca="false">IFERROR((G94-F94)/F94,"")</f>
        <v>0.0622214136268535</v>
      </c>
      <c r="I94" s="1" t="n">
        <v>555</v>
      </c>
      <c r="J94" s="1" t="n">
        <v>986</v>
      </c>
      <c r="K94" s="1" t="n">
        <f aca="false">IFERROR((J94-I94)/I94,"")</f>
        <v>0.776576576576577</v>
      </c>
      <c r="L94" s="1" t="n">
        <v>10923</v>
      </c>
      <c r="M94" s="1" t="s">
        <v>278</v>
      </c>
      <c r="N94" s="1" t="n">
        <v>10923</v>
      </c>
      <c r="O94" s="1" t="s">
        <v>278</v>
      </c>
      <c r="P94" s="1" t="n">
        <v>4577</v>
      </c>
      <c r="Q94" s="1" t="s">
        <v>291</v>
      </c>
      <c r="R94" s="1" t="n">
        <f aca="false">IFERROR((D94-N94)/N94,"")</f>
        <v>-0.420305776801245</v>
      </c>
      <c r="S94" s="14" t="s">
        <v>37</v>
      </c>
      <c r="T94" s="14" t="s">
        <v>269</v>
      </c>
      <c r="U94" s="1" t="s">
        <v>496</v>
      </c>
    </row>
    <row r="95" customFormat="false" ht="15" hidden="false" customHeight="true" outlineLevel="0" collapsed="false">
      <c r="A95" s="1" t="s">
        <v>497</v>
      </c>
      <c r="B95" s="14" t="s">
        <v>30</v>
      </c>
      <c r="C95" s="1" t="n">
        <v>378</v>
      </c>
      <c r="D95" s="1" t="n">
        <v>380</v>
      </c>
      <c r="E95" s="1" t="n">
        <f aca="false">IFERROR((D95-C95)/C95,"")</f>
        <v>0.00529100529100529</v>
      </c>
      <c r="F95" s="1" t="n">
        <v>1316</v>
      </c>
      <c r="G95" s="1" t="n">
        <v>639</v>
      </c>
      <c r="H95" s="1" t="n">
        <f aca="false">IFERROR((G95-F95)/F95,"")</f>
        <v>-0.514437689969605</v>
      </c>
      <c r="I95" s="1" t="n">
        <v>170</v>
      </c>
      <c r="J95" s="1" t="n">
        <v>461</v>
      </c>
      <c r="K95" s="1" t="n">
        <f aca="false">IFERROR((J95-I95)/I95,"")</f>
        <v>1.71176470588235</v>
      </c>
      <c r="L95" s="1" t="n">
        <v>383</v>
      </c>
      <c r="M95" s="1" t="s">
        <v>288</v>
      </c>
      <c r="N95" s="1" t="n">
        <v>425</v>
      </c>
      <c r="O95" s="1" t="s">
        <v>305</v>
      </c>
      <c r="P95" s="1" t="n">
        <v>240</v>
      </c>
      <c r="Q95" s="1" t="s">
        <v>291</v>
      </c>
      <c r="R95" s="1" t="n">
        <f aca="false">IFERROR((D95-N95)/N95,"")</f>
        <v>-0.105882352941176</v>
      </c>
      <c r="S95" s="14" t="s">
        <v>40</v>
      </c>
      <c r="T95" s="14" t="s">
        <v>41</v>
      </c>
      <c r="U95" s="1" t="s">
        <v>498</v>
      </c>
    </row>
    <row r="96" customFormat="false" ht="15" hidden="false" customHeight="true" outlineLevel="0" collapsed="false">
      <c r="A96" s="1" t="s">
        <v>499</v>
      </c>
      <c r="B96" s="14" t="s">
        <v>30</v>
      </c>
      <c r="C96" s="1" t="n">
        <v>10844</v>
      </c>
      <c r="D96" s="1" t="n">
        <v>8506</v>
      </c>
      <c r="E96" s="1" t="n">
        <f aca="false">IFERROR((D96-C96)/C96,"")</f>
        <v>-0.215603098487643</v>
      </c>
      <c r="F96" s="1" t="n">
        <v>60508</v>
      </c>
      <c r="G96" s="1" t="n">
        <v>54067</v>
      </c>
      <c r="H96" s="1" t="n">
        <f aca="false">IFERROR((G96-F96)/F96,"")</f>
        <v>-0.106448734051696</v>
      </c>
      <c r="I96" s="1" t="n">
        <v>1052</v>
      </c>
      <c r="J96" s="1" t="n">
        <v>1988</v>
      </c>
      <c r="K96" s="1" t="n">
        <f aca="false">IFERROR((J96-I96)/I96,"")</f>
        <v>0.889733840304183</v>
      </c>
      <c r="L96" s="1" t="n">
        <v>15432</v>
      </c>
      <c r="M96" s="1" t="s">
        <v>349</v>
      </c>
      <c r="N96" s="1" t="n">
        <v>15432</v>
      </c>
      <c r="O96" s="1" t="s">
        <v>349</v>
      </c>
      <c r="P96" s="1" t="n">
        <v>7607</v>
      </c>
      <c r="Q96" s="1" t="s">
        <v>291</v>
      </c>
      <c r="R96" s="1" t="n">
        <f aca="false">IFERROR((D96-N96)/N96,"")</f>
        <v>-0.448807672369103</v>
      </c>
      <c r="S96" s="14" t="s">
        <v>39</v>
      </c>
      <c r="T96" s="14" t="s">
        <v>282</v>
      </c>
      <c r="U96" s="1" t="s">
        <v>500</v>
      </c>
    </row>
    <row r="97" customFormat="false" ht="15" hidden="false" customHeight="true" outlineLevel="0" collapsed="false">
      <c r="A97" s="1" t="s">
        <v>501</v>
      </c>
      <c r="B97" s="14" t="s">
        <v>30</v>
      </c>
      <c r="C97" s="1" t="n">
        <v>0</v>
      </c>
      <c r="D97" s="1" t="n">
        <v>779</v>
      </c>
      <c r="E97" s="1" t="str">
        <f aca="false">IFERROR((D97-C97)/C97,"")</f>
        <v/>
      </c>
      <c r="F97" s="1" t="n">
        <v>0</v>
      </c>
      <c r="G97" s="1" t="n">
        <v>5643</v>
      </c>
      <c r="H97" s="1" t="str">
        <f aca="false">IFERROR((G97-F97)/F97,"")</f>
        <v/>
      </c>
      <c r="I97" s="1" t="n">
        <v>25</v>
      </c>
      <c r="J97" s="1" t="n">
        <v>556</v>
      </c>
      <c r="K97" s="1" t="n">
        <f aca="false">IFERROR((J97-I97)/I97,"")</f>
        <v>21.24</v>
      </c>
      <c r="L97" s="1" t="n">
        <v>893</v>
      </c>
      <c r="M97" s="1" t="s">
        <v>285</v>
      </c>
      <c r="N97" s="1" t="n">
        <v>893</v>
      </c>
      <c r="O97" s="1" t="s">
        <v>285</v>
      </c>
      <c r="P97" s="1" t="n">
        <v>0</v>
      </c>
      <c r="Q97" s="1" t="s">
        <v>268</v>
      </c>
      <c r="R97" s="1" t="n">
        <f aca="false">IFERROR((D97-N97)/N97,"")</f>
        <v>-0.127659574468085</v>
      </c>
      <c r="S97" s="14" t="s">
        <v>37</v>
      </c>
      <c r="T97" s="14" t="s">
        <v>269</v>
      </c>
      <c r="U97" s="1" t="s">
        <v>502</v>
      </c>
    </row>
    <row r="98" customFormat="false" ht="15" hidden="false" customHeight="true" outlineLevel="0" collapsed="false">
      <c r="A98" s="1" t="s">
        <v>503</v>
      </c>
      <c r="B98" s="14" t="s">
        <v>30</v>
      </c>
      <c r="C98" s="1" t="n">
        <v>1101</v>
      </c>
      <c r="D98" s="1" t="n">
        <v>1804</v>
      </c>
      <c r="E98" s="1" t="n">
        <f aca="false">IFERROR((D98-C98)/C98,"")</f>
        <v>0.638510445049955</v>
      </c>
      <c r="F98" s="1" t="n">
        <v>7003</v>
      </c>
      <c r="G98" s="1" t="n">
        <v>11574</v>
      </c>
      <c r="H98" s="1" t="n">
        <f aca="false">IFERROR((G98-F98)/F98,"")</f>
        <v>0.652720262744538</v>
      </c>
      <c r="I98" s="1" t="n">
        <v>180</v>
      </c>
      <c r="J98" s="1" t="n">
        <v>572</v>
      </c>
      <c r="K98" s="1" t="n">
        <f aca="false">IFERROR((J98-I98)/I98,"")</f>
        <v>2.17777777777778</v>
      </c>
      <c r="L98" s="1" t="n">
        <v>1804</v>
      </c>
      <c r="M98" s="1" t="s">
        <v>267</v>
      </c>
      <c r="N98" s="1" t="n">
        <v>1804</v>
      </c>
      <c r="O98" s="1" t="s">
        <v>267</v>
      </c>
      <c r="P98" s="1" t="n">
        <v>1101</v>
      </c>
      <c r="Q98" s="1" t="s">
        <v>268</v>
      </c>
      <c r="R98" s="1" t="n">
        <f aca="false">IFERROR((D98-N98)/N98,"")</f>
        <v>0</v>
      </c>
      <c r="S98" s="14" t="s">
        <v>35</v>
      </c>
      <c r="T98" s="14" t="s">
        <v>269</v>
      </c>
      <c r="U98" s="1" t="s">
        <v>504</v>
      </c>
    </row>
    <row r="99" customFormat="false" ht="15" hidden="false" customHeight="true" outlineLevel="0" collapsed="false">
      <c r="A99" s="1" t="s">
        <v>505</v>
      </c>
      <c r="B99" s="14" t="s">
        <v>30</v>
      </c>
      <c r="C99" s="1" t="n">
        <v>75505</v>
      </c>
      <c r="D99" s="1" t="n">
        <v>63411</v>
      </c>
      <c r="E99" s="1" t="n">
        <f aca="false">IFERROR((D99-C99)/C99,"")</f>
        <v>-0.160174822859413</v>
      </c>
      <c r="F99" s="1" t="n">
        <v>346684</v>
      </c>
      <c r="G99" s="1" t="n">
        <v>296754</v>
      </c>
      <c r="H99" s="1" t="n">
        <f aca="false">IFERROR((G99-F99)/F99,"")</f>
        <v>-0.144021645071593</v>
      </c>
      <c r="I99" s="1" t="n">
        <v>36362</v>
      </c>
      <c r="J99" s="1" t="n">
        <v>14427</v>
      </c>
      <c r="K99" s="1" t="n">
        <f aca="false">IFERROR((J99-I99)/I99,"")</f>
        <v>-0.60323964578406</v>
      </c>
      <c r="L99" s="1" t="n">
        <v>77789</v>
      </c>
      <c r="M99" s="1" t="s">
        <v>288</v>
      </c>
      <c r="N99" s="1" t="n">
        <v>77789</v>
      </c>
      <c r="O99" s="1" t="s">
        <v>288</v>
      </c>
      <c r="P99" s="1" t="n">
        <v>59824</v>
      </c>
      <c r="Q99" s="1" t="s">
        <v>273</v>
      </c>
      <c r="R99" s="1" t="n">
        <f aca="false">IFERROR((D99-N99)/N99,"")</f>
        <v>-0.184833331190785</v>
      </c>
      <c r="S99" s="14" t="s">
        <v>39</v>
      </c>
      <c r="T99" s="14" t="s">
        <v>282</v>
      </c>
      <c r="U99" s="1" t="s">
        <v>506</v>
      </c>
    </row>
    <row r="100" customFormat="false" ht="15" hidden="false" customHeight="true" outlineLevel="0" collapsed="false">
      <c r="A100" s="1" t="s">
        <v>507</v>
      </c>
      <c r="B100" s="14" t="s">
        <v>30</v>
      </c>
      <c r="C100" s="1" t="n">
        <v>1497</v>
      </c>
      <c r="D100" s="1" t="n">
        <v>875</v>
      </c>
      <c r="E100" s="1" t="n">
        <f aca="false">IFERROR((D100-C100)/C100,"")</f>
        <v>-0.415497661990648</v>
      </c>
      <c r="F100" s="1" t="n">
        <v>3734</v>
      </c>
      <c r="G100" s="1" t="n">
        <v>1694</v>
      </c>
      <c r="H100" s="1" t="n">
        <f aca="false">IFERROR((G100-F100)/F100,"")</f>
        <v>-0.546331012319229</v>
      </c>
      <c r="I100" s="1" t="n">
        <v>396</v>
      </c>
      <c r="J100" s="1" t="n">
        <v>770</v>
      </c>
      <c r="K100" s="1" t="n">
        <f aca="false">IFERROR((J100-I100)/I100,"")</f>
        <v>0.944444444444444</v>
      </c>
      <c r="L100" s="1" t="n">
        <v>1568</v>
      </c>
      <c r="M100" s="1" t="s">
        <v>272</v>
      </c>
      <c r="N100" s="1" t="n">
        <v>2007</v>
      </c>
      <c r="O100" s="1" t="s">
        <v>452</v>
      </c>
      <c r="P100" s="1" t="n">
        <v>875</v>
      </c>
      <c r="Q100" s="1" t="s">
        <v>267</v>
      </c>
      <c r="R100" s="1" t="n">
        <f aca="false">IFERROR((D100-N100)/N100,"")</f>
        <v>-0.564025909317389</v>
      </c>
      <c r="S100" s="14" t="s">
        <v>42</v>
      </c>
      <c r="T100" s="14" t="s">
        <v>282</v>
      </c>
      <c r="U100" s="1" t="s">
        <v>508</v>
      </c>
    </row>
    <row r="101" customFormat="false" ht="15" hidden="false" customHeight="true" outlineLevel="0" collapsed="false">
      <c r="A101" s="1" t="s">
        <v>509</v>
      </c>
      <c r="B101" s="14" t="s">
        <v>30</v>
      </c>
      <c r="C101" s="1" t="n">
        <v>79079</v>
      </c>
      <c r="D101" s="1" t="n">
        <v>51245</v>
      </c>
      <c r="E101" s="1" t="n">
        <f aca="false">IFERROR((D101-C101)/C101,"")</f>
        <v>-0.351977136787263</v>
      </c>
      <c r="F101" s="1" t="n">
        <v>467867</v>
      </c>
      <c r="G101" s="1" t="n">
        <v>310173</v>
      </c>
      <c r="H101" s="1" t="n">
        <f aca="false">IFERROR((G101-F101)/F101,"")</f>
        <v>-0.337048776682262</v>
      </c>
      <c r="I101" s="1" t="n">
        <v>2391</v>
      </c>
      <c r="J101" s="1" t="n">
        <v>8607</v>
      </c>
      <c r="K101" s="1" t="n">
        <f aca="false">IFERROR((J101-I101)/I101,"")</f>
        <v>2.59974905897114</v>
      </c>
      <c r="L101" s="1" t="n">
        <v>94601</v>
      </c>
      <c r="M101" s="1" t="s">
        <v>335</v>
      </c>
      <c r="N101" s="1" t="n">
        <v>94601</v>
      </c>
      <c r="O101" s="1" t="s">
        <v>335</v>
      </c>
      <c r="P101" s="1" t="n">
        <v>51245</v>
      </c>
      <c r="Q101" s="1" t="s">
        <v>267</v>
      </c>
      <c r="R101" s="1" t="n">
        <f aca="false">IFERROR((D101-N101)/N101,"")</f>
        <v>-0.458303823426814</v>
      </c>
      <c r="S101" s="14" t="s">
        <v>37</v>
      </c>
      <c r="T101" s="14" t="s">
        <v>282</v>
      </c>
      <c r="U101" s="1" t="s">
        <v>510</v>
      </c>
    </row>
    <row r="102" customFormat="false" ht="15" hidden="false" customHeight="true" outlineLevel="0" collapsed="false">
      <c r="A102" s="1" t="s">
        <v>511</v>
      </c>
      <c r="B102" s="14" t="s">
        <v>30</v>
      </c>
      <c r="C102" s="1" t="n">
        <v>42153</v>
      </c>
      <c r="D102" s="1" t="n">
        <v>52299</v>
      </c>
      <c r="E102" s="1" t="n">
        <f aca="false">IFERROR((D102-C102)/C102,"")</f>
        <v>0.240694612483097</v>
      </c>
      <c r="F102" s="1" t="n">
        <v>501817</v>
      </c>
      <c r="G102" s="1" t="n">
        <v>660644</v>
      </c>
      <c r="H102" s="1" t="n">
        <f aca="false">IFERROR((G102-F102)/F102,"")</f>
        <v>0.316503825099588</v>
      </c>
      <c r="I102" s="1" t="n">
        <v>2546</v>
      </c>
      <c r="J102" s="1" t="n">
        <v>8716</v>
      </c>
      <c r="K102" s="1" t="n">
        <f aca="false">IFERROR((J102-I102)/I102,"")</f>
        <v>2.42340926944226</v>
      </c>
      <c r="L102" s="1" t="n">
        <v>68125</v>
      </c>
      <c r="M102" s="1" t="s">
        <v>294</v>
      </c>
      <c r="N102" s="1" t="n">
        <v>68125</v>
      </c>
      <c r="O102" s="1" t="s">
        <v>294</v>
      </c>
      <c r="P102" s="1" t="n">
        <v>42153</v>
      </c>
      <c r="Q102" s="1" t="s">
        <v>268</v>
      </c>
      <c r="R102" s="1" t="n">
        <f aca="false">IFERROR((D102-N102)/N102,"")</f>
        <v>-0.232308256880734</v>
      </c>
      <c r="S102" s="14" t="s">
        <v>37</v>
      </c>
      <c r="T102" s="14" t="s">
        <v>269</v>
      </c>
      <c r="U102" s="1" t="s">
        <v>512</v>
      </c>
    </row>
    <row r="103" customFormat="false" ht="15" hidden="false" customHeight="true" outlineLevel="0" collapsed="false">
      <c r="A103" s="1" t="s">
        <v>513</v>
      </c>
      <c r="B103" s="14" t="s">
        <v>30</v>
      </c>
      <c r="C103" s="1" t="n">
        <v>5818</v>
      </c>
      <c r="D103" s="1" t="n">
        <v>16123</v>
      </c>
      <c r="E103" s="1" t="n">
        <f aca="false">IFERROR((D103-C103)/C103,"")</f>
        <v>1.77122722585081</v>
      </c>
      <c r="F103" s="1" t="n">
        <v>32758</v>
      </c>
      <c r="G103" s="1" t="n">
        <v>48598</v>
      </c>
      <c r="H103" s="1" t="n">
        <f aca="false">IFERROR((G103-F103)/F103,"")</f>
        <v>0.48354600402955</v>
      </c>
      <c r="I103" s="1" t="n">
        <v>774</v>
      </c>
      <c r="J103" s="1" t="n">
        <v>1765</v>
      </c>
      <c r="K103" s="1" t="n">
        <f aca="false">IFERROR((J103-I103)/I103,"")</f>
        <v>1.28036175710594</v>
      </c>
      <c r="L103" s="1" t="n">
        <v>22853</v>
      </c>
      <c r="M103" s="1" t="s">
        <v>304</v>
      </c>
      <c r="N103" s="1" t="n">
        <v>22853</v>
      </c>
      <c r="O103" s="1" t="s">
        <v>304</v>
      </c>
      <c r="P103" s="1" t="n">
        <v>5818</v>
      </c>
      <c r="Q103" s="1" t="s">
        <v>268</v>
      </c>
      <c r="R103" s="1" t="n">
        <f aca="false">IFERROR((D103-N103)/N103,"")</f>
        <v>-0.29449087647136</v>
      </c>
      <c r="S103" s="14" t="s">
        <v>37</v>
      </c>
      <c r="T103" s="14" t="s">
        <v>269</v>
      </c>
      <c r="U103" s="1" t="s">
        <v>514</v>
      </c>
    </row>
    <row r="104" customFormat="false" ht="15" hidden="false" customHeight="true" outlineLevel="0" collapsed="false">
      <c r="A104" s="1" t="s">
        <v>515</v>
      </c>
      <c r="B104" s="14" t="s">
        <v>30</v>
      </c>
      <c r="C104" s="1" t="n">
        <v>71941</v>
      </c>
      <c r="D104" s="1" t="n">
        <v>115307</v>
      </c>
      <c r="E104" s="1" t="n">
        <f aca="false">IFERROR((D104-C104)/C104,"")</f>
        <v>0.602799516270277</v>
      </c>
      <c r="F104" s="1" t="n">
        <v>568422</v>
      </c>
      <c r="G104" s="1" t="n">
        <v>726545</v>
      </c>
      <c r="H104" s="1" t="n">
        <f aca="false">IFERROR((G104-F104)/F104,"")</f>
        <v>0.278178888220372</v>
      </c>
      <c r="I104" s="1" t="n">
        <v>3832</v>
      </c>
      <c r="J104" s="1" t="n">
        <v>11209</v>
      </c>
      <c r="K104" s="1" t="n">
        <f aca="false">IFERROR((J104-I104)/I104,"")</f>
        <v>1.92510438413361</v>
      </c>
      <c r="L104" s="1" t="n">
        <v>124676</v>
      </c>
      <c r="M104" s="1" t="s">
        <v>278</v>
      </c>
      <c r="N104" s="1" t="n">
        <v>124676</v>
      </c>
      <c r="O104" s="1" t="s">
        <v>278</v>
      </c>
      <c r="P104" s="1" t="n">
        <v>67483</v>
      </c>
      <c r="Q104" s="1" t="s">
        <v>288</v>
      </c>
      <c r="R104" s="1" t="n">
        <f aca="false">IFERROR((D104-N104)/N104,"")</f>
        <v>-0.0751467804549392</v>
      </c>
      <c r="S104" s="14" t="s">
        <v>35</v>
      </c>
      <c r="T104" s="14" t="s">
        <v>269</v>
      </c>
      <c r="U104" s="1" t="s">
        <v>516</v>
      </c>
    </row>
    <row r="105" customFormat="false" ht="15" hidden="false" customHeight="true" outlineLevel="0" collapsed="false">
      <c r="A105" s="1" t="s">
        <v>517</v>
      </c>
      <c r="B105" s="14" t="s">
        <v>30</v>
      </c>
      <c r="C105" s="1" t="n">
        <v>113686</v>
      </c>
      <c r="D105" s="1" t="n">
        <v>69117</v>
      </c>
      <c r="E105" s="1" t="n">
        <f aca="false">IFERROR((D105-C105)/C105,"")</f>
        <v>-0.392035958693243</v>
      </c>
      <c r="F105" s="1" t="n">
        <v>407009</v>
      </c>
      <c r="G105" s="1" t="n">
        <v>184935</v>
      </c>
      <c r="H105" s="1" t="n">
        <f aca="false">IFERROR((G105-F105)/F105,"")</f>
        <v>-0.545624298234191</v>
      </c>
      <c r="I105" s="1" t="n">
        <v>2074</v>
      </c>
      <c r="J105" s="1" t="n">
        <v>5432</v>
      </c>
      <c r="K105" s="1" t="n">
        <f aca="false">IFERROR((J105-I105)/I105,"")</f>
        <v>1.61909353905497</v>
      </c>
      <c r="L105" s="1" t="n">
        <v>113686</v>
      </c>
      <c r="M105" s="1" t="s">
        <v>268</v>
      </c>
      <c r="N105" s="1" t="n">
        <v>113686</v>
      </c>
      <c r="O105" s="1" t="s">
        <v>268</v>
      </c>
      <c r="P105" s="1" t="n">
        <v>45241</v>
      </c>
      <c r="Q105" s="1" t="s">
        <v>301</v>
      </c>
      <c r="R105" s="1" t="n">
        <f aca="false">IFERROR((D105-N105)/N105,"")</f>
        <v>-0.392035958693243</v>
      </c>
      <c r="S105" s="14" t="s">
        <v>40</v>
      </c>
      <c r="T105" s="14" t="s">
        <v>282</v>
      </c>
      <c r="U105" s="1" t="s">
        <v>518</v>
      </c>
    </row>
    <row r="106" customFormat="false" ht="15" hidden="false" customHeight="true" outlineLevel="0" collapsed="false">
      <c r="A106" s="1" t="s">
        <v>519</v>
      </c>
      <c r="B106" s="14" t="s">
        <v>31</v>
      </c>
      <c r="C106" s="1" t="n">
        <v>42256</v>
      </c>
      <c r="D106" s="1" t="n">
        <v>38195</v>
      </c>
      <c r="E106" s="1" t="n">
        <f aca="false">IFERROR((D106-C106)/C106,"")</f>
        <v>-0.0961046951912155</v>
      </c>
      <c r="F106" s="1" t="n">
        <v>96652</v>
      </c>
      <c r="G106" s="1" t="n">
        <v>90039</v>
      </c>
      <c r="H106" s="1" t="n">
        <f aca="false">IFERROR((G106-F106)/F106,"")</f>
        <v>-0.0684207259032405</v>
      </c>
      <c r="I106" s="1" t="n">
        <v>2825</v>
      </c>
      <c r="J106" s="1" t="n">
        <v>3927</v>
      </c>
      <c r="K106" s="1" t="n">
        <f aca="false">IFERROR((J106-I106)/I106,"")</f>
        <v>0.390088495575221</v>
      </c>
      <c r="L106" s="1" t="n">
        <v>43776</v>
      </c>
      <c r="M106" s="1" t="s">
        <v>288</v>
      </c>
      <c r="N106" s="1" t="n">
        <v>58711</v>
      </c>
      <c r="O106" s="1" t="s">
        <v>520</v>
      </c>
      <c r="P106" s="1" t="n">
        <v>31845</v>
      </c>
      <c r="Q106" s="1" t="s">
        <v>273</v>
      </c>
      <c r="R106" s="1" t="n">
        <f aca="false">IFERROR((D106-N106)/N106,"")</f>
        <v>-0.349440479637547</v>
      </c>
      <c r="S106" s="14" t="s">
        <v>39</v>
      </c>
      <c r="T106" s="14" t="s">
        <v>41</v>
      </c>
      <c r="U106" s="1" t="s">
        <v>521</v>
      </c>
    </row>
    <row r="107" customFormat="false" ht="15" hidden="false" customHeight="true" outlineLevel="0" collapsed="false">
      <c r="A107" s="1" t="s">
        <v>522</v>
      </c>
      <c r="B107" s="14" t="s">
        <v>31</v>
      </c>
      <c r="C107" s="1" t="n">
        <v>417333</v>
      </c>
      <c r="D107" s="1" t="n">
        <v>167106</v>
      </c>
      <c r="E107" s="1" t="n">
        <f aca="false">IFERROR((D107-C107)/C107,"")</f>
        <v>-0.599585942161296</v>
      </c>
      <c r="F107" s="1" t="n">
        <v>340969</v>
      </c>
      <c r="G107" s="1" t="n">
        <v>135734</v>
      </c>
      <c r="H107" s="1" t="n">
        <f aca="false">IFERROR((G107-F107)/F107,"")</f>
        <v>-0.601916889805232</v>
      </c>
      <c r="I107" s="1" t="n">
        <v>6918</v>
      </c>
      <c r="J107" s="1" t="n">
        <v>10662</v>
      </c>
      <c r="K107" s="1" t="n">
        <f aca="false">IFERROR((J107-I107)/I107,"")</f>
        <v>0.541196877710321</v>
      </c>
      <c r="L107" s="1" t="n">
        <v>417333</v>
      </c>
      <c r="M107" s="1" t="s">
        <v>268</v>
      </c>
      <c r="N107" s="1" t="n">
        <v>437835</v>
      </c>
      <c r="O107" s="1" t="s">
        <v>312</v>
      </c>
      <c r="P107" s="1" t="n">
        <v>100687</v>
      </c>
      <c r="Q107" s="1" t="s">
        <v>278</v>
      </c>
      <c r="R107" s="1" t="n">
        <f aca="false">IFERROR((D107-N107)/N107,"")</f>
        <v>-0.61833567439789</v>
      </c>
      <c r="S107" s="14" t="s">
        <v>42</v>
      </c>
      <c r="T107" s="14" t="s">
        <v>282</v>
      </c>
      <c r="U107" s="1" t="s">
        <v>523</v>
      </c>
    </row>
    <row r="108" customFormat="false" ht="15" hidden="false" customHeight="true" outlineLevel="0" collapsed="false">
      <c r="A108" s="1" t="s">
        <v>524</v>
      </c>
      <c r="B108" s="14" t="s">
        <v>31</v>
      </c>
      <c r="C108" s="1" t="n">
        <v>16349</v>
      </c>
      <c r="D108" s="1" t="n">
        <v>23260</v>
      </c>
      <c r="E108" s="1" t="n">
        <f aca="false">IFERROR((D108-C108)/C108,"")</f>
        <v>0.422716985748364</v>
      </c>
      <c r="F108" s="1" t="n">
        <v>35344</v>
      </c>
      <c r="G108" s="1" t="n">
        <v>62660</v>
      </c>
      <c r="H108" s="1" t="n">
        <f aca="false">IFERROR((G108-F108)/F108,"")</f>
        <v>0.77286102308737</v>
      </c>
      <c r="I108" s="1" t="n">
        <v>7938</v>
      </c>
      <c r="J108" s="1" t="n">
        <v>8597</v>
      </c>
      <c r="K108" s="1" t="n">
        <f aca="false">IFERROR((J108-I108)/I108,"")</f>
        <v>0.0830183925422021</v>
      </c>
      <c r="L108" s="1" t="n">
        <v>35383</v>
      </c>
      <c r="M108" s="1" t="s">
        <v>278</v>
      </c>
      <c r="N108" s="1" t="n">
        <v>39862</v>
      </c>
      <c r="O108" s="1" t="s">
        <v>305</v>
      </c>
      <c r="P108" s="1" t="n">
        <v>13495</v>
      </c>
      <c r="Q108" s="1" t="s">
        <v>285</v>
      </c>
      <c r="R108" s="1" t="n">
        <f aca="false">IFERROR((D108-N108)/N108,"")</f>
        <v>-0.416486879735086</v>
      </c>
      <c r="S108" s="14" t="s">
        <v>43</v>
      </c>
      <c r="T108" s="14" t="s">
        <v>269</v>
      </c>
      <c r="U108" s="1" t="s">
        <v>525</v>
      </c>
    </row>
    <row r="109" customFormat="false" ht="15" hidden="false" customHeight="true" outlineLevel="0" collapsed="false">
      <c r="A109" s="1" t="s">
        <v>526</v>
      </c>
      <c r="B109" s="14" t="s">
        <v>31</v>
      </c>
      <c r="C109" s="1" t="n">
        <v>56291</v>
      </c>
      <c r="D109" s="1" t="n">
        <v>80605</v>
      </c>
      <c r="E109" s="1" t="n">
        <f aca="false">IFERROR((D109-C109)/C109,"")</f>
        <v>0.431934056954042</v>
      </c>
      <c r="F109" s="1" t="n">
        <v>187132</v>
      </c>
      <c r="G109" s="1" t="n">
        <v>202794</v>
      </c>
      <c r="H109" s="1" t="n">
        <f aca="false">IFERROR((G109-F109)/F109,"")</f>
        <v>0.0836949319197144</v>
      </c>
      <c r="I109" s="1" t="n">
        <v>3041</v>
      </c>
      <c r="J109" s="1" t="n">
        <v>6036</v>
      </c>
      <c r="K109" s="1" t="n">
        <f aca="false">IFERROR((J109-I109)/I109,"")</f>
        <v>0.984873396908912</v>
      </c>
      <c r="L109" s="1" t="n">
        <v>83436</v>
      </c>
      <c r="M109" s="1" t="s">
        <v>294</v>
      </c>
      <c r="N109" s="1" t="n">
        <v>83436</v>
      </c>
      <c r="O109" s="1" t="s">
        <v>294</v>
      </c>
      <c r="P109" s="1" t="n">
        <v>53966</v>
      </c>
      <c r="Q109" s="1" t="s">
        <v>273</v>
      </c>
      <c r="R109" s="1" t="n">
        <f aca="false">IFERROR((D109-N109)/N109,"")</f>
        <v>-0.0339301979960688</v>
      </c>
      <c r="S109" s="14" t="s">
        <v>35</v>
      </c>
      <c r="T109" s="14" t="s">
        <v>269</v>
      </c>
      <c r="U109" s="1" t="s">
        <v>527</v>
      </c>
    </row>
    <row r="110" customFormat="false" ht="15" hidden="false" customHeight="true" outlineLevel="0" collapsed="false">
      <c r="A110" s="1" t="s">
        <v>528</v>
      </c>
      <c r="B110" s="14" t="s">
        <v>31</v>
      </c>
      <c r="C110" s="1" t="n">
        <v>319454</v>
      </c>
      <c r="D110" s="1" t="n">
        <v>27947</v>
      </c>
      <c r="E110" s="1" t="n">
        <f aca="false">IFERROR((D110-C110)/C110,"")</f>
        <v>-0.91251635603248</v>
      </c>
      <c r="F110" s="1" t="n">
        <v>698340</v>
      </c>
      <c r="G110" s="1" t="n">
        <v>106859</v>
      </c>
      <c r="H110" s="1" t="n">
        <f aca="false">IFERROR((G110-F110)/F110,"")</f>
        <v>-0.846981413065269</v>
      </c>
      <c r="I110" s="1" t="n">
        <v>5856</v>
      </c>
      <c r="J110" s="1" t="n">
        <v>7298</v>
      </c>
      <c r="K110" s="1" t="n">
        <f aca="false">IFERROR((J110-I110)/I110,"")</f>
        <v>0.246243169398907</v>
      </c>
      <c r="L110" s="1" t="n">
        <v>990660</v>
      </c>
      <c r="M110" s="1" t="s">
        <v>306</v>
      </c>
      <c r="N110" s="1" t="n">
        <v>990660</v>
      </c>
      <c r="O110" s="1" t="s">
        <v>306</v>
      </c>
      <c r="P110" s="1" t="n">
        <v>27305</v>
      </c>
      <c r="Q110" s="1" t="s">
        <v>278</v>
      </c>
      <c r="R110" s="1" t="n">
        <f aca="false">IFERROR((D110-N110)/N110,"")</f>
        <v>-0.971789514061333</v>
      </c>
      <c r="S110" s="14" t="s">
        <v>39</v>
      </c>
      <c r="T110" s="14" t="s">
        <v>282</v>
      </c>
      <c r="U110" s="1" t="s">
        <v>529</v>
      </c>
    </row>
    <row r="111" customFormat="false" ht="15" hidden="false" customHeight="true" outlineLevel="0" collapsed="false">
      <c r="A111" s="1" t="s">
        <v>530</v>
      </c>
      <c r="B111" s="14" t="s">
        <v>31</v>
      </c>
      <c r="C111" s="1" t="n">
        <v>107237</v>
      </c>
      <c r="D111" s="1" t="n">
        <v>61819</v>
      </c>
      <c r="E111" s="1" t="n">
        <f aca="false">IFERROR((D111-C111)/C111,"")</f>
        <v>-0.423529192349655</v>
      </c>
      <c r="F111" s="1" t="n">
        <v>151098</v>
      </c>
      <c r="G111" s="1" t="n">
        <v>66634</v>
      </c>
      <c r="H111" s="1" t="n">
        <f aca="false">IFERROR((G111-F111)/F111,"")</f>
        <v>-0.559001442772241</v>
      </c>
      <c r="I111" s="1" t="n">
        <v>4160</v>
      </c>
      <c r="J111" s="1" t="n">
        <v>6786</v>
      </c>
      <c r="K111" s="1" t="n">
        <f aca="false">IFERROR((J111-I111)/I111,"")</f>
        <v>0.63125</v>
      </c>
      <c r="L111" s="1" t="n">
        <v>107237</v>
      </c>
      <c r="M111" s="1" t="s">
        <v>268</v>
      </c>
      <c r="N111" s="1" t="n">
        <v>165163</v>
      </c>
      <c r="O111" s="1" t="s">
        <v>452</v>
      </c>
      <c r="P111" s="1" t="n">
        <v>48032</v>
      </c>
      <c r="Q111" s="1" t="s">
        <v>273</v>
      </c>
      <c r="R111" s="1" t="n">
        <f aca="false">IFERROR((D111-N111)/N111,"")</f>
        <v>-0.625709147932648</v>
      </c>
      <c r="S111" s="14" t="s">
        <v>42</v>
      </c>
      <c r="T111" s="14" t="s">
        <v>282</v>
      </c>
      <c r="U111" s="1" t="s">
        <v>531</v>
      </c>
    </row>
    <row r="112" customFormat="false" ht="15" hidden="false" customHeight="true" outlineLevel="0" collapsed="false">
      <c r="A112" s="1" t="s">
        <v>532</v>
      </c>
      <c r="B112" s="14" t="s">
        <v>31</v>
      </c>
      <c r="C112" s="1" t="n">
        <v>176663</v>
      </c>
      <c r="D112" s="1" t="n">
        <v>33153</v>
      </c>
      <c r="E112" s="1" t="n">
        <f aca="false">IFERROR((D112-C112)/C112,"")</f>
        <v>-0.812337614554264</v>
      </c>
      <c r="F112" s="1" t="n">
        <v>492281</v>
      </c>
      <c r="G112" s="1" t="n">
        <v>185934</v>
      </c>
      <c r="H112" s="1" t="n">
        <f aca="false">IFERROR((G112-F112)/F112,"")</f>
        <v>-0.622301084136906</v>
      </c>
      <c r="I112" s="1" t="n">
        <v>4236</v>
      </c>
      <c r="J112" s="1" t="n">
        <v>8537</v>
      </c>
      <c r="K112" s="1" t="n">
        <f aca="false">IFERROR((J112-I112)/I112,"")</f>
        <v>1.01534466477809</v>
      </c>
      <c r="L112" s="1" t="n">
        <v>201431</v>
      </c>
      <c r="M112" s="1" t="s">
        <v>306</v>
      </c>
      <c r="N112" s="1" t="n">
        <v>201431</v>
      </c>
      <c r="O112" s="1" t="s">
        <v>306</v>
      </c>
      <c r="P112" s="1" t="n">
        <v>25677</v>
      </c>
      <c r="Q112" s="1" t="s">
        <v>278</v>
      </c>
      <c r="R112" s="1" t="n">
        <f aca="false">IFERROR((D112-N112)/N112,"")</f>
        <v>-0.835412622684691</v>
      </c>
      <c r="S112" s="14" t="s">
        <v>39</v>
      </c>
      <c r="T112" s="14" t="s">
        <v>282</v>
      </c>
      <c r="U112" s="1" t="s">
        <v>533</v>
      </c>
    </row>
    <row r="113" customFormat="false" ht="15" hidden="false" customHeight="true" outlineLevel="0" collapsed="false">
      <c r="A113" s="1" t="s">
        <v>534</v>
      </c>
      <c r="B113" s="14" t="s">
        <v>31</v>
      </c>
      <c r="C113" s="1" t="n">
        <v>12011</v>
      </c>
      <c r="D113" s="1" t="n">
        <v>16006</v>
      </c>
      <c r="E113" s="1" t="n">
        <f aca="false">IFERROR((D113-C113)/C113,"")</f>
        <v>0.332611772541837</v>
      </c>
      <c r="F113" s="1" t="n">
        <v>27749</v>
      </c>
      <c r="G113" s="1" t="n">
        <v>37972</v>
      </c>
      <c r="H113" s="1" t="n">
        <f aca="false">IFERROR((G113-F113)/F113,"")</f>
        <v>0.368409672420628</v>
      </c>
      <c r="I113" s="1" t="n">
        <v>2195</v>
      </c>
      <c r="J113" s="1" t="n">
        <v>2686</v>
      </c>
      <c r="K113" s="1" t="n">
        <f aca="false">IFERROR((J113-I113)/I113,"")</f>
        <v>0.22369020501139</v>
      </c>
      <c r="L113" s="1" t="n">
        <v>16006</v>
      </c>
      <c r="M113" s="1" t="s">
        <v>267</v>
      </c>
      <c r="N113" s="1" t="n">
        <v>16006</v>
      </c>
      <c r="O113" s="1" t="s">
        <v>267</v>
      </c>
      <c r="P113" s="1" t="n">
        <v>12011</v>
      </c>
      <c r="Q113" s="1" t="s">
        <v>268</v>
      </c>
      <c r="R113" s="1" t="n">
        <f aca="false">IFERROR((D113-N113)/N113,"")</f>
        <v>0</v>
      </c>
      <c r="S113" s="14" t="s">
        <v>36</v>
      </c>
      <c r="T113" s="14" t="s">
        <v>269</v>
      </c>
      <c r="U113" s="1" t="s">
        <v>535</v>
      </c>
    </row>
    <row r="114" customFormat="false" ht="15" hidden="false" customHeight="true" outlineLevel="0" collapsed="false">
      <c r="A114" s="1" t="s">
        <v>536</v>
      </c>
      <c r="B114" s="14" t="s">
        <v>31</v>
      </c>
      <c r="C114" s="1" t="n">
        <v>112678</v>
      </c>
      <c r="D114" s="1" t="n">
        <v>114258</v>
      </c>
      <c r="E114" s="1" t="n">
        <f aca="false">IFERROR((D114-C114)/C114,"")</f>
        <v>0.0140222581160475</v>
      </c>
      <c r="F114" s="1" t="n">
        <v>186001</v>
      </c>
      <c r="G114" s="1" t="n">
        <v>273477</v>
      </c>
      <c r="H114" s="1" t="n">
        <f aca="false">IFERROR((G114-F114)/F114,"")</f>
        <v>0.470298546782007</v>
      </c>
      <c r="I114" s="1" t="n">
        <v>7643</v>
      </c>
      <c r="J114" s="1" t="n">
        <v>11531</v>
      </c>
      <c r="K114" s="1" t="n">
        <f aca="false">IFERROR((J114-I114)/I114,"")</f>
        <v>0.508700771948188</v>
      </c>
      <c r="L114" s="1" t="n">
        <v>124188</v>
      </c>
      <c r="M114" s="1" t="s">
        <v>278</v>
      </c>
      <c r="N114" s="1" t="n">
        <v>124626</v>
      </c>
      <c r="O114" s="1" t="s">
        <v>537</v>
      </c>
      <c r="P114" s="1" t="n">
        <v>77278</v>
      </c>
      <c r="Q114" s="1" t="s">
        <v>273</v>
      </c>
      <c r="R114" s="1" t="n">
        <f aca="false">IFERROR((D114-N114)/N114,"")</f>
        <v>-0.0831929131962833</v>
      </c>
      <c r="S114" s="14" t="s">
        <v>40</v>
      </c>
      <c r="T114" s="14" t="s">
        <v>41</v>
      </c>
      <c r="U114" s="1" t="s">
        <v>538</v>
      </c>
    </row>
    <row r="115" customFormat="false" ht="15" hidden="false" customHeight="true" outlineLevel="0" collapsed="false">
      <c r="A115" s="1" t="s">
        <v>539</v>
      </c>
      <c r="B115" s="14" t="s">
        <v>31</v>
      </c>
      <c r="C115" s="1" t="n">
        <v>74281</v>
      </c>
      <c r="D115" s="1" t="n">
        <v>137293</v>
      </c>
      <c r="E115" s="1" t="n">
        <f aca="false">IFERROR((D115-C115)/C115,"")</f>
        <v>0.848292295472597</v>
      </c>
      <c r="F115" s="1" t="n">
        <v>167594</v>
      </c>
      <c r="G115" s="1" t="n">
        <v>285510</v>
      </c>
      <c r="H115" s="1" t="n">
        <f aca="false">IFERROR((G115-F115)/F115,"")</f>
        <v>0.703581273792618</v>
      </c>
      <c r="K115" s="1" t="str">
        <f aca="false">IFERROR((J115-I115)/I115,"")</f>
        <v/>
      </c>
      <c r="L115" s="1" t="n">
        <v>137293</v>
      </c>
      <c r="M115" s="1" t="s">
        <v>267</v>
      </c>
      <c r="N115" s="1" t="n">
        <v>137293</v>
      </c>
      <c r="O115" s="1" t="s">
        <v>267</v>
      </c>
      <c r="P115" s="1" t="n">
        <v>74281</v>
      </c>
      <c r="Q115" s="1" t="s">
        <v>268</v>
      </c>
      <c r="R115" s="1" t="n">
        <f aca="false">IFERROR((D115-N115)/N115,"")</f>
        <v>0</v>
      </c>
      <c r="S115" s="14" t="s">
        <v>35</v>
      </c>
      <c r="T115" s="14" t="s">
        <v>269</v>
      </c>
      <c r="U115" s="1" t="s">
        <v>540</v>
      </c>
    </row>
    <row r="116" customFormat="false" ht="15" hidden="false" customHeight="true" outlineLevel="0" collapsed="false">
      <c r="A116" s="1" t="s">
        <v>541</v>
      </c>
      <c r="B116" s="14" t="s">
        <v>31</v>
      </c>
      <c r="C116" s="1" t="n">
        <v>77411</v>
      </c>
      <c r="D116" s="1" t="n">
        <v>179118</v>
      </c>
      <c r="E116" s="1" t="n">
        <f aca="false">IFERROR((D116-C116)/C116,"")</f>
        <v>1.31385720375657</v>
      </c>
      <c r="F116" s="1" t="n">
        <v>326692</v>
      </c>
      <c r="G116" s="1" t="n">
        <v>656176</v>
      </c>
      <c r="H116" s="1" t="n">
        <f aca="false">IFERROR((G116-F116)/F116,"")</f>
        <v>1.00854627600309</v>
      </c>
      <c r="I116" s="1" t="n">
        <v>3725</v>
      </c>
      <c r="J116" s="1" t="n">
        <v>18299</v>
      </c>
      <c r="K116" s="1" t="n">
        <f aca="false">IFERROR((J116-I116)/I116,"")</f>
        <v>3.91248322147651</v>
      </c>
      <c r="L116" s="1" t="n">
        <v>179118</v>
      </c>
      <c r="M116" s="1" t="s">
        <v>267</v>
      </c>
      <c r="N116" s="1" t="n">
        <v>179118</v>
      </c>
      <c r="O116" s="1" t="s">
        <v>267</v>
      </c>
      <c r="P116" s="1" t="n">
        <v>77411</v>
      </c>
      <c r="Q116" s="1" t="s">
        <v>268</v>
      </c>
      <c r="R116" s="1" t="n">
        <f aca="false">IFERROR((D116-N116)/N116,"")</f>
        <v>0</v>
      </c>
      <c r="S116" s="14" t="s">
        <v>35</v>
      </c>
      <c r="T116" s="14" t="s">
        <v>269</v>
      </c>
      <c r="U116" s="1" t="s">
        <v>542</v>
      </c>
    </row>
    <row r="117" customFormat="false" ht="15" hidden="false" customHeight="true" outlineLevel="0" collapsed="false">
      <c r="A117" s="1" t="s">
        <v>543</v>
      </c>
      <c r="B117" s="14" t="s">
        <v>31</v>
      </c>
      <c r="C117" s="1" t="n">
        <v>103495</v>
      </c>
      <c r="D117" s="1" t="n">
        <v>124037</v>
      </c>
      <c r="E117" s="1" t="n">
        <f aca="false">IFERROR((D117-C117)/C117,"")</f>
        <v>0.198483018503309</v>
      </c>
      <c r="F117" s="1" t="n">
        <v>65864</v>
      </c>
      <c r="G117" s="1" t="n">
        <v>66216</v>
      </c>
      <c r="H117" s="1" t="n">
        <f aca="false">IFERROR((G117-F117)/F117,"")</f>
        <v>0.00534434592493623</v>
      </c>
      <c r="I117" s="1" t="n">
        <v>10201</v>
      </c>
      <c r="J117" s="1" t="n">
        <v>13472</v>
      </c>
      <c r="K117" s="1" t="n">
        <f aca="false">IFERROR((J117-I117)/I117,"")</f>
        <v>0.320654837761004</v>
      </c>
      <c r="L117" s="1" t="n">
        <v>124037</v>
      </c>
      <c r="M117" s="1" t="s">
        <v>267</v>
      </c>
      <c r="N117" s="1" t="n">
        <v>368021</v>
      </c>
      <c r="O117" s="1" t="s">
        <v>435</v>
      </c>
      <c r="P117" s="1" t="n">
        <v>64962</v>
      </c>
      <c r="Q117" s="1" t="s">
        <v>291</v>
      </c>
      <c r="R117" s="1" t="n">
        <f aca="false">IFERROR((D117-N117)/N117,"")</f>
        <v>-0.662962167919766</v>
      </c>
      <c r="S117" s="14" t="s">
        <v>40</v>
      </c>
      <c r="T117" s="14" t="s">
        <v>269</v>
      </c>
      <c r="U117" s="1" t="s">
        <v>544</v>
      </c>
    </row>
    <row r="118" customFormat="false" ht="15" hidden="false" customHeight="true" outlineLevel="0" collapsed="false">
      <c r="A118" s="1" t="s">
        <v>545</v>
      </c>
      <c r="B118" s="14" t="s">
        <v>31</v>
      </c>
      <c r="C118" s="1" t="n">
        <v>41126</v>
      </c>
      <c r="D118" s="1" t="n">
        <v>67492</v>
      </c>
      <c r="E118" s="1" t="n">
        <f aca="false">IFERROR((D118-C118)/C118,"")</f>
        <v>0.641102951903905</v>
      </c>
      <c r="F118" s="1" t="n">
        <v>372242</v>
      </c>
      <c r="G118" s="1" t="n">
        <v>390477</v>
      </c>
      <c r="H118" s="1" t="n">
        <f aca="false">IFERROR((G118-F118)/F118,"")</f>
        <v>0.0489869493501539</v>
      </c>
      <c r="I118" s="1" t="n">
        <v>3652</v>
      </c>
      <c r="J118" s="1" t="n">
        <v>5395</v>
      </c>
      <c r="K118" s="1" t="n">
        <f aca="false">IFERROR((J118-I118)/I118,"")</f>
        <v>0.477272727272727</v>
      </c>
      <c r="L118" s="1" t="n">
        <v>72776</v>
      </c>
      <c r="M118" s="1" t="s">
        <v>278</v>
      </c>
      <c r="N118" s="1" t="n">
        <v>72776</v>
      </c>
      <c r="O118" s="1" t="s">
        <v>278</v>
      </c>
      <c r="P118" s="1" t="n">
        <v>37771</v>
      </c>
      <c r="Q118" s="1" t="s">
        <v>273</v>
      </c>
      <c r="R118" s="1" t="n">
        <f aca="false">IFERROR((D118-N118)/N118,"")</f>
        <v>-0.0726063537429922</v>
      </c>
      <c r="S118" s="14" t="s">
        <v>35</v>
      </c>
      <c r="T118" s="14" t="s">
        <v>269</v>
      </c>
      <c r="U118" s="1" t="s">
        <v>546</v>
      </c>
    </row>
    <row r="119" customFormat="false" ht="15" hidden="false" customHeight="true" outlineLevel="0" collapsed="false">
      <c r="A119" s="1" t="s">
        <v>547</v>
      </c>
      <c r="B119" s="14" t="s">
        <v>31</v>
      </c>
      <c r="C119" s="1" t="n">
        <v>160010</v>
      </c>
      <c r="D119" s="1" t="n">
        <v>164467</v>
      </c>
      <c r="E119" s="1" t="n">
        <f aca="false">IFERROR((D119-C119)/C119,"")</f>
        <v>0.0278545090931817</v>
      </c>
      <c r="F119" s="1" t="n">
        <v>257879</v>
      </c>
      <c r="G119" s="1" t="n">
        <v>269587</v>
      </c>
      <c r="H119" s="1" t="n">
        <f aca="false">IFERROR((G119-F119)/F119,"")</f>
        <v>0.0454011377428949</v>
      </c>
      <c r="I119" s="1" t="n">
        <v>9910</v>
      </c>
      <c r="J119" s="1" t="n">
        <v>17265</v>
      </c>
      <c r="K119" s="1" t="n">
        <f aca="false">IFERROR((J119-I119)/I119,"")</f>
        <v>0.742179616548941</v>
      </c>
      <c r="L119" s="1" t="n">
        <v>210195</v>
      </c>
      <c r="M119" s="1" t="s">
        <v>301</v>
      </c>
      <c r="N119" s="1" t="n">
        <v>210195</v>
      </c>
      <c r="O119" s="1" t="s">
        <v>301</v>
      </c>
      <c r="P119" s="1" t="n">
        <v>132257</v>
      </c>
      <c r="Q119" s="1" t="s">
        <v>297</v>
      </c>
      <c r="R119" s="1" t="n">
        <f aca="false">IFERROR((D119-N119)/N119,"")</f>
        <v>-0.217550369894622</v>
      </c>
      <c r="S119" s="14" t="s">
        <v>37</v>
      </c>
      <c r="T119" s="14" t="s">
        <v>41</v>
      </c>
      <c r="U119" s="1" t="s">
        <v>548</v>
      </c>
    </row>
    <row r="120" customFormat="false" ht="15" hidden="false" customHeight="true" outlineLevel="0" collapsed="false">
      <c r="B120" s="14"/>
      <c r="E120" s="1" t="str">
        <f aca="false">IFERROR((D120-C120)/C120,"")</f>
        <v/>
      </c>
      <c r="H120" s="1" t="str">
        <f aca="false">IFERROR((G120-F120)/F120,"")</f>
        <v/>
      </c>
      <c r="K120" s="1" t="str">
        <f aca="false">IFERROR((J120-I120)/I120,"")</f>
        <v/>
      </c>
      <c r="R120" s="1" t="str">
        <f aca="false">IFERROR((D120-N120)/N120,"")</f>
        <v/>
      </c>
      <c r="S120" s="14"/>
      <c r="T120" s="14"/>
    </row>
    <row r="121" customFormat="false" ht="15" hidden="false" customHeight="true" outlineLevel="0" collapsed="false">
      <c r="B121" s="14"/>
      <c r="E121" s="1" t="str">
        <f aca="false">IFERROR((D121-C121)/C121,"")</f>
        <v/>
      </c>
      <c r="H121" s="1" t="str">
        <f aca="false">IFERROR((G121-F121)/F121,"")</f>
        <v/>
      </c>
      <c r="K121" s="1" t="str">
        <f aca="false">IFERROR((J121-I121)/I121,"")</f>
        <v/>
      </c>
      <c r="R121" s="1" t="str">
        <f aca="false">IFERROR((D121-N121)/N121,"")</f>
        <v/>
      </c>
      <c r="S121" s="14"/>
      <c r="T121" s="14"/>
    </row>
    <row r="122" customFormat="false" ht="15" hidden="false" customHeight="true" outlineLevel="0" collapsed="false">
      <c r="B122" s="14"/>
      <c r="E122" s="1" t="str">
        <f aca="false">IFERROR((D122-C122)/C122,"")</f>
        <v/>
      </c>
      <c r="H122" s="1" t="str">
        <f aca="false">IFERROR((G122-F122)/F122,"")</f>
        <v/>
      </c>
      <c r="K122" s="1" t="str">
        <f aca="false">IFERROR((J122-I122)/I122,"")</f>
        <v/>
      </c>
      <c r="R122" s="1" t="str">
        <f aca="false">IFERROR((D122-N122)/N122,"")</f>
        <v/>
      </c>
      <c r="S122" s="14"/>
      <c r="T122" s="14"/>
    </row>
    <row r="123" customFormat="false" ht="15" hidden="false" customHeight="true" outlineLevel="0" collapsed="false">
      <c r="B123" s="14"/>
      <c r="E123" s="1" t="str">
        <f aca="false">IFERROR((D123-C123)/C123,"")</f>
        <v/>
      </c>
      <c r="H123" s="1" t="str">
        <f aca="false">IFERROR((G123-F123)/F123,"")</f>
        <v/>
      </c>
      <c r="K123" s="1" t="str">
        <f aca="false">IFERROR((J123-I123)/I123,"")</f>
        <v/>
      </c>
      <c r="R123" s="1" t="str">
        <f aca="false">IFERROR((D123-N123)/N123,"")</f>
        <v/>
      </c>
      <c r="S123" s="14"/>
      <c r="T123" s="14"/>
    </row>
    <row r="124" customFormat="false" ht="15" hidden="false" customHeight="true" outlineLevel="0" collapsed="false">
      <c r="B124" s="14"/>
      <c r="E124" s="1" t="str">
        <f aca="false">IFERROR((D124-C124)/C124,"")</f>
        <v/>
      </c>
      <c r="H124" s="1" t="str">
        <f aca="false">IFERROR((G124-F124)/F124,"")</f>
        <v/>
      </c>
      <c r="K124" s="1" t="str">
        <f aca="false">IFERROR((J124-I124)/I124,"")</f>
        <v/>
      </c>
      <c r="R124" s="1" t="str">
        <f aca="false">IFERROR((D124-N124)/N124,"")</f>
        <v/>
      </c>
      <c r="S124" s="14"/>
      <c r="T124" s="14"/>
    </row>
    <row r="125" customFormat="false" ht="15" hidden="false" customHeight="true" outlineLevel="0" collapsed="false">
      <c r="B125" s="14"/>
      <c r="E125" s="1" t="str">
        <f aca="false">IFERROR((D125-C125)/C125,"")</f>
        <v/>
      </c>
      <c r="H125" s="1" t="str">
        <f aca="false">IFERROR((G125-F125)/F125,"")</f>
        <v/>
      </c>
      <c r="K125" s="1" t="str">
        <f aca="false">IFERROR((J125-I125)/I125,"")</f>
        <v/>
      </c>
      <c r="R125" s="1" t="str">
        <f aca="false">IFERROR((D125-N125)/N125,"")</f>
        <v/>
      </c>
      <c r="S125" s="14"/>
      <c r="T125" s="14"/>
    </row>
    <row r="126" customFormat="false" ht="15" hidden="false" customHeight="true" outlineLevel="0" collapsed="false">
      <c r="B126" s="14"/>
      <c r="E126" s="1" t="str">
        <f aca="false">IFERROR((D126-C126)/C126,"")</f>
        <v/>
      </c>
      <c r="H126" s="1" t="str">
        <f aca="false">IFERROR((G126-F126)/F126,"")</f>
        <v/>
      </c>
      <c r="K126" s="1" t="str">
        <f aca="false">IFERROR((J126-I126)/I126,"")</f>
        <v/>
      </c>
      <c r="R126" s="1" t="str">
        <f aca="false">IFERROR((D126-N126)/N126,"")</f>
        <v/>
      </c>
      <c r="S126" s="14"/>
      <c r="T126" s="14"/>
    </row>
    <row r="127" customFormat="false" ht="15" hidden="false" customHeight="true" outlineLevel="0" collapsed="false">
      <c r="B127" s="14"/>
      <c r="E127" s="1" t="str">
        <f aca="false">IFERROR((D127-C127)/C127,"")</f>
        <v/>
      </c>
      <c r="H127" s="1" t="str">
        <f aca="false">IFERROR((G127-F127)/F127,"")</f>
        <v/>
      </c>
      <c r="K127" s="1" t="str">
        <f aca="false">IFERROR((J127-I127)/I127,"")</f>
        <v/>
      </c>
      <c r="R127" s="1" t="str">
        <f aca="false">IFERROR((D127-N127)/N127,"")</f>
        <v/>
      </c>
      <c r="S127" s="14"/>
      <c r="T127" s="14"/>
    </row>
    <row r="128" customFormat="false" ht="15" hidden="false" customHeight="true" outlineLevel="0" collapsed="false">
      <c r="B128" s="14"/>
      <c r="E128" s="1" t="str">
        <f aca="false">IFERROR((D128-C128)/C128,"")</f>
        <v/>
      </c>
      <c r="H128" s="1" t="str">
        <f aca="false">IFERROR((G128-F128)/F128,"")</f>
        <v/>
      </c>
      <c r="K128" s="1" t="str">
        <f aca="false">IFERROR((J128-I128)/I128,"")</f>
        <v/>
      </c>
      <c r="R128" s="1" t="str">
        <f aca="false">IFERROR((D128-N128)/N128,"")</f>
        <v/>
      </c>
      <c r="S128" s="14"/>
      <c r="T128" s="14"/>
    </row>
    <row r="129" customFormat="false" ht="15" hidden="false" customHeight="true" outlineLevel="0" collapsed="false">
      <c r="B129" s="14"/>
      <c r="E129" s="1" t="str">
        <f aca="false">IFERROR((D129-C129)/C129,"")</f>
        <v/>
      </c>
      <c r="H129" s="1" t="str">
        <f aca="false">IFERROR((G129-F129)/F129,"")</f>
        <v/>
      </c>
      <c r="K129" s="1" t="str">
        <f aca="false">IFERROR((J129-I129)/I129,"")</f>
        <v/>
      </c>
      <c r="R129" s="1" t="str">
        <f aca="false">IFERROR((D129-N129)/N129,"")</f>
        <v/>
      </c>
      <c r="S129" s="14"/>
      <c r="T129" s="14"/>
    </row>
    <row r="130" customFormat="false" ht="15" hidden="false" customHeight="true" outlineLevel="0" collapsed="false">
      <c r="B130" s="14"/>
      <c r="E130" s="1" t="str">
        <f aca="false">IFERROR((D130-C130)/C130,"")</f>
        <v/>
      </c>
      <c r="H130" s="1" t="str">
        <f aca="false">IFERROR((G130-F130)/F130,"")</f>
        <v/>
      </c>
      <c r="K130" s="1" t="str">
        <f aca="false">IFERROR((J130-I130)/I130,"")</f>
        <v/>
      </c>
      <c r="R130" s="1" t="str">
        <f aca="false">IFERROR((D130-N130)/N130,"")</f>
        <v/>
      </c>
      <c r="S130" s="14"/>
      <c r="T130" s="14"/>
    </row>
    <row r="131" customFormat="false" ht="15" hidden="false" customHeight="true" outlineLevel="0" collapsed="false">
      <c r="B131" s="14"/>
      <c r="E131" s="1" t="str">
        <f aca="false">IFERROR((D131-C131)/C131,"")</f>
        <v/>
      </c>
      <c r="H131" s="1" t="str">
        <f aca="false">IFERROR((G131-F131)/F131,"")</f>
        <v/>
      </c>
      <c r="K131" s="1" t="str">
        <f aca="false">IFERROR((J131-I131)/I131,"")</f>
        <v/>
      </c>
      <c r="R131" s="1" t="str">
        <f aca="false">IFERROR((D131-N131)/N131,"")</f>
        <v/>
      </c>
      <c r="S131" s="14"/>
      <c r="T131" s="14"/>
    </row>
    <row r="132" customFormat="false" ht="15" hidden="false" customHeight="true" outlineLevel="0" collapsed="false">
      <c r="B132" s="14"/>
      <c r="E132" s="1" t="str">
        <f aca="false">IFERROR((D132-C132)/C132,"")</f>
        <v/>
      </c>
      <c r="H132" s="1" t="str">
        <f aca="false">IFERROR((G132-F132)/F132,"")</f>
        <v/>
      </c>
      <c r="K132" s="1" t="str">
        <f aca="false">IFERROR((J132-I132)/I132,"")</f>
        <v/>
      </c>
      <c r="R132" s="1" t="str">
        <f aca="false">IFERROR((D132-N132)/N132,"")</f>
        <v/>
      </c>
      <c r="S132" s="14"/>
      <c r="T132" s="14"/>
    </row>
    <row r="133" customFormat="false" ht="15" hidden="false" customHeight="true" outlineLevel="0" collapsed="false">
      <c r="B133" s="14"/>
      <c r="E133" s="1" t="str">
        <f aca="false">IFERROR((D133-C133)/C133,"")</f>
        <v/>
      </c>
      <c r="H133" s="1" t="str">
        <f aca="false">IFERROR((G133-F133)/F133,"")</f>
        <v/>
      </c>
      <c r="K133" s="1" t="str">
        <f aca="false">IFERROR((J133-I133)/I133,"")</f>
        <v/>
      </c>
      <c r="R133" s="1" t="str">
        <f aca="false">IFERROR((D133-N133)/N133,"")</f>
        <v/>
      </c>
      <c r="S133" s="14"/>
      <c r="T133" s="14"/>
    </row>
    <row r="134" customFormat="false" ht="15" hidden="false" customHeight="true" outlineLevel="0" collapsed="false">
      <c r="B134" s="14"/>
      <c r="E134" s="1" t="str">
        <f aca="false">IFERROR((D134-C134)/C134,"")</f>
        <v/>
      </c>
      <c r="H134" s="1" t="str">
        <f aca="false">IFERROR((G134-F134)/F134,"")</f>
        <v/>
      </c>
      <c r="K134" s="1" t="str">
        <f aca="false">IFERROR((J134-I134)/I134,"")</f>
        <v/>
      </c>
      <c r="R134" s="1" t="str">
        <f aca="false">IFERROR((D134-N134)/N134,"")</f>
        <v/>
      </c>
      <c r="S134" s="14"/>
      <c r="T134" s="14"/>
    </row>
    <row r="135" customFormat="false" ht="15" hidden="false" customHeight="true" outlineLevel="0" collapsed="false">
      <c r="B135" s="14"/>
      <c r="E135" s="1" t="str">
        <f aca="false">IFERROR((D135-C135)/C135,"")</f>
        <v/>
      </c>
      <c r="H135" s="1" t="str">
        <f aca="false">IFERROR((G135-F135)/F135,"")</f>
        <v/>
      </c>
      <c r="K135" s="1" t="str">
        <f aca="false">IFERROR((J135-I135)/I135,"")</f>
        <v/>
      </c>
      <c r="R135" s="1" t="str">
        <f aca="false">IFERROR((D135-N135)/N135,"")</f>
        <v/>
      </c>
      <c r="S135" s="14"/>
      <c r="T135" s="14"/>
    </row>
    <row r="136" customFormat="false" ht="15" hidden="false" customHeight="true" outlineLevel="0" collapsed="false">
      <c r="B136" s="14"/>
      <c r="E136" s="1" t="str">
        <f aca="false">IFERROR((D136-C136)/C136,"")</f>
        <v/>
      </c>
      <c r="H136" s="1" t="str">
        <f aca="false">IFERROR((G136-F136)/F136,"")</f>
        <v/>
      </c>
      <c r="K136" s="1" t="str">
        <f aca="false">IFERROR((J136-I136)/I136,"")</f>
        <v/>
      </c>
      <c r="R136" s="1" t="str">
        <f aca="false">IFERROR((D136-N136)/N136,"")</f>
        <v/>
      </c>
      <c r="S136" s="14"/>
      <c r="T136" s="14"/>
    </row>
    <row r="137" customFormat="false" ht="15" hidden="false" customHeight="true" outlineLevel="0" collapsed="false">
      <c r="B137" s="14"/>
      <c r="E137" s="1" t="str">
        <f aca="false">IFERROR((D137-C137)/C137,"")</f>
        <v/>
      </c>
      <c r="H137" s="1" t="str">
        <f aca="false">IFERROR((G137-F137)/F137,"")</f>
        <v/>
      </c>
      <c r="K137" s="1" t="str">
        <f aca="false">IFERROR((J137-I137)/I137,"")</f>
        <v/>
      </c>
      <c r="R137" s="1" t="str">
        <f aca="false">IFERROR((D137-N137)/N137,"")</f>
        <v/>
      </c>
      <c r="S137" s="14"/>
      <c r="T137" s="14"/>
    </row>
    <row r="138" customFormat="false" ht="15" hidden="false" customHeight="true" outlineLevel="0" collapsed="false">
      <c r="B138" s="14"/>
      <c r="E138" s="1" t="str">
        <f aca="false">IFERROR((D138-C138)/C138,"")</f>
        <v/>
      </c>
      <c r="H138" s="1" t="str">
        <f aca="false">IFERROR((G138-F138)/F138,"")</f>
        <v/>
      </c>
      <c r="K138" s="1" t="str">
        <f aca="false">IFERROR((J138-I138)/I138,"")</f>
        <v/>
      </c>
      <c r="R138" s="1" t="str">
        <f aca="false">IFERROR((D138-N138)/N138,"")</f>
        <v/>
      </c>
      <c r="S138" s="14"/>
      <c r="T138" s="14"/>
    </row>
    <row r="139" customFormat="false" ht="15" hidden="false" customHeight="true" outlineLevel="0" collapsed="false">
      <c r="B139" s="14"/>
      <c r="E139" s="1" t="str">
        <f aca="false">IFERROR((D139-C139)/C139,"")</f>
        <v/>
      </c>
      <c r="H139" s="1" t="str">
        <f aca="false">IFERROR((G139-F139)/F139,"")</f>
        <v/>
      </c>
      <c r="K139" s="1" t="str">
        <f aca="false">IFERROR((J139-I139)/I139,"")</f>
        <v/>
      </c>
      <c r="R139" s="1" t="str">
        <f aca="false">IFERROR((D139-N139)/N139,"")</f>
        <v/>
      </c>
      <c r="S139" s="14"/>
      <c r="T139" s="14"/>
    </row>
    <row r="140" customFormat="false" ht="15" hidden="false" customHeight="true" outlineLevel="0" collapsed="false">
      <c r="B140" s="14"/>
      <c r="E140" s="1" t="str">
        <f aca="false">IFERROR((D140-C140)/C140,"")</f>
        <v/>
      </c>
      <c r="H140" s="1" t="str">
        <f aca="false">IFERROR((G140-F140)/F140,"")</f>
        <v/>
      </c>
      <c r="K140" s="1" t="str">
        <f aca="false">IFERROR((J140-I140)/I140,"")</f>
        <v/>
      </c>
      <c r="R140" s="1" t="str">
        <f aca="false">IFERROR((D140-N140)/N140,"")</f>
        <v/>
      </c>
      <c r="S140" s="14"/>
      <c r="T140" s="14"/>
    </row>
    <row r="141" customFormat="false" ht="15" hidden="false" customHeight="true" outlineLevel="0" collapsed="false">
      <c r="B141" s="14"/>
      <c r="E141" s="1" t="str">
        <f aca="false">IFERROR((D141-C141)/C141,"")</f>
        <v/>
      </c>
      <c r="H141" s="1" t="str">
        <f aca="false">IFERROR((G141-F141)/F141,"")</f>
        <v/>
      </c>
      <c r="K141" s="1" t="str">
        <f aca="false">IFERROR((J141-I141)/I141,"")</f>
        <v/>
      </c>
      <c r="R141" s="1" t="str">
        <f aca="false">IFERROR((D141-N141)/N141,"")</f>
        <v/>
      </c>
      <c r="S141" s="14"/>
      <c r="T141" s="14"/>
    </row>
    <row r="142" customFormat="false" ht="15" hidden="false" customHeight="true" outlineLevel="0" collapsed="false">
      <c r="B142" s="14"/>
      <c r="E142" s="1" t="str">
        <f aca="false">IFERROR((D142-C142)/C142,"")</f>
        <v/>
      </c>
      <c r="H142" s="1" t="str">
        <f aca="false">IFERROR((G142-F142)/F142,"")</f>
        <v/>
      </c>
      <c r="K142" s="1" t="str">
        <f aca="false">IFERROR((J142-I142)/I142,"")</f>
        <v/>
      </c>
      <c r="R142" s="1" t="str">
        <f aca="false">IFERROR((D142-N142)/N142,"")</f>
        <v/>
      </c>
      <c r="S142" s="14"/>
      <c r="T142" s="14"/>
    </row>
    <row r="143" customFormat="false" ht="15" hidden="false" customHeight="true" outlineLevel="0" collapsed="false">
      <c r="B143" s="14"/>
      <c r="E143" s="1" t="str">
        <f aca="false">IFERROR((D143-C143)/C143,"")</f>
        <v/>
      </c>
      <c r="H143" s="1" t="str">
        <f aca="false">IFERROR((G143-F143)/F143,"")</f>
        <v/>
      </c>
      <c r="K143" s="1" t="str">
        <f aca="false">IFERROR((J143-I143)/I143,"")</f>
        <v/>
      </c>
      <c r="R143" s="1" t="str">
        <f aca="false">IFERROR((D143-N143)/N143,"")</f>
        <v/>
      </c>
      <c r="S143" s="14"/>
      <c r="T143" s="14"/>
    </row>
    <row r="144" customFormat="false" ht="15" hidden="false" customHeight="true" outlineLevel="0" collapsed="false">
      <c r="B144" s="14"/>
      <c r="E144" s="1" t="str">
        <f aca="false">IFERROR((D144-C144)/C144,"")</f>
        <v/>
      </c>
      <c r="H144" s="1" t="str">
        <f aca="false">IFERROR((G144-F144)/F144,"")</f>
        <v/>
      </c>
      <c r="K144" s="1" t="str">
        <f aca="false">IFERROR((J144-I144)/I144,"")</f>
        <v/>
      </c>
      <c r="R144" s="1" t="str">
        <f aca="false">IFERROR((D144-N144)/N144,"")</f>
        <v/>
      </c>
      <c r="S144" s="14"/>
      <c r="T144" s="14"/>
    </row>
    <row r="145" customFormat="false" ht="15" hidden="false" customHeight="true" outlineLevel="0" collapsed="false">
      <c r="B145" s="14"/>
      <c r="E145" s="1" t="str">
        <f aca="false">IFERROR((D145-C145)/C145,"")</f>
        <v/>
      </c>
      <c r="H145" s="1" t="str">
        <f aca="false">IFERROR((G145-F145)/F145,"")</f>
        <v/>
      </c>
      <c r="K145" s="1" t="str">
        <f aca="false">IFERROR((J145-I145)/I145,"")</f>
        <v/>
      </c>
      <c r="R145" s="1" t="str">
        <f aca="false">IFERROR((D145-N145)/N145,"")</f>
        <v/>
      </c>
      <c r="S145" s="14"/>
      <c r="T145" s="14"/>
    </row>
    <row r="146" customFormat="false" ht="15" hidden="false" customHeight="true" outlineLevel="0" collapsed="false">
      <c r="B146" s="14"/>
      <c r="E146" s="1" t="str">
        <f aca="false">IFERROR((D146-C146)/C146,"")</f>
        <v/>
      </c>
      <c r="H146" s="1" t="str">
        <f aca="false">IFERROR((G146-F146)/F146,"")</f>
        <v/>
      </c>
      <c r="K146" s="1" t="str">
        <f aca="false">IFERROR((J146-I146)/I146,"")</f>
        <v/>
      </c>
      <c r="R146" s="1" t="str">
        <f aca="false">IFERROR((D146-N146)/N146,"")</f>
        <v/>
      </c>
      <c r="S146" s="14"/>
      <c r="T146" s="14"/>
    </row>
    <row r="147" customFormat="false" ht="15" hidden="false" customHeight="true" outlineLevel="0" collapsed="false">
      <c r="B147" s="14"/>
      <c r="E147" s="1" t="str">
        <f aca="false">IFERROR((D147-C147)/C147,"")</f>
        <v/>
      </c>
      <c r="H147" s="1" t="str">
        <f aca="false">IFERROR((G147-F147)/F147,"")</f>
        <v/>
      </c>
      <c r="K147" s="1" t="str">
        <f aca="false">IFERROR((J147-I147)/I147,"")</f>
        <v/>
      </c>
      <c r="R147" s="1" t="str">
        <f aca="false">IFERROR((D147-N147)/N147,"")</f>
        <v/>
      </c>
      <c r="S147" s="14"/>
      <c r="T147" s="14"/>
    </row>
    <row r="148" customFormat="false" ht="15" hidden="false" customHeight="true" outlineLevel="0" collapsed="false">
      <c r="B148" s="14"/>
      <c r="E148" s="1" t="str">
        <f aca="false">IFERROR((D148-C148)/C148,"")</f>
        <v/>
      </c>
      <c r="H148" s="1" t="str">
        <f aca="false">IFERROR((G148-F148)/F148,"")</f>
        <v/>
      </c>
      <c r="K148" s="1" t="str">
        <f aca="false">IFERROR((J148-I148)/I148,"")</f>
        <v/>
      </c>
      <c r="R148" s="1" t="str">
        <f aca="false">IFERROR((D148-N148)/N148,"")</f>
        <v/>
      </c>
      <c r="S148" s="14"/>
      <c r="T148" s="14"/>
    </row>
    <row r="149" customFormat="false" ht="15" hidden="false" customHeight="true" outlineLevel="0" collapsed="false">
      <c r="B149" s="14"/>
      <c r="E149" s="1" t="str">
        <f aca="false">IFERROR((D149-C149)/C149,"")</f>
        <v/>
      </c>
      <c r="H149" s="1" t="str">
        <f aca="false">IFERROR((G149-F149)/F149,"")</f>
        <v/>
      </c>
      <c r="K149" s="1" t="str">
        <f aca="false">IFERROR((J149-I149)/I149,"")</f>
        <v/>
      </c>
      <c r="R149" s="1" t="str">
        <f aca="false">IFERROR((D149-N149)/N149,"")</f>
        <v/>
      </c>
      <c r="S149" s="14"/>
      <c r="T149" s="14"/>
    </row>
    <row r="150" customFormat="false" ht="15" hidden="false" customHeight="true" outlineLevel="0" collapsed="false">
      <c r="B150" s="14"/>
      <c r="E150" s="1" t="str">
        <f aca="false">IFERROR((D150-C150)/C150,"")</f>
        <v/>
      </c>
      <c r="H150" s="1" t="str">
        <f aca="false">IFERROR((G150-F150)/F150,"")</f>
        <v/>
      </c>
      <c r="K150" s="1" t="str">
        <f aca="false">IFERROR((J150-I150)/I150,"")</f>
        <v/>
      </c>
      <c r="R150" s="1" t="str">
        <f aca="false">IFERROR((D150-N150)/N150,"")</f>
        <v/>
      </c>
      <c r="S150" s="14"/>
      <c r="T150" s="14"/>
    </row>
    <row r="151" customFormat="false" ht="15" hidden="false" customHeight="true" outlineLevel="0" collapsed="false">
      <c r="B151" s="14"/>
      <c r="E151" s="1" t="str">
        <f aca="false">IFERROR((D151-C151)/C151,"")</f>
        <v/>
      </c>
      <c r="H151" s="1" t="str">
        <f aca="false">IFERROR((G151-F151)/F151,"")</f>
        <v/>
      </c>
      <c r="K151" s="1" t="str">
        <f aca="false">IFERROR((J151-I151)/I151,"")</f>
        <v/>
      </c>
      <c r="R151" s="1" t="str">
        <f aca="false">IFERROR((D151-N151)/N151,"")</f>
        <v/>
      </c>
      <c r="S151" s="14"/>
      <c r="T151" s="14"/>
    </row>
    <row r="152" customFormat="false" ht="15" hidden="false" customHeight="true" outlineLevel="0" collapsed="false">
      <c r="B152" s="14"/>
      <c r="E152" s="1" t="str">
        <f aca="false">IFERROR((D152-C152)/C152,"")</f>
        <v/>
      </c>
      <c r="H152" s="1" t="str">
        <f aca="false">IFERROR((G152-F152)/F152,"")</f>
        <v/>
      </c>
      <c r="K152" s="1" t="str">
        <f aca="false">IFERROR((J152-I152)/I152,"")</f>
        <v/>
      </c>
      <c r="R152" s="1" t="str">
        <f aca="false">IFERROR((D152-N152)/N152,"")</f>
        <v/>
      </c>
      <c r="S152" s="14"/>
      <c r="T152" s="14"/>
    </row>
    <row r="153" customFormat="false" ht="15" hidden="false" customHeight="true" outlineLevel="0" collapsed="false">
      <c r="B153" s="14"/>
      <c r="E153" s="1" t="str">
        <f aca="false">IFERROR((D153-C153)/C153,"")</f>
        <v/>
      </c>
      <c r="H153" s="1" t="str">
        <f aca="false">IFERROR((G153-F153)/F153,"")</f>
        <v/>
      </c>
      <c r="K153" s="1" t="str">
        <f aca="false">IFERROR((J153-I153)/I153,"")</f>
        <v/>
      </c>
      <c r="R153" s="1" t="str">
        <f aca="false">IFERROR((D153-N153)/N153,"")</f>
        <v/>
      </c>
      <c r="S153" s="14"/>
      <c r="T153" s="14"/>
    </row>
    <row r="154" customFormat="false" ht="15" hidden="false" customHeight="true" outlineLevel="0" collapsed="false">
      <c r="B154" s="14"/>
      <c r="E154" s="1" t="str">
        <f aca="false">IFERROR((D154-C154)/C154,"")</f>
        <v/>
      </c>
      <c r="H154" s="1" t="str">
        <f aca="false">IFERROR((G154-F154)/F154,"")</f>
        <v/>
      </c>
      <c r="K154" s="1" t="str">
        <f aca="false">IFERROR((J154-I154)/I154,"")</f>
        <v/>
      </c>
      <c r="R154" s="1" t="str">
        <f aca="false">IFERROR((D154-N154)/N154,"")</f>
        <v/>
      </c>
      <c r="S154" s="14"/>
      <c r="T154" s="14"/>
    </row>
    <row r="155" customFormat="false" ht="15" hidden="false" customHeight="true" outlineLevel="0" collapsed="false">
      <c r="B155" s="14"/>
      <c r="E155" s="1" t="str">
        <f aca="false">IFERROR((D155-C155)/C155,"")</f>
        <v/>
      </c>
      <c r="H155" s="1" t="str">
        <f aca="false">IFERROR((G155-F155)/F155,"")</f>
        <v/>
      </c>
      <c r="K155" s="1" t="str">
        <f aca="false">IFERROR((J155-I155)/I155,"")</f>
        <v/>
      </c>
      <c r="R155" s="1" t="str">
        <f aca="false">IFERROR((D155-N155)/N155,"")</f>
        <v/>
      </c>
      <c r="S155" s="14"/>
      <c r="T155" s="14"/>
    </row>
    <row r="156" customFormat="false" ht="15" hidden="false" customHeight="true" outlineLevel="0" collapsed="false">
      <c r="B156" s="14"/>
      <c r="E156" s="1" t="str">
        <f aca="false">IFERROR((D156-C156)/C156,"")</f>
        <v/>
      </c>
      <c r="H156" s="1" t="str">
        <f aca="false">IFERROR((G156-F156)/F156,"")</f>
        <v/>
      </c>
      <c r="K156" s="1" t="str">
        <f aca="false">IFERROR((J156-I156)/I156,"")</f>
        <v/>
      </c>
      <c r="R156" s="1" t="str">
        <f aca="false">IFERROR((D156-N156)/N156,"")</f>
        <v/>
      </c>
      <c r="S156" s="14"/>
      <c r="T156" s="14"/>
    </row>
    <row r="157" customFormat="false" ht="15" hidden="false" customHeight="true" outlineLevel="0" collapsed="false">
      <c r="B157" s="14"/>
      <c r="E157" s="1" t="str">
        <f aca="false">IFERROR((D157-C157)/C157,"")</f>
        <v/>
      </c>
      <c r="H157" s="1" t="str">
        <f aca="false">IFERROR((G157-F157)/F157,"")</f>
        <v/>
      </c>
      <c r="K157" s="1" t="str">
        <f aca="false">IFERROR((J157-I157)/I157,"")</f>
        <v/>
      </c>
      <c r="R157" s="1" t="str">
        <f aca="false">IFERROR((D157-N157)/N157,"")</f>
        <v/>
      </c>
      <c r="S157" s="14"/>
      <c r="T157" s="14"/>
    </row>
    <row r="158" customFormat="false" ht="15" hidden="false" customHeight="true" outlineLevel="0" collapsed="false">
      <c r="B158" s="14"/>
      <c r="E158" s="1" t="str">
        <f aca="false">IFERROR((D158-C158)/C158,"")</f>
        <v/>
      </c>
      <c r="H158" s="1" t="str">
        <f aca="false">IFERROR((G158-F158)/F158,"")</f>
        <v/>
      </c>
      <c r="K158" s="1" t="str">
        <f aca="false">IFERROR((J158-I158)/I158,"")</f>
        <v/>
      </c>
      <c r="R158" s="1" t="str">
        <f aca="false">IFERROR((D158-N158)/N158,"")</f>
        <v/>
      </c>
      <c r="S158" s="14"/>
      <c r="T158" s="14"/>
    </row>
    <row r="159" customFormat="false" ht="15" hidden="false" customHeight="true" outlineLevel="0" collapsed="false">
      <c r="B159" s="14"/>
      <c r="E159" s="1" t="str">
        <f aca="false">IFERROR((D159-C159)/C159,"")</f>
        <v/>
      </c>
      <c r="H159" s="1" t="str">
        <f aca="false">IFERROR((G159-F159)/F159,"")</f>
        <v/>
      </c>
      <c r="K159" s="1" t="str">
        <f aca="false">IFERROR((J159-I159)/I159,"")</f>
        <v/>
      </c>
      <c r="R159" s="1" t="str">
        <f aca="false">IFERROR((D159-N159)/N159,"")</f>
        <v/>
      </c>
      <c r="S159" s="14"/>
      <c r="T159" s="14"/>
    </row>
    <row r="160" customFormat="false" ht="15" hidden="false" customHeight="true" outlineLevel="0" collapsed="false">
      <c r="B160" s="14"/>
      <c r="E160" s="1" t="str">
        <f aca="false">IFERROR((D160-C160)/C160,"")</f>
        <v/>
      </c>
      <c r="H160" s="1" t="str">
        <f aca="false">IFERROR((G160-F160)/F160,"")</f>
        <v/>
      </c>
      <c r="K160" s="1" t="str">
        <f aca="false">IFERROR((J160-I160)/I160,"")</f>
        <v/>
      </c>
      <c r="R160" s="1" t="str">
        <f aca="false">IFERROR((D160-N160)/N160,"")</f>
        <v/>
      </c>
      <c r="S160" s="14"/>
      <c r="T160" s="14"/>
    </row>
    <row r="161" customFormat="false" ht="15" hidden="false" customHeight="true" outlineLevel="0" collapsed="false">
      <c r="B161" s="14"/>
      <c r="E161" s="1" t="str">
        <f aca="false">IFERROR((D161-C161)/C161,"")</f>
        <v/>
      </c>
      <c r="H161" s="1" t="str">
        <f aca="false">IFERROR((G161-F161)/F161,"")</f>
        <v/>
      </c>
      <c r="K161" s="1" t="str">
        <f aca="false">IFERROR((J161-I161)/I161,"")</f>
        <v/>
      </c>
      <c r="R161" s="1" t="str">
        <f aca="false">IFERROR((D161-N161)/N161,"")</f>
        <v/>
      </c>
      <c r="S161" s="14"/>
      <c r="T161" s="14"/>
    </row>
    <row r="162" customFormat="false" ht="15" hidden="false" customHeight="true" outlineLevel="0" collapsed="false">
      <c r="B162" s="14"/>
      <c r="E162" s="1" t="str">
        <f aca="false">IFERROR((D162-C162)/C162,"")</f>
        <v/>
      </c>
      <c r="H162" s="1" t="str">
        <f aca="false">IFERROR((G162-F162)/F162,"")</f>
        <v/>
      </c>
      <c r="K162" s="1" t="str">
        <f aca="false">IFERROR((J162-I162)/I162,"")</f>
        <v/>
      </c>
      <c r="R162" s="1" t="str">
        <f aca="false">IFERROR((D162-N162)/N162,"")</f>
        <v/>
      </c>
      <c r="S162" s="14"/>
      <c r="T162" s="14"/>
    </row>
    <row r="163" customFormat="false" ht="15" hidden="false" customHeight="true" outlineLevel="0" collapsed="false">
      <c r="B163" s="14"/>
      <c r="E163" s="1" t="str">
        <f aca="false">IFERROR((D163-C163)/C163,"")</f>
        <v/>
      </c>
      <c r="H163" s="1" t="str">
        <f aca="false">IFERROR((G163-F163)/F163,"")</f>
        <v/>
      </c>
      <c r="K163" s="1" t="str">
        <f aca="false">IFERROR((J163-I163)/I163,"")</f>
        <v/>
      </c>
      <c r="R163" s="1" t="str">
        <f aca="false">IFERROR((D163-N163)/N163,"")</f>
        <v/>
      </c>
      <c r="S163" s="14"/>
      <c r="T163" s="14"/>
    </row>
    <row r="164" customFormat="false" ht="15" hidden="false" customHeight="true" outlineLevel="0" collapsed="false">
      <c r="B164" s="14"/>
      <c r="E164" s="1" t="str">
        <f aca="false">IFERROR((D164-C164)/C164,"")</f>
        <v/>
      </c>
      <c r="H164" s="1" t="str">
        <f aca="false">IFERROR((G164-F164)/F164,"")</f>
        <v/>
      </c>
      <c r="K164" s="1" t="str">
        <f aca="false">IFERROR((J164-I164)/I164,"")</f>
        <v/>
      </c>
      <c r="R164" s="1" t="str">
        <f aca="false">IFERROR((D164-N164)/N164,"")</f>
        <v/>
      </c>
      <c r="S164" s="14"/>
      <c r="T164" s="14"/>
    </row>
    <row r="165" customFormat="false" ht="15" hidden="false" customHeight="true" outlineLevel="0" collapsed="false">
      <c r="B165" s="14"/>
      <c r="E165" s="1" t="str">
        <f aca="false">IFERROR((D165-C165)/C165,"")</f>
        <v/>
      </c>
      <c r="H165" s="1" t="str">
        <f aca="false">IFERROR((G165-F165)/F165,"")</f>
        <v/>
      </c>
      <c r="K165" s="1" t="str">
        <f aca="false">IFERROR((J165-I165)/I165,"")</f>
        <v/>
      </c>
      <c r="R165" s="1" t="str">
        <f aca="false">IFERROR((D165-N165)/N165,"")</f>
        <v/>
      </c>
      <c r="S165" s="14"/>
      <c r="T165" s="14"/>
    </row>
    <row r="166" customFormat="false" ht="15" hidden="false" customHeight="true" outlineLevel="0" collapsed="false">
      <c r="B166" s="14"/>
      <c r="E166" s="1" t="str">
        <f aca="false">IFERROR((D166-C166)/C166,"")</f>
        <v/>
      </c>
      <c r="H166" s="1" t="str">
        <f aca="false">IFERROR((G166-F166)/F166,"")</f>
        <v/>
      </c>
      <c r="K166" s="1" t="str">
        <f aca="false">IFERROR((J166-I166)/I166,"")</f>
        <v/>
      </c>
      <c r="R166" s="1" t="str">
        <f aca="false">IFERROR((D166-N166)/N166,"")</f>
        <v/>
      </c>
      <c r="S166" s="14"/>
      <c r="T166" s="14"/>
    </row>
    <row r="167" customFormat="false" ht="15" hidden="false" customHeight="true" outlineLevel="0" collapsed="false">
      <c r="B167" s="14"/>
      <c r="E167" s="1" t="str">
        <f aca="false">IFERROR((D167-C167)/C167,"")</f>
        <v/>
      </c>
      <c r="H167" s="1" t="str">
        <f aca="false">IFERROR((G167-F167)/F167,"")</f>
        <v/>
      </c>
      <c r="K167" s="1" t="str">
        <f aca="false">IFERROR((J167-I167)/I167,"")</f>
        <v/>
      </c>
      <c r="R167" s="1" t="str">
        <f aca="false">IFERROR((D167-N167)/N167,"")</f>
        <v/>
      </c>
      <c r="S167" s="14"/>
      <c r="T167" s="14"/>
    </row>
    <row r="168" customFormat="false" ht="15" hidden="false" customHeight="true" outlineLevel="0" collapsed="false">
      <c r="B168" s="14"/>
      <c r="E168" s="1" t="str">
        <f aca="false">IFERROR((D168-C168)/C168,"")</f>
        <v/>
      </c>
      <c r="H168" s="1" t="str">
        <f aca="false">IFERROR((G168-F168)/F168,"")</f>
        <v/>
      </c>
      <c r="K168" s="1" t="str">
        <f aca="false">IFERROR((J168-I168)/I168,"")</f>
        <v/>
      </c>
      <c r="R168" s="1" t="str">
        <f aca="false">IFERROR((D168-N168)/N168,"")</f>
        <v/>
      </c>
      <c r="S168" s="14"/>
      <c r="T168" s="14"/>
    </row>
    <row r="169" customFormat="false" ht="15" hidden="false" customHeight="true" outlineLevel="0" collapsed="false">
      <c r="B169" s="14"/>
      <c r="E169" s="1" t="str">
        <f aca="false">IFERROR((D169-C169)/C169,"")</f>
        <v/>
      </c>
      <c r="H169" s="1" t="str">
        <f aca="false">IFERROR((G169-F169)/F169,"")</f>
        <v/>
      </c>
      <c r="K169" s="1" t="str">
        <f aca="false">IFERROR((J169-I169)/I169,"")</f>
        <v/>
      </c>
      <c r="R169" s="1" t="str">
        <f aca="false">IFERROR((D169-N169)/N169,"")</f>
        <v/>
      </c>
      <c r="S169" s="14"/>
      <c r="T169" s="14"/>
    </row>
    <row r="170" customFormat="false" ht="15" hidden="false" customHeight="true" outlineLevel="0" collapsed="false">
      <c r="B170" s="14"/>
      <c r="E170" s="1" t="str">
        <f aca="false">IFERROR((D170-C170)/C170,"")</f>
        <v/>
      </c>
      <c r="H170" s="1" t="str">
        <f aca="false">IFERROR((G170-F170)/F170,"")</f>
        <v/>
      </c>
      <c r="K170" s="1" t="str">
        <f aca="false">IFERROR((J170-I170)/I170,"")</f>
        <v/>
      </c>
      <c r="R170" s="1" t="str">
        <f aca="false">IFERROR((D170-N170)/N170,"")</f>
        <v/>
      </c>
      <c r="S170" s="14"/>
      <c r="T170" s="14"/>
    </row>
    <row r="171" customFormat="false" ht="15" hidden="false" customHeight="true" outlineLevel="0" collapsed="false">
      <c r="B171" s="14"/>
      <c r="E171" s="1" t="str">
        <f aca="false">IFERROR((D171-C171)/C171,"")</f>
        <v/>
      </c>
      <c r="H171" s="1" t="str">
        <f aca="false">IFERROR((G171-F171)/F171,"")</f>
        <v/>
      </c>
      <c r="K171" s="1" t="str">
        <f aca="false">IFERROR((J171-I171)/I171,"")</f>
        <v/>
      </c>
      <c r="R171" s="1" t="str">
        <f aca="false">IFERROR((D171-N171)/N171,"")</f>
        <v/>
      </c>
      <c r="S171" s="14"/>
      <c r="T171" s="14"/>
    </row>
    <row r="172" customFormat="false" ht="15" hidden="false" customHeight="true" outlineLevel="0" collapsed="false">
      <c r="B172" s="14"/>
      <c r="E172" s="1" t="str">
        <f aca="false">IFERROR((D172-C172)/C172,"")</f>
        <v/>
      </c>
      <c r="H172" s="1" t="str">
        <f aca="false">IFERROR((G172-F172)/F172,"")</f>
        <v/>
      </c>
      <c r="K172" s="1" t="str">
        <f aca="false">IFERROR((J172-I172)/I172,"")</f>
        <v/>
      </c>
      <c r="R172" s="1" t="str">
        <f aca="false">IFERROR((D172-N172)/N172,"")</f>
        <v/>
      </c>
      <c r="S172" s="14"/>
      <c r="T172" s="14"/>
    </row>
    <row r="173" customFormat="false" ht="15" hidden="false" customHeight="true" outlineLevel="0" collapsed="false">
      <c r="B173" s="14"/>
      <c r="E173" s="1" t="str">
        <f aca="false">IFERROR((D173-C173)/C173,"")</f>
        <v/>
      </c>
      <c r="H173" s="1" t="str">
        <f aca="false">IFERROR((G173-F173)/F173,"")</f>
        <v/>
      </c>
      <c r="K173" s="1" t="str">
        <f aca="false">IFERROR((J173-I173)/I173,"")</f>
        <v/>
      </c>
      <c r="R173" s="1" t="str">
        <f aca="false">IFERROR((D173-N173)/N173,"")</f>
        <v/>
      </c>
      <c r="S173" s="14"/>
      <c r="T173" s="14"/>
    </row>
    <row r="174" customFormat="false" ht="15" hidden="false" customHeight="true" outlineLevel="0" collapsed="false">
      <c r="B174" s="14"/>
      <c r="E174" s="1" t="str">
        <f aca="false">IFERROR((D174-C174)/C174,"")</f>
        <v/>
      </c>
      <c r="H174" s="1" t="str">
        <f aca="false">IFERROR((G174-F174)/F174,"")</f>
        <v/>
      </c>
      <c r="K174" s="1" t="str">
        <f aca="false">IFERROR((J174-I174)/I174,"")</f>
        <v/>
      </c>
      <c r="R174" s="1" t="str">
        <f aca="false">IFERROR((D174-N174)/N174,"")</f>
        <v/>
      </c>
      <c r="S174" s="14"/>
      <c r="T174" s="14"/>
    </row>
    <row r="175" customFormat="false" ht="15" hidden="false" customHeight="true" outlineLevel="0" collapsed="false">
      <c r="B175" s="14"/>
      <c r="E175" s="1" t="str">
        <f aca="false">IFERROR((D175-C175)/C175,"")</f>
        <v/>
      </c>
      <c r="H175" s="1" t="str">
        <f aca="false">IFERROR((G175-F175)/F175,"")</f>
        <v/>
      </c>
      <c r="K175" s="1" t="str">
        <f aca="false">IFERROR((J175-I175)/I175,"")</f>
        <v/>
      </c>
      <c r="R175" s="1" t="str">
        <f aca="false">IFERROR((D175-N175)/N175,"")</f>
        <v/>
      </c>
      <c r="S175" s="14"/>
      <c r="T175" s="14"/>
    </row>
    <row r="176" customFormat="false" ht="15" hidden="false" customHeight="true" outlineLevel="0" collapsed="false">
      <c r="B176" s="14"/>
      <c r="E176" s="1" t="str">
        <f aca="false">IFERROR((D176-C176)/C176,"")</f>
        <v/>
      </c>
      <c r="H176" s="1" t="str">
        <f aca="false">IFERROR((G176-F176)/F176,"")</f>
        <v/>
      </c>
      <c r="K176" s="1" t="str">
        <f aca="false">IFERROR((J176-I176)/I176,"")</f>
        <v/>
      </c>
      <c r="R176" s="1" t="str">
        <f aca="false">IFERROR((D176-N176)/N176,"")</f>
        <v/>
      </c>
      <c r="S176" s="14"/>
      <c r="T176" s="14"/>
    </row>
    <row r="177" customFormat="false" ht="15" hidden="false" customHeight="true" outlineLevel="0" collapsed="false">
      <c r="B177" s="14"/>
      <c r="E177" s="1" t="str">
        <f aca="false">IFERROR((D177-C177)/C177,"")</f>
        <v/>
      </c>
      <c r="H177" s="1" t="str">
        <f aca="false">IFERROR((G177-F177)/F177,"")</f>
        <v/>
      </c>
      <c r="K177" s="1" t="str">
        <f aca="false">IFERROR((J177-I177)/I177,"")</f>
        <v/>
      </c>
      <c r="R177" s="1" t="str">
        <f aca="false">IFERROR((D177-N177)/N177,"")</f>
        <v/>
      </c>
      <c r="S177" s="14"/>
      <c r="T177" s="14"/>
    </row>
    <row r="178" customFormat="false" ht="15" hidden="false" customHeight="true" outlineLevel="0" collapsed="false">
      <c r="B178" s="14"/>
      <c r="E178" s="1" t="str">
        <f aca="false">IFERROR((D178-C178)/C178,"")</f>
        <v/>
      </c>
      <c r="H178" s="1" t="str">
        <f aca="false">IFERROR((G178-F178)/F178,"")</f>
        <v/>
      </c>
      <c r="K178" s="1" t="str">
        <f aca="false">IFERROR((J178-I178)/I178,"")</f>
        <v/>
      </c>
      <c r="R178" s="1" t="str">
        <f aca="false">IFERROR((D178-N178)/N178,"")</f>
        <v/>
      </c>
      <c r="S178" s="14"/>
      <c r="T178" s="14"/>
    </row>
    <row r="179" customFormat="false" ht="15" hidden="false" customHeight="true" outlineLevel="0" collapsed="false">
      <c r="B179" s="14"/>
      <c r="E179" s="1" t="str">
        <f aca="false">IFERROR((D179-C179)/C179,"")</f>
        <v/>
      </c>
      <c r="H179" s="1" t="str">
        <f aca="false">IFERROR((G179-F179)/F179,"")</f>
        <v/>
      </c>
      <c r="K179" s="1" t="str">
        <f aca="false">IFERROR((J179-I179)/I179,"")</f>
        <v/>
      </c>
      <c r="R179" s="1" t="str">
        <f aca="false">IFERROR((D179-N179)/N179,"")</f>
        <v/>
      </c>
      <c r="S179" s="14"/>
      <c r="T179" s="14"/>
    </row>
    <row r="180" customFormat="false" ht="15" hidden="false" customHeight="true" outlineLevel="0" collapsed="false">
      <c r="B180" s="14"/>
      <c r="E180" s="1" t="str">
        <f aca="false">IFERROR((D180-C180)/C180,"")</f>
        <v/>
      </c>
      <c r="H180" s="1" t="str">
        <f aca="false">IFERROR((G180-F180)/F180,"")</f>
        <v/>
      </c>
      <c r="K180" s="1" t="str">
        <f aca="false">IFERROR((J180-I180)/I180,"")</f>
        <v/>
      </c>
      <c r="R180" s="1" t="str">
        <f aca="false">IFERROR((D180-N180)/N180,"")</f>
        <v/>
      </c>
      <c r="S180" s="14"/>
      <c r="T180" s="14"/>
    </row>
    <row r="181" customFormat="false" ht="15" hidden="false" customHeight="true" outlineLevel="0" collapsed="false">
      <c r="B181" s="14"/>
      <c r="E181" s="1" t="str">
        <f aca="false">IFERROR((D181-C181)/C181,"")</f>
        <v/>
      </c>
      <c r="H181" s="1" t="str">
        <f aca="false">IFERROR((G181-F181)/F181,"")</f>
        <v/>
      </c>
      <c r="K181" s="1" t="str">
        <f aca="false">IFERROR((J181-I181)/I181,"")</f>
        <v/>
      </c>
      <c r="R181" s="1" t="str">
        <f aca="false">IFERROR((D181-N181)/N181,"")</f>
        <v/>
      </c>
      <c r="S181" s="14"/>
      <c r="T181" s="14"/>
    </row>
    <row r="182" customFormat="false" ht="15" hidden="false" customHeight="true" outlineLevel="0" collapsed="false">
      <c r="B182" s="14"/>
      <c r="E182" s="1" t="str">
        <f aca="false">IFERROR((D182-C182)/C182,"")</f>
        <v/>
      </c>
      <c r="H182" s="1" t="str">
        <f aca="false">IFERROR((G182-F182)/F182,"")</f>
        <v/>
      </c>
      <c r="K182" s="1" t="str">
        <f aca="false">IFERROR((J182-I182)/I182,"")</f>
        <v/>
      </c>
      <c r="R182" s="1" t="str">
        <f aca="false">IFERROR((D182-N182)/N182,"")</f>
        <v/>
      </c>
      <c r="S182" s="14"/>
      <c r="T182" s="14"/>
    </row>
    <row r="183" customFormat="false" ht="15" hidden="false" customHeight="true" outlineLevel="0" collapsed="false">
      <c r="B183" s="14"/>
      <c r="E183" s="1" t="str">
        <f aca="false">IFERROR((D183-C183)/C183,"")</f>
        <v/>
      </c>
      <c r="H183" s="1" t="str">
        <f aca="false">IFERROR((G183-F183)/F183,"")</f>
        <v/>
      </c>
      <c r="K183" s="1" t="str">
        <f aca="false">IFERROR((J183-I183)/I183,"")</f>
        <v/>
      </c>
      <c r="R183" s="1" t="str">
        <f aca="false">IFERROR((D183-N183)/N183,"")</f>
        <v/>
      </c>
      <c r="S183" s="14"/>
      <c r="T183" s="14"/>
    </row>
    <row r="184" customFormat="false" ht="15" hidden="false" customHeight="true" outlineLevel="0" collapsed="false">
      <c r="B184" s="14"/>
      <c r="E184" s="1" t="str">
        <f aca="false">IFERROR((D184-C184)/C184,"")</f>
        <v/>
      </c>
      <c r="H184" s="1" t="str">
        <f aca="false">IFERROR((G184-F184)/F184,"")</f>
        <v/>
      </c>
      <c r="K184" s="1" t="str">
        <f aca="false">IFERROR((J184-I184)/I184,"")</f>
        <v/>
      </c>
      <c r="R184" s="1" t="str">
        <f aca="false">IFERROR((D184-N184)/N184,"")</f>
        <v/>
      </c>
      <c r="S184" s="14"/>
      <c r="T184" s="14"/>
    </row>
    <row r="185" customFormat="false" ht="15" hidden="false" customHeight="true" outlineLevel="0" collapsed="false">
      <c r="B185" s="14"/>
      <c r="E185" s="1" t="str">
        <f aca="false">IFERROR((D185-C185)/C185,"")</f>
        <v/>
      </c>
      <c r="H185" s="1" t="str">
        <f aca="false">IFERROR((G185-F185)/F185,"")</f>
        <v/>
      </c>
      <c r="K185" s="1" t="str">
        <f aca="false">IFERROR((J185-I185)/I185,"")</f>
        <v/>
      </c>
      <c r="R185" s="1" t="str">
        <f aca="false">IFERROR((D185-N185)/N185,"")</f>
        <v/>
      </c>
      <c r="S185" s="14"/>
      <c r="T185" s="14"/>
    </row>
    <row r="186" customFormat="false" ht="15" hidden="false" customHeight="true" outlineLevel="0" collapsed="false">
      <c r="B186" s="14"/>
      <c r="E186" s="1" t="str">
        <f aca="false">IFERROR((D186-C186)/C186,"")</f>
        <v/>
      </c>
      <c r="H186" s="1" t="str">
        <f aca="false">IFERROR((G186-F186)/F186,"")</f>
        <v/>
      </c>
      <c r="K186" s="1" t="str">
        <f aca="false">IFERROR((J186-I186)/I186,"")</f>
        <v/>
      </c>
      <c r="R186" s="1" t="str">
        <f aca="false">IFERROR((D186-N186)/N186,"")</f>
        <v/>
      </c>
      <c r="S186" s="14"/>
      <c r="T186" s="14"/>
    </row>
    <row r="187" customFormat="false" ht="15" hidden="false" customHeight="true" outlineLevel="0" collapsed="false">
      <c r="B187" s="14"/>
      <c r="E187" s="1" t="str">
        <f aca="false">IFERROR((D187-C187)/C187,"")</f>
        <v/>
      </c>
      <c r="H187" s="1" t="str">
        <f aca="false">IFERROR((G187-F187)/F187,"")</f>
        <v/>
      </c>
      <c r="K187" s="1" t="str">
        <f aca="false">IFERROR((J187-I187)/I187,"")</f>
        <v/>
      </c>
      <c r="R187" s="1" t="str">
        <f aca="false">IFERROR((D187-N187)/N187,"")</f>
        <v/>
      </c>
      <c r="S187" s="14"/>
      <c r="T187" s="14"/>
    </row>
    <row r="188" customFormat="false" ht="15" hidden="false" customHeight="true" outlineLevel="0" collapsed="false">
      <c r="B188" s="14"/>
      <c r="E188" s="1" t="str">
        <f aca="false">IFERROR((D188-C188)/C188,"")</f>
        <v/>
      </c>
      <c r="H188" s="1" t="str">
        <f aca="false">IFERROR((G188-F188)/F188,"")</f>
        <v/>
      </c>
      <c r="K188" s="1" t="str">
        <f aca="false">IFERROR((J188-I188)/I188,"")</f>
        <v/>
      </c>
      <c r="R188" s="1" t="str">
        <f aca="false">IFERROR((D188-N188)/N188,"")</f>
        <v/>
      </c>
      <c r="S188" s="14"/>
      <c r="T188" s="14"/>
    </row>
    <row r="189" customFormat="false" ht="15" hidden="false" customHeight="true" outlineLevel="0" collapsed="false">
      <c r="B189" s="14"/>
      <c r="E189" s="1" t="str">
        <f aca="false">IFERROR((D189-C189)/C189,"")</f>
        <v/>
      </c>
      <c r="H189" s="1" t="str">
        <f aca="false">IFERROR((G189-F189)/F189,"")</f>
        <v/>
      </c>
      <c r="K189" s="1" t="str">
        <f aca="false">IFERROR((J189-I189)/I189,"")</f>
        <v/>
      </c>
      <c r="R189" s="1" t="str">
        <f aca="false">IFERROR((D189-N189)/N189,"")</f>
        <v/>
      </c>
      <c r="S189" s="14"/>
      <c r="T189" s="14"/>
    </row>
    <row r="190" customFormat="false" ht="15" hidden="false" customHeight="true" outlineLevel="0" collapsed="false">
      <c r="B190" s="14"/>
      <c r="E190" s="1" t="str">
        <f aca="false">IFERROR((D190-C190)/C190,"")</f>
        <v/>
      </c>
      <c r="H190" s="1" t="str">
        <f aca="false">IFERROR((G190-F190)/F190,"")</f>
        <v/>
      </c>
      <c r="K190" s="1" t="str">
        <f aca="false">IFERROR((J190-I190)/I190,"")</f>
        <v/>
      </c>
      <c r="R190" s="1" t="str">
        <f aca="false">IFERROR((D190-N190)/N190,"")</f>
        <v/>
      </c>
      <c r="S190" s="14"/>
      <c r="T190" s="14"/>
    </row>
    <row r="191" customFormat="false" ht="15" hidden="false" customHeight="true" outlineLevel="0" collapsed="false">
      <c r="B191" s="14"/>
      <c r="E191" s="1" t="str">
        <f aca="false">IFERROR((D191-C191)/C191,"")</f>
        <v/>
      </c>
      <c r="H191" s="1" t="str">
        <f aca="false">IFERROR((G191-F191)/F191,"")</f>
        <v/>
      </c>
      <c r="K191" s="1" t="str">
        <f aca="false">IFERROR((J191-I191)/I191,"")</f>
        <v/>
      </c>
      <c r="R191" s="1" t="str">
        <f aca="false">IFERROR((D191-N191)/N191,"")</f>
        <v/>
      </c>
      <c r="S191" s="14"/>
      <c r="T191" s="14"/>
    </row>
    <row r="192" customFormat="false" ht="15" hidden="false" customHeight="true" outlineLevel="0" collapsed="false">
      <c r="B192" s="14"/>
      <c r="E192" s="1" t="str">
        <f aca="false">IFERROR((D192-C192)/C192,"")</f>
        <v/>
      </c>
      <c r="H192" s="1" t="str">
        <f aca="false">IFERROR((G192-F192)/F192,"")</f>
        <v/>
      </c>
      <c r="K192" s="1" t="str">
        <f aca="false">IFERROR((J192-I192)/I192,"")</f>
        <v/>
      </c>
      <c r="R192" s="1" t="str">
        <f aca="false">IFERROR((D192-N192)/N192,"")</f>
        <v/>
      </c>
      <c r="S192" s="14"/>
      <c r="T192" s="14"/>
    </row>
    <row r="193" customFormat="false" ht="15" hidden="false" customHeight="true" outlineLevel="0" collapsed="false">
      <c r="B193" s="14"/>
      <c r="E193" s="1" t="str">
        <f aca="false">IFERROR((D193-C193)/C193,"")</f>
        <v/>
      </c>
      <c r="H193" s="1" t="str">
        <f aca="false">IFERROR((G193-F193)/F193,"")</f>
        <v/>
      </c>
      <c r="K193" s="1" t="str">
        <f aca="false">IFERROR((J193-I193)/I193,"")</f>
        <v/>
      </c>
      <c r="R193" s="1" t="str">
        <f aca="false">IFERROR((D193-N193)/N193,"")</f>
        <v/>
      </c>
      <c r="S193" s="14"/>
      <c r="T193" s="14"/>
    </row>
    <row r="194" customFormat="false" ht="15" hidden="false" customHeight="true" outlineLevel="0" collapsed="false">
      <c r="B194" s="14"/>
      <c r="E194" s="1" t="str">
        <f aca="false">IFERROR((D194-C194)/C194,"")</f>
        <v/>
      </c>
      <c r="H194" s="1" t="str">
        <f aca="false">IFERROR((G194-F194)/F194,"")</f>
        <v/>
      </c>
      <c r="K194" s="1" t="str">
        <f aca="false">IFERROR((J194-I194)/I194,"")</f>
        <v/>
      </c>
      <c r="R194" s="1" t="str">
        <f aca="false">IFERROR((D194-N194)/N194,"")</f>
        <v/>
      </c>
      <c r="S194" s="14"/>
      <c r="T194" s="14"/>
    </row>
    <row r="195" customFormat="false" ht="15" hidden="false" customHeight="true" outlineLevel="0" collapsed="false">
      <c r="B195" s="14"/>
      <c r="E195" s="1" t="str">
        <f aca="false">IFERROR((D195-C195)/C195,"")</f>
        <v/>
      </c>
      <c r="H195" s="1" t="str">
        <f aca="false">IFERROR((G195-F195)/F195,"")</f>
        <v/>
      </c>
      <c r="K195" s="1" t="str">
        <f aca="false">IFERROR((J195-I195)/I195,"")</f>
        <v/>
      </c>
      <c r="R195" s="1" t="str">
        <f aca="false">IFERROR((D195-N195)/N195,"")</f>
        <v/>
      </c>
      <c r="S195" s="14"/>
      <c r="T195" s="14"/>
    </row>
    <row r="196" customFormat="false" ht="15" hidden="false" customHeight="true" outlineLevel="0" collapsed="false">
      <c r="B196" s="14"/>
      <c r="E196" s="1" t="str">
        <f aca="false">IFERROR((D196-C196)/C196,"")</f>
        <v/>
      </c>
      <c r="H196" s="1" t="str">
        <f aca="false">IFERROR((G196-F196)/F196,"")</f>
        <v/>
      </c>
      <c r="K196" s="1" t="str">
        <f aca="false">IFERROR((J196-I196)/I196,"")</f>
        <v/>
      </c>
      <c r="R196" s="1" t="str">
        <f aca="false">IFERROR((D196-N196)/N196,"")</f>
        <v/>
      </c>
      <c r="S196" s="14"/>
      <c r="T196" s="14"/>
    </row>
    <row r="197" customFormat="false" ht="15" hidden="false" customHeight="true" outlineLevel="0" collapsed="false">
      <c r="B197" s="14"/>
      <c r="E197" s="1" t="str">
        <f aca="false">IFERROR((D197-C197)/C197,"")</f>
        <v/>
      </c>
      <c r="H197" s="1" t="str">
        <f aca="false">IFERROR((G197-F197)/F197,"")</f>
        <v/>
      </c>
      <c r="K197" s="1" t="str">
        <f aca="false">IFERROR((J197-I197)/I197,"")</f>
        <v/>
      </c>
      <c r="R197" s="1" t="str">
        <f aca="false">IFERROR((D197-N197)/N197,"")</f>
        <v/>
      </c>
      <c r="S197" s="14"/>
      <c r="T197" s="14"/>
    </row>
    <row r="198" customFormat="false" ht="15" hidden="false" customHeight="true" outlineLevel="0" collapsed="false">
      <c r="B198" s="14"/>
      <c r="E198" s="1" t="str">
        <f aca="false">IFERROR((D198-C198)/C198,"")</f>
        <v/>
      </c>
      <c r="H198" s="1" t="str">
        <f aca="false">IFERROR((G198-F198)/F198,"")</f>
        <v/>
      </c>
      <c r="K198" s="1" t="str">
        <f aca="false">IFERROR((J198-I198)/I198,"")</f>
        <v/>
      </c>
      <c r="R198" s="1" t="str">
        <f aca="false">IFERROR((D198-N198)/N198,"")</f>
        <v/>
      </c>
      <c r="S198" s="14"/>
      <c r="T198" s="14"/>
    </row>
    <row r="199" customFormat="false" ht="15" hidden="false" customHeight="true" outlineLevel="0" collapsed="false">
      <c r="B199" s="14"/>
      <c r="E199" s="1" t="str">
        <f aca="false">IFERROR((D199-C199)/C199,"")</f>
        <v/>
      </c>
      <c r="H199" s="1" t="str">
        <f aca="false">IFERROR((G199-F199)/F199,"")</f>
        <v/>
      </c>
      <c r="K199" s="1" t="str">
        <f aca="false">IFERROR((J199-I199)/I199,"")</f>
        <v/>
      </c>
      <c r="R199" s="1" t="str">
        <f aca="false">IFERROR((D199-N199)/N199,"")</f>
        <v/>
      </c>
      <c r="S199" s="14"/>
      <c r="T199" s="14"/>
    </row>
    <row r="200" customFormat="false" ht="15" hidden="false" customHeight="true" outlineLevel="0" collapsed="false">
      <c r="B200" s="14"/>
      <c r="E200" s="1" t="str">
        <f aca="false">IFERROR((D200-C200)/C200,"")</f>
        <v/>
      </c>
      <c r="H200" s="1" t="str">
        <f aca="false">IFERROR((G200-F200)/F200,"")</f>
        <v/>
      </c>
      <c r="K200" s="1" t="str">
        <f aca="false">IFERROR((J200-I200)/I200,"")</f>
        <v/>
      </c>
      <c r="R200" s="1" t="str">
        <f aca="false">IFERROR((D200-N200)/N200,"")</f>
        <v/>
      </c>
      <c r="S200" s="14"/>
      <c r="T200" s="14"/>
    </row>
    <row r="201" customFormat="false" ht="15" hidden="false" customHeight="true" outlineLevel="0" collapsed="false">
      <c r="B201" s="14"/>
      <c r="E201" s="1" t="str">
        <f aca="false">IFERROR((D201-C201)/C201,"")</f>
        <v/>
      </c>
      <c r="H201" s="1" t="str">
        <f aca="false">IFERROR((G201-F201)/F201,"")</f>
        <v/>
      </c>
      <c r="K201" s="1" t="str">
        <f aca="false">IFERROR((J201-I201)/I201,"")</f>
        <v/>
      </c>
      <c r="R201" s="1" t="str">
        <f aca="false">IFERROR((D201-N201)/N201,"")</f>
        <v/>
      </c>
      <c r="S201" s="14"/>
      <c r="T201" s="14"/>
    </row>
    <row r="202" customFormat="false" ht="15" hidden="false" customHeight="true" outlineLevel="0" collapsed="false">
      <c r="B202" s="14"/>
      <c r="E202" s="1" t="str">
        <f aca="false">IFERROR((D202-C202)/C202,"")</f>
        <v/>
      </c>
      <c r="H202" s="1" t="str">
        <f aca="false">IFERROR((G202-F202)/F202,"")</f>
        <v/>
      </c>
      <c r="K202" s="1" t="str">
        <f aca="false">IFERROR((J202-I202)/I202,"")</f>
        <v/>
      </c>
      <c r="R202" s="1" t="str">
        <f aca="false">IFERROR((D202-N202)/N202,"")</f>
        <v/>
      </c>
      <c r="S202" s="14"/>
      <c r="T202" s="14"/>
    </row>
    <row r="203" customFormat="false" ht="15" hidden="false" customHeight="true" outlineLevel="0" collapsed="false">
      <c r="B203" s="14"/>
      <c r="E203" s="1" t="str">
        <f aca="false">IFERROR((D203-C203)/C203,"")</f>
        <v/>
      </c>
      <c r="H203" s="1" t="str">
        <f aca="false">IFERROR((G203-F203)/F203,"")</f>
        <v/>
      </c>
      <c r="K203" s="1" t="str">
        <f aca="false">IFERROR((J203-I203)/I203,"")</f>
        <v/>
      </c>
      <c r="R203" s="1" t="str">
        <f aca="false">IFERROR((D203-N203)/N203,"")</f>
        <v/>
      </c>
      <c r="S203" s="14"/>
      <c r="T203" s="14"/>
    </row>
    <row r="204" customFormat="false" ht="15" hidden="false" customHeight="true" outlineLevel="0" collapsed="false">
      <c r="B204" s="14"/>
      <c r="E204" s="1" t="str">
        <f aca="false">IFERROR((D204-C204)/C204,"")</f>
        <v/>
      </c>
      <c r="H204" s="1" t="str">
        <f aca="false">IFERROR((G204-F204)/F204,"")</f>
        <v/>
      </c>
      <c r="K204" s="1" t="str">
        <f aca="false">IFERROR((J204-I204)/I204,"")</f>
        <v/>
      </c>
      <c r="R204" s="1" t="str">
        <f aca="false">IFERROR((D204-N204)/N204,"")</f>
        <v/>
      </c>
      <c r="S204" s="14"/>
      <c r="T204" s="14"/>
    </row>
    <row r="205" customFormat="false" ht="15" hidden="false" customHeight="true" outlineLevel="0" collapsed="false">
      <c r="B205" s="14"/>
      <c r="E205" s="1" t="str">
        <f aca="false">IFERROR((D205-C205)/C205,"")</f>
        <v/>
      </c>
      <c r="H205" s="1" t="str">
        <f aca="false">IFERROR((G205-F205)/F205,"")</f>
        <v/>
      </c>
      <c r="K205" s="1" t="str">
        <f aca="false">IFERROR((J205-I205)/I205,"")</f>
        <v/>
      </c>
      <c r="R205" s="1" t="str">
        <f aca="false">IFERROR((D205-N205)/N205,"")</f>
        <v/>
      </c>
      <c r="S205" s="14"/>
      <c r="T205" s="14"/>
    </row>
    <row r="206" customFormat="false" ht="15" hidden="false" customHeight="true" outlineLevel="0" collapsed="false">
      <c r="B206" s="14"/>
      <c r="E206" s="1" t="str">
        <f aca="false">IFERROR((D206-C206)/C206,"")</f>
        <v/>
      </c>
      <c r="H206" s="1" t="str">
        <f aca="false">IFERROR((G206-F206)/F206,"")</f>
        <v/>
      </c>
      <c r="K206" s="1" t="str">
        <f aca="false">IFERROR((J206-I206)/I206,"")</f>
        <v/>
      </c>
      <c r="R206" s="1" t="str">
        <f aca="false">IFERROR((D206-N206)/N206,"")</f>
        <v/>
      </c>
      <c r="S206" s="14"/>
      <c r="T206" s="14"/>
    </row>
    <row r="207" customFormat="false" ht="15" hidden="false" customHeight="true" outlineLevel="0" collapsed="false">
      <c r="B207" s="14"/>
      <c r="E207" s="1" t="str">
        <f aca="false">IFERROR((D207-C207)/C207,"")</f>
        <v/>
      </c>
      <c r="H207" s="1" t="str">
        <f aca="false">IFERROR((G207-F207)/F207,"")</f>
        <v/>
      </c>
      <c r="K207" s="1" t="str">
        <f aca="false">IFERROR((J207-I207)/I207,"")</f>
        <v/>
      </c>
      <c r="R207" s="1" t="str">
        <f aca="false">IFERROR((D207-N207)/N207,"")</f>
        <v/>
      </c>
      <c r="S207" s="14"/>
      <c r="T207" s="14"/>
    </row>
    <row r="208" customFormat="false" ht="15" hidden="false" customHeight="true" outlineLevel="0" collapsed="false">
      <c r="B208" s="14"/>
      <c r="E208" s="1" t="str">
        <f aca="false">IFERROR((D208-C208)/C208,"")</f>
        <v/>
      </c>
      <c r="H208" s="1" t="str">
        <f aca="false">IFERROR((G208-F208)/F208,"")</f>
        <v/>
      </c>
      <c r="K208" s="1" t="str">
        <f aca="false">IFERROR((J208-I208)/I208,"")</f>
        <v/>
      </c>
      <c r="R208" s="1" t="str">
        <f aca="false">IFERROR((D208-N208)/N208,"")</f>
        <v/>
      </c>
      <c r="S208" s="14"/>
      <c r="T208" s="14"/>
    </row>
    <row r="209" customFormat="false" ht="15" hidden="false" customHeight="true" outlineLevel="0" collapsed="false">
      <c r="B209" s="14"/>
      <c r="E209" s="1" t="str">
        <f aca="false">IFERROR((D209-C209)/C209,"")</f>
        <v/>
      </c>
      <c r="H209" s="1" t="str">
        <f aca="false">IFERROR((G209-F209)/F209,"")</f>
        <v/>
      </c>
      <c r="K209" s="1" t="str">
        <f aca="false">IFERROR((J209-I209)/I209,"")</f>
        <v/>
      </c>
      <c r="R209" s="1" t="str">
        <f aca="false">IFERROR((D209-N209)/N209,"")</f>
        <v/>
      </c>
      <c r="S209" s="14"/>
      <c r="T209" s="14"/>
    </row>
    <row r="210" customFormat="false" ht="15" hidden="false" customHeight="true" outlineLevel="0" collapsed="false">
      <c r="B210" s="14"/>
      <c r="E210" s="1" t="str">
        <f aca="false">IFERROR((D210-C210)/C210,"")</f>
        <v/>
      </c>
      <c r="H210" s="1" t="str">
        <f aca="false">IFERROR((G210-F210)/F210,"")</f>
        <v/>
      </c>
      <c r="K210" s="1" t="str">
        <f aca="false">IFERROR((J210-I210)/I210,"")</f>
        <v/>
      </c>
      <c r="R210" s="1" t="str">
        <f aca="false">IFERROR((D210-N210)/N210,"")</f>
        <v/>
      </c>
      <c r="S210" s="14"/>
      <c r="T210" s="14"/>
    </row>
    <row r="211" customFormat="false" ht="15" hidden="false" customHeight="true" outlineLevel="0" collapsed="false">
      <c r="B211" s="14"/>
      <c r="E211" s="1" t="str">
        <f aca="false">IFERROR((D211-C211)/C211,"")</f>
        <v/>
      </c>
      <c r="H211" s="1" t="str">
        <f aca="false">IFERROR((G211-F211)/F211,"")</f>
        <v/>
      </c>
      <c r="K211" s="1" t="str">
        <f aca="false">IFERROR((J211-I211)/I211,"")</f>
        <v/>
      </c>
      <c r="R211" s="1" t="str">
        <f aca="false">IFERROR((D211-N211)/N211,"")</f>
        <v/>
      </c>
      <c r="S211" s="14"/>
      <c r="T211" s="14"/>
    </row>
    <row r="212" customFormat="false" ht="15" hidden="false" customHeight="true" outlineLevel="0" collapsed="false">
      <c r="B212" s="14"/>
      <c r="E212" s="1" t="str">
        <f aca="false">IFERROR((D212-C212)/C212,"")</f>
        <v/>
      </c>
      <c r="H212" s="1" t="str">
        <f aca="false">IFERROR((G212-F212)/F212,"")</f>
        <v/>
      </c>
      <c r="K212" s="1" t="str">
        <f aca="false">IFERROR((J212-I212)/I212,"")</f>
        <v/>
      </c>
      <c r="R212" s="1" t="str">
        <f aca="false">IFERROR((D212-N212)/N212,"")</f>
        <v/>
      </c>
      <c r="S212" s="14"/>
      <c r="T212" s="14"/>
    </row>
    <row r="213" customFormat="false" ht="15" hidden="false" customHeight="true" outlineLevel="0" collapsed="false">
      <c r="B213" s="14"/>
      <c r="E213" s="1" t="str">
        <f aca="false">IFERROR((D213-C213)/C213,"")</f>
        <v/>
      </c>
      <c r="H213" s="1" t="str">
        <f aca="false">IFERROR((G213-F213)/F213,"")</f>
        <v/>
      </c>
      <c r="K213" s="1" t="str">
        <f aca="false">IFERROR((J213-I213)/I213,"")</f>
        <v/>
      </c>
      <c r="R213" s="1" t="str">
        <f aca="false">IFERROR((D213-N213)/N213,"")</f>
        <v/>
      </c>
      <c r="S213" s="14"/>
      <c r="T213" s="14"/>
    </row>
    <row r="214" customFormat="false" ht="15" hidden="false" customHeight="true" outlineLevel="0" collapsed="false">
      <c r="B214" s="14"/>
      <c r="E214" s="1" t="str">
        <f aca="false">IFERROR((D214-C214)/C214,"")</f>
        <v/>
      </c>
      <c r="H214" s="1" t="str">
        <f aca="false">IFERROR((G214-F214)/F214,"")</f>
        <v/>
      </c>
      <c r="K214" s="1" t="str">
        <f aca="false">IFERROR((J214-I214)/I214,"")</f>
        <v/>
      </c>
      <c r="R214" s="1" t="str">
        <f aca="false">IFERROR((D214-N214)/N214,"")</f>
        <v/>
      </c>
      <c r="S214" s="14"/>
      <c r="T214" s="14"/>
    </row>
    <row r="215" customFormat="false" ht="15" hidden="false" customHeight="true" outlineLevel="0" collapsed="false">
      <c r="B215" s="14"/>
      <c r="E215" s="1" t="str">
        <f aca="false">IFERROR((D215-C215)/C215,"")</f>
        <v/>
      </c>
      <c r="H215" s="1" t="str">
        <f aca="false">IFERROR((G215-F215)/F215,"")</f>
        <v/>
      </c>
      <c r="K215" s="1" t="str">
        <f aca="false">IFERROR((J215-I215)/I215,"")</f>
        <v/>
      </c>
      <c r="R215" s="1" t="str">
        <f aca="false">IFERROR((D215-N215)/N215,"")</f>
        <v/>
      </c>
      <c r="S215" s="14"/>
      <c r="T215" s="14"/>
    </row>
    <row r="216" customFormat="false" ht="15" hidden="false" customHeight="true" outlineLevel="0" collapsed="false">
      <c r="B216" s="14"/>
      <c r="E216" s="1" t="str">
        <f aca="false">IFERROR((D216-C216)/C216,"")</f>
        <v/>
      </c>
      <c r="H216" s="1" t="str">
        <f aca="false">IFERROR((G216-F216)/F216,"")</f>
        <v/>
      </c>
      <c r="K216" s="1" t="str">
        <f aca="false">IFERROR((J216-I216)/I216,"")</f>
        <v/>
      </c>
      <c r="R216" s="1" t="str">
        <f aca="false">IFERROR((D216-N216)/N216,"")</f>
        <v/>
      </c>
      <c r="S216" s="14"/>
      <c r="T216" s="14"/>
    </row>
    <row r="217" customFormat="false" ht="15" hidden="false" customHeight="true" outlineLevel="0" collapsed="false">
      <c r="B217" s="14"/>
      <c r="E217" s="1" t="str">
        <f aca="false">IFERROR((D217-C217)/C217,"")</f>
        <v/>
      </c>
      <c r="H217" s="1" t="str">
        <f aca="false">IFERROR((G217-F217)/F217,"")</f>
        <v/>
      </c>
      <c r="K217" s="1" t="str">
        <f aca="false">IFERROR((J217-I217)/I217,"")</f>
        <v/>
      </c>
      <c r="R217" s="1" t="str">
        <f aca="false">IFERROR((D217-N217)/N217,"")</f>
        <v/>
      </c>
      <c r="S217" s="14"/>
      <c r="T217" s="14"/>
    </row>
    <row r="218" customFormat="false" ht="15" hidden="false" customHeight="true" outlineLevel="0" collapsed="false">
      <c r="B218" s="14"/>
      <c r="E218" s="1" t="str">
        <f aca="false">IFERROR((D218-C218)/C218,"")</f>
        <v/>
      </c>
      <c r="H218" s="1" t="str">
        <f aca="false">IFERROR((G218-F218)/F218,"")</f>
        <v/>
      </c>
      <c r="K218" s="1" t="str">
        <f aca="false">IFERROR((J218-I218)/I218,"")</f>
        <v/>
      </c>
      <c r="R218" s="1" t="str">
        <f aca="false">IFERROR((D218-N218)/N218,"")</f>
        <v/>
      </c>
      <c r="S218" s="14"/>
      <c r="T218" s="14"/>
    </row>
    <row r="219" customFormat="false" ht="15" hidden="false" customHeight="true" outlineLevel="0" collapsed="false">
      <c r="B219" s="14"/>
      <c r="E219" s="1" t="str">
        <f aca="false">IFERROR((D219-C219)/C219,"")</f>
        <v/>
      </c>
      <c r="H219" s="1" t="str">
        <f aca="false">IFERROR((G219-F219)/F219,"")</f>
        <v/>
      </c>
      <c r="K219" s="1" t="str">
        <f aca="false">IFERROR((J219-I219)/I219,"")</f>
        <v/>
      </c>
      <c r="R219" s="1" t="str">
        <f aca="false">IFERROR((D219-N219)/N219,"")</f>
        <v/>
      </c>
      <c r="S219" s="14"/>
      <c r="T219" s="14"/>
    </row>
    <row r="220" customFormat="false" ht="15" hidden="false" customHeight="true" outlineLevel="0" collapsed="false">
      <c r="B220" s="14"/>
      <c r="E220" s="1" t="str">
        <f aca="false">IFERROR((D220-C220)/C220,"")</f>
        <v/>
      </c>
      <c r="H220" s="1" t="str">
        <f aca="false">IFERROR((G220-F220)/F220,"")</f>
        <v/>
      </c>
      <c r="K220" s="1" t="str">
        <f aca="false">IFERROR((J220-I220)/I220,"")</f>
        <v/>
      </c>
      <c r="R220" s="1" t="str">
        <f aca="false">IFERROR((D220-N220)/N220,"")</f>
        <v/>
      </c>
      <c r="S220" s="14"/>
      <c r="T220" s="14"/>
    </row>
    <row r="221" customFormat="false" ht="15" hidden="false" customHeight="true" outlineLevel="0" collapsed="false">
      <c r="B221" s="14"/>
      <c r="E221" s="1" t="str">
        <f aca="false">IFERROR((D221-C221)/C221,"")</f>
        <v/>
      </c>
      <c r="H221" s="1" t="str">
        <f aca="false">IFERROR((G221-F221)/F221,"")</f>
        <v/>
      </c>
      <c r="K221" s="1" t="str">
        <f aca="false">IFERROR((J221-I221)/I221,"")</f>
        <v/>
      </c>
      <c r="R221" s="1" t="str">
        <f aca="false">IFERROR((D221-N221)/N221,"")</f>
        <v/>
      </c>
      <c r="S221" s="14"/>
      <c r="T221" s="14"/>
    </row>
    <row r="222" customFormat="false" ht="15" hidden="false" customHeight="true" outlineLevel="0" collapsed="false">
      <c r="B222" s="14"/>
      <c r="E222" s="1" t="str">
        <f aca="false">IFERROR((D222-C222)/C222,"")</f>
        <v/>
      </c>
      <c r="H222" s="1" t="str">
        <f aca="false">IFERROR((G222-F222)/F222,"")</f>
        <v/>
      </c>
      <c r="K222" s="1" t="str">
        <f aca="false">IFERROR((J222-I222)/I222,"")</f>
        <v/>
      </c>
      <c r="R222" s="1" t="str">
        <f aca="false">IFERROR((D222-N222)/N222,"")</f>
        <v/>
      </c>
      <c r="S222" s="14"/>
      <c r="T222" s="14"/>
    </row>
    <row r="223" customFormat="false" ht="15" hidden="false" customHeight="true" outlineLevel="0" collapsed="false">
      <c r="B223" s="14"/>
      <c r="E223" s="1" t="str">
        <f aca="false">IFERROR((D223-C223)/C223,"")</f>
        <v/>
      </c>
      <c r="H223" s="1" t="str">
        <f aca="false">IFERROR((G223-F223)/F223,"")</f>
        <v/>
      </c>
      <c r="K223" s="1" t="str">
        <f aca="false">IFERROR((J223-I223)/I223,"")</f>
        <v/>
      </c>
      <c r="R223" s="1" t="str">
        <f aca="false">IFERROR((D223-N223)/N223,"")</f>
        <v/>
      </c>
      <c r="S223" s="14"/>
      <c r="T223" s="14"/>
    </row>
    <row r="224" customFormat="false" ht="15" hidden="false" customHeight="true" outlineLevel="0" collapsed="false">
      <c r="B224" s="14"/>
      <c r="E224" s="1" t="str">
        <f aca="false">IFERROR((D224-C224)/C224,"")</f>
        <v/>
      </c>
      <c r="H224" s="1" t="str">
        <f aca="false">IFERROR((G224-F224)/F224,"")</f>
        <v/>
      </c>
      <c r="K224" s="1" t="str">
        <f aca="false">IFERROR((J224-I224)/I224,"")</f>
        <v/>
      </c>
      <c r="R224" s="1" t="str">
        <f aca="false">IFERROR((D224-N224)/N224,"")</f>
        <v/>
      </c>
      <c r="S224" s="14"/>
      <c r="T224" s="14"/>
    </row>
    <row r="225" customFormat="false" ht="15" hidden="false" customHeight="true" outlineLevel="0" collapsed="false">
      <c r="B225" s="14"/>
      <c r="E225" s="1" t="str">
        <f aca="false">IFERROR((D225-C225)/C225,"")</f>
        <v/>
      </c>
      <c r="H225" s="1" t="str">
        <f aca="false">IFERROR((G225-F225)/F225,"")</f>
        <v/>
      </c>
      <c r="K225" s="1" t="str">
        <f aca="false">IFERROR((J225-I225)/I225,"")</f>
        <v/>
      </c>
      <c r="R225" s="1" t="str">
        <f aca="false">IFERROR((D225-N225)/N225,"")</f>
        <v/>
      </c>
      <c r="S225" s="14"/>
      <c r="T225" s="14"/>
    </row>
    <row r="226" customFormat="false" ht="15" hidden="false" customHeight="true" outlineLevel="0" collapsed="false">
      <c r="B226" s="14"/>
      <c r="E226" s="1" t="str">
        <f aca="false">IFERROR((D226-C226)/C226,"")</f>
        <v/>
      </c>
      <c r="H226" s="1" t="str">
        <f aca="false">IFERROR((G226-F226)/F226,"")</f>
        <v/>
      </c>
      <c r="K226" s="1" t="str">
        <f aca="false">IFERROR((J226-I226)/I226,"")</f>
        <v/>
      </c>
      <c r="R226" s="1" t="str">
        <f aca="false">IFERROR((D226-N226)/N226,"")</f>
        <v/>
      </c>
      <c r="S226" s="14"/>
      <c r="T226" s="14"/>
    </row>
    <row r="227" customFormat="false" ht="15" hidden="false" customHeight="true" outlineLevel="0" collapsed="false">
      <c r="B227" s="14"/>
      <c r="E227" s="1" t="str">
        <f aca="false">IFERROR((D227-C227)/C227,"")</f>
        <v/>
      </c>
      <c r="H227" s="1" t="str">
        <f aca="false">IFERROR((G227-F227)/F227,"")</f>
        <v/>
      </c>
      <c r="K227" s="1" t="str">
        <f aca="false">IFERROR((J227-I227)/I227,"")</f>
        <v/>
      </c>
      <c r="R227" s="1" t="str">
        <f aca="false">IFERROR((D227-N227)/N227,"")</f>
        <v/>
      </c>
      <c r="S227" s="14"/>
      <c r="T227" s="14"/>
    </row>
    <row r="228" customFormat="false" ht="15" hidden="false" customHeight="true" outlineLevel="0" collapsed="false">
      <c r="B228" s="14"/>
      <c r="E228" s="1" t="str">
        <f aca="false">IFERROR((D228-C228)/C228,"")</f>
        <v/>
      </c>
      <c r="H228" s="1" t="str">
        <f aca="false">IFERROR((G228-F228)/F228,"")</f>
        <v/>
      </c>
      <c r="K228" s="1" t="str">
        <f aca="false">IFERROR((J228-I228)/I228,"")</f>
        <v/>
      </c>
      <c r="R228" s="1" t="str">
        <f aca="false">IFERROR((D228-N228)/N228,"")</f>
        <v/>
      </c>
      <c r="S228" s="14"/>
      <c r="T228" s="14"/>
    </row>
    <row r="229" customFormat="false" ht="15" hidden="false" customHeight="true" outlineLevel="0" collapsed="false">
      <c r="B229" s="14"/>
      <c r="E229" s="1" t="str">
        <f aca="false">IFERROR((D229-C229)/C229,"")</f>
        <v/>
      </c>
      <c r="H229" s="1" t="str">
        <f aca="false">IFERROR((G229-F229)/F229,"")</f>
        <v/>
      </c>
      <c r="K229" s="1" t="str">
        <f aca="false">IFERROR((J229-I229)/I229,"")</f>
        <v/>
      </c>
      <c r="R229" s="1" t="str">
        <f aca="false">IFERROR((D229-N229)/N229,"")</f>
        <v/>
      </c>
      <c r="S229" s="14"/>
      <c r="T229" s="14"/>
    </row>
    <row r="230" customFormat="false" ht="15" hidden="false" customHeight="true" outlineLevel="0" collapsed="false">
      <c r="B230" s="14"/>
      <c r="E230" s="1" t="str">
        <f aca="false">IFERROR((D230-C230)/C230,"")</f>
        <v/>
      </c>
      <c r="H230" s="1" t="str">
        <f aca="false">IFERROR((G230-F230)/F230,"")</f>
        <v/>
      </c>
      <c r="K230" s="1" t="str">
        <f aca="false">IFERROR((J230-I230)/I230,"")</f>
        <v/>
      </c>
      <c r="R230" s="1" t="str">
        <f aca="false">IFERROR((D230-N230)/N230,"")</f>
        <v/>
      </c>
      <c r="S230" s="14"/>
      <c r="T230" s="14"/>
    </row>
    <row r="231" customFormat="false" ht="15" hidden="false" customHeight="true" outlineLevel="0" collapsed="false">
      <c r="B231" s="14"/>
      <c r="E231" s="1" t="str">
        <f aca="false">IFERROR((D231-C231)/C231,"")</f>
        <v/>
      </c>
      <c r="H231" s="1" t="str">
        <f aca="false">IFERROR((G231-F231)/F231,"")</f>
        <v/>
      </c>
      <c r="K231" s="1" t="str">
        <f aca="false">IFERROR((J231-I231)/I231,"")</f>
        <v/>
      </c>
      <c r="R231" s="1" t="str">
        <f aca="false">IFERROR((D231-N231)/N231,"")</f>
        <v/>
      </c>
      <c r="S231" s="14"/>
      <c r="T231" s="14"/>
    </row>
    <row r="232" customFormat="false" ht="15" hidden="false" customHeight="true" outlineLevel="0" collapsed="false">
      <c r="B232" s="14"/>
      <c r="E232" s="1" t="str">
        <f aca="false">IFERROR((D232-C232)/C232,"")</f>
        <v/>
      </c>
      <c r="H232" s="1" t="str">
        <f aca="false">IFERROR((G232-F232)/F232,"")</f>
        <v/>
      </c>
      <c r="K232" s="1" t="str">
        <f aca="false">IFERROR((J232-I232)/I232,"")</f>
        <v/>
      </c>
      <c r="R232" s="1" t="str">
        <f aca="false">IFERROR((D232-N232)/N232,"")</f>
        <v/>
      </c>
      <c r="S232" s="14"/>
      <c r="T232" s="14"/>
    </row>
    <row r="233" customFormat="false" ht="15" hidden="false" customHeight="true" outlineLevel="0" collapsed="false">
      <c r="B233" s="14"/>
      <c r="E233" s="1" t="str">
        <f aca="false">IFERROR((D233-C233)/C233,"")</f>
        <v/>
      </c>
      <c r="H233" s="1" t="str">
        <f aca="false">IFERROR((G233-F233)/F233,"")</f>
        <v/>
      </c>
      <c r="K233" s="1" t="str">
        <f aca="false">IFERROR((J233-I233)/I233,"")</f>
        <v/>
      </c>
      <c r="R233" s="1" t="str">
        <f aca="false">IFERROR((D233-N233)/N233,"")</f>
        <v/>
      </c>
      <c r="S233" s="14"/>
      <c r="T233" s="14"/>
    </row>
    <row r="234" customFormat="false" ht="15" hidden="false" customHeight="true" outlineLevel="0" collapsed="false">
      <c r="B234" s="14"/>
      <c r="E234" s="1" t="str">
        <f aca="false">IFERROR((D234-C234)/C234,"")</f>
        <v/>
      </c>
      <c r="H234" s="1" t="str">
        <f aca="false">IFERROR((G234-F234)/F234,"")</f>
        <v/>
      </c>
      <c r="K234" s="1" t="str">
        <f aca="false">IFERROR((J234-I234)/I234,"")</f>
        <v/>
      </c>
      <c r="R234" s="1" t="str">
        <f aca="false">IFERROR((D234-N234)/N234,"")</f>
        <v/>
      </c>
      <c r="S234" s="14"/>
      <c r="T234" s="14"/>
    </row>
    <row r="235" customFormat="false" ht="15" hidden="false" customHeight="true" outlineLevel="0" collapsed="false">
      <c r="B235" s="14"/>
      <c r="E235" s="1" t="str">
        <f aca="false">IFERROR((D235-C235)/C235,"")</f>
        <v/>
      </c>
      <c r="H235" s="1" t="str">
        <f aca="false">IFERROR((G235-F235)/F235,"")</f>
        <v/>
      </c>
      <c r="K235" s="1" t="str">
        <f aca="false">IFERROR((J235-I235)/I235,"")</f>
        <v/>
      </c>
      <c r="R235" s="1" t="str">
        <f aca="false">IFERROR((D235-N235)/N235,"")</f>
        <v/>
      </c>
      <c r="S235" s="14"/>
      <c r="T235" s="14"/>
    </row>
    <row r="236" customFormat="false" ht="15" hidden="false" customHeight="true" outlineLevel="0" collapsed="false">
      <c r="B236" s="14"/>
      <c r="E236" s="1" t="str">
        <f aca="false">IFERROR((D236-C236)/C236,"")</f>
        <v/>
      </c>
      <c r="H236" s="1" t="str">
        <f aca="false">IFERROR((G236-F236)/F236,"")</f>
        <v/>
      </c>
      <c r="K236" s="1" t="str">
        <f aca="false">IFERROR((J236-I236)/I236,"")</f>
        <v/>
      </c>
      <c r="R236" s="1" t="str">
        <f aca="false">IFERROR((D236-N236)/N236,"")</f>
        <v/>
      </c>
      <c r="S236" s="14"/>
      <c r="T236" s="14"/>
    </row>
    <row r="237" customFormat="false" ht="15" hidden="false" customHeight="true" outlineLevel="0" collapsed="false">
      <c r="B237" s="14"/>
      <c r="E237" s="1" t="str">
        <f aca="false">IFERROR((D237-C237)/C237,"")</f>
        <v/>
      </c>
      <c r="H237" s="1" t="str">
        <f aca="false">IFERROR((G237-F237)/F237,"")</f>
        <v/>
      </c>
      <c r="K237" s="1" t="str">
        <f aca="false">IFERROR((J237-I237)/I237,"")</f>
        <v/>
      </c>
      <c r="R237" s="1" t="str">
        <f aca="false">IFERROR((D237-N237)/N237,"")</f>
        <v/>
      </c>
      <c r="S237" s="14"/>
      <c r="T237" s="14"/>
    </row>
    <row r="238" customFormat="false" ht="15" hidden="false" customHeight="true" outlineLevel="0" collapsed="false">
      <c r="B238" s="14"/>
      <c r="E238" s="1" t="str">
        <f aca="false">IFERROR((D238-C238)/C238,"")</f>
        <v/>
      </c>
      <c r="H238" s="1" t="str">
        <f aca="false">IFERROR((G238-F238)/F238,"")</f>
        <v/>
      </c>
      <c r="K238" s="1" t="str">
        <f aca="false">IFERROR((J238-I238)/I238,"")</f>
        <v/>
      </c>
      <c r="R238" s="1" t="str">
        <f aca="false">IFERROR((D238-N238)/N238,"")</f>
        <v/>
      </c>
      <c r="S238" s="14"/>
      <c r="T238" s="14"/>
    </row>
    <row r="239" customFormat="false" ht="15" hidden="false" customHeight="true" outlineLevel="0" collapsed="false">
      <c r="B239" s="14"/>
      <c r="E239" s="1" t="str">
        <f aca="false">IFERROR((D239-C239)/C239,"")</f>
        <v/>
      </c>
      <c r="H239" s="1" t="str">
        <f aca="false">IFERROR((G239-F239)/F239,"")</f>
        <v/>
      </c>
      <c r="K239" s="1" t="str">
        <f aca="false">IFERROR((J239-I239)/I239,"")</f>
        <v/>
      </c>
      <c r="R239" s="1" t="str">
        <f aca="false">IFERROR((D239-N239)/N239,"")</f>
        <v/>
      </c>
      <c r="S239" s="14"/>
      <c r="T239" s="14"/>
    </row>
    <row r="240" customFormat="false" ht="15" hidden="false" customHeight="true" outlineLevel="0" collapsed="false">
      <c r="B240" s="14"/>
      <c r="E240" s="1" t="str">
        <f aca="false">IFERROR((D240-C240)/C240,"")</f>
        <v/>
      </c>
      <c r="H240" s="1" t="str">
        <f aca="false">IFERROR((G240-F240)/F240,"")</f>
        <v/>
      </c>
      <c r="K240" s="1" t="str">
        <f aca="false">IFERROR((J240-I240)/I240,"")</f>
        <v/>
      </c>
      <c r="R240" s="1" t="str">
        <f aca="false">IFERROR((D240-N240)/N240,"")</f>
        <v/>
      </c>
      <c r="S240" s="14"/>
      <c r="T240" s="14"/>
    </row>
    <row r="241" customFormat="false" ht="15" hidden="false" customHeight="true" outlineLevel="0" collapsed="false">
      <c r="B241" s="14"/>
      <c r="E241" s="1" t="str">
        <f aca="false">IFERROR((D241-C241)/C241,"")</f>
        <v/>
      </c>
      <c r="H241" s="1" t="str">
        <f aca="false">IFERROR((G241-F241)/F241,"")</f>
        <v/>
      </c>
      <c r="K241" s="1" t="str">
        <f aca="false">IFERROR((J241-I241)/I241,"")</f>
        <v/>
      </c>
      <c r="R241" s="1" t="str">
        <f aca="false">IFERROR((D241-N241)/N241,"")</f>
        <v/>
      </c>
      <c r="S241" s="14"/>
      <c r="T241" s="14"/>
    </row>
    <row r="242" customFormat="false" ht="15" hidden="false" customHeight="true" outlineLevel="0" collapsed="false">
      <c r="B242" s="14"/>
      <c r="E242" s="1" t="str">
        <f aca="false">IFERROR((D242-C242)/C242,"")</f>
        <v/>
      </c>
      <c r="H242" s="1" t="str">
        <f aca="false">IFERROR((G242-F242)/F242,"")</f>
        <v/>
      </c>
      <c r="K242" s="1" t="str">
        <f aca="false">IFERROR((J242-I242)/I242,"")</f>
        <v/>
      </c>
      <c r="R242" s="1" t="str">
        <f aca="false">IFERROR((D242-N242)/N242,"")</f>
        <v/>
      </c>
      <c r="S242" s="14"/>
      <c r="T242" s="14"/>
    </row>
    <row r="243" customFormat="false" ht="15" hidden="false" customHeight="true" outlineLevel="0" collapsed="false">
      <c r="B243" s="14"/>
      <c r="E243" s="1" t="str">
        <f aca="false">IFERROR((D243-C243)/C243,"")</f>
        <v/>
      </c>
      <c r="H243" s="1" t="str">
        <f aca="false">IFERROR((G243-F243)/F243,"")</f>
        <v/>
      </c>
      <c r="K243" s="1" t="str">
        <f aca="false">IFERROR((J243-I243)/I243,"")</f>
        <v/>
      </c>
      <c r="R243" s="1" t="str">
        <f aca="false">IFERROR((D243-N243)/N243,"")</f>
        <v/>
      </c>
      <c r="S243" s="14"/>
      <c r="T243" s="14"/>
    </row>
    <row r="244" customFormat="false" ht="15" hidden="false" customHeight="true" outlineLevel="0" collapsed="false">
      <c r="B244" s="14"/>
      <c r="E244" s="1" t="str">
        <f aca="false">IFERROR((D244-C244)/C244,"")</f>
        <v/>
      </c>
      <c r="H244" s="1" t="str">
        <f aca="false">IFERROR((G244-F244)/F244,"")</f>
        <v/>
      </c>
      <c r="K244" s="1" t="str">
        <f aca="false">IFERROR((J244-I244)/I244,"")</f>
        <v/>
      </c>
      <c r="R244" s="1" t="str">
        <f aca="false">IFERROR((D244-N244)/N244,"")</f>
        <v/>
      </c>
      <c r="S244" s="14"/>
      <c r="T244" s="14"/>
    </row>
    <row r="245" customFormat="false" ht="15" hidden="false" customHeight="true" outlineLevel="0" collapsed="false">
      <c r="B245" s="14"/>
      <c r="E245" s="1" t="str">
        <f aca="false">IFERROR((D245-C245)/C245,"")</f>
        <v/>
      </c>
      <c r="H245" s="1" t="str">
        <f aca="false">IFERROR((G245-F245)/F245,"")</f>
        <v/>
      </c>
      <c r="K245" s="1" t="str">
        <f aca="false">IFERROR((J245-I245)/I245,"")</f>
        <v/>
      </c>
      <c r="R245" s="1" t="str">
        <f aca="false">IFERROR((D245-N245)/N245,"")</f>
        <v/>
      </c>
      <c r="S245" s="14"/>
      <c r="T245" s="14"/>
    </row>
    <row r="246" customFormat="false" ht="15" hidden="false" customHeight="true" outlineLevel="0" collapsed="false">
      <c r="B246" s="14"/>
      <c r="E246" s="1" t="str">
        <f aca="false">IFERROR((D246-C246)/C246,"")</f>
        <v/>
      </c>
      <c r="H246" s="1" t="str">
        <f aca="false">IFERROR((G246-F246)/F246,"")</f>
        <v/>
      </c>
      <c r="K246" s="1" t="str">
        <f aca="false">IFERROR((J246-I246)/I246,"")</f>
        <v/>
      </c>
      <c r="R246" s="1" t="str">
        <f aca="false">IFERROR((D246-N246)/N246,"")</f>
        <v/>
      </c>
      <c r="S246" s="14"/>
      <c r="T246" s="14"/>
    </row>
    <row r="247" customFormat="false" ht="15" hidden="false" customHeight="true" outlineLevel="0" collapsed="false">
      <c r="B247" s="14"/>
      <c r="E247" s="1" t="str">
        <f aca="false">IFERROR((D247-C247)/C247,"")</f>
        <v/>
      </c>
      <c r="H247" s="1" t="str">
        <f aca="false">IFERROR((G247-F247)/F247,"")</f>
        <v/>
      </c>
      <c r="K247" s="1" t="str">
        <f aca="false">IFERROR((J247-I247)/I247,"")</f>
        <v/>
      </c>
      <c r="R247" s="1" t="str">
        <f aca="false">IFERROR((D247-N247)/N247,"")</f>
        <v/>
      </c>
      <c r="S247" s="14"/>
      <c r="T247" s="14"/>
    </row>
    <row r="248" customFormat="false" ht="15" hidden="false" customHeight="true" outlineLevel="0" collapsed="false">
      <c r="B248" s="14"/>
      <c r="E248" s="1" t="str">
        <f aca="false">IFERROR((D248-C248)/C248,"")</f>
        <v/>
      </c>
      <c r="H248" s="1" t="str">
        <f aca="false">IFERROR((G248-F248)/F248,"")</f>
        <v/>
      </c>
      <c r="K248" s="1" t="str">
        <f aca="false">IFERROR((J248-I248)/I248,"")</f>
        <v/>
      </c>
      <c r="R248" s="1" t="str">
        <f aca="false">IFERROR((D248-N248)/N248,"")</f>
        <v/>
      </c>
      <c r="S248" s="14"/>
      <c r="T248" s="14"/>
    </row>
    <row r="249" customFormat="false" ht="15" hidden="false" customHeight="true" outlineLevel="0" collapsed="false">
      <c r="B249" s="14"/>
      <c r="E249" s="1" t="str">
        <f aca="false">IFERROR((D249-C249)/C249,"")</f>
        <v/>
      </c>
      <c r="H249" s="1" t="str">
        <f aca="false">IFERROR((G249-F249)/F249,"")</f>
        <v/>
      </c>
      <c r="K249" s="1" t="str">
        <f aca="false">IFERROR((J249-I249)/I249,"")</f>
        <v/>
      </c>
      <c r="R249" s="1" t="str">
        <f aca="false">IFERROR((D249-N249)/N249,"")</f>
        <v/>
      </c>
      <c r="S249" s="14"/>
      <c r="T249" s="14"/>
    </row>
    <row r="250" customFormat="false" ht="15" hidden="false" customHeight="true" outlineLevel="0" collapsed="false">
      <c r="B250" s="14"/>
      <c r="E250" s="1" t="str">
        <f aca="false">IFERROR((D250-C250)/C250,"")</f>
        <v/>
      </c>
      <c r="H250" s="1" t="str">
        <f aca="false">IFERROR((G250-F250)/F250,"")</f>
        <v/>
      </c>
      <c r="K250" s="1" t="str">
        <f aca="false">IFERROR((J250-I250)/I250,"")</f>
        <v/>
      </c>
      <c r="R250" s="1" t="str">
        <f aca="false">IFERROR((D250-N250)/N250,"")</f>
        <v/>
      </c>
      <c r="S250" s="14"/>
      <c r="T250" s="14"/>
    </row>
    <row r="251" customFormat="false" ht="15" hidden="false" customHeight="true" outlineLevel="0" collapsed="false">
      <c r="B251" s="14"/>
      <c r="E251" s="1" t="str">
        <f aca="false">IFERROR((D251-C251)/C251,"")</f>
        <v/>
      </c>
      <c r="H251" s="1" t="str">
        <f aca="false">IFERROR((G251-F251)/F251,"")</f>
        <v/>
      </c>
      <c r="K251" s="1" t="str">
        <f aca="false">IFERROR((J251-I251)/I251,"")</f>
        <v/>
      </c>
      <c r="R251" s="1" t="str">
        <f aca="false">IFERROR((D251-N251)/N251,"")</f>
        <v/>
      </c>
      <c r="S251" s="14"/>
      <c r="T251" s="14"/>
    </row>
    <row r="252" customFormat="false" ht="15" hidden="false" customHeight="true" outlineLevel="0" collapsed="false">
      <c r="B252" s="14"/>
      <c r="E252" s="1" t="str">
        <f aca="false">IFERROR((D252-C252)/C252,"")</f>
        <v/>
      </c>
      <c r="H252" s="1" t="str">
        <f aca="false">IFERROR((G252-F252)/F252,"")</f>
        <v/>
      </c>
      <c r="K252" s="1" t="str">
        <f aca="false">IFERROR((J252-I252)/I252,"")</f>
        <v/>
      </c>
      <c r="R252" s="1" t="str">
        <f aca="false">IFERROR((D252-N252)/N252,"")</f>
        <v/>
      </c>
      <c r="S252" s="14"/>
      <c r="T252" s="14"/>
    </row>
    <row r="253" customFormat="false" ht="15" hidden="false" customHeight="true" outlineLevel="0" collapsed="false">
      <c r="B253" s="14"/>
      <c r="E253" s="1" t="str">
        <f aca="false">IFERROR((D253-C253)/C253,"")</f>
        <v/>
      </c>
      <c r="H253" s="1" t="str">
        <f aca="false">IFERROR((G253-F253)/F253,"")</f>
        <v/>
      </c>
      <c r="K253" s="1" t="str">
        <f aca="false">IFERROR((J253-I253)/I253,"")</f>
        <v/>
      </c>
      <c r="R253" s="1" t="str">
        <f aca="false">IFERROR((D253-N253)/N253,"")</f>
        <v/>
      </c>
      <c r="S253" s="14"/>
      <c r="T253" s="14"/>
    </row>
    <row r="254" customFormat="false" ht="15" hidden="false" customHeight="true" outlineLevel="0" collapsed="false">
      <c r="B254" s="14"/>
      <c r="E254" s="1" t="str">
        <f aca="false">IFERROR((D254-C254)/C254,"")</f>
        <v/>
      </c>
      <c r="H254" s="1" t="str">
        <f aca="false">IFERROR((G254-F254)/F254,"")</f>
        <v/>
      </c>
      <c r="K254" s="1" t="str">
        <f aca="false">IFERROR((J254-I254)/I254,"")</f>
        <v/>
      </c>
      <c r="R254" s="1" t="str">
        <f aca="false">IFERROR((D254-N254)/N254,"")</f>
        <v/>
      </c>
      <c r="S254" s="14"/>
      <c r="T254" s="14"/>
    </row>
    <row r="255" customFormat="false" ht="15" hidden="false" customHeight="true" outlineLevel="0" collapsed="false">
      <c r="B255" s="14"/>
      <c r="E255" s="1" t="str">
        <f aca="false">IFERROR((D255-C255)/C255,"")</f>
        <v/>
      </c>
      <c r="H255" s="1" t="str">
        <f aca="false">IFERROR((G255-F255)/F255,"")</f>
        <v/>
      </c>
      <c r="K255" s="1" t="str">
        <f aca="false">IFERROR((J255-I255)/I255,"")</f>
        <v/>
      </c>
      <c r="R255" s="1" t="str">
        <f aca="false">IFERROR((D255-N255)/N255,"")</f>
        <v/>
      </c>
      <c r="S255" s="14"/>
      <c r="T255" s="14"/>
    </row>
    <row r="256" customFormat="false" ht="15" hidden="false" customHeight="true" outlineLevel="0" collapsed="false">
      <c r="B256" s="14"/>
      <c r="E256" s="1" t="str">
        <f aca="false">IFERROR((D256-C256)/C256,"")</f>
        <v/>
      </c>
      <c r="H256" s="1" t="str">
        <f aca="false">IFERROR((G256-F256)/F256,"")</f>
        <v/>
      </c>
      <c r="K256" s="1" t="str">
        <f aca="false">IFERROR((J256-I256)/I256,"")</f>
        <v/>
      </c>
      <c r="R256" s="1" t="str">
        <f aca="false">IFERROR((D256-N256)/N256,"")</f>
        <v/>
      </c>
      <c r="S256" s="14"/>
      <c r="T256" s="14"/>
    </row>
    <row r="257" customFormat="false" ht="15" hidden="false" customHeight="true" outlineLevel="0" collapsed="false">
      <c r="B257" s="14"/>
      <c r="E257" s="1" t="str">
        <f aca="false">IFERROR((D257-C257)/C257,"")</f>
        <v/>
      </c>
      <c r="H257" s="1" t="str">
        <f aca="false">IFERROR((G257-F257)/F257,"")</f>
        <v/>
      </c>
      <c r="K257" s="1" t="str">
        <f aca="false">IFERROR((J257-I257)/I257,"")</f>
        <v/>
      </c>
      <c r="R257" s="1" t="str">
        <f aca="false">IFERROR((D257-N257)/N257,"")</f>
        <v/>
      </c>
      <c r="S257" s="14"/>
      <c r="T257" s="14"/>
    </row>
    <row r="258" customFormat="false" ht="15" hidden="false" customHeight="true" outlineLevel="0" collapsed="false">
      <c r="B258" s="14"/>
      <c r="E258" s="1" t="str">
        <f aca="false">IFERROR((D258-C258)/C258,"")</f>
        <v/>
      </c>
      <c r="H258" s="1" t="str">
        <f aca="false">IFERROR((G258-F258)/F258,"")</f>
        <v/>
      </c>
      <c r="K258" s="1" t="str">
        <f aca="false">IFERROR((J258-I258)/I258,"")</f>
        <v/>
      </c>
      <c r="R258" s="1" t="str">
        <f aca="false">IFERROR((D258-N258)/N258,"")</f>
        <v/>
      </c>
      <c r="S258" s="14"/>
      <c r="T258" s="14"/>
    </row>
    <row r="259" customFormat="false" ht="15" hidden="false" customHeight="true" outlineLevel="0" collapsed="false">
      <c r="B259" s="14"/>
      <c r="E259" s="1" t="str">
        <f aca="false">IFERROR((D259-C259)/C259,"")</f>
        <v/>
      </c>
      <c r="H259" s="1" t="str">
        <f aca="false">IFERROR((G259-F259)/F259,"")</f>
        <v/>
      </c>
      <c r="K259" s="1" t="str">
        <f aca="false">IFERROR((J259-I259)/I259,"")</f>
        <v/>
      </c>
      <c r="R259" s="1" t="str">
        <f aca="false">IFERROR((D259-N259)/N259,"")</f>
        <v/>
      </c>
      <c r="S259" s="14"/>
      <c r="T259" s="14"/>
    </row>
    <row r="260" customFormat="false" ht="15" hidden="false" customHeight="true" outlineLevel="0" collapsed="false">
      <c r="B260" s="14"/>
      <c r="E260" s="1" t="str">
        <f aca="false">IFERROR((D260-C260)/C260,"")</f>
        <v/>
      </c>
      <c r="H260" s="1" t="str">
        <f aca="false">IFERROR((G260-F260)/F260,"")</f>
        <v/>
      </c>
      <c r="K260" s="1" t="str">
        <f aca="false">IFERROR((J260-I260)/I260,"")</f>
        <v/>
      </c>
      <c r="R260" s="1" t="str">
        <f aca="false">IFERROR((D260-N260)/N260,"")</f>
        <v/>
      </c>
      <c r="S260" s="14"/>
      <c r="T260" s="14"/>
    </row>
    <row r="261" customFormat="false" ht="15" hidden="false" customHeight="true" outlineLevel="0" collapsed="false">
      <c r="B261" s="14"/>
      <c r="E261" s="1" t="str">
        <f aca="false">IFERROR((D261-C261)/C261,"")</f>
        <v/>
      </c>
      <c r="H261" s="1" t="str">
        <f aca="false">IFERROR((G261-F261)/F261,"")</f>
        <v/>
      </c>
      <c r="K261" s="1" t="str">
        <f aca="false">IFERROR((J261-I261)/I261,"")</f>
        <v/>
      </c>
      <c r="R261" s="1" t="str">
        <f aca="false">IFERROR((D261-N261)/N261,"")</f>
        <v/>
      </c>
      <c r="S261" s="14"/>
      <c r="T261" s="14"/>
    </row>
    <row r="262" customFormat="false" ht="15" hidden="false" customHeight="true" outlineLevel="0" collapsed="false">
      <c r="B262" s="14"/>
      <c r="E262" s="1" t="str">
        <f aca="false">IFERROR((D262-C262)/C262,"")</f>
        <v/>
      </c>
      <c r="H262" s="1" t="str">
        <f aca="false">IFERROR((G262-F262)/F262,"")</f>
        <v/>
      </c>
      <c r="K262" s="1" t="str">
        <f aca="false">IFERROR((J262-I262)/I262,"")</f>
        <v/>
      </c>
      <c r="R262" s="1" t="str">
        <f aca="false">IFERROR((D262-N262)/N262,"")</f>
        <v/>
      </c>
      <c r="S262" s="14"/>
      <c r="T262" s="14"/>
    </row>
    <row r="263" customFormat="false" ht="15" hidden="false" customHeight="true" outlineLevel="0" collapsed="false">
      <c r="B263" s="14"/>
      <c r="E263" s="1" t="str">
        <f aca="false">IFERROR((D263-C263)/C263,"")</f>
        <v/>
      </c>
      <c r="H263" s="1" t="str">
        <f aca="false">IFERROR((G263-F263)/F263,"")</f>
        <v/>
      </c>
      <c r="K263" s="1" t="str">
        <f aca="false">IFERROR((J263-I263)/I263,"")</f>
        <v/>
      </c>
      <c r="R263" s="1" t="str">
        <f aca="false">IFERROR((D263-N263)/N263,"")</f>
        <v/>
      </c>
      <c r="S263" s="14"/>
      <c r="T263" s="14"/>
    </row>
    <row r="264" customFormat="false" ht="15" hidden="false" customHeight="true" outlineLevel="0" collapsed="false">
      <c r="B264" s="14"/>
      <c r="E264" s="1" t="str">
        <f aca="false">IFERROR((D264-C264)/C264,"")</f>
        <v/>
      </c>
      <c r="H264" s="1" t="str">
        <f aca="false">IFERROR((G264-F264)/F264,"")</f>
        <v/>
      </c>
      <c r="K264" s="1" t="str">
        <f aca="false">IFERROR((J264-I264)/I264,"")</f>
        <v/>
      </c>
      <c r="R264" s="1" t="str">
        <f aca="false">IFERROR((D264-N264)/N264,"")</f>
        <v/>
      </c>
      <c r="S264" s="14"/>
      <c r="T264" s="14"/>
    </row>
    <row r="265" customFormat="false" ht="15" hidden="false" customHeight="true" outlineLevel="0" collapsed="false">
      <c r="B265" s="14"/>
      <c r="E265" s="1" t="str">
        <f aca="false">IFERROR((D265-C265)/C265,"")</f>
        <v/>
      </c>
      <c r="H265" s="1" t="str">
        <f aca="false">IFERROR((G265-F265)/F265,"")</f>
        <v/>
      </c>
      <c r="K265" s="1" t="str">
        <f aca="false">IFERROR((J265-I265)/I265,"")</f>
        <v/>
      </c>
      <c r="R265" s="1" t="str">
        <f aca="false">IFERROR((D265-N265)/N265,"")</f>
        <v/>
      </c>
      <c r="S265" s="14"/>
      <c r="T265" s="14"/>
    </row>
    <row r="266" customFormat="false" ht="15" hidden="false" customHeight="true" outlineLevel="0" collapsed="false">
      <c r="B266" s="14"/>
      <c r="E266" s="1" t="str">
        <f aca="false">IFERROR((D266-C266)/C266,"")</f>
        <v/>
      </c>
      <c r="H266" s="1" t="str">
        <f aca="false">IFERROR((G266-F266)/F266,"")</f>
        <v/>
      </c>
      <c r="K266" s="1" t="str">
        <f aca="false">IFERROR((J266-I266)/I266,"")</f>
        <v/>
      </c>
      <c r="R266" s="1" t="str">
        <f aca="false">IFERROR((D266-N266)/N266,"")</f>
        <v/>
      </c>
      <c r="S266" s="14"/>
      <c r="T266" s="14"/>
    </row>
    <row r="267" customFormat="false" ht="15" hidden="false" customHeight="true" outlineLevel="0" collapsed="false">
      <c r="B267" s="14"/>
      <c r="E267" s="1" t="str">
        <f aca="false">IFERROR((D267-C267)/C267,"")</f>
        <v/>
      </c>
      <c r="H267" s="1" t="str">
        <f aca="false">IFERROR((G267-F267)/F267,"")</f>
        <v/>
      </c>
      <c r="K267" s="1" t="str">
        <f aca="false">IFERROR((J267-I267)/I267,"")</f>
        <v/>
      </c>
      <c r="R267" s="1" t="str">
        <f aca="false">IFERROR((D267-N267)/N267,"")</f>
        <v/>
      </c>
      <c r="S267" s="14"/>
      <c r="T267" s="14"/>
    </row>
    <row r="268" customFormat="false" ht="15" hidden="false" customHeight="true" outlineLevel="0" collapsed="false">
      <c r="B268" s="14"/>
      <c r="E268" s="1" t="str">
        <f aca="false">IFERROR((D268-C268)/C268,"")</f>
        <v/>
      </c>
      <c r="H268" s="1" t="str">
        <f aca="false">IFERROR((G268-F268)/F268,"")</f>
        <v/>
      </c>
      <c r="K268" s="1" t="str">
        <f aca="false">IFERROR((J268-I268)/I268,"")</f>
        <v/>
      </c>
      <c r="R268" s="1" t="str">
        <f aca="false">IFERROR((D268-N268)/N268,"")</f>
        <v/>
      </c>
      <c r="S268" s="14"/>
      <c r="T268" s="14"/>
    </row>
    <row r="269" customFormat="false" ht="15" hidden="false" customHeight="true" outlineLevel="0" collapsed="false">
      <c r="B269" s="14"/>
      <c r="E269" s="1" t="str">
        <f aca="false">IFERROR((D269-C269)/C269,"")</f>
        <v/>
      </c>
      <c r="H269" s="1" t="str">
        <f aca="false">IFERROR((G269-F269)/F269,"")</f>
        <v/>
      </c>
      <c r="K269" s="1" t="str">
        <f aca="false">IFERROR((J269-I269)/I269,"")</f>
        <v/>
      </c>
      <c r="R269" s="1" t="str">
        <f aca="false">IFERROR((D269-N269)/N269,"")</f>
        <v/>
      </c>
      <c r="S269" s="14"/>
      <c r="T269" s="14"/>
    </row>
    <row r="270" customFormat="false" ht="15" hidden="false" customHeight="true" outlineLevel="0" collapsed="false">
      <c r="B270" s="14"/>
      <c r="E270" s="1" t="str">
        <f aca="false">IFERROR((D270-C270)/C270,"")</f>
        <v/>
      </c>
      <c r="H270" s="1" t="str">
        <f aca="false">IFERROR((G270-F270)/F270,"")</f>
        <v/>
      </c>
      <c r="K270" s="1" t="str">
        <f aca="false">IFERROR((J270-I270)/I270,"")</f>
        <v/>
      </c>
      <c r="R270" s="1" t="str">
        <f aca="false">IFERROR((D270-N270)/N270,"")</f>
        <v/>
      </c>
      <c r="S270" s="14"/>
      <c r="T270" s="14"/>
    </row>
    <row r="271" customFormat="false" ht="15" hidden="false" customHeight="true" outlineLevel="0" collapsed="false">
      <c r="B271" s="14"/>
      <c r="E271" s="1" t="str">
        <f aca="false">IFERROR((D271-C271)/C271,"")</f>
        <v/>
      </c>
      <c r="H271" s="1" t="str">
        <f aca="false">IFERROR((G271-F271)/F271,"")</f>
        <v/>
      </c>
      <c r="K271" s="1" t="str">
        <f aca="false">IFERROR((J271-I271)/I271,"")</f>
        <v/>
      </c>
      <c r="R271" s="1" t="str">
        <f aca="false">IFERROR((D271-N271)/N271,"")</f>
        <v/>
      </c>
      <c r="S271" s="14"/>
      <c r="T271" s="14"/>
    </row>
    <row r="272" customFormat="false" ht="15" hidden="false" customHeight="true" outlineLevel="0" collapsed="false">
      <c r="B272" s="14"/>
      <c r="E272" s="1" t="str">
        <f aca="false">IFERROR((D272-C272)/C272,"")</f>
        <v/>
      </c>
      <c r="H272" s="1" t="str">
        <f aca="false">IFERROR((G272-F272)/F272,"")</f>
        <v/>
      </c>
      <c r="K272" s="1" t="str">
        <f aca="false">IFERROR((J272-I272)/I272,"")</f>
        <v/>
      </c>
      <c r="R272" s="1" t="str">
        <f aca="false">IFERROR((D272-N272)/N272,"")</f>
        <v/>
      </c>
      <c r="S272" s="14"/>
      <c r="T272" s="14"/>
    </row>
    <row r="273" customFormat="false" ht="15" hidden="false" customHeight="true" outlineLevel="0" collapsed="false">
      <c r="B273" s="14"/>
      <c r="E273" s="1" t="str">
        <f aca="false">IFERROR((D273-C273)/C273,"")</f>
        <v/>
      </c>
      <c r="H273" s="1" t="str">
        <f aca="false">IFERROR((G273-F273)/F273,"")</f>
        <v/>
      </c>
      <c r="K273" s="1" t="str">
        <f aca="false">IFERROR((J273-I273)/I273,"")</f>
        <v/>
      </c>
      <c r="R273" s="1" t="str">
        <f aca="false">IFERROR((D273-N273)/N273,"")</f>
        <v/>
      </c>
      <c r="S273" s="14"/>
      <c r="T273" s="14"/>
    </row>
    <row r="274" customFormat="false" ht="15" hidden="false" customHeight="true" outlineLevel="0" collapsed="false">
      <c r="B274" s="14"/>
      <c r="E274" s="1" t="str">
        <f aca="false">IFERROR((D274-C274)/C274,"")</f>
        <v/>
      </c>
      <c r="H274" s="1" t="str">
        <f aca="false">IFERROR((G274-F274)/F274,"")</f>
        <v/>
      </c>
      <c r="K274" s="1" t="str">
        <f aca="false">IFERROR((J274-I274)/I274,"")</f>
        <v/>
      </c>
      <c r="R274" s="1" t="str">
        <f aca="false">IFERROR((D274-N274)/N274,"")</f>
        <v/>
      </c>
      <c r="S274" s="14"/>
      <c r="T274" s="14"/>
    </row>
    <row r="275" customFormat="false" ht="15" hidden="false" customHeight="true" outlineLevel="0" collapsed="false">
      <c r="B275" s="14"/>
      <c r="E275" s="1" t="str">
        <f aca="false">IFERROR((D275-C275)/C275,"")</f>
        <v/>
      </c>
      <c r="H275" s="1" t="str">
        <f aca="false">IFERROR((G275-F275)/F275,"")</f>
        <v/>
      </c>
      <c r="K275" s="1" t="str">
        <f aca="false">IFERROR((J275-I275)/I275,"")</f>
        <v/>
      </c>
      <c r="R275" s="1" t="str">
        <f aca="false">IFERROR((D275-N275)/N275,"")</f>
        <v/>
      </c>
      <c r="S275" s="14"/>
      <c r="T275" s="14"/>
    </row>
    <row r="276" customFormat="false" ht="15" hidden="false" customHeight="true" outlineLevel="0" collapsed="false">
      <c r="B276" s="14"/>
      <c r="E276" s="1" t="str">
        <f aca="false">IFERROR((D276-C276)/C276,"")</f>
        <v/>
      </c>
      <c r="H276" s="1" t="str">
        <f aca="false">IFERROR((G276-F276)/F276,"")</f>
        <v/>
      </c>
      <c r="K276" s="1" t="str">
        <f aca="false">IFERROR((J276-I276)/I276,"")</f>
        <v/>
      </c>
      <c r="R276" s="1" t="str">
        <f aca="false">IFERROR((D276-N276)/N276,"")</f>
        <v/>
      </c>
      <c r="S276" s="14"/>
      <c r="T276" s="14"/>
    </row>
    <row r="277" customFormat="false" ht="15" hidden="false" customHeight="true" outlineLevel="0" collapsed="false">
      <c r="B277" s="14"/>
      <c r="E277" s="1" t="str">
        <f aca="false">IFERROR((D277-C277)/C277,"")</f>
        <v/>
      </c>
      <c r="H277" s="1" t="str">
        <f aca="false">IFERROR((G277-F277)/F277,"")</f>
        <v/>
      </c>
      <c r="K277" s="1" t="str">
        <f aca="false">IFERROR((J277-I277)/I277,"")</f>
        <v/>
      </c>
      <c r="R277" s="1" t="str">
        <f aca="false">IFERROR((D277-N277)/N277,"")</f>
        <v/>
      </c>
      <c r="S277" s="14"/>
      <c r="T277" s="14"/>
    </row>
    <row r="278" customFormat="false" ht="15" hidden="false" customHeight="true" outlineLevel="0" collapsed="false">
      <c r="B278" s="14"/>
      <c r="E278" s="1" t="str">
        <f aca="false">IFERROR((D278-C278)/C278,"")</f>
        <v/>
      </c>
      <c r="H278" s="1" t="str">
        <f aca="false">IFERROR((G278-F278)/F278,"")</f>
        <v/>
      </c>
      <c r="K278" s="1" t="str">
        <f aca="false">IFERROR((J278-I278)/I278,"")</f>
        <v/>
      </c>
      <c r="R278" s="1" t="str">
        <f aca="false">IFERROR((D278-N278)/N278,"")</f>
        <v/>
      </c>
      <c r="S278" s="14"/>
      <c r="T278" s="14"/>
    </row>
    <row r="279" customFormat="false" ht="15" hidden="false" customHeight="true" outlineLevel="0" collapsed="false">
      <c r="B279" s="14"/>
      <c r="E279" s="1" t="str">
        <f aca="false">IFERROR((D279-C279)/C279,"")</f>
        <v/>
      </c>
      <c r="H279" s="1" t="str">
        <f aca="false">IFERROR((G279-F279)/F279,"")</f>
        <v/>
      </c>
      <c r="K279" s="1" t="str">
        <f aca="false">IFERROR((J279-I279)/I279,"")</f>
        <v/>
      </c>
      <c r="R279" s="1" t="str">
        <f aca="false">IFERROR((D279-N279)/N279,"")</f>
        <v/>
      </c>
      <c r="S279" s="14"/>
      <c r="T279" s="14"/>
    </row>
    <row r="280" customFormat="false" ht="15" hidden="false" customHeight="true" outlineLevel="0" collapsed="false">
      <c r="B280" s="14"/>
      <c r="E280" s="1" t="str">
        <f aca="false">IFERROR((D280-C280)/C280,"")</f>
        <v/>
      </c>
      <c r="H280" s="1" t="str">
        <f aca="false">IFERROR((G280-F280)/F280,"")</f>
        <v/>
      </c>
      <c r="K280" s="1" t="str">
        <f aca="false">IFERROR((J280-I280)/I280,"")</f>
        <v/>
      </c>
      <c r="R280" s="1" t="str">
        <f aca="false">IFERROR((D280-N280)/N280,"")</f>
        <v/>
      </c>
      <c r="S280" s="14"/>
      <c r="T280" s="14"/>
    </row>
    <row r="281" customFormat="false" ht="15" hidden="false" customHeight="true" outlineLevel="0" collapsed="false">
      <c r="B281" s="14"/>
      <c r="E281" s="1" t="str">
        <f aca="false">IFERROR((D281-C281)/C281,"")</f>
        <v/>
      </c>
      <c r="H281" s="1" t="str">
        <f aca="false">IFERROR((G281-F281)/F281,"")</f>
        <v/>
      </c>
      <c r="K281" s="1" t="str">
        <f aca="false">IFERROR((J281-I281)/I281,"")</f>
        <v/>
      </c>
      <c r="R281" s="1" t="str">
        <f aca="false">IFERROR((D281-N281)/N281,"")</f>
        <v/>
      </c>
      <c r="S281" s="14"/>
      <c r="T281" s="14"/>
    </row>
    <row r="282" customFormat="false" ht="15" hidden="false" customHeight="true" outlineLevel="0" collapsed="false">
      <c r="B282" s="14"/>
      <c r="E282" s="1" t="str">
        <f aca="false">IFERROR((D282-C282)/C282,"")</f>
        <v/>
      </c>
      <c r="H282" s="1" t="str">
        <f aca="false">IFERROR((G282-F282)/F282,"")</f>
        <v/>
      </c>
      <c r="K282" s="1" t="str">
        <f aca="false">IFERROR((J282-I282)/I282,"")</f>
        <v/>
      </c>
      <c r="R282" s="1" t="str">
        <f aca="false">IFERROR((D282-N282)/N282,"")</f>
        <v/>
      </c>
      <c r="S282" s="14"/>
      <c r="T282" s="14"/>
    </row>
    <row r="283" customFormat="false" ht="15" hidden="false" customHeight="true" outlineLevel="0" collapsed="false">
      <c r="B283" s="14"/>
      <c r="E283" s="1" t="str">
        <f aca="false">IFERROR((D283-C283)/C283,"")</f>
        <v/>
      </c>
      <c r="H283" s="1" t="str">
        <f aca="false">IFERROR((G283-F283)/F283,"")</f>
        <v/>
      </c>
      <c r="K283" s="1" t="str">
        <f aca="false">IFERROR((J283-I283)/I283,"")</f>
        <v/>
      </c>
      <c r="R283" s="1" t="str">
        <f aca="false">IFERROR((D283-N283)/N283,"")</f>
        <v/>
      </c>
      <c r="S283" s="14"/>
      <c r="T283" s="14"/>
    </row>
    <row r="284" customFormat="false" ht="15" hidden="false" customHeight="true" outlineLevel="0" collapsed="false">
      <c r="B284" s="14"/>
      <c r="E284" s="1" t="str">
        <f aca="false">IFERROR((D284-C284)/C284,"")</f>
        <v/>
      </c>
      <c r="H284" s="1" t="str">
        <f aca="false">IFERROR((G284-F284)/F284,"")</f>
        <v/>
      </c>
      <c r="K284" s="1" t="str">
        <f aca="false">IFERROR((J284-I284)/I284,"")</f>
        <v/>
      </c>
      <c r="R284" s="1" t="str">
        <f aca="false">IFERROR((D284-N284)/N284,"")</f>
        <v/>
      </c>
      <c r="S284" s="14"/>
      <c r="T284" s="14"/>
    </row>
    <row r="285" customFormat="false" ht="15" hidden="false" customHeight="true" outlineLevel="0" collapsed="false">
      <c r="B285" s="14"/>
      <c r="E285" s="1" t="str">
        <f aca="false">IFERROR((D285-C285)/C285,"")</f>
        <v/>
      </c>
      <c r="H285" s="1" t="str">
        <f aca="false">IFERROR((G285-F285)/F285,"")</f>
        <v/>
      </c>
      <c r="K285" s="1" t="str">
        <f aca="false">IFERROR((J285-I285)/I285,"")</f>
        <v/>
      </c>
      <c r="R285" s="1" t="str">
        <f aca="false">IFERROR((D285-N285)/N285,"")</f>
        <v/>
      </c>
      <c r="S285" s="14"/>
      <c r="T285" s="14"/>
    </row>
    <row r="286" customFormat="false" ht="15" hidden="false" customHeight="true" outlineLevel="0" collapsed="false">
      <c r="B286" s="14"/>
      <c r="E286" s="1" t="str">
        <f aca="false">IFERROR((D286-C286)/C286,"")</f>
        <v/>
      </c>
      <c r="H286" s="1" t="str">
        <f aca="false">IFERROR((G286-F286)/F286,"")</f>
        <v/>
      </c>
      <c r="K286" s="1" t="str">
        <f aca="false">IFERROR((J286-I286)/I286,"")</f>
        <v/>
      </c>
      <c r="R286" s="1" t="str">
        <f aca="false">IFERROR((D286-N286)/N286,"")</f>
        <v/>
      </c>
      <c r="S286" s="14"/>
      <c r="T286" s="14"/>
    </row>
    <row r="287" customFormat="false" ht="15" hidden="false" customHeight="true" outlineLevel="0" collapsed="false">
      <c r="B287" s="14"/>
      <c r="E287" s="1" t="str">
        <f aca="false">IFERROR((D287-C287)/C287,"")</f>
        <v/>
      </c>
      <c r="H287" s="1" t="str">
        <f aca="false">IFERROR((G287-F287)/F287,"")</f>
        <v/>
      </c>
      <c r="K287" s="1" t="str">
        <f aca="false">IFERROR((J287-I287)/I287,"")</f>
        <v/>
      </c>
      <c r="R287" s="1" t="str">
        <f aca="false">IFERROR((D287-N287)/N287,"")</f>
        <v/>
      </c>
      <c r="S287" s="14"/>
      <c r="T287" s="14"/>
    </row>
    <row r="288" customFormat="false" ht="15" hidden="false" customHeight="true" outlineLevel="0" collapsed="false">
      <c r="B288" s="14"/>
      <c r="E288" s="1" t="str">
        <f aca="false">IFERROR((D288-C288)/C288,"")</f>
        <v/>
      </c>
      <c r="H288" s="1" t="str">
        <f aca="false">IFERROR((G288-F288)/F288,"")</f>
        <v/>
      </c>
      <c r="K288" s="1" t="str">
        <f aca="false">IFERROR((J288-I288)/I288,"")</f>
        <v/>
      </c>
      <c r="R288" s="1" t="str">
        <f aca="false">IFERROR((D288-N288)/N288,"")</f>
        <v/>
      </c>
      <c r="S288" s="14"/>
      <c r="T288" s="14"/>
    </row>
    <row r="289" customFormat="false" ht="15" hidden="false" customHeight="true" outlineLevel="0" collapsed="false">
      <c r="B289" s="14"/>
      <c r="E289" s="1" t="str">
        <f aca="false">IFERROR((D289-C289)/C289,"")</f>
        <v/>
      </c>
      <c r="H289" s="1" t="str">
        <f aca="false">IFERROR((G289-F289)/F289,"")</f>
        <v/>
      </c>
      <c r="K289" s="1" t="str">
        <f aca="false">IFERROR((J289-I289)/I289,"")</f>
        <v/>
      </c>
      <c r="R289" s="1" t="str">
        <f aca="false">IFERROR((D289-N289)/N289,"")</f>
        <v/>
      </c>
      <c r="S289" s="14"/>
      <c r="T289" s="14"/>
    </row>
    <row r="290" customFormat="false" ht="15" hidden="false" customHeight="true" outlineLevel="0" collapsed="false">
      <c r="B290" s="14"/>
      <c r="E290" s="1" t="str">
        <f aca="false">IFERROR((D290-C290)/C290,"")</f>
        <v/>
      </c>
      <c r="H290" s="1" t="str">
        <f aca="false">IFERROR((G290-F290)/F290,"")</f>
        <v/>
      </c>
      <c r="K290" s="1" t="str">
        <f aca="false">IFERROR((J290-I290)/I290,"")</f>
        <v/>
      </c>
      <c r="R290" s="1" t="str">
        <f aca="false">IFERROR((D290-N290)/N290,"")</f>
        <v/>
      </c>
      <c r="S290" s="14"/>
      <c r="T290" s="14"/>
    </row>
    <row r="291" customFormat="false" ht="15" hidden="false" customHeight="true" outlineLevel="0" collapsed="false">
      <c r="B291" s="14"/>
      <c r="E291" s="1" t="str">
        <f aca="false">IFERROR((D291-C291)/C291,"")</f>
        <v/>
      </c>
      <c r="H291" s="1" t="str">
        <f aca="false">IFERROR((G291-F291)/F291,"")</f>
        <v/>
      </c>
      <c r="K291" s="1" t="str">
        <f aca="false">IFERROR((J291-I291)/I291,"")</f>
        <v/>
      </c>
      <c r="R291" s="1" t="str">
        <f aca="false">IFERROR((D291-N291)/N291,"")</f>
        <v/>
      </c>
      <c r="S291" s="14"/>
      <c r="T291" s="14"/>
    </row>
    <row r="292" customFormat="false" ht="15" hidden="false" customHeight="true" outlineLevel="0" collapsed="false">
      <c r="B292" s="14"/>
      <c r="E292" s="1" t="str">
        <f aca="false">IFERROR((D292-C292)/C292,"")</f>
        <v/>
      </c>
      <c r="H292" s="1" t="str">
        <f aca="false">IFERROR((G292-F292)/F292,"")</f>
        <v/>
      </c>
      <c r="K292" s="1" t="str">
        <f aca="false">IFERROR((J292-I292)/I292,"")</f>
        <v/>
      </c>
      <c r="R292" s="1" t="str">
        <f aca="false">IFERROR((D292-N292)/N292,"")</f>
        <v/>
      </c>
      <c r="S292" s="14"/>
      <c r="T292" s="14"/>
    </row>
    <row r="293" customFormat="false" ht="15" hidden="false" customHeight="true" outlineLevel="0" collapsed="false">
      <c r="B293" s="14"/>
      <c r="E293" s="1" t="str">
        <f aca="false">IFERROR((D293-C293)/C293,"")</f>
        <v/>
      </c>
      <c r="H293" s="1" t="str">
        <f aca="false">IFERROR((G293-F293)/F293,"")</f>
        <v/>
      </c>
      <c r="K293" s="1" t="str">
        <f aca="false">IFERROR((J293-I293)/I293,"")</f>
        <v/>
      </c>
      <c r="R293" s="1" t="str">
        <f aca="false">IFERROR((D293-N293)/N293,"")</f>
        <v/>
      </c>
      <c r="S293" s="14"/>
      <c r="T293" s="14"/>
    </row>
    <row r="294" customFormat="false" ht="15" hidden="false" customHeight="true" outlineLevel="0" collapsed="false">
      <c r="B294" s="14"/>
      <c r="E294" s="1" t="str">
        <f aca="false">IFERROR((D294-C294)/C294,"")</f>
        <v/>
      </c>
      <c r="H294" s="1" t="str">
        <f aca="false">IFERROR((G294-F294)/F294,"")</f>
        <v/>
      </c>
      <c r="K294" s="1" t="str">
        <f aca="false">IFERROR((J294-I294)/I294,"")</f>
        <v/>
      </c>
      <c r="R294" s="1" t="str">
        <f aca="false">IFERROR((D294-N294)/N294,"")</f>
        <v/>
      </c>
      <c r="S294" s="14"/>
      <c r="T294" s="14"/>
    </row>
    <row r="295" customFormat="false" ht="15" hidden="false" customHeight="true" outlineLevel="0" collapsed="false">
      <c r="B295" s="14"/>
      <c r="E295" s="1" t="str">
        <f aca="false">IFERROR((D295-C295)/C295,"")</f>
        <v/>
      </c>
      <c r="H295" s="1" t="str">
        <f aca="false">IFERROR((G295-F295)/F295,"")</f>
        <v/>
      </c>
      <c r="K295" s="1" t="str">
        <f aca="false">IFERROR((J295-I295)/I295,"")</f>
        <v/>
      </c>
      <c r="R295" s="1" t="str">
        <f aca="false">IFERROR((D295-N295)/N295,"")</f>
        <v/>
      </c>
      <c r="S295" s="14"/>
      <c r="T295" s="14"/>
    </row>
    <row r="296" customFormat="false" ht="15" hidden="false" customHeight="true" outlineLevel="0" collapsed="false">
      <c r="B296" s="14"/>
      <c r="E296" s="1" t="str">
        <f aca="false">IFERROR((D296-C296)/C296,"")</f>
        <v/>
      </c>
      <c r="H296" s="1" t="str">
        <f aca="false">IFERROR((G296-F296)/F296,"")</f>
        <v/>
      </c>
      <c r="K296" s="1" t="str">
        <f aca="false">IFERROR((J296-I296)/I296,"")</f>
        <v/>
      </c>
      <c r="R296" s="1" t="str">
        <f aca="false">IFERROR((D296-N296)/N296,"")</f>
        <v/>
      </c>
      <c r="S296" s="14"/>
      <c r="T296" s="14"/>
    </row>
    <row r="297" customFormat="false" ht="15" hidden="false" customHeight="true" outlineLevel="0" collapsed="false">
      <c r="B297" s="14"/>
      <c r="E297" s="1" t="str">
        <f aca="false">IFERROR((D297-C297)/C297,"")</f>
        <v/>
      </c>
      <c r="H297" s="1" t="str">
        <f aca="false">IFERROR((G297-F297)/F297,"")</f>
        <v/>
      </c>
      <c r="K297" s="1" t="str">
        <f aca="false">IFERROR((J297-I297)/I297,"")</f>
        <v/>
      </c>
      <c r="R297" s="1" t="str">
        <f aca="false">IFERROR((D297-N297)/N297,"")</f>
        <v/>
      </c>
      <c r="S297" s="14"/>
      <c r="T297" s="14"/>
    </row>
    <row r="298" customFormat="false" ht="15" hidden="false" customHeight="true" outlineLevel="0" collapsed="false">
      <c r="B298" s="14"/>
      <c r="E298" s="1" t="str">
        <f aca="false">IFERROR((D298-C298)/C298,"")</f>
        <v/>
      </c>
      <c r="H298" s="1" t="str">
        <f aca="false">IFERROR((G298-F298)/F298,"")</f>
        <v/>
      </c>
      <c r="K298" s="1" t="str">
        <f aca="false">IFERROR((J298-I298)/I298,"")</f>
        <v/>
      </c>
      <c r="R298" s="1" t="str">
        <f aca="false">IFERROR((D298-N298)/N298,"")</f>
        <v/>
      </c>
      <c r="S298" s="14"/>
      <c r="T298" s="14"/>
    </row>
    <row r="299" customFormat="false" ht="15" hidden="false" customHeight="true" outlineLevel="0" collapsed="false">
      <c r="B299" s="14"/>
      <c r="E299" s="1" t="str">
        <f aca="false">IFERROR((D299-C299)/C299,"")</f>
        <v/>
      </c>
      <c r="H299" s="1" t="str">
        <f aca="false">IFERROR((G299-F299)/F299,"")</f>
        <v/>
      </c>
      <c r="K299" s="1" t="str">
        <f aca="false">IFERROR((J299-I299)/I299,"")</f>
        <v/>
      </c>
      <c r="R299" s="1" t="str">
        <f aca="false">IFERROR((D299-N299)/N299,"")</f>
        <v/>
      </c>
      <c r="S299" s="14"/>
      <c r="T299" s="14"/>
    </row>
    <row r="300" customFormat="false" ht="15" hidden="false" customHeight="true" outlineLevel="0" collapsed="false">
      <c r="B300" s="14"/>
      <c r="E300" s="1" t="str">
        <f aca="false">IFERROR((D300-C300)/C300,"")</f>
        <v/>
      </c>
      <c r="H300" s="1" t="str">
        <f aca="false">IFERROR((G300-F300)/F300,"")</f>
        <v/>
      </c>
      <c r="K300" s="1" t="str">
        <f aca="false">IFERROR((J300-I300)/I300,"")</f>
        <v/>
      </c>
      <c r="R300" s="1" t="str">
        <f aca="false">IFERROR((D300-N300)/N300,"")</f>
        <v/>
      </c>
      <c r="S300" s="14"/>
      <c r="T300" s="14"/>
    </row>
    <row r="301" customFormat="false" ht="15" hidden="false" customHeight="true" outlineLevel="0" collapsed="false">
      <c r="B301" s="14"/>
      <c r="E301" s="1" t="str">
        <f aca="false">IFERROR((D301-C301)/C301,"")</f>
        <v/>
      </c>
      <c r="H301" s="1" t="str">
        <f aca="false">IFERROR((G301-F301)/F301,"")</f>
        <v/>
      </c>
      <c r="K301" s="1" t="str">
        <f aca="false">IFERROR((J301-I301)/I301,"")</f>
        <v/>
      </c>
      <c r="R301" s="1" t="str">
        <f aca="false">IFERROR((D301-N301)/N301,"")</f>
        <v/>
      </c>
      <c r="S301" s="14"/>
      <c r="T301" s="14"/>
    </row>
    <row r="302" customFormat="false" ht="15" hidden="false" customHeight="true" outlineLevel="0" collapsed="false">
      <c r="B302" s="14"/>
      <c r="E302" s="1" t="str">
        <f aca="false">IFERROR((D302-C302)/C302,"")</f>
        <v/>
      </c>
      <c r="H302" s="1" t="str">
        <f aca="false">IFERROR((G302-F302)/F302,"")</f>
        <v/>
      </c>
      <c r="K302" s="1" t="str">
        <f aca="false">IFERROR((J302-I302)/I302,"")</f>
        <v/>
      </c>
      <c r="R302" s="1" t="str">
        <f aca="false">IFERROR((D302-N302)/N302,"")</f>
        <v/>
      </c>
      <c r="S302" s="14"/>
      <c r="T302" s="14"/>
    </row>
    <row r="303" customFormat="false" ht="15" hidden="false" customHeight="true" outlineLevel="0" collapsed="false">
      <c r="B303" s="14"/>
      <c r="E303" s="1" t="str">
        <f aca="false">IFERROR((D303-C303)/C303,"")</f>
        <v/>
      </c>
      <c r="H303" s="1" t="str">
        <f aca="false">IFERROR((G303-F303)/F303,"")</f>
        <v/>
      </c>
      <c r="K303" s="1" t="str">
        <f aca="false">IFERROR((J303-I303)/I303,"")</f>
        <v/>
      </c>
      <c r="R303" s="1" t="str">
        <f aca="false">IFERROR((D303-N303)/N303,"")</f>
        <v/>
      </c>
      <c r="S303" s="14"/>
      <c r="T303" s="14"/>
    </row>
    <row r="304" customFormat="false" ht="15" hidden="false" customHeight="true" outlineLevel="0" collapsed="false">
      <c r="B304" s="14"/>
      <c r="E304" s="1" t="str">
        <f aca="false">IFERROR((D304-C304)/C304,"")</f>
        <v/>
      </c>
      <c r="H304" s="1" t="str">
        <f aca="false">IFERROR((G304-F304)/F304,"")</f>
        <v/>
      </c>
      <c r="K304" s="1" t="str">
        <f aca="false">IFERROR((J304-I304)/I304,"")</f>
        <v/>
      </c>
      <c r="R304" s="1" t="str">
        <f aca="false">IFERROR((D304-N304)/N304,"")</f>
        <v/>
      </c>
      <c r="S304" s="14"/>
      <c r="T304" s="14"/>
    </row>
    <row r="305" customFormat="false" ht="15" hidden="false" customHeight="true" outlineLevel="0" collapsed="false">
      <c r="B305" s="14"/>
      <c r="E305" s="1" t="str">
        <f aca="false">IFERROR((D305-C305)/C305,"")</f>
        <v/>
      </c>
      <c r="H305" s="1" t="str">
        <f aca="false">IFERROR((G305-F305)/F305,"")</f>
        <v/>
      </c>
      <c r="K305" s="1" t="str">
        <f aca="false">IFERROR((J305-I305)/I305,"")</f>
        <v/>
      </c>
      <c r="R305" s="1" t="str">
        <f aca="false">IFERROR((D305-N305)/N305,"")</f>
        <v/>
      </c>
      <c r="S305" s="14"/>
      <c r="T305" s="14"/>
    </row>
    <row r="306" customFormat="false" ht="15" hidden="false" customHeight="true" outlineLevel="0" collapsed="false">
      <c r="B306" s="14"/>
      <c r="E306" s="1" t="str">
        <f aca="false">IFERROR((D306-C306)/C306,"")</f>
        <v/>
      </c>
      <c r="H306" s="1" t="str">
        <f aca="false">IFERROR((G306-F306)/F306,"")</f>
        <v/>
      </c>
      <c r="K306" s="1" t="str">
        <f aca="false">IFERROR((J306-I306)/I306,"")</f>
        <v/>
      </c>
      <c r="R306" s="1" t="str">
        <f aca="false">IFERROR((D306-N306)/N306,"")</f>
        <v/>
      </c>
      <c r="S306" s="14"/>
      <c r="T306" s="14"/>
    </row>
    <row r="307" customFormat="false" ht="15" hidden="false" customHeight="true" outlineLevel="0" collapsed="false">
      <c r="B307" s="14"/>
      <c r="E307" s="1" t="str">
        <f aca="false">IFERROR((D307-C307)/C307,"")</f>
        <v/>
      </c>
      <c r="H307" s="1" t="str">
        <f aca="false">IFERROR((G307-F307)/F307,"")</f>
        <v/>
      </c>
      <c r="K307" s="1" t="str">
        <f aca="false">IFERROR((J307-I307)/I307,"")</f>
        <v/>
      </c>
      <c r="R307" s="1" t="str">
        <f aca="false">IFERROR((D307-N307)/N307,"")</f>
        <v/>
      </c>
      <c r="S307" s="14"/>
      <c r="T307" s="14"/>
    </row>
    <row r="308" customFormat="false" ht="15" hidden="false" customHeight="true" outlineLevel="0" collapsed="false">
      <c r="B308" s="14"/>
      <c r="E308" s="1" t="str">
        <f aca="false">IFERROR((D308-C308)/C308,"")</f>
        <v/>
      </c>
      <c r="H308" s="1" t="str">
        <f aca="false">IFERROR((G308-F308)/F308,"")</f>
        <v/>
      </c>
      <c r="K308" s="1" t="str">
        <f aca="false">IFERROR((J308-I308)/I308,"")</f>
        <v/>
      </c>
      <c r="R308" s="1" t="str">
        <f aca="false">IFERROR((D308-N308)/N308,"")</f>
        <v/>
      </c>
      <c r="S308" s="14"/>
      <c r="T308" s="14"/>
    </row>
    <row r="309" customFormat="false" ht="15" hidden="false" customHeight="true" outlineLevel="0" collapsed="false">
      <c r="B309" s="14"/>
      <c r="E309" s="1" t="str">
        <f aca="false">IFERROR((D309-C309)/C309,"")</f>
        <v/>
      </c>
      <c r="H309" s="1" t="str">
        <f aca="false">IFERROR((G309-F309)/F309,"")</f>
        <v/>
      </c>
      <c r="K309" s="1" t="str">
        <f aca="false">IFERROR((J309-I309)/I309,"")</f>
        <v/>
      </c>
      <c r="R309" s="1" t="str">
        <f aca="false">IFERROR((D309-N309)/N309,"")</f>
        <v/>
      </c>
      <c r="S309" s="14"/>
      <c r="T309" s="14"/>
    </row>
    <row r="310" customFormat="false" ht="15" hidden="false" customHeight="true" outlineLevel="0" collapsed="false">
      <c r="B310" s="14"/>
      <c r="E310" s="1" t="str">
        <f aca="false">IFERROR((D310-C310)/C310,"")</f>
        <v/>
      </c>
      <c r="H310" s="1" t="str">
        <f aca="false">IFERROR((G310-F310)/F310,"")</f>
        <v/>
      </c>
      <c r="K310" s="1" t="str">
        <f aca="false">IFERROR((J310-I310)/I310,"")</f>
        <v/>
      </c>
      <c r="R310" s="1" t="str">
        <f aca="false">IFERROR((D310-N310)/N310,"")</f>
        <v/>
      </c>
      <c r="S310" s="14"/>
      <c r="T310" s="14"/>
    </row>
    <row r="311" customFormat="false" ht="15" hidden="false" customHeight="true" outlineLevel="0" collapsed="false">
      <c r="B311" s="14"/>
      <c r="E311" s="1" t="str">
        <f aca="false">IFERROR((D311-C311)/C311,"")</f>
        <v/>
      </c>
      <c r="H311" s="1" t="str">
        <f aca="false">IFERROR((G311-F311)/F311,"")</f>
        <v/>
      </c>
      <c r="K311" s="1" t="str">
        <f aca="false">IFERROR((J311-I311)/I311,"")</f>
        <v/>
      </c>
      <c r="R311" s="1" t="str">
        <f aca="false">IFERROR((D311-N311)/N311,"")</f>
        <v/>
      </c>
      <c r="S311" s="14"/>
      <c r="T311" s="14"/>
    </row>
    <row r="312" customFormat="false" ht="15" hidden="false" customHeight="true" outlineLevel="0" collapsed="false">
      <c r="B312" s="14"/>
      <c r="E312" s="1" t="str">
        <f aca="false">IFERROR((D312-C312)/C312,"")</f>
        <v/>
      </c>
      <c r="H312" s="1" t="str">
        <f aca="false">IFERROR((G312-F312)/F312,"")</f>
        <v/>
      </c>
      <c r="K312" s="1" t="str">
        <f aca="false">IFERROR((J312-I312)/I312,"")</f>
        <v/>
      </c>
      <c r="R312" s="1" t="str">
        <f aca="false">IFERROR((D312-N312)/N312,"")</f>
        <v/>
      </c>
      <c r="S312" s="14"/>
      <c r="T312" s="14"/>
    </row>
    <row r="313" customFormat="false" ht="15" hidden="false" customHeight="true" outlineLevel="0" collapsed="false">
      <c r="B313" s="14"/>
      <c r="E313" s="1" t="str">
        <f aca="false">IFERROR((D313-C313)/C313,"")</f>
        <v/>
      </c>
      <c r="H313" s="1" t="str">
        <f aca="false">IFERROR((G313-F313)/F313,"")</f>
        <v/>
      </c>
      <c r="K313" s="1" t="str">
        <f aca="false">IFERROR((J313-I313)/I313,"")</f>
        <v/>
      </c>
      <c r="R313" s="1" t="str">
        <f aca="false">IFERROR((D313-N313)/N313,"")</f>
        <v/>
      </c>
      <c r="S313" s="14"/>
      <c r="T313" s="14"/>
    </row>
    <row r="314" customFormat="false" ht="15" hidden="false" customHeight="true" outlineLevel="0" collapsed="false">
      <c r="B314" s="14"/>
      <c r="E314" s="1" t="str">
        <f aca="false">IFERROR((D314-C314)/C314,"")</f>
        <v/>
      </c>
      <c r="H314" s="1" t="str">
        <f aca="false">IFERROR((G314-F314)/F314,"")</f>
        <v/>
      </c>
      <c r="K314" s="1" t="str">
        <f aca="false">IFERROR((J314-I314)/I314,"")</f>
        <v/>
      </c>
      <c r="R314" s="1" t="str">
        <f aca="false">IFERROR((D314-N314)/N314,"")</f>
        <v/>
      </c>
      <c r="S314" s="14"/>
      <c r="T314" s="14"/>
    </row>
    <row r="315" customFormat="false" ht="15" hidden="false" customHeight="true" outlineLevel="0" collapsed="false">
      <c r="B315" s="14"/>
      <c r="E315" s="1" t="str">
        <f aca="false">IFERROR((D315-C315)/C315,"")</f>
        <v/>
      </c>
      <c r="H315" s="1" t="str">
        <f aca="false">IFERROR((G315-F315)/F315,"")</f>
        <v/>
      </c>
      <c r="K315" s="1" t="str">
        <f aca="false">IFERROR((J315-I315)/I315,"")</f>
        <v/>
      </c>
      <c r="R315" s="1" t="str">
        <f aca="false">IFERROR((D315-N315)/N315,"")</f>
        <v/>
      </c>
      <c r="S315" s="14"/>
      <c r="T315" s="14"/>
    </row>
    <row r="316" customFormat="false" ht="15" hidden="false" customHeight="true" outlineLevel="0" collapsed="false">
      <c r="B316" s="14"/>
      <c r="E316" s="1" t="str">
        <f aca="false">IFERROR((D316-C316)/C316,"")</f>
        <v/>
      </c>
      <c r="H316" s="1" t="str">
        <f aca="false">IFERROR((G316-F316)/F316,"")</f>
        <v/>
      </c>
      <c r="K316" s="1" t="str">
        <f aca="false">IFERROR((J316-I316)/I316,"")</f>
        <v/>
      </c>
      <c r="R316" s="1" t="str">
        <f aca="false">IFERROR((D316-N316)/N316,"")</f>
        <v/>
      </c>
      <c r="S316" s="14"/>
      <c r="T316" s="14"/>
    </row>
    <row r="317" customFormat="false" ht="15" hidden="false" customHeight="true" outlineLevel="0" collapsed="false">
      <c r="B317" s="14"/>
      <c r="E317" s="1" t="str">
        <f aca="false">IFERROR((D317-C317)/C317,"")</f>
        <v/>
      </c>
      <c r="H317" s="1" t="str">
        <f aca="false">IFERROR((G317-F317)/F317,"")</f>
        <v/>
      </c>
      <c r="K317" s="1" t="str">
        <f aca="false">IFERROR((J317-I317)/I317,"")</f>
        <v/>
      </c>
      <c r="R317" s="1" t="str">
        <f aca="false">IFERROR((D317-N317)/N317,"")</f>
        <v/>
      </c>
      <c r="S317" s="14"/>
      <c r="T317" s="14"/>
    </row>
    <row r="318" customFormat="false" ht="15" hidden="false" customHeight="true" outlineLevel="0" collapsed="false">
      <c r="B318" s="14"/>
      <c r="E318" s="1" t="str">
        <f aca="false">IFERROR((D318-C318)/C318,"")</f>
        <v/>
      </c>
      <c r="H318" s="1" t="str">
        <f aca="false">IFERROR((G318-F318)/F318,"")</f>
        <v/>
      </c>
      <c r="K318" s="1" t="str">
        <f aca="false">IFERROR((J318-I318)/I318,"")</f>
        <v/>
      </c>
      <c r="R318" s="1" t="str">
        <f aca="false">IFERROR((D318-N318)/N318,"")</f>
        <v/>
      </c>
      <c r="S318" s="14"/>
      <c r="T318" s="14"/>
    </row>
    <row r="319" customFormat="false" ht="15" hidden="false" customHeight="true" outlineLevel="0" collapsed="false">
      <c r="B319" s="14"/>
      <c r="E319" s="1" t="str">
        <f aca="false">IFERROR((D319-C319)/C319,"")</f>
        <v/>
      </c>
      <c r="H319" s="1" t="str">
        <f aca="false">IFERROR((G319-F319)/F319,"")</f>
        <v/>
      </c>
      <c r="K319" s="1" t="str">
        <f aca="false">IFERROR((J319-I319)/I319,"")</f>
        <v/>
      </c>
      <c r="R319" s="1" t="str">
        <f aca="false">IFERROR((D319-N319)/N319,"")</f>
        <v/>
      </c>
      <c r="S319" s="14"/>
      <c r="T319" s="14"/>
    </row>
    <row r="320" customFormat="false" ht="15" hidden="false" customHeight="true" outlineLevel="0" collapsed="false">
      <c r="B320" s="14"/>
      <c r="E320" s="1" t="str">
        <f aca="false">IFERROR((D320-C320)/C320,"")</f>
        <v/>
      </c>
      <c r="H320" s="1" t="str">
        <f aca="false">IFERROR((G320-F320)/F320,"")</f>
        <v/>
      </c>
      <c r="K320" s="1" t="str">
        <f aca="false">IFERROR((J320-I320)/I320,"")</f>
        <v/>
      </c>
      <c r="R320" s="1" t="str">
        <f aca="false">IFERROR((D320-N320)/N320,"")</f>
        <v/>
      </c>
      <c r="S320" s="14"/>
      <c r="T320" s="14"/>
    </row>
    <row r="321" customFormat="false" ht="15" hidden="false" customHeight="true" outlineLevel="0" collapsed="false">
      <c r="B321" s="14"/>
      <c r="E321" s="1" t="str">
        <f aca="false">IFERROR((D321-C321)/C321,"")</f>
        <v/>
      </c>
      <c r="H321" s="1" t="str">
        <f aca="false">IFERROR((G321-F321)/F321,"")</f>
        <v/>
      </c>
      <c r="K321" s="1" t="str">
        <f aca="false">IFERROR((J321-I321)/I321,"")</f>
        <v/>
      </c>
      <c r="R321" s="1" t="str">
        <f aca="false">IFERROR((D321-N321)/N321,"")</f>
        <v/>
      </c>
      <c r="S321" s="14"/>
      <c r="T321" s="14"/>
    </row>
    <row r="322" customFormat="false" ht="15" hidden="false" customHeight="true" outlineLevel="0" collapsed="false">
      <c r="B322" s="14"/>
      <c r="E322" s="1" t="str">
        <f aca="false">IFERROR((D322-C322)/C322,"")</f>
        <v/>
      </c>
      <c r="H322" s="1" t="str">
        <f aca="false">IFERROR((G322-F322)/F322,"")</f>
        <v/>
      </c>
      <c r="K322" s="1" t="str">
        <f aca="false">IFERROR((J322-I322)/I322,"")</f>
        <v/>
      </c>
      <c r="R322" s="1" t="str">
        <f aca="false">IFERROR((D322-N322)/N322,"")</f>
        <v/>
      </c>
      <c r="S322" s="14"/>
      <c r="T322" s="14"/>
    </row>
    <row r="323" customFormat="false" ht="15" hidden="false" customHeight="true" outlineLevel="0" collapsed="false">
      <c r="B323" s="14"/>
      <c r="E323" s="1" t="str">
        <f aca="false">IFERROR((D323-C323)/C323,"")</f>
        <v/>
      </c>
      <c r="H323" s="1" t="str">
        <f aca="false">IFERROR((G323-F323)/F323,"")</f>
        <v/>
      </c>
      <c r="K323" s="1" t="str">
        <f aca="false">IFERROR((J323-I323)/I323,"")</f>
        <v/>
      </c>
      <c r="R323" s="1" t="str">
        <f aca="false">IFERROR((D323-N323)/N323,"")</f>
        <v/>
      </c>
      <c r="S323" s="14"/>
      <c r="T323" s="14"/>
    </row>
    <row r="324" customFormat="false" ht="15" hidden="false" customHeight="true" outlineLevel="0" collapsed="false">
      <c r="B324" s="14"/>
      <c r="E324" s="1" t="str">
        <f aca="false">IFERROR((D324-C324)/C324,"")</f>
        <v/>
      </c>
      <c r="H324" s="1" t="str">
        <f aca="false">IFERROR((G324-F324)/F324,"")</f>
        <v/>
      </c>
      <c r="K324" s="1" t="str">
        <f aca="false">IFERROR((J324-I324)/I324,"")</f>
        <v/>
      </c>
      <c r="R324" s="1" t="str">
        <f aca="false">IFERROR((D324-N324)/N324,"")</f>
        <v/>
      </c>
      <c r="S324" s="14"/>
      <c r="T324" s="14"/>
    </row>
    <row r="325" customFormat="false" ht="15" hidden="false" customHeight="true" outlineLevel="0" collapsed="false">
      <c r="B325" s="14"/>
      <c r="E325" s="1" t="str">
        <f aca="false">IFERROR((D325-C325)/C325,"")</f>
        <v/>
      </c>
      <c r="H325" s="1" t="str">
        <f aca="false">IFERROR((G325-F325)/F325,"")</f>
        <v/>
      </c>
      <c r="K325" s="1" t="str">
        <f aca="false">IFERROR((J325-I325)/I325,"")</f>
        <v/>
      </c>
      <c r="R325" s="1" t="str">
        <f aca="false">IFERROR((D325-N325)/N325,"")</f>
        <v/>
      </c>
      <c r="S325" s="14"/>
      <c r="T325" s="14"/>
    </row>
    <row r="326" customFormat="false" ht="15" hidden="false" customHeight="true" outlineLevel="0" collapsed="false">
      <c r="B326" s="14"/>
      <c r="E326" s="1" t="str">
        <f aca="false">IFERROR((D326-C326)/C326,"")</f>
        <v/>
      </c>
      <c r="H326" s="1" t="str">
        <f aca="false">IFERROR((G326-F326)/F326,"")</f>
        <v/>
      </c>
      <c r="K326" s="1" t="str">
        <f aca="false">IFERROR((J326-I326)/I326,"")</f>
        <v/>
      </c>
      <c r="R326" s="1" t="str">
        <f aca="false">IFERROR((D326-N326)/N326,"")</f>
        <v/>
      </c>
      <c r="S326" s="14"/>
      <c r="T326" s="14"/>
    </row>
    <row r="327" customFormat="false" ht="15" hidden="false" customHeight="true" outlineLevel="0" collapsed="false">
      <c r="B327" s="14"/>
      <c r="E327" s="1" t="str">
        <f aca="false">IFERROR((D327-C327)/C327,"")</f>
        <v/>
      </c>
      <c r="H327" s="1" t="str">
        <f aca="false">IFERROR((G327-F327)/F327,"")</f>
        <v/>
      </c>
      <c r="K327" s="1" t="str">
        <f aca="false">IFERROR((J327-I327)/I327,"")</f>
        <v/>
      </c>
      <c r="R327" s="1" t="str">
        <f aca="false">IFERROR((D327-N327)/N327,"")</f>
        <v/>
      </c>
      <c r="S327" s="14"/>
      <c r="T327" s="14"/>
    </row>
    <row r="328" customFormat="false" ht="15" hidden="false" customHeight="true" outlineLevel="0" collapsed="false">
      <c r="B328" s="14"/>
      <c r="E328" s="1" t="str">
        <f aca="false">IFERROR((D328-C328)/C328,"")</f>
        <v/>
      </c>
      <c r="H328" s="1" t="str">
        <f aca="false">IFERROR((G328-F328)/F328,"")</f>
        <v/>
      </c>
      <c r="K328" s="1" t="str">
        <f aca="false">IFERROR((J328-I328)/I328,"")</f>
        <v/>
      </c>
      <c r="R328" s="1" t="str">
        <f aca="false">IFERROR((D328-N328)/N328,"")</f>
        <v/>
      </c>
      <c r="S328" s="14"/>
      <c r="T328" s="14"/>
    </row>
    <row r="329" customFormat="false" ht="15" hidden="false" customHeight="true" outlineLevel="0" collapsed="false">
      <c r="B329" s="14"/>
      <c r="E329" s="1" t="str">
        <f aca="false">IFERROR((D329-C329)/C329,"")</f>
        <v/>
      </c>
      <c r="H329" s="1" t="str">
        <f aca="false">IFERROR((G329-F329)/F329,"")</f>
        <v/>
      </c>
      <c r="K329" s="1" t="str">
        <f aca="false">IFERROR((J329-I329)/I329,"")</f>
        <v/>
      </c>
      <c r="R329" s="1" t="str">
        <f aca="false">IFERROR((D329-N329)/N329,"")</f>
        <v/>
      </c>
      <c r="S329" s="14"/>
      <c r="T329" s="14"/>
    </row>
    <row r="330" customFormat="false" ht="15" hidden="false" customHeight="true" outlineLevel="0" collapsed="false">
      <c r="B330" s="14"/>
      <c r="E330" s="1" t="str">
        <f aca="false">IFERROR((D330-C330)/C330,"")</f>
        <v/>
      </c>
      <c r="H330" s="1" t="str">
        <f aca="false">IFERROR((G330-F330)/F330,"")</f>
        <v/>
      </c>
      <c r="K330" s="1" t="str">
        <f aca="false">IFERROR((J330-I330)/I330,"")</f>
        <v/>
      </c>
      <c r="R330" s="1" t="str">
        <f aca="false">IFERROR((D330-N330)/N330,"")</f>
        <v/>
      </c>
      <c r="S330" s="14"/>
      <c r="T330" s="14"/>
    </row>
    <row r="331" customFormat="false" ht="15" hidden="false" customHeight="true" outlineLevel="0" collapsed="false">
      <c r="B331" s="14"/>
      <c r="E331" s="1" t="str">
        <f aca="false">IFERROR((D331-C331)/C331,"")</f>
        <v/>
      </c>
      <c r="H331" s="1" t="str">
        <f aca="false">IFERROR((G331-F331)/F331,"")</f>
        <v/>
      </c>
      <c r="K331" s="1" t="str">
        <f aca="false">IFERROR((J331-I331)/I331,"")</f>
        <v/>
      </c>
      <c r="R331" s="1" t="str">
        <f aca="false">IFERROR((D331-N331)/N331,"")</f>
        <v/>
      </c>
      <c r="S331" s="14"/>
      <c r="T331" s="14"/>
    </row>
    <row r="332" customFormat="false" ht="15" hidden="false" customHeight="true" outlineLevel="0" collapsed="false">
      <c r="B332" s="14"/>
      <c r="E332" s="1" t="str">
        <f aca="false">IFERROR((D332-C332)/C332,"")</f>
        <v/>
      </c>
      <c r="H332" s="1" t="str">
        <f aca="false">IFERROR((G332-F332)/F332,"")</f>
        <v/>
      </c>
      <c r="K332" s="1" t="str">
        <f aca="false">IFERROR((J332-I332)/I332,"")</f>
        <v/>
      </c>
      <c r="R332" s="1" t="str">
        <f aca="false">IFERROR((D332-N332)/N332,"")</f>
        <v/>
      </c>
      <c r="S332" s="14"/>
      <c r="T332" s="14"/>
    </row>
    <row r="333" customFormat="false" ht="15" hidden="false" customHeight="true" outlineLevel="0" collapsed="false">
      <c r="B333" s="14"/>
      <c r="E333" s="1" t="str">
        <f aca="false">IFERROR((D333-C333)/C333,"")</f>
        <v/>
      </c>
      <c r="H333" s="1" t="str">
        <f aca="false">IFERROR((G333-F333)/F333,"")</f>
        <v/>
      </c>
      <c r="K333" s="1" t="str">
        <f aca="false">IFERROR((J333-I333)/I333,"")</f>
        <v/>
      </c>
      <c r="R333" s="1" t="str">
        <f aca="false">IFERROR((D333-N333)/N333,"")</f>
        <v/>
      </c>
      <c r="S333" s="14"/>
      <c r="T333" s="14"/>
    </row>
    <row r="334" customFormat="false" ht="15" hidden="false" customHeight="true" outlineLevel="0" collapsed="false">
      <c r="B334" s="14"/>
      <c r="E334" s="1" t="str">
        <f aca="false">IFERROR((D334-C334)/C334,"")</f>
        <v/>
      </c>
      <c r="H334" s="1" t="str">
        <f aca="false">IFERROR((G334-F334)/F334,"")</f>
        <v/>
      </c>
      <c r="K334" s="1" t="str">
        <f aca="false">IFERROR((J334-I334)/I334,"")</f>
        <v/>
      </c>
      <c r="R334" s="1" t="str">
        <f aca="false">IFERROR((D334-N334)/N334,"")</f>
        <v/>
      </c>
      <c r="S334" s="14"/>
      <c r="T334" s="14"/>
    </row>
    <row r="335" customFormat="false" ht="15" hidden="false" customHeight="true" outlineLevel="0" collapsed="false">
      <c r="B335" s="14"/>
      <c r="E335" s="1" t="str">
        <f aca="false">IFERROR((D335-C335)/C335,"")</f>
        <v/>
      </c>
      <c r="H335" s="1" t="str">
        <f aca="false">IFERROR((G335-F335)/F335,"")</f>
        <v/>
      </c>
      <c r="K335" s="1" t="str">
        <f aca="false">IFERROR((J335-I335)/I335,"")</f>
        <v/>
      </c>
      <c r="R335" s="1" t="str">
        <f aca="false">IFERROR((D335-N335)/N335,"")</f>
        <v/>
      </c>
      <c r="S335" s="14"/>
      <c r="T335" s="14"/>
    </row>
    <row r="336" customFormat="false" ht="15" hidden="false" customHeight="true" outlineLevel="0" collapsed="false">
      <c r="B336" s="14"/>
      <c r="E336" s="1" t="str">
        <f aca="false">IFERROR((D336-C336)/C336,"")</f>
        <v/>
      </c>
      <c r="H336" s="1" t="str">
        <f aca="false">IFERROR((G336-F336)/F336,"")</f>
        <v/>
      </c>
      <c r="K336" s="1" t="str">
        <f aca="false">IFERROR((J336-I336)/I336,"")</f>
        <v/>
      </c>
      <c r="R336" s="1" t="str">
        <f aca="false">IFERROR((D336-N336)/N336,"")</f>
        <v/>
      </c>
      <c r="S336" s="14"/>
      <c r="T336" s="14"/>
    </row>
    <row r="337" customFormat="false" ht="15" hidden="false" customHeight="true" outlineLevel="0" collapsed="false">
      <c r="B337" s="14"/>
      <c r="E337" s="1" t="str">
        <f aca="false">IFERROR((D337-C337)/C337,"")</f>
        <v/>
      </c>
      <c r="H337" s="1" t="str">
        <f aca="false">IFERROR((G337-F337)/F337,"")</f>
        <v/>
      </c>
      <c r="K337" s="1" t="str">
        <f aca="false">IFERROR((J337-I337)/I337,"")</f>
        <v/>
      </c>
      <c r="R337" s="1" t="str">
        <f aca="false">IFERROR((D337-N337)/N337,"")</f>
        <v/>
      </c>
      <c r="S337" s="14"/>
      <c r="T337" s="14"/>
    </row>
    <row r="338" customFormat="false" ht="15" hidden="false" customHeight="true" outlineLevel="0" collapsed="false">
      <c r="B338" s="14"/>
      <c r="E338" s="1" t="str">
        <f aca="false">IFERROR((D338-C338)/C338,"")</f>
        <v/>
      </c>
      <c r="H338" s="1" t="str">
        <f aca="false">IFERROR((G338-F338)/F338,"")</f>
        <v/>
      </c>
      <c r="K338" s="1" t="str">
        <f aca="false">IFERROR((J338-I338)/I338,"")</f>
        <v/>
      </c>
      <c r="R338" s="1" t="str">
        <f aca="false">IFERROR((D338-N338)/N338,"")</f>
        <v/>
      </c>
      <c r="S338" s="14"/>
      <c r="T338" s="14"/>
    </row>
    <row r="339" customFormat="false" ht="15" hidden="false" customHeight="true" outlineLevel="0" collapsed="false">
      <c r="B339" s="14"/>
      <c r="E339" s="1" t="str">
        <f aca="false">IFERROR((D339-C339)/C339,"")</f>
        <v/>
      </c>
      <c r="H339" s="1" t="str">
        <f aca="false">IFERROR((G339-F339)/F339,"")</f>
        <v/>
      </c>
      <c r="K339" s="1" t="str">
        <f aca="false">IFERROR((J339-I339)/I339,"")</f>
        <v/>
      </c>
      <c r="R339" s="1" t="str">
        <f aca="false">IFERROR((D339-N339)/N339,"")</f>
        <v/>
      </c>
      <c r="S339" s="14"/>
      <c r="T339" s="14"/>
    </row>
    <row r="340" customFormat="false" ht="15" hidden="false" customHeight="true" outlineLevel="0" collapsed="false">
      <c r="B340" s="14"/>
      <c r="E340" s="1" t="str">
        <f aca="false">IFERROR((D340-C340)/C340,"")</f>
        <v/>
      </c>
      <c r="H340" s="1" t="str">
        <f aca="false">IFERROR((G340-F340)/F340,"")</f>
        <v/>
      </c>
      <c r="K340" s="1" t="str">
        <f aca="false">IFERROR((J340-I340)/I340,"")</f>
        <v/>
      </c>
      <c r="R340" s="1" t="str">
        <f aca="false">IFERROR((D340-N340)/N340,"")</f>
        <v/>
      </c>
      <c r="S340" s="14"/>
      <c r="T340" s="14"/>
    </row>
    <row r="341" customFormat="false" ht="15" hidden="false" customHeight="true" outlineLevel="0" collapsed="false">
      <c r="B341" s="14"/>
      <c r="E341" s="1" t="str">
        <f aca="false">IFERROR((D341-C341)/C341,"")</f>
        <v/>
      </c>
      <c r="H341" s="1" t="str">
        <f aca="false">IFERROR((G341-F341)/F341,"")</f>
        <v/>
      </c>
      <c r="K341" s="1" t="str">
        <f aca="false">IFERROR((J341-I341)/I341,"")</f>
        <v/>
      </c>
      <c r="R341" s="1" t="str">
        <f aca="false">IFERROR((D341-N341)/N341,"")</f>
        <v/>
      </c>
      <c r="S341" s="14"/>
      <c r="T341" s="14"/>
    </row>
    <row r="342" customFormat="false" ht="15" hidden="false" customHeight="true" outlineLevel="0" collapsed="false">
      <c r="B342" s="14"/>
      <c r="E342" s="1" t="str">
        <f aca="false">IFERROR((D342-C342)/C342,"")</f>
        <v/>
      </c>
      <c r="H342" s="1" t="str">
        <f aca="false">IFERROR((G342-F342)/F342,"")</f>
        <v/>
      </c>
      <c r="K342" s="1" t="str">
        <f aca="false">IFERROR((J342-I342)/I342,"")</f>
        <v/>
      </c>
      <c r="R342" s="1" t="str">
        <f aca="false">IFERROR((D342-N342)/N342,"")</f>
        <v/>
      </c>
      <c r="S342" s="14"/>
      <c r="T342" s="14"/>
    </row>
    <row r="343" customFormat="false" ht="15" hidden="false" customHeight="true" outlineLevel="0" collapsed="false">
      <c r="B343" s="14"/>
      <c r="E343" s="1" t="str">
        <f aca="false">IFERROR((D343-C343)/C343,"")</f>
        <v/>
      </c>
      <c r="H343" s="1" t="str">
        <f aca="false">IFERROR((G343-F343)/F343,"")</f>
        <v/>
      </c>
      <c r="K343" s="1" t="str">
        <f aca="false">IFERROR((J343-I343)/I343,"")</f>
        <v/>
      </c>
      <c r="R343" s="1" t="str">
        <f aca="false">IFERROR((D343-N343)/N343,"")</f>
        <v/>
      </c>
      <c r="S343" s="14"/>
      <c r="T343" s="14"/>
    </row>
    <row r="344" customFormat="false" ht="15" hidden="false" customHeight="true" outlineLevel="0" collapsed="false">
      <c r="B344" s="14"/>
      <c r="E344" s="1" t="str">
        <f aca="false">IFERROR((D344-C344)/C344,"")</f>
        <v/>
      </c>
      <c r="H344" s="1" t="str">
        <f aca="false">IFERROR((G344-F344)/F344,"")</f>
        <v/>
      </c>
      <c r="K344" s="1" t="str">
        <f aca="false">IFERROR((J344-I344)/I344,"")</f>
        <v/>
      </c>
      <c r="R344" s="1" t="str">
        <f aca="false">IFERROR((D344-N344)/N344,"")</f>
        <v/>
      </c>
      <c r="S344" s="14"/>
      <c r="T344" s="14"/>
    </row>
    <row r="345" customFormat="false" ht="15" hidden="false" customHeight="true" outlineLevel="0" collapsed="false">
      <c r="B345" s="14"/>
      <c r="E345" s="1" t="str">
        <f aca="false">IFERROR((D345-C345)/C345,"")</f>
        <v/>
      </c>
      <c r="H345" s="1" t="str">
        <f aca="false">IFERROR((G345-F345)/F345,"")</f>
        <v/>
      </c>
      <c r="K345" s="1" t="str">
        <f aca="false">IFERROR((J345-I345)/I345,"")</f>
        <v/>
      </c>
      <c r="R345" s="1" t="str">
        <f aca="false">IFERROR((D345-N345)/N345,"")</f>
        <v/>
      </c>
      <c r="S345" s="14"/>
      <c r="T345" s="14"/>
    </row>
    <row r="346" customFormat="false" ht="15" hidden="false" customHeight="true" outlineLevel="0" collapsed="false">
      <c r="B346" s="14"/>
      <c r="E346" s="1" t="str">
        <f aca="false">IFERROR((D346-C346)/C346,"")</f>
        <v/>
      </c>
      <c r="H346" s="1" t="str">
        <f aca="false">IFERROR((G346-F346)/F346,"")</f>
        <v/>
      </c>
      <c r="K346" s="1" t="str">
        <f aca="false">IFERROR((J346-I346)/I346,"")</f>
        <v/>
      </c>
      <c r="R346" s="1" t="str">
        <f aca="false">IFERROR((D346-N346)/N346,"")</f>
        <v/>
      </c>
      <c r="S346" s="14"/>
      <c r="T346" s="14"/>
    </row>
    <row r="347" customFormat="false" ht="15" hidden="false" customHeight="true" outlineLevel="0" collapsed="false">
      <c r="B347" s="14"/>
      <c r="E347" s="1" t="str">
        <f aca="false">IFERROR((D347-C347)/C347,"")</f>
        <v/>
      </c>
      <c r="H347" s="1" t="str">
        <f aca="false">IFERROR((G347-F347)/F347,"")</f>
        <v/>
      </c>
      <c r="K347" s="1" t="str">
        <f aca="false">IFERROR((J347-I347)/I347,"")</f>
        <v/>
      </c>
      <c r="R347" s="1" t="str">
        <f aca="false">IFERROR((D347-N347)/N347,"")</f>
        <v/>
      </c>
      <c r="S347" s="14"/>
      <c r="T347" s="14"/>
    </row>
    <row r="348" customFormat="false" ht="15" hidden="false" customHeight="true" outlineLevel="0" collapsed="false">
      <c r="B348" s="14"/>
      <c r="E348" s="1" t="str">
        <f aca="false">IFERROR((D348-C348)/C348,"")</f>
        <v/>
      </c>
      <c r="H348" s="1" t="str">
        <f aca="false">IFERROR((G348-F348)/F348,"")</f>
        <v/>
      </c>
      <c r="K348" s="1" t="str">
        <f aca="false">IFERROR((J348-I348)/I348,"")</f>
        <v/>
      </c>
      <c r="R348" s="1" t="str">
        <f aca="false">IFERROR((D348-N348)/N348,"")</f>
        <v/>
      </c>
      <c r="S348" s="14"/>
      <c r="T348" s="14"/>
    </row>
    <row r="349" customFormat="false" ht="15" hidden="false" customHeight="true" outlineLevel="0" collapsed="false">
      <c r="B349" s="14"/>
      <c r="E349" s="1" t="str">
        <f aca="false">IFERROR((D349-C349)/C349,"")</f>
        <v/>
      </c>
      <c r="H349" s="1" t="str">
        <f aca="false">IFERROR((G349-F349)/F349,"")</f>
        <v/>
      </c>
      <c r="K349" s="1" t="str">
        <f aca="false">IFERROR((J349-I349)/I349,"")</f>
        <v/>
      </c>
      <c r="R349" s="1" t="str">
        <f aca="false">IFERROR((D349-N349)/N349,"")</f>
        <v/>
      </c>
      <c r="S349" s="14"/>
      <c r="T349" s="14"/>
    </row>
    <row r="350" customFormat="false" ht="15" hidden="false" customHeight="true" outlineLevel="0" collapsed="false">
      <c r="B350" s="14"/>
      <c r="E350" s="1" t="str">
        <f aca="false">IFERROR((D350-C350)/C350,"")</f>
        <v/>
      </c>
      <c r="H350" s="1" t="str">
        <f aca="false">IFERROR((G350-F350)/F350,"")</f>
        <v/>
      </c>
      <c r="K350" s="1" t="str">
        <f aca="false">IFERROR((J350-I350)/I350,"")</f>
        <v/>
      </c>
      <c r="R350" s="1" t="str">
        <f aca="false">IFERROR((D350-N350)/N350,"")</f>
        <v/>
      </c>
      <c r="S350" s="14"/>
      <c r="T350" s="14"/>
    </row>
    <row r="351" customFormat="false" ht="15" hidden="false" customHeight="true" outlineLevel="0" collapsed="false">
      <c r="B351" s="14"/>
      <c r="E351" s="1" t="str">
        <f aca="false">IFERROR((D351-C351)/C351,"")</f>
        <v/>
      </c>
      <c r="H351" s="1" t="str">
        <f aca="false">IFERROR((G351-F351)/F351,"")</f>
        <v/>
      </c>
      <c r="K351" s="1" t="str">
        <f aca="false">IFERROR((J351-I351)/I351,"")</f>
        <v/>
      </c>
      <c r="R351" s="1" t="str">
        <f aca="false">IFERROR((D351-N351)/N351,"")</f>
        <v/>
      </c>
      <c r="S351" s="14"/>
      <c r="T351" s="14"/>
    </row>
    <row r="352" customFormat="false" ht="15" hidden="false" customHeight="true" outlineLevel="0" collapsed="false">
      <c r="B352" s="14"/>
      <c r="E352" s="1" t="str">
        <f aca="false">IFERROR((D352-C352)/C352,"")</f>
        <v/>
      </c>
      <c r="H352" s="1" t="str">
        <f aca="false">IFERROR((G352-F352)/F352,"")</f>
        <v/>
      </c>
      <c r="K352" s="1" t="str">
        <f aca="false">IFERROR((J352-I352)/I352,"")</f>
        <v/>
      </c>
      <c r="R352" s="1" t="str">
        <f aca="false">IFERROR((D352-N352)/N352,"")</f>
        <v/>
      </c>
      <c r="S352" s="14"/>
      <c r="T352" s="14"/>
    </row>
    <row r="353" customFormat="false" ht="15" hidden="false" customHeight="true" outlineLevel="0" collapsed="false">
      <c r="B353" s="14"/>
      <c r="E353" s="1" t="str">
        <f aca="false">IFERROR((D353-C353)/C353,"")</f>
        <v/>
      </c>
      <c r="H353" s="1" t="str">
        <f aca="false">IFERROR((G353-F353)/F353,"")</f>
        <v/>
      </c>
      <c r="K353" s="1" t="str">
        <f aca="false">IFERROR((J353-I353)/I353,"")</f>
        <v/>
      </c>
      <c r="R353" s="1" t="str">
        <f aca="false">IFERROR((D353-N353)/N353,"")</f>
        <v/>
      </c>
      <c r="S353" s="14"/>
      <c r="T353" s="14"/>
    </row>
    <row r="354" customFormat="false" ht="15" hidden="false" customHeight="true" outlineLevel="0" collapsed="false">
      <c r="B354" s="14"/>
      <c r="E354" s="1" t="str">
        <f aca="false">IFERROR((D354-C354)/C354,"")</f>
        <v/>
      </c>
      <c r="H354" s="1" t="str">
        <f aca="false">IFERROR((G354-F354)/F354,"")</f>
        <v/>
      </c>
      <c r="K354" s="1" t="str">
        <f aca="false">IFERROR((J354-I354)/I354,"")</f>
        <v/>
      </c>
      <c r="R354" s="1" t="str">
        <f aca="false">IFERROR((D354-N354)/N354,"")</f>
        <v/>
      </c>
      <c r="S354" s="14"/>
      <c r="T354" s="14"/>
    </row>
    <row r="355" customFormat="false" ht="15" hidden="false" customHeight="true" outlineLevel="0" collapsed="false">
      <c r="B355" s="14"/>
      <c r="E355" s="1" t="str">
        <f aca="false">IFERROR((D355-C355)/C355,"")</f>
        <v/>
      </c>
      <c r="H355" s="1" t="str">
        <f aca="false">IFERROR((G355-F355)/F355,"")</f>
        <v/>
      </c>
      <c r="K355" s="1" t="str">
        <f aca="false">IFERROR((J355-I355)/I355,"")</f>
        <v/>
      </c>
      <c r="R355" s="1" t="str">
        <f aca="false">IFERROR((D355-N355)/N355,"")</f>
        <v/>
      </c>
      <c r="S355" s="14"/>
      <c r="T355" s="14"/>
    </row>
    <row r="356" customFormat="false" ht="15" hidden="false" customHeight="true" outlineLevel="0" collapsed="false">
      <c r="B356" s="14"/>
      <c r="E356" s="1" t="str">
        <f aca="false">IFERROR((D356-C356)/C356,"")</f>
        <v/>
      </c>
      <c r="H356" s="1" t="str">
        <f aca="false">IFERROR((G356-F356)/F356,"")</f>
        <v/>
      </c>
      <c r="K356" s="1" t="str">
        <f aca="false">IFERROR((J356-I356)/I356,"")</f>
        <v/>
      </c>
      <c r="R356" s="1" t="str">
        <f aca="false">IFERROR((D356-N356)/N356,"")</f>
        <v/>
      </c>
      <c r="S356" s="14"/>
      <c r="T356" s="14"/>
    </row>
    <row r="357" customFormat="false" ht="15" hidden="false" customHeight="true" outlineLevel="0" collapsed="false">
      <c r="B357" s="14"/>
      <c r="E357" s="1" t="str">
        <f aca="false">IFERROR((D357-C357)/C357,"")</f>
        <v/>
      </c>
      <c r="H357" s="1" t="str">
        <f aca="false">IFERROR((G357-F357)/F357,"")</f>
        <v/>
      </c>
      <c r="K357" s="1" t="str">
        <f aca="false">IFERROR((J357-I357)/I357,"")</f>
        <v/>
      </c>
      <c r="R357" s="1" t="str">
        <f aca="false">IFERROR((D357-N357)/N357,"")</f>
        <v/>
      </c>
      <c r="S357" s="14"/>
      <c r="T357" s="14"/>
    </row>
    <row r="358" customFormat="false" ht="15" hidden="false" customHeight="true" outlineLevel="0" collapsed="false">
      <c r="B358" s="14"/>
      <c r="E358" s="1" t="str">
        <f aca="false">IFERROR((D358-C358)/C358,"")</f>
        <v/>
      </c>
      <c r="H358" s="1" t="str">
        <f aca="false">IFERROR((G358-F358)/F358,"")</f>
        <v/>
      </c>
      <c r="K358" s="1" t="str">
        <f aca="false">IFERROR((J358-I358)/I358,"")</f>
        <v/>
      </c>
      <c r="R358" s="1" t="str">
        <f aca="false">IFERROR((D358-N358)/N358,"")</f>
        <v/>
      </c>
      <c r="S358" s="14"/>
      <c r="T358" s="14"/>
    </row>
    <row r="359" customFormat="false" ht="15" hidden="false" customHeight="true" outlineLevel="0" collapsed="false">
      <c r="B359" s="14"/>
      <c r="E359" s="1" t="str">
        <f aca="false">IFERROR((D359-C359)/C359,"")</f>
        <v/>
      </c>
      <c r="H359" s="1" t="str">
        <f aca="false">IFERROR((G359-F359)/F359,"")</f>
        <v/>
      </c>
      <c r="K359" s="1" t="str">
        <f aca="false">IFERROR((J359-I359)/I359,"")</f>
        <v/>
      </c>
      <c r="R359" s="1" t="str">
        <f aca="false">IFERROR((D359-N359)/N359,"")</f>
        <v/>
      </c>
      <c r="S359" s="14"/>
      <c r="T359" s="14"/>
    </row>
    <row r="360" customFormat="false" ht="15" hidden="false" customHeight="true" outlineLevel="0" collapsed="false">
      <c r="B360" s="14"/>
      <c r="E360" s="1" t="str">
        <f aca="false">IFERROR((D360-C360)/C360,"")</f>
        <v/>
      </c>
      <c r="H360" s="1" t="str">
        <f aca="false">IFERROR((G360-F360)/F360,"")</f>
        <v/>
      </c>
      <c r="K360" s="1" t="str">
        <f aca="false">IFERROR((J360-I360)/I360,"")</f>
        <v/>
      </c>
      <c r="R360" s="1" t="str">
        <f aca="false">IFERROR((D360-N360)/N360,"")</f>
        <v/>
      </c>
      <c r="S360" s="14"/>
      <c r="T360" s="14"/>
    </row>
    <row r="361" customFormat="false" ht="15" hidden="false" customHeight="true" outlineLevel="0" collapsed="false">
      <c r="B361" s="14"/>
      <c r="E361" s="1" t="str">
        <f aca="false">IFERROR((D361-C361)/C361,"")</f>
        <v/>
      </c>
      <c r="H361" s="1" t="str">
        <f aca="false">IFERROR((G361-F361)/F361,"")</f>
        <v/>
      </c>
      <c r="K361" s="1" t="str">
        <f aca="false">IFERROR((J361-I361)/I361,"")</f>
        <v/>
      </c>
      <c r="R361" s="1" t="str">
        <f aca="false">IFERROR((D361-N361)/N361,"")</f>
        <v/>
      </c>
      <c r="S361" s="14"/>
      <c r="T361" s="14"/>
    </row>
    <row r="362" customFormat="false" ht="15" hidden="false" customHeight="true" outlineLevel="0" collapsed="false">
      <c r="B362" s="14"/>
      <c r="E362" s="1" t="str">
        <f aca="false">IFERROR((D362-C362)/C362,"")</f>
        <v/>
      </c>
      <c r="H362" s="1" t="str">
        <f aca="false">IFERROR((G362-F362)/F362,"")</f>
        <v/>
      </c>
      <c r="K362" s="1" t="str">
        <f aca="false">IFERROR((J362-I362)/I362,"")</f>
        <v/>
      </c>
      <c r="R362" s="1" t="str">
        <f aca="false">IFERROR((D362-N362)/N362,"")</f>
        <v/>
      </c>
      <c r="S362" s="14"/>
      <c r="T362" s="14"/>
    </row>
    <row r="363" customFormat="false" ht="15" hidden="false" customHeight="true" outlineLevel="0" collapsed="false">
      <c r="B363" s="14"/>
      <c r="E363" s="1" t="str">
        <f aca="false">IFERROR((D363-C363)/C363,"")</f>
        <v/>
      </c>
      <c r="H363" s="1" t="str">
        <f aca="false">IFERROR((G363-F363)/F363,"")</f>
        <v/>
      </c>
      <c r="K363" s="1" t="str">
        <f aca="false">IFERROR((J363-I363)/I363,"")</f>
        <v/>
      </c>
      <c r="R363" s="1" t="str">
        <f aca="false">IFERROR((D363-N363)/N363,"")</f>
        <v/>
      </c>
      <c r="S363" s="14"/>
      <c r="T363" s="14"/>
    </row>
    <row r="364" customFormat="false" ht="15" hidden="false" customHeight="true" outlineLevel="0" collapsed="false">
      <c r="B364" s="14"/>
      <c r="E364" s="1" t="str">
        <f aca="false">IFERROR((D364-C364)/C364,"")</f>
        <v/>
      </c>
      <c r="H364" s="1" t="str">
        <f aca="false">IFERROR((G364-F364)/F364,"")</f>
        <v/>
      </c>
      <c r="K364" s="1" t="str">
        <f aca="false">IFERROR((J364-I364)/I364,"")</f>
        <v/>
      </c>
      <c r="R364" s="1" t="str">
        <f aca="false">IFERROR((D364-N364)/N364,"")</f>
        <v/>
      </c>
      <c r="S364" s="14"/>
      <c r="T364" s="14"/>
    </row>
    <row r="365" customFormat="false" ht="15" hidden="false" customHeight="true" outlineLevel="0" collapsed="false">
      <c r="B365" s="14"/>
      <c r="E365" s="1" t="str">
        <f aca="false">IFERROR((D365-C365)/C365,"")</f>
        <v/>
      </c>
      <c r="H365" s="1" t="str">
        <f aca="false">IFERROR((G365-F365)/F365,"")</f>
        <v/>
      </c>
      <c r="K365" s="1" t="str">
        <f aca="false">IFERROR((J365-I365)/I365,"")</f>
        <v/>
      </c>
      <c r="R365" s="1" t="str">
        <f aca="false">IFERROR((D365-N365)/N365,"")</f>
        <v/>
      </c>
      <c r="S365" s="14"/>
      <c r="T365" s="14"/>
    </row>
    <row r="366" customFormat="false" ht="15" hidden="false" customHeight="true" outlineLevel="0" collapsed="false">
      <c r="B366" s="14"/>
      <c r="E366" s="1" t="str">
        <f aca="false">IFERROR((D366-C366)/C366,"")</f>
        <v/>
      </c>
      <c r="H366" s="1" t="str">
        <f aca="false">IFERROR((G366-F366)/F366,"")</f>
        <v/>
      </c>
      <c r="K366" s="1" t="str">
        <f aca="false">IFERROR((J366-I366)/I366,"")</f>
        <v/>
      </c>
      <c r="R366" s="1" t="str">
        <f aca="false">IFERROR((D366-N366)/N366,"")</f>
        <v/>
      </c>
      <c r="S366" s="14"/>
      <c r="T366" s="14"/>
    </row>
    <row r="367" customFormat="false" ht="15" hidden="false" customHeight="true" outlineLevel="0" collapsed="false">
      <c r="B367" s="14"/>
      <c r="E367" s="1" t="str">
        <f aca="false">IFERROR((D367-C367)/C367,"")</f>
        <v/>
      </c>
      <c r="H367" s="1" t="str">
        <f aca="false">IFERROR((G367-F367)/F367,"")</f>
        <v/>
      </c>
      <c r="K367" s="1" t="str">
        <f aca="false">IFERROR((J367-I367)/I367,"")</f>
        <v/>
      </c>
      <c r="R367" s="1" t="str">
        <f aca="false">IFERROR((D367-N367)/N367,"")</f>
        <v/>
      </c>
      <c r="S367" s="14"/>
      <c r="T367" s="14"/>
    </row>
    <row r="368" customFormat="false" ht="15" hidden="false" customHeight="true" outlineLevel="0" collapsed="false">
      <c r="B368" s="14"/>
      <c r="E368" s="1" t="str">
        <f aca="false">IFERROR((D368-C368)/C368,"")</f>
        <v/>
      </c>
      <c r="H368" s="1" t="str">
        <f aca="false">IFERROR((G368-F368)/F368,"")</f>
        <v/>
      </c>
      <c r="K368" s="1" t="str">
        <f aca="false">IFERROR((J368-I368)/I368,"")</f>
        <v/>
      </c>
      <c r="R368" s="1" t="str">
        <f aca="false">IFERROR((D368-N368)/N368,"")</f>
        <v/>
      </c>
      <c r="S368" s="14"/>
      <c r="T368" s="14"/>
    </row>
    <row r="369" customFormat="false" ht="15" hidden="false" customHeight="true" outlineLevel="0" collapsed="false">
      <c r="B369" s="14"/>
      <c r="E369" s="1" t="str">
        <f aca="false">IFERROR((D369-C369)/C369,"")</f>
        <v/>
      </c>
      <c r="H369" s="1" t="str">
        <f aca="false">IFERROR((G369-F369)/F369,"")</f>
        <v/>
      </c>
      <c r="K369" s="1" t="str">
        <f aca="false">IFERROR((J369-I369)/I369,"")</f>
        <v/>
      </c>
      <c r="R369" s="1" t="str">
        <f aca="false">IFERROR((D369-N369)/N369,"")</f>
        <v/>
      </c>
      <c r="S369" s="14"/>
      <c r="T369" s="14"/>
    </row>
    <row r="370" customFormat="false" ht="15" hidden="false" customHeight="true" outlineLevel="0" collapsed="false">
      <c r="B370" s="14"/>
      <c r="E370" s="1" t="str">
        <f aca="false">IFERROR((D370-C370)/C370,"")</f>
        <v/>
      </c>
      <c r="H370" s="1" t="str">
        <f aca="false">IFERROR((G370-F370)/F370,"")</f>
        <v/>
      </c>
      <c r="K370" s="1" t="str">
        <f aca="false">IFERROR((J370-I370)/I370,"")</f>
        <v/>
      </c>
      <c r="R370" s="1" t="str">
        <f aca="false">IFERROR((D370-N370)/N370,"")</f>
        <v/>
      </c>
      <c r="S370" s="14"/>
      <c r="T370" s="14"/>
    </row>
    <row r="371" customFormat="false" ht="15" hidden="false" customHeight="true" outlineLevel="0" collapsed="false">
      <c r="B371" s="14"/>
      <c r="E371" s="1" t="str">
        <f aca="false">IFERROR((D371-C371)/C371,"")</f>
        <v/>
      </c>
      <c r="H371" s="1" t="str">
        <f aca="false">IFERROR((G371-F371)/F371,"")</f>
        <v/>
      </c>
      <c r="K371" s="1" t="str">
        <f aca="false">IFERROR((J371-I371)/I371,"")</f>
        <v/>
      </c>
      <c r="R371" s="1" t="str">
        <f aca="false">IFERROR((D371-N371)/N371,"")</f>
        <v/>
      </c>
      <c r="S371" s="14"/>
      <c r="T371" s="14"/>
    </row>
    <row r="372" customFormat="false" ht="15" hidden="false" customHeight="true" outlineLevel="0" collapsed="false">
      <c r="B372" s="14"/>
      <c r="E372" s="1" t="str">
        <f aca="false">IFERROR((D372-C372)/C372,"")</f>
        <v/>
      </c>
      <c r="H372" s="1" t="str">
        <f aca="false">IFERROR((G372-F372)/F372,"")</f>
        <v/>
      </c>
      <c r="K372" s="1" t="str">
        <f aca="false">IFERROR((J372-I372)/I372,"")</f>
        <v/>
      </c>
      <c r="R372" s="1" t="str">
        <f aca="false">IFERROR((D372-N372)/N372,"")</f>
        <v/>
      </c>
      <c r="S372" s="14"/>
      <c r="T372" s="14"/>
    </row>
    <row r="373" customFormat="false" ht="15" hidden="false" customHeight="true" outlineLevel="0" collapsed="false">
      <c r="B373" s="14"/>
      <c r="E373" s="1" t="str">
        <f aca="false">IFERROR((D373-C373)/C373,"")</f>
        <v/>
      </c>
      <c r="H373" s="1" t="str">
        <f aca="false">IFERROR((G373-F373)/F373,"")</f>
        <v/>
      </c>
      <c r="K373" s="1" t="str">
        <f aca="false">IFERROR((J373-I373)/I373,"")</f>
        <v/>
      </c>
      <c r="R373" s="1" t="str">
        <f aca="false">IFERROR((D373-N373)/N373,"")</f>
        <v/>
      </c>
      <c r="S373" s="14"/>
      <c r="T373" s="14"/>
    </row>
    <row r="374" customFormat="false" ht="15" hidden="false" customHeight="true" outlineLevel="0" collapsed="false">
      <c r="B374" s="14"/>
      <c r="E374" s="1" t="str">
        <f aca="false">IFERROR((D374-C374)/C374,"")</f>
        <v/>
      </c>
      <c r="H374" s="1" t="str">
        <f aca="false">IFERROR((G374-F374)/F374,"")</f>
        <v/>
      </c>
      <c r="K374" s="1" t="str">
        <f aca="false">IFERROR((J374-I374)/I374,"")</f>
        <v/>
      </c>
      <c r="R374" s="1" t="str">
        <f aca="false">IFERROR((D374-N374)/N374,"")</f>
        <v/>
      </c>
      <c r="S374" s="14"/>
      <c r="T374" s="14"/>
    </row>
    <row r="375" customFormat="false" ht="15" hidden="false" customHeight="true" outlineLevel="0" collapsed="false">
      <c r="B375" s="14"/>
      <c r="E375" s="1" t="str">
        <f aca="false">IFERROR((D375-C375)/C375,"")</f>
        <v/>
      </c>
      <c r="H375" s="1" t="str">
        <f aca="false">IFERROR((G375-F375)/F375,"")</f>
        <v/>
      </c>
      <c r="K375" s="1" t="str">
        <f aca="false">IFERROR((J375-I375)/I375,"")</f>
        <v/>
      </c>
      <c r="R375" s="1" t="str">
        <f aca="false">IFERROR((D375-N375)/N375,"")</f>
        <v/>
      </c>
      <c r="S375" s="14"/>
      <c r="T375" s="14"/>
    </row>
    <row r="376" customFormat="false" ht="15" hidden="false" customHeight="true" outlineLevel="0" collapsed="false">
      <c r="B376" s="14"/>
      <c r="E376" s="1" t="str">
        <f aca="false">IFERROR((D376-C376)/C376,"")</f>
        <v/>
      </c>
      <c r="H376" s="1" t="str">
        <f aca="false">IFERROR((G376-F376)/F376,"")</f>
        <v/>
      </c>
      <c r="K376" s="1" t="str">
        <f aca="false">IFERROR((J376-I376)/I376,"")</f>
        <v/>
      </c>
      <c r="R376" s="1" t="str">
        <f aca="false">IFERROR((D376-N376)/N376,"")</f>
        <v/>
      </c>
      <c r="S376" s="14"/>
      <c r="T376" s="14"/>
    </row>
    <row r="377" customFormat="false" ht="15" hidden="false" customHeight="true" outlineLevel="0" collapsed="false">
      <c r="B377" s="14"/>
      <c r="E377" s="1" t="str">
        <f aca="false">IFERROR((D377-C377)/C377,"")</f>
        <v/>
      </c>
      <c r="H377" s="1" t="str">
        <f aca="false">IFERROR((G377-F377)/F377,"")</f>
        <v/>
      </c>
      <c r="K377" s="1" t="str">
        <f aca="false">IFERROR((J377-I377)/I377,"")</f>
        <v/>
      </c>
      <c r="R377" s="1" t="str">
        <f aca="false">IFERROR((D377-N377)/N377,"")</f>
        <v/>
      </c>
      <c r="S377" s="14"/>
      <c r="T377" s="14"/>
    </row>
    <row r="378" customFormat="false" ht="15" hidden="false" customHeight="true" outlineLevel="0" collapsed="false">
      <c r="B378" s="14"/>
      <c r="E378" s="1" t="str">
        <f aca="false">IFERROR((D378-C378)/C378,"")</f>
        <v/>
      </c>
      <c r="H378" s="1" t="str">
        <f aca="false">IFERROR((G378-F378)/F378,"")</f>
        <v/>
      </c>
      <c r="K378" s="1" t="str">
        <f aca="false">IFERROR((J378-I378)/I378,"")</f>
        <v/>
      </c>
      <c r="R378" s="1" t="str">
        <f aca="false">IFERROR((D378-N378)/N378,"")</f>
        <v/>
      </c>
      <c r="S378" s="14"/>
      <c r="T378" s="14"/>
    </row>
    <row r="379" customFormat="false" ht="15" hidden="false" customHeight="true" outlineLevel="0" collapsed="false">
      <c r="B379" s="14"/>
      <c r="E379" s="1" t="str">
        <f aca="false">IFERROR((D379-C379)/C379,"")</f>
        <v/>
      </c>
      <c r="H379" s="1" t="str">
        <f aca="false">IFERROR((G379-F379)/F379,"")</f>
        <v/>
      </c>
      <c r="K379" s="1" t="str">
        <f aca="false">IFERROR((J379-I379)/I379,"")</f>
        <v/>
      </c>
      <c r="R379" s="1" t="str">
        <f aca="false">IFERROR((D379-N379)/N379,"")</f>
        <v/>
      </c>
      <c r="S379" s="14"/>
      <c r="T379" s="14"/>
    </row>
    <row r="380" customFormat="false" ht="15" hidden="false" customHeight="true" outlineLevel="0" collapsed="false">
      <c r="B380" s="14"/>
      <c r="E380" s="1" t="str">
        <f aca="false">IFERROR((D380-C380)/C380,"")</f>
        <v/>
      </c>
      <c r="H380" s="1" t="str">
        <f aca="false">IFERROR((G380-F380)/F380,"")</f>
        <v/>
      </c>
      <c r="K380" s="1" t="str">
        <f aca="false">IFERROR((J380-I380)/I380,"")</f>
        <v/>
      </c>
      <c r="R380" s="1" t="str">
        <f aca="false">IFERROR((D380-N380)/N380,"")</f>
        <v/>
      </c>
      <c r="S380" s="14"/>
      <c r="T380" s="14"/>
    </row>
    <row r="381" customFormat="false" ht="15" hidden="false" customHeight="true" outlineLevel="0" collapsed="false">
      <c r="B381" s="14"/>
      <c r="E381" s="1" t="str">
        <f aca="false">IFERROR((D381-C381)/C381,"")</f>
        <v/>
      </c>
      <c r="H381" s="1" t="str">
        <f aca="false">IFERROR((G381-F381)/F381,"")</f>
        <v/>
      </c>
      <c r="K381" s="1" t="str">
        <f aca="false">IFERROR((J381-I381)/I381,"")</f>
        <v/>
      </c>
      <c r="R381" s="1" t="str">
        <f aca="false">IFERROR((D381-N381)/N381,"")</f>
        <v/>
      </c>
      <c r="S381" s="14"/>
      <c r="T381" s="14"/>
    </row>
    <row r="382" customFormat="false" ht="15" hidden="false" customHeight="true" outlineLevel="0" collapsed="false">
      <c r="B382" s="14"/>
      <c r="E382" s="1" t="str">
        <f aca="false">IFERROR((D382-C382)/C382,"")</f>
        <v/>
      </c>
      <c r="H382" s="1" t="str">
        <f aca="false">IFERROR((G382-F382)/F382,"")</f>
        <v/>
      </c>
      <c r="K382" s="1" t="str">
        <f aca="false">IFERROR((J382-I382)/I382,"")</f>
        <v/>
      </c>
      <c r="R382" s="1" t="str">
        <f aca="false">IFERROR((D382-N382)/N382,"")</f>
        <v/>
      </c>
      <c r="S382" s="14"/>
      <c r="T382" s="14"/>
    </row>
    <row r="383" customFormat="false" ht="15" hidden="false" customHeight="true" outlineLevel="0" collapsed="false">
      <c r="B383" s="14"/>
      <c r="E383" s="1" t="str">
        <f aca="false">IFERROR((D383-C383)/C383,"")</f>
        <v/>
      </c>
      <c r="H383" s="1" t="str">
        <f aca="false">IFERROR((G383-F383)/F383,"")</f>
        <v/>
      </c>
      <c r="K383" s="1" t="str">
        <f aca="false">IFERROR((J383-I383)/I383,"")</f>
        <v/>
      </c>
      <c r="R383" s="1" t="str">
        <f aca="false">IFERROR((D383-N383)/N383,"")</f>
        <v/>
      </c>
      <c r="S383" s="14"/>
      <c r="T383" s="14"/>
    </row>
    <row r="384" customFormat="false" ht="15" hidden="false" customHeight="true" outlineLevel="0" collapsed="false">
      <c r="B384" s="14"/>
      <c r="E384" s="1" t="str">
        <f aca="false">IFERROR((D384-C384)/C384,"")</f>
        <v/>
      </c>
      <c r="H384" s="1" t="str">
        <f aca="false">IFERROR((G384-F384)/F384,"")</f>
        <v/>
      </c>
      <c r="K384" s="1" t="str">
        <f aca="false">IFERROR((J384-I384)/I384,"")</f>
        <v/>
      </c>
      <c r="R384" s="1" t="str">
        <f aca="false">IFERROR((D384-N384)/N384,"")</f>
        <v/>
      </c>
      <c r="S384" s="14"/>
      <c r="T384" s="14"/>
    </row>
    <row r="385" customFormat="false" ht="15" hidden="false" customHeight="true" outlineLevel="0" collapsed="false">
      <c r="B385" s="14"/>
      <c r="E385" s="1" t="str">
        <f aca="false">IFERROR((D385-C385)/C385,"")</f>
        <v/>
      </c>
      <c r="H385" s="1" t="str">
        <f aca="false">IFERROR((G385-F385)/F385,"")</f>
        <v/>
      </c>
      <c r="K385" s="1" t="str">
        <f aca="false">IFERROR((J385-I385)/I385,"")</f>
        <v/>
      </c>
      <c r="R385" s="1" t="str">
        <f aca="false">IFERROR((D385-N385)/N385,"")</f>
        <v/>
      </c>
      <c r="S385" s="14"/>
      <c r="T385" s="14"/>
    </row>
    <row r="386" customFormat="false" ht="15" hidden="false" customHeight="true" outlineLevel="0" collapsed="false">
      <c r="B386" s="14"/>
      <c r="E386" s="1" t="str">
        <f aca="false">IFERROR((D386-C386)/C386,"")</f>
        <v/>
      </c>
      <c r="H386" s="1" t="str">
        <f aca="false">IFERROR((G386-F386)/F386,"")</f>
        <v/>
      </c>
      <c r="K386" s="1" t="str">
        <f aca="false">IFERROR((J386-I386)/I386,"")</f>
        <v/>
      </c>
      <c r="R386" s="1" t="str">
        <f aca="false">IFERROR((D386-N386)/N386,"")</f>
        <v/>
      </c>
      <c r="S386" s="14"/>
      <c r="T386" s="14"/>
    </row>
    <row r="387" customFormat="false" ht="15" hidden="false" customHeight="true" outlineLevel="0" collapsed="false">
      <c r="B387" s="14"/>
      <c r="E387" s="1" t="str">
        <f aca="false">IFERROR((D387-C387)/C387,"")</f>
        <v/>
      </c>
      <c r="H387" s="1" t="str">
        <f aca="false">IFERROR((G387-F387)/F387,"")</f>
        <v/>
      </c>
      <c r="K387" s="1" t="str">
        <f aca="false">IFERROR((J387-I387)/I387,"")</f>
        <v/>
      </c>
      <c r="R387" s="1" t="str">
        <f aca="false">IFERROR((D387-N387)/N387,"")</f>
        <v/>
      </c>
      <c r="S387" s="14"/>
      <c r="T387" s="14"/>
    </row>
    <row r="388" customFormat="false" ht="15" hidden="false" customHeight="true" outlineLevel="0" collapsed="false">
      <c r="B388" s="14"/>
      <c r="E388" s="1" t="str">
        <f aca="false">IFERROR((D388-C388)/C388,"")</f>
        <v/>
      </c>
      <c r="H388" s="1" t="str">
        <f aca="false">IFERROR((G388-F388)/F388,"")</f>
        <v/>
      </c>
      <c r="K388" s="1" t="str">
        <f aca="false">IFERROR((J388-I388)/I388,"")</f>
        <v/>
      </c>
      <c r="R388" s="1" t="str">
        <f aca="false">IFERROR((D388-N388)/N388,"")</f>
        <v/>
      </c>
      <c r="S388" s="14"/>
      <c r="T388" s="14"/>
    </row>
    <row r="389" customFormat="false" ht="15" hidden="false" customHeight="true" outlineLevel="0" collapsed="false">
      <c r="B389" s="14"/>
      <c r="E389" s="1" t="str">
        <f aca="false">IFERROR((D389-C389)/C389,"")</f>
        <v/>
      </c>
      <c r="H389" s="1" t="str">
        <f aca="false">IFERROR((G389-F389)/F389,"")</f>
        <v/>
      </c>
      <c r="K389" s="1" t="str">
        <f aca="false">IFERROR((J389-I389)/I389,"")</f>
        <v/>
      </c>
      <c r="R389" s="1" t="str">
        <f aca="false">IFERROR((D389-N389)/N389,"")</f>
        <v/>
      </c>
      <c r="S389" s="14"/>
      <c r="T389" s="14"/>
    </row>
    <row r="390" customFormat="false" ht="15" hidden="false" customHeight="true" outlineLevel="0" collapsed="false">
      <c r="B390" s="14"/>
      <c r="E390" s="1" t="str">
        <f aca="false">IFERROR((D390-C390)/C390,"")</f>
        <v/>
      </c>
      <c r="H390" s="1" t="str">
        <f aca="false">IFERROR((G390-F390)/F390,"")</f>
        <v/>
      </c>
      <c r="K390" s="1" t="str">
        <f aca="false">IFERROR((J390-I390)/I390,"")</f>
        <v/>
      </c>
      <c r="R390" s="1" t="str">
        <f aca="false">IFERROR((D390-N390)/N390,"")</f>
        <v/>
      </c>
      <c r="S390" s="14"/>
      <c r="T390" s="14"/>
    </row>
    <row r="391" customFormat="false" ht="15" hidden="false" customHeight="true" outlineLevel="0" collapsed="false">
      <c r="B391" s="14"/>
      <c r="E391" s="1" t="str">
        <f aca="false">IFERROR((D391-C391)/C391,"")</f>
        <v/>
      </c>
      <c r="H391" s="1" t="str">
        <f aca="false">IFERROR((G391-F391)/F391,"")</f>
        <v/>
      </c>
      <c r="K391" s="1" t="str">
        <f aca="false">IFERROR((J391-I391)/I391,"")</f>
        <v/>
      </c>
      <c r="R391" s="1" t="str">
        <f aca="false">IFERROR((D391-N391)/N391,"")</f>
        <v/>
      </c>
      <c r="S391" s="14"/>
      <c r="T391" s="14"/>
    </row>
    <row r="392" customFormat="false" ht="15" hidden="false" customHeight="true" outlineLevel="0" collapsed="false">
      <c r="B392" s="14"/>
      <c r="E392" s="1" t="str">
        <f aca="false">IFERROR((D392-C392)/C392,"")</f>
        <v/>
      </c>
      <c r="H392" s="1" t="str">
        <f aca="false">IFERROR((G392-F392)/F392,"")</f>
        <v/>
      </c>
      <c r="K392" s="1" t="str">
        <f aca="false">IFERROR((J392-I392)/I392,"")</f>
        <v/>
      </c>
      <c r="R392" s="1" t="str">
        <f aca="false">IFERROR((D392-N392)/N392,"")</f>
        <v/>
      </c>
      <c r="S392" s="14"/>
      <c r="T392" s="14"/>
    </row>
    <row r="393" customFormat="false" ht="15" hidden="false" customHeight="true" outlineLevel="0" collapsed="false">
      <c r="B393" s="14"/>
      <c r="E393" s="1" t="str">
        <f aca="false">IFERROR((D393-C393)/C393,"")</f>
        <v/>
      </c>
      <c r="H393" s="1" t="str">
        <f aca="false">IFERROR((G393-F393)/F393,"")</f>
        <v/>
      </c>
      <c r="K393" s="1" t="str">
        <f aca="false">IFERROR((J393-I393)/I393,"")</f>
        <v/>
      </c>
      <c r="R393" s="1" t="str">
        <f aca="false">IFERROR((D393-N393)/N393,"")</f>
        <v/>
      </c>
      <c r="S393" s="14"/>
      <c r="T393" s="14"/>
    </row>
    <row r="394" customFormat="false" ht="15" hidden="false" customHeight="true" outlineLevel="0" collapsed="false">
      <c r="B394" s="14"/>
      <c r="E394" s="1" t="str">
        <f aca="false">IFERROR((D394-C394)/C394,"")</f>
        <v/>
      </c>
      <c r="H394" s="1" t="str">
        <f aca="false">IFERROR((G394-F394)/F394,"")</f>
        <v/>
      </c>
      <c r="K394" s="1" t="str">
        <f aca="false">IFERROR((J394-I394)/I394,"")</f>
        <v/>
      </c>
      <c r="R394" s="1" t="str">
        <f aca="false">IFERROR((D394-N394)/N394,"")</f>
        <v/>
      </c>
      <c r="S394" s="14"/>
      <c r="T394" s="14"/>
    </row>
    <row r="395" customFormat="false" ht="15" hidden="false" customHeight="true" outlineLevel="0" collapsed="false">
      <c r="B395" s="14"/>
      <c r="E395" s="1" t="str">
        <f aca="false">IFERROR((D395-C395)/C395,"")</f>
        <v/>
      </c>
      <c r="H395" s="1" t="str">
        <f aca="false">IFERROR((G395-F395)/F395,"")</f>
        <v/>
      </c>
      <c r="K395" s="1" t="str">
        <f aca="false">IFERROR((J395-I395)/I395,"")</f>
        <v/>
      </c>
      <c r="R395" s="1" t="str">
        <f aca="false">IFERROR((D395-N395)/N395,"")</f>
        <v/>
      </c>
      <c r="S395" s="14"/>
      <c r="T395" s="14"/>
    </row>
    <row r="396" customFormat="false" ht="15" hidden="false" customHeight="true" outlineLevel="0" collapsed="false">
      <c r="B396" s="14"/>
      <c r="E396" s="1" t="str">
        <f aca="false">IFERROR((D396-C396)/C396,"")</f>
        <v/>
      </c>
      <c r="H396" s="1" t="str">
        <f aca="false">IFERROR((G396-F396)/F396,"")</f>
        <v/>
      </c>
      <c r="K396" s="1" t="str">
        <f aca="false">IFERROR((J396-I396)/I396,"")</f>
        <v/>
      </c>
      <c r="R396" s="1" t="str">
        <f aca="false">IFERROR((D396-N396)/N396,"")</f>
        <v/>
      </c>
      <c r="S396" s="14"/>
      <c r="T396" s="14"/>
    </row>
    <row r="397" customFormat="false" ht="15" hidden="false" customHeight="true" outlineLevel="0" collapsed="false">
      <c r="B397" s="14"/>
      <c r="E397" s="1" t="str">
        <f aca="false">IFERROR((D397-C397)/C397,"")</f>
        <v/>
      </c>
      <c r="H397" s="1" t="str">
        <f aca="false">IFERROR((G397-F397)/F397,"")</f>
        <v/>
      </c>
      <c r="K397" s="1" t="str">
        <f aca="false">IFERROR((J397-I397)/I397,"")</f>
        <v/>
      </c>
      <c r="R397" s="1" t="str">
        <f aca="false">IFERROR((D397-N397)/N397,"")</f>
        <v/>
      </c>
      <c r="S397" s="14"/>
      <c r="T397" s="14"/>
    </row>
    <row r="398" customFormat="false" ht="15" hidden="false" customHeight="true" outlineLevel="0" collapsed="false">
      <c r="B398" s="14"/>
      <c r="E398" s="1" t="str">
        <f aca="false">IFERROR((D398-C398)/C398,"")</f>
        <v/>
      </c>
      <c r="H398" s="1" t="str">
        <f aca="false">IFERROR((G398-F398)/F398,"")</f>
        <v/>
      </c>
      <c r="K398" s="1" t="str">
        <f aca="false">IFERROR((J398-I398)/I398,"")</f>
        <v/>
      </c>
      <c r="R398" s="1" t="str">
        <f aca="false">IFERROR((D398-N398)/N398,"")</f>
        <v/>
      </c>
      <c r="S398" s="14"/>
      <c r="T398" s="14"/>
    </row>
    <row r="399" customFormat="false" ht="15" hidden="false" customHeight="true" outlineLevel="0" collapsed="false">
      <c r="B399" s="14"/>
      <c r="E399" s="1" t="str">
        <f aca="false">IFERROR((D399-C399)/C399,"")</f>
        <v/>
      </c>
      <c r="H399" s="1" t="str">
        <f aca="false">IFERROR((G399-F399)/F399,"")</f>
        <v/>
      </c>
      <c r="K399" s="1" t="str">
        <f aca="false">IFERROR((J399-I399)/I399,"")</f>
        <v/>
      </c>
      <c r="R399" s="1" t="str">
        <f aca="false">IFERROR((D399-N399)/N399,"")</f>
        <v/>
      </c>
      <c r="S399" s="14"/>
      <c r="T399" s="14"/>
    </row>
    <row r="400" customFormat="false" ht="15" hidden="false" customHeight="true" outlineLevel="0" collapsed="false">
      <c r="B400" s="14"/>
      <c r="E400" s="1" t="str">
        <f aca="false">IFERROR((D400-C400)/C400,"")</f>
        <v/>
      </c>
      <c r="H400" s="1" t="str">
        <f aca="false">IFERROR((G400-F400)/F400,"")</f>
        <v/>
      </c>
      <c r="K400" s="1" t="str">
        <f aca="false">IFERROR((J400-I400)/I400,"")</f>
        <v/>
      </c>
      <c r="R400" s="1" t="str">
        <f aca="false">IFERROR((D400-N400)/N400,"")</f>
        <v/>
      </c>
      <c r="S400" s="14"/>
      <c r="T400" s="14"/>
    </row>
    <row r="401" customFormat="false" ht="15" hidden="false" customHeight="true" outlineLevel="0" collapsed="false">
      <c r="B401" s="14"/>
      <c r="E401" s="1" t="str">
        <f aca="false">IFERROR((D401-C401)/C401,"")</f>
        <v/>
      </c>
      <c r="H401" s="1" t="str">
        <f aca="false">IFERROR((G401-F401)/F401,"")</f>
        <v/>
      </c>
      <c r="K401" s="1" t="str">
        <f aca="false">IFERROR((J401-I401)/I401,"")</f>
        <v/>
      </c>
      <c r="R401" s="1" t="str">
        <f aca="false">IFERROR((D401-N401)/N401,"")</f>
        <v/>
      </c>
      <c r="S401" s="14"/>
      <c r="T401" s="14"/>
    </row>
    <row r="402" customFormat="false" ht="15" hidden="false" customHeight="true" outlineLevel="0" collapsed="false">
      <c r="B402" s="14"/>
      <c r="E402" s="1" t="str">
        <f aca="false">IFERROR((D402-C402)/C402,"")</f>
        <v/>
      </c>
      <c r="H402" s="1" t="str">
        <f aca="false">IFERROR((G402-F402)/F402,"")</f>
        <v/>
      </c>
      <c r="K402" s="1" t="str">
        <f aca="false">IFERROR((J402-I402)/I402,"")</f>
        <v/>
      </c>
      <c r="R402" s="1" t="str">
        <f aca="false">IFERROR((D402-N402)/N402,"")</f>
        <v/>
      </c>
      <c r="S402" s="14"/>
      <c r="T402" s="14"/>
    </row>
    <row r="403" customFormat="false" ht="15" hidden="false" customHeight="true" outlineLevel="0" collapsed="false">
      <c r="B403" s="14"/>
      <c r="E403" s="1" t="str">
        <f aca="false">IFERROR((D403-C403)/C403,"")</f>
        <v/>
      </c>
      <c r="H403" s="1" t="str">
        <f aca="false">IFERROR((G403-F403)/F403,"")</f>
        <v/>
      </c>
      <c r="K403" s="1" t="str">
        <f aca="false">IFERROR((J403-I403)/I403,"")</f>
        <v/>
      </c>
      <c r="R403" s="1" t="str">
        <f aca="false">IFERROR((D403-N403)/N403,"")</f>
        <v/>
      </c>
      <c r="S403" s="14"/>
      <c r="T403" s="14"/>
    </row>
    <row r="404" customFormat="false" ht="15" hidden="false" customHeight="true" outlineLevel="0" collapsed="false">
      <c r="B404" s="14"/>
      <c r="E404" s="1" t="str">
        <f aca="false">IFERROR((D404-C404)/C404,"")</f>
        <v/>
      </c>
      <c r="H404" s="1" t="str">
        <f aca="false">IFERROR((G404-F404)/F404,"")</f>
        <v/>
      </c>
      <c r="K404" s="1" t="str">
        <f aca="false">IFERROR((J404-I404)/I404,"")</f>
        <v/>
      </c>
      <c r="R404" s="1" t="str">
        <f aca="false">IFERROR((D404-N404)/N404,"")</f>
        <v/>
      </c>
      <c r="S404" s="14"/>
      <c r="T404" s="14"/>
    </row>
    <row r="405" customFormat="false" ht="15" hidden="false" customHeight="true" outlineLevel="0" collapsed="false">
      <c r="B405" s="14"/>
      <c r="E405" s="1" t="str">
        <f aca="false">IFERROR((D405-C405)/C405,"")</f>
        <v/>
      </c>
      <c r="H405" s="1" t="str">
        <f aca="false">IFERROR((G405-F405)/F405,"")</f>
        <v/>
      </c>
      <c r="K405" s="1" t="str">
        <f aca="false">IFERROR((J405-I405)/I405,"")</f>
        <v/>
      </c>
      <c r="R405" s="1" t="str">
        <f aca="false">IFERROR((D405-N405)/N405,"")</f>
        <v/>
      </c>
      <c r="S405" s="14"/>
      <c r="T405" s="14"/>
    </row>
    <row r="406" customFormat="false" ht="15" hidden="false" customHeight="true" outlineLevel="0" collapsed="false">
      <c r="B406" s="14"/>
      <c r="E406" s="1" t="str">
        <f aca="false">IFERROR((D406-C406)/C406,"")</f>
        <v/>
      </c>
      <c r="H406" s="1" t="str">
        <f aca="false">IFERROR((G406-F406)/F406,"")</f>
        <v/>
      </c>
      <c r="K406" s="1" t="str">
        <f aca="false">IFERROR((J406-I406)/I406,"")</f>
        <v/>
      </c>
      <c r="R406" s="1" t="str">
        <f aca="false">IFERROR((D406-N406)/N406,"")</f>
        <v/>
      </c>
      <c r="S406" s="14"/>
      <c r="T406" s="14"/>
    </row>
    <row r="407" customFormat="false" ht="15" hidden="false" customHeight="true" outlineLevel="0" collapsed="false">
      <c r="B407" s="14"/>
      <c r="E407" s="1" t="str">
        <f aca="false">IFERROR((D407-C407)/C407,"")</f>
        <v/>
      </c>
      <c r="H407" s="1" t="str">
        <f aca="false">IFERROR((G407-F407)/F407,"")</f>
        <v/>
      </c>
      <c r="K407" s="1" t="str">
        <f aca="false">IFERROR((J407-I407)/I407,"")</f>
        <v/>
      </c>
      <c r="R407" s="1" t="str">
        <f aca="false">IFERROR((D407-N407)/N407,"")</f>
        <v/>
      </c>
      <c r="S407" s="14"/>
      <c r="T407" s="14"/>
    </row>
    <row r="408" customFormat="false" ht="15" hidden="false" customHeight="true" outlineLevel="0" collapsed="false">
      <c r="B408" s="14"/>
      <c r="E408" s="1" t="str">
        <f aca="false">IFERROR((D408-C408)/C408,"")</f>
        <v/>
      </c>
      <c r="H408" s="1" t="str">
        <f aca="false">IFERROR((G408-F408)/F408,"")</f>
        <v/>
      </c>
      <c r="K408" s="1" t="str">
        <f aca="false">IFERROR((J408-I408)/I408,"")</f>
        <v/>
      </c>
      <c r="R408" s="1" t="str">
        <f aca="false">IFERROR((D408-N408)/N408,"")</f>
        <v/>
      </c>
      <c r="S408" s="14"/>
      <c r="T408" s="14"/>
    </row>
    <row r="409" customFormat="false" ht="15" hidden="false" customHeight="true" outlineLevel="0" collapsed="false">
      <c r="B409" s="14"/>
      <c r="E409" s="1" t="str">
        <f aca="false">IFERROR((D409-C409)/C409,"")</f>
        <v/>
      </c>
      <c r="H409" s="1" t="str">
        <f aca="false">IFERROR((G409-F409)/F409,"")</f>
        <v/>
      </c>
      <c r="K409" s="1" t="str">
        <f aca="false">IFERROR((J409-I409)/I409,"")</f>
        <v/>
      </c>
      <c r="R409" s="1" t="str">
        <f aca="false">IFERROR((D409-N409)/N409,"")</f>
        <v/>
      </c>
      <c r="S409" s="14"/>
      <c r="T409" s="14"/>
    </row>
    <row r="410" customFormat="false" ht="15" hidden="false" customHeight="true" outlineLevel="0" collapsed="false">
      <c r="B410" s="14"/>
      <c r="E410" s="1" t="str">
        <f aca="false">IFERROR((D410-C410)/C410,"")</f>
        <v/>
      </c>
      <c r="H410" s="1" t="str">
        <f aca="false">IFERROR((G410-F410)/F410,"")</f>
        <v/>
      </c>
      <c r="K410" s="1" t="str">
        <f aca="false">IFERROR((J410-I410)/I410,"")</f>
        <v/>
      </c>
      <c r="R410" s="1" t="str">
        <f aca="false">IFERROR((D410-N410)/N410,"")</f>
        <v/>
      </c>
      <c r="S410" s="14"/>
      <c r="T410" s="14"/>
    </row>
    <row r="411" customFormat="false" ht="15" hidden="false" customHeight="true" outlineLevel="0" collapsed="false">
      <c r="B411" s="14"/>
      <c r="E411" s="1" t="str">
        <f aca="false">IFERROR((D411-C411)/C411,"")</f>
        <v/>
      </c>
      <c r="H411" s="1" t="str">
        <f aca="false">IFERROR((G411-F411)/F411,"")</f>
        <v/>
      </c>
      <c r="K411" s="1" t="str">
        <f aca="false">IFERROR((J411-I411)/I411,"")</f>
        <v/>
      </c>
      <c r="R411" s="1" t="str">
        <f aca="false">IFERROR((D411-N411)/N411,"")</f>
        <v/>
      </c>
      <c r="S411" s="14"/>
      <c r="T411" s="14"/>
    </row>
    <row r="412" customFormat="false" ht="15" hidden="false" customHeight="true" outlineLevel="0" collapsed="false">
      <c r="B412" s="14"/>
      <c r="E412" s="1" t="str">
        <f aca="false">IFERROR((D412-C412)/C412,"")</f>
        <v/>
      </c>
      <c r="H412" s="1" t="str">
        <f aca="false">IFERROR((G412-F412)/F412,"")</f>
        <v/>
      </c>
      <c r="K412" s="1" t="str">
        <f aca="false">IFERROR((J412-I412)/I412,"")</f>
        <v/>
      </c>
      <c r="R412" s="1" t="str">
        <f aca="false">IFERROR((D412-N412)/N412,"")</f>
        <v/>
      </c>
      <c r="S412" s="14"/>
      <c r="T412" s="14"/>
    </row>
    <row r="413" customFormat="false" ht="15" hidden="false" customHeight="true" outlineLevel="0" collapsed="false">
      <c r="B413" s="14"/>
      <c r="E413" s="1" t="str">
        <f aca="false">IFERROR((D413-C413)/C413,"")</f>
        <v/>
      </c>
      <c r="H413" s="1" t="str">
        <f aca="false">IFERROR((G413-F413)/F413,"")</f>
        <v/>
      </c>
      <c r="K413" s="1" t="str">
        <f aca="false">IFERROR((J413-I413)/I413,"")</f>
        <v/>
      </c>
      <c r="R413" s="1" t="str">
        <f aca="false">IFERROR((D413-N413)/N413,"")</f>
        <v/>
      </c>
      <c r="S413" s="14"/>
      <c r="T413" s="14"/>
    </row>
    <row r="414" customFormat="false" ht="15" hidden="false" customHeight="true" outlineLevel="0" collapsed="false">
      <c r="B414" s="14"/>
      <c r="E414" s="1" t="str">
        <f aca="false">IFERROR((D414-C414)/C414,"")</f>
        <v/>
      </c>
      <c r="H414" s="1" t="str">
        <f aca="false">IFERROR((G414-F414)/F414,"")</f>
        <v/>
      </c>
      <c r="K414" s="1" t="str">
        <f aca="false">IFERROR((J414-I414)/I414,"")</f>
        <v/>
      </c>
      <c r="R414" s="1" t="str">
        <f aca="false">IFERROR((D414-N414)/N414,"")</f>
        <v/>
      </c>
      <c r="S414" s="14"/>
      <c r="T414" s="14"/>
    </row>
    <row r="415" customFormat="false" ht="15" hidden="false" customHeight="true" outlineLevel="0" collapsed="false">
      <c r="B415" s="14"/>
      <c r="E415" s="1" t="str">
        <f aca="false">IFERROR((D415-C415)/C415,"")</f>
        <v/>
      </c>
      <c r="H415" s="1" t="str">
        <f aca="false">IFERROR((G415-F415)/F415,"")</f>
        <v/>
      </c>
      <c r="K415" s="1" t="str">
        <f aca="false">IFERROR((J415-I415)/I415,"")</f>
        <v/>
      </c>
      <c r="R415" s="1" t="str">
        <f aca="false">IFERROR((D415-N415)/N415,"")</f>
        <v/>
      </c>
      <c r="S415" s="14"/>
      <c r="T415" s="14"/>
    </row>
    <row r="416" customFormat="false" ht="15" hidden="false" customHeight="true" outlineLevel="0" collapsed="false">
      <c r="B416" s="14"/>
      <c r="E416" s="1" t="str">
        <f aca="false">IFERROR((D416-C416)/C416,"")</f>
        <v/>
      </c>
      <c r="H416" s="1" t="str">
        <f aca="false">IFERROR((G416-F416)/F416,"")</f>
        <v/>
      </c>
      <c r="K416" s="1" t="str">
        <f aca="false">IFERROR((J416-I416)/I416,"")</f>
        <v/>
      </c>
      <c r="R416" s="1" t="str">
        <f aca="false">IFERROR((D416-N416)/N416,"")</f>
        <v/>
      </c>
      <c r="S416" s="14"/>
      <c r="T416" s="14"/>
    </row>
    <row r="417" customFormat="false" ht="15" hidden="false" customHeight="true" outlineLevel="0" collapsed="false">
      <c r="B417" s="14"/>
      <c r="E417" s="1" t="str">
        <f aca="false">IFERROR((D417-C417)/C417,"")</f>
        <v/>
      </c>
      <c r="H417" s="1" t="str">
        <f aca="false">IFERROR((G417-F417)/F417,"")</f>
        <v/>
      </c>
      <c r="K417" s="1" t="str">
        <f aca="false">IFERROR((J417-I417)/I417,"")</f>
        <v/>
      </c>
      <c r="R417" s="1" t="str">
        <f aca="false">IFERROR((D417-N417)/N417,"")</f>
        <v/>
      </c>
      <c r="S417" s="14"/>
      <c r="T417" s="14"/>
    </row>
    <row r="418" customFormat="false" ht="15" hidden="false" customHeight="true" outlineLevel="0" collapsed="false">
      <c r="B418" s="14"/>
      <c r="E418" s="1" t="str">
        <f aca="false">IFERROR((D418-C418)/C418,"")</f>
        <v/>
      </c>
      <c r="H418" s="1" t="str">
        <f aca="false">IFERROR((G418-F418)/F418,"")</f>
        <v/>
      </c>
      <c r="K418" s="1" t="str">
        <f aca="false">IFERROR((J418-I418)/I418,"")</f>
        <v/>
      </c>
      <c r="R418" s="1" t="str">
        <f aca="false">IFERROR((D418-N418)/N418,"")</f>
        <v/>
      </c>
      <c r="S418" s="14"/>
      <c r="T418" s="14"/>
    </row>
    <row r="419" customFormat="false" ht="15" hidden="false" customHeight="true" outlineLevel="0" collapsed="false">
      <c r="B419" s="14"/>
      <c r="E419" s="1" t="str">
        <f aca="false">IFERROR((D419-C419)/C419,"")</f>
        <v/>
      </c>
      <c r="H419" s="1" t="str">
        <f aca="false">IFERROR((G419-F419)/F419,"")</f>
        <v/>
      </c>
      <c r="K419" s="1" t="str">
        <f aca="false">IFERROR((J419-I419)/I419,"")</f>
        <v/>
      </c>
      <c r="R419" s="1" t="str">
        <f aca="false">IFERROR((D419-N419)/N419,"")</f>
        <v/>
      </c>
      <c r="S419" s="14"/>
      <c r="T419" s="14"/>
    </row>
    <row r="420" customFormat="false" ht="15" hidden="false" customHeight="true" outlineLevel="0" collapsed="false">
      <c r="B420" s="14"/>
      <c r="E420" s="1" t="str">
        <f aca="false">IFERROR((D420-C420)/C420,"")</f>
        <v/>
      </c>
      <c r="H420" s="1" t="str">
        <f aca="false">IFERROR((G420-F420)/F420,"")</f>
        <v/>
      </c>
      <c r="K420" s="1" t="str">
        <f aca="false">IFERROR((J420-I420)/I420,"")</f>
        <v/>
      </c>
      <c r="R420" s="1" t="str">
        <f aca="false">IFERROR((D420-N420)/N420,"")</f>
        <v/>
      </c>
      <c r="S420" s="14"/>
      <c r="T420" s="14"/>
    </row>
    <row r="421" customFormat="false" ht="15" hidden="false" customHeight="true" outlineLevel="0" collapsed="false">
      <c r="B421" s="14"/>
      <c r="E421" s="1" t="str">
        <f aca="false">IFERROR((D421-C421)/C421,"")</f>
        <v/>
      </c>
      <c r="H421" s="1" t="str">
        <f aca="false">IFERROR((G421-F421)/F421,"")</f>
        <v/>
      </c>
      <c r="K421" s="1" t="str">
        <f aca="false">IFERROR((J421-I421)/I421,"")</f>
        <v/>
      </c>
      <c r="R421" s="1" t="str">
        <f aca="false">IFERROR((D421-N421)/N421,"")</f>
        <v/>
      </c>
      <c r="S421" s="14"/>
      <c r="T421" s="14"/>
    </row>
    <row r="422" customFormat="false" ht="15" hidden="false" customHeight="true" outlineLevel="0" collapsed="false">
      <c r="B422" s="14"/>
      <c r="E422" s="1" t="str">
        <f aca="false">IFERROR((D422-C422)/C422,"")</f>
        <v/>
      </c>
      <c r="H422" s="1" t="str">
        <f aca="false">IFERROR((G422-F422)/F422,"")</f>
        <v/>
      </c>
      <c r="K422" s="1" t="str">
        <f aca="false">IFERROR((J422-I422)/I422,"")</f>
        <v/>
      </c>
      <c r="R422" s="1" t="str">
        <f aca="false">IFERROR((D422-N422)/N422,"")</f>
        <v/>
      </c>
      <c r="S422" s="14"/>
      <c r="T422" s="14"/>
    </row>
    <row r="423" customFormat="false" ht="15" hidden="false" customHeight="true" outlineLevel="0" collapsed="false">
      <c r="B423" s="14"/>
      <c r="E423" s="1" t="str">
        <f aca="false">IFERROR((D423-C423)/C423,"")</f>
        <v/>
      </c>
      <c r="H423" s="1" t="str">
        <f aca="false">IFERROR((G423-F423)/F423,"")</f>
        <v/>
      </c>
      <c r="K423" s="1" t="str">
        <f aca="false">IFERROR((J423-I423)/I423,"")</f>
        <v/>
      </c>
      <c r="R423" s="1" t="str">
        <f aca="false">IFERROR((D423-N423)/N423,"")</f>
        <v/>
      </c>
      <c r="S423" s="14"/>
      <c r="T423" s="14"/>
    </row>
    <row r="424" customFormat="false" ht="15" hidden="false" customHeight="true" outlineLevel="0" collapsed="false">
      <c r="B424" s="14"/>
      <c r="E424" s="1" t="str">
        <f aca="false">IFERROR((D424-C424)/C424,"")</f>
        <v/>
      </c>
      <c r="H424" s="1" t="str">
        <f aca="false">IFERROR((G424-F424)/F424,"")</f>
        <v/>
      </c>
      <c r="K424" s="1" t="str">
        <f aca="false">IFERROR((J424-I424)/I424,"")</f>
        <v/>
      </c>
      <c r="R424" s="1" t="str">
        <f aca="false">IFERROR((D424-N424)/N424,"")</f>
        <v/>
      </c>
      <c r="S424" s="14"/>
      <c r="T424" s="14"/>
    </row>
    <row r="425" customFormat="false" ht="15" hidden="false" customHeight="true" outlineLevel="0" collapsed="false">
      <c r="B425" s="14"/>
      <c r="E425" s="1" t="str">
        <f aca="false">IFERROR((D425-C425)/C425,"")</f>
        <v/>
      </c>
      <c r="H425" s="1" t="str">
        <f aca="false">IFERROR((G425-F425)/F425,"")</f>
        <v/>
      </c>
      <c r="K425" s="1" t="str">
        <f aca="false">IFERROR((J425-I425)/I425,"")</f>
        <v/>
      </c>
      <c r="R425" s="1" t="str">
        <f aca="false">IFERROR((D425-N425)/N425,"")</f>
        <v/>
      </c>
      <c r="S425" s="14"/>
      <c r="T425" s="14"/>
    </row>
    <row r="426" customFormat="false" ht="15" hidden="false" customHeight="true" outlineLevel="0" collapsed="false">
      <c r="B426" s="14"/>
      <c r="E426" s="1" t="str">
        <f aca="false">IFERROR((D426-C426)/C426,"")</f>
        <v/>
      </c>
      <c r="H426" s="1" t="str">
        <f aca="false">IFERROR((G426-F426)/F426,"")</f>
        <v/>
      </c>
      <c r="K426" s="1" t="str">
        <f aca="false">IFERROR((J426-I426)/I426,"")</f>
        <v/>
      </c>
      <c r="R426" s="1" t="str">
        <f aca="false">IFERROR((D426-N426)/N426,"")</f>
        <v/>
      </c>
      <c r="S426" s="14"/>
      <c r="T426" s="14"/>
    </row>
    <row r="427" customFormat="false" ht="15" hidden="false" customHeight="true" outlineLevel="0" collapsed="false">
      <c r="B427" s="14"/>
      <c r="E427" s="1" t="str">
        <f aca="false">IFERROR((D427-C427)/C427,"")</f>
        <v/>
      </c>
      <c r="H427" s="1" t="str">
        <f aca="false">IFERROR((G427-F427)/F427,"")</f>
        <v/>
      </c>
      <c r="K427" s="1" t="str">
        <f aca="false">IFERROR((J427-I427)/I427,"")</f>
        <v/>
      </c>
      <c r="R427" s="1" t="str">
        <f aca="false">IFERROR((D427-N427)/N427,"")</f>
        <v/>
      </c>
      <c r="S427" s="14"/>
      <c r="T427" s="14"/>
    </row>
    <row r="428" customFormat="false" ht="15" hidden="false" customHeight="true" outlineLevel="0" collapsed="false">
      <c r="B428" s="14"/>
      <c r="E428" s="1" t="str">
        <f aca="false">IFERROR((D428-C428)/C428,"")</f>
        <v/>
      </c>
      <c r="H428" s="1" t="str">
        <f aca="false">IFERROR((G428-F428)/F428,"")</f>
        <v/>
      </c>
      <c r="K428" s="1" t="str">
        <f aca="false">IFERROR((J428-I428)/I428,"")</f>
        <v/>
      </c>
      <c r="R428" s="1" t="str">
        <f aca="false">IFERROR((D428-N428)/N428,"")</f>
        <v/>
      </c>
      <c r="S428" s="14"/>
      <c r="T428" s="14"/>
    </row>
    <row r="429" customFormat="false" ht="15" hidden="false" customHeight="true" outlineLevel="0" collapsed="false">
      <c r="B429" s="14"/>
      <c r="E429" s="1" t="str">
        <f aca="false">IFERROR((D429-C429)/C429,"")</f>
        <v/>
      </c>
      <c r="H429" s="1" t="str">
        <f aca="false">IFERROR((G429-F429)/F429,"")</f>
        <v/>
      </c>
      <c r="K429" s="1" t="str">
        <f aca="false">IFERROR((J429-I429)/I429,"")</f>
        <v/>
      </c>
      <c r="R429" s="1" t="str">
        <f aca="false">IFERROR((D429-N429)/N429,"")</f>
        <v/>
      </c>
      <c r="S429" s="14"/>
      <c r="T429" s="14"/>
    </row>
    <row r="430" customFormat="false" ht="15" hidden="false" customHeight="true" outlineLevel="0" collapsed="false">
      <c r="B430" s="14"/>
      <c r="E430" s="1" t="str">
        <f aca="false">IFERROR((D430-C430)/C430,"")</f>
        <v/>
      </c>
      <c r="H430" s="1" t="str">
        <f aca="false">IFERROR((G430-F430)/F430,"")</f>
        <v/>
      </c>
      <c r="K430" s="1" t="str">
        <f aca="false">IFERROR((J430-I430)/I430,"")</f>
        <v/>
      </c>
      <c r="R430" s="1" t="str">
        <f aca="false">IFERROR((D430-N430)/N430,"")</f>
        <v/>
      </c>
      <c r="S430" s="14"/>
      <c r="T430" s="14"/>
    </row>
    <row r="431" customFormat="false" ht="15" hidden="false" customHeight="true" outlineLevel="0" collapsed="false">
      <c r="B431" s="14"/>
      <c r="E431" s="1" t="str">
        <f aca="false">IFERROR((D431-C431)/C431,"")</f>
        <v/>
      </c>
      <c r="H431" s="1" t="str">
        <f aca="false">IFERROR((G431-F431)/F431,"")</f>
        <v/>
      </c>
      <c r="K431" s="1" t="str">
        <f aca="false">IFERROR((J431-I431)/I431,"")</f>
        <v/>
      </c>
      <c r="R431" s="1" t="str">
        <f aca="false">IFERROR((D431-N431)/N431,"")</f>
        <v/>
      </c>
      <c r="S431" s="14"/>
      <c r="T431" s="14"/>
    </row>
    <row r="432" customFormat="false" ht="15" hidden="false" customHeight="true" outlineLevel="0" collapsed="false">
      <c r="B432" s="14"/>
      <c r="E432" s="1" t="str">
        <f aca="false">IFERROR((D432-C432)/C432,"")</f>
        <v/>
      </c>
      <c r="H432" s="1" t="str">
        <f aca="false">IFERROR((G432-F432)/F432,"")</f>
        <v/>
      </c>
      <c r="K432" s="1" t="str">
        <f aca="false">IFERROR((J432-I432)/I432,"")</f>
        <v/>
      </c>
      <c r="R432" s="1" t="str">
        <f aca="false">IFERROR((D432-N432)/N432,"")</f>
        <v/>
      </c>
      <c r="S432" s="14"/>
      <c r="T432" s="14"/>
    </row>
    <row r="433" customFormat="false" ht="15" hidden="false" customHeight="true" outlineLevel="0" collapsed="false">
      <c r="B433" s="14"/>
      <c r="E433" s="1" t="str">
        <f aca="false">IFERROR((D433-C433)/C433,"")</f>
        <v/>
      </c>
      <c r="H433" s="1" t="str">
        <f aca="false">IFERROR((G433-F433)/F433,"")</f>
        <v/>
      </c>
      <c r="K433" s="1" t="str">
        <f aca="false">IFERROR((J433-I433)/I433,"")</f>
        <v/>
      </c>
      <c r="R433" s="1" t="str">
        <f aca="false">IFERROR((D433-N433)/N433,"")</f>
        <v/>
      </c>
      <c r="S433" s="14"/>
      <c r="T433" s="14"/>
    </row>
    <row r="434" customFormat="false" ht="15" hidden="false" customHeight="true" outlineLevel="0" collapsed="false">
      <c r="B434" s="14"/>
      <c r="E434" s="1" t="str">
        <f aca="false">IFERROR((D434-C434)/C434,"")</f>
        <v/>
      </c>
      <c r="H434" s="1" t="str">
        <f aca="false">IFERROR((G434-F434)/F434,"")</f>
        <v/>
      </c>
      <c r="K434" s="1" t="str">
        <f aca="false">IFERROR((J434-I434)/I434,"")</f>
        <v/>
      </c>
      <c r="R434" s="1" t="str">
        <f aca="false">IFERROR((D434-N434)/N434,"")</f>
        <v/>
      </c>
      <c r="S434" s="14"/>
      <c r="T434" s="14"/>
    </row>
    <row r="435" customFormat="false" ht="15" hidden="false" customHeight="true" outlineLevel="0" collapsed="false">
      <c r="B435" s="14"/>
      <c r="E435" s="1" t="str">
        <f aca="false">IFERROR((D435-C435)/C435,"")</f>
        <v/>
      </c>
      <c r="H435" s="1" t="str">
        <f aca="false">IFERROR((G435-F435)/F435,"")</f>
        <v/>
      </c>
      <c r="K435" s="1" t="str">
        <f aca="false">IFERROR((J435-I435)/I435,"")</f>
        <v/>
      </c>
      <c r="R435" s="1" t="str">
        <f aca="false">IFERROR((D435-N435)/N435,"")</f>
        <v/>
      </c>
      <c r="S435" s="14"/>
      <c r="T435" s="14"/>
    </row>
    <row r="436" customFormat="false" ht="15" hidden="false" customHeight="true" outlineLevel="0" collapsed="false">
      <c r="B436" s="14"/>
      <c r="E436" s="1" t="str">
        <f aca="false">IFERROR((D436-C436)/C436,"")</f>
        <v/>
      </c>
      <c r="H436" s="1" t="str">
        <f aca="false">IFERROR((G436-F436)/F436,"")</f>
        <v/>
      </c>
      <c r="K436" s="1" t="str">
        <f aca="false">IFERROR((J436-I436)/I436,"")</f>
        <v/>
      </c>
      <c r="R436" s="1" t="str">
        <f aca="false">IFERROR((D436-N436)/N436,"")</f>
        <v/>
      </c>
      <c r="S436" s="14"/>
      <c r="T436" s="14"/>
    </row>
    <row r="437" customFormat="false" ht="15" hidden="false" customHeight="true" outlineLevel="0" collapsed="false">
      <c r="B437" s="14"/>
      <c r="E437" s="1" t="str">
        <f aca="false">IFERROR((D437-C437)/C437,"")</f>
        <v/>
      </c>
      <c r="H437" s="1" t="str">
        <f aca="false">IFERROR((G437-F437)/F437,"")</f>
        <v/>
      </c>
      <c r="K437" s="1" t="str">
        <f aca="false">IFERROR((J437-I437)/I437,"")</f>
        <v/>
      </c>
      <c r="R437" s="1" t="str">
        <f aca="false">IFERROR((D437-N437)/N437,"")</f>
        <v/>
      </c>
      <c r="S437" s="14"/>
      <c r="T437" s="14"/>
    </row>
    <row r="438" customFormat="false" ht="15" hidden="false" customHeight="true" outlineLevel="0" collapsed="false">
      <c r="B438" s="14"/>
      <c r="E438" s="1" t="str">
        <f aca="false">IFERROR((D438-C438)/C438,"")</f>
        <v/>
      </c>
      <c r="H438" s="1" t="str">
        <f aca="false">IFERROR((G438-F438)/F438,"")</f>
        <v/>
      </c>
      <c r="K438" s="1" t="str">
        <f aca="false">IFERROR((J438-I438)/I438,"")</f>
        <v/>
      </c>
      <c r="R438" s="1" t="str">
        <f aca="false">IFERROR((D438-N438)/N438,"")</f>
        <v/>
      </c>
      <c r="S438" s="14"/>
      <c r="T438" s="14"/>
    </row>
    <row r="439" customFormat="false" ht="15" hidden="false" customHeight="true" outlineLevel="0" collapsed="false">
      <c r="B439" s="14"/>
      <c r="E439" s="1" t="str">
        <f aca="false">IFERROR((D439-C439)/C439,"")</f>
        <v/>
      </c>
      <c r="H439" s="1" t="str">
        <f aca="false">IFERROR((G439-F439)/F439,"")</f>
        <v/>
      </c>
      <c r="K439" s="1" t="str">
        <f aca="false">IFERROR((J439-I439)/I439,"")</f>
        <v/>
      </c>
      <c r="R439" s="1" t="str">
        <f aca="false">IFERROR((D439-N439)/N439,"")</f>
        <v/>
      </c>
      <c r="S439" s="14"/>
      <c r="T439" s="14"/>
    </row>
    <row r="440" customFormat="false" ht="15" hidden="false" customHeight="true" outlineLevel="0" collapsed="false">
      <c r="B440" s="14"/>
      <c r="E440" s="1" t="str">
        <f aca="false">IFERROR((D440-C440)/C440,"")</f>
        <v/>
      </c>
      <c r="H440" s="1" t="str">
        <f aca="false">IFERROR((G440-F440)/F440,"")</f>
        <v/>
      </c>
      <c r="K440" s="1" t="str">
        <f aca="false">IFERROR((J440-I440)/I440,"")</f>
        <v/>
      </c>
      <c r="R440" s="1" t="str">
        <f aca="false">IFERROR((D440-N440)/N440,"")</f>
        <v/>
      </c>
      <c r="S440" s="14"/>
      <c r="T440" s="14"/>
    </row>
    <row r="441" customFormat="false" ht="15" hidden="false" customHeight="true" outlineLevel="0" collapsed="false">
      <c r="B441" s="14"/>
      <c r="E441" s="1" t="str">
        <f aca="false">IFERROR((D441-C441)/C441,"")</f>
        <v/>
      </c>
      <c r="H441" s="1" t="str">
        <f aca="false">IFERROR((G441-F441)/F441,"")</f>
        <v/>
      </c>
      <c r="K441" s="1" t="str">
        <f aca="false">IFERROR((J441-I441)/I441,"")</f>
        <v/>
      </c>
      <c r="R441" s="1" t="str">
        <f aca="false">IFERROR((D441-N441)/N441,"")</f>
        <v/>
      </c>
      <c r="S441" s="14"/>
      <c r="T441" s="14"/>
    </row>
    <row r="442" customFormat="false" ht="15" hidden="false" customHeight="true" outlineLevel="0" collapsed="false">
      <c r="B442" s="14"/>
      <c r="E442" s="1" t="str">
        <f aca="false">IFERROR((D442-C442)/C442,"")</f>
        <v/>
      </c>
      <c r="H442" s="1" t="str">
        <f aca="false">IFERROR((G442-F442)/F442,"")</f>
        <v/>
      </c>
      <c r="K442" s="1" t="str">
        <f aca="false">IFERROR((J442-I442)/I442,"")</f>
        <v/>
      </c>
      <c r="R442" s="1" t="str">
        <f aca="false">IFERROR((D442-N442)/N442,"")</f>
        <v/>
      </c>
      <c r="S442" s="14"/>
      <c r="T442" s="14"/>
    </row>
    <row r="443" customFormat="false" ht="15" hidden="false" customHeight="true" outlineLevel="0" collapsed="false">
      <c r="B443" s="14"/>
      <c r="E443" s="1" t="str">
        <f aca="false">IFERROR((D443-C443)/C443,"")</f>
        <v/>
      </c>
      <c r="H443" s="1" t="str">
        <f aca="false">IFERROR((G443-F443)/F443,"")</f>
        <v/>
      </c>
      <c r="K443" s="1" t="str">
        <f aca="false">IFERROR((J443-I443)/I443,"")</f>
        <v/>
      </c>
      <c r="R443" s="1" t="str">
        <f aca="false">IFERROR((D443-N443)/N443,"")</f>
        <v/>
      </c>
      <c r="S443" s="14"/>
      <c r="T443" s="14"/>
    </row>
    <row r="444" customFormat="false" ht="15" hidden="false" customHeight="true" outlineLevel="0" collapsed="false">
      <c r="B444" s="14"/>
      <c r="E444" s="1" t="str">
        <f aca="false">IFERROR((D444-C444)/C444,"")</f>
        <v/>
      </c>
      <c r="H444" s="1" t="str">
        <f aca="false">IFERROR((G444-F444)/F444,"")</f>
        <v/>
      </c>
      <c r="K444" s="1" t="str">
        <f aca="false">IFERROR((J444-I444)/I444,"")</f>
        <v/>
      </c>
      <c r="R444" s="1" t="str">
        <f aca="false">IFERROR((D444-N444)/N444,"")</f>
        <v/>
      </c>
      <c r="S444" s="14"/>
      <c r="T444" s="14"/>
    </row>
    <row r="445" customFormat="false" ht="15" hidden="false" customHeight="true" outlineLevel="0" collapsed="false">
      <c r="B445" s="14"/>
      <c r="E445" s="1" t="str">
        <f aca="false">IFERROR((D445-C445)/C445,"")</f>
        <v/>
      </c>
      <c r="H445" s="1" t="str">
        <f aca="false">IFERROR((G445-F445)/F445,"")</f>
        <v/>
      </c>
      <c r="K445" s="1" t="str">
        <f aca="false">IFERROR((J445-I445)/I445,"")</f>
        <v/>
      </c>
      <c r="R445" s="1" t="str">
        <f aca="false">IFERROR((D445-N445)/N445,"")</f>
        <v/>
      </c>
      <c r="S445" s="14"/>
      <c r="T445" s="14"/>
    </row>
    <row r="446" customFormat="false" ht="15" hidden="false" customHeight="true" outlineLevel="0" collapsed="false">
      <c r="B446" s="14"/>
      <c r="E446" s="1" t="str">
        <f aca="false">IFERROR((D446-C446)/C446,"")</f>
        <v/>
      </c>
      <c r="H446" s="1" t="str">
        <f aca="false">IFERROR((G446-F446)/F446,"")</f>
        <v/>
      </c>
      <c r="K446" s="1" t="str">
        <f aca="false">IFERROR((J446-I446)/I446,"")</f>
        <v/>
      </c>
      <c r="R446" s="1" t="str">
        <f aca="false">IFERROR((D446-N446)/N446,"")</f>
        <v/>
      </c>
      <c r="S446" s="14"/>
      <c r="T446" s="14"/>
    </row>
    <row r="447" customFormat="false" ht="15" hidden="false" customHeight="true" outlineLevel="0" collapsed="false">
      <c r="B447" s="14"/>
      <c r="E447" s="1" t="str">
        <f aca="false">IFERROR((D447-C447)/C447,"")</f>
        <v/>
      </c>
      <c r="H447" s="1" t="str">
        <f aca="false">IFERROR((G447-F447)/F447,"")</f>
        <v/>
      </c>
      <c r="K447" s="1" t="str">
        <f aca="false">IFERROR((J447-I447)/I447,"")</f>
        <v/>
      </c>
      <c r="R447" s="1" t="str">
        <f aca="false">IFERROR((D447-N447)/N447,"")</f>
        <v/>
      </c>
      <c r="S447" s="14"/>
      <c r="T447" s="14"/>
    </row>
    <row r="448" customFormat="false" ht="15" hidden="false" customHeight="true" outlineLevel="0" collapsed="false">
      <c r="B448" s="14"/>
      <c r="E448" s="1" t="str">
        <f aca="false">IFERROR((D448-C448)/C448,"")</f>
        <v/>
      </c>
      <c r="H448" s="1" t="str">
        <f aca="false">IFERROR((G448-F448)/F448,"")</f>
        <v/>
      </c>
      <c r="K448" s="1" t="str">
        <f aca="false">IFERROR((J448-I448)/I448,"")</f>
        <v/>
      </c>
      <c r="R448" s="1" t="str">
        <f aca="false">IFERROR((D448-N448)/N448,"")</f>
        <v/>
      </c>
      <c r="S448" s="14"/>
      <c r="T448" s="14"/>
    </row>
    <row r="449" customFormat="false" ht="15" hidden="false" customHeight="true" outlineLevel="0" collapsed="false">
      <c r="B449" s="14"/>
      <c r="E449" s="1" t="str">
        <f aca="false">IFERROR((D449-C449)/C449,"")</f>
        <v/>
      </c>
      <c r="H449" s="1" t="str">
        <f aca="false">IFERROR((G449-F449)/F449,"")</f>
        <v/>
      </c>
      <c r="K449" s="1" t="str">
        <f aca="false">IFERROR((J449-I449)/I449,"")</f>
        <v/>
      </c>
      <c r="R449" s="1" t="str">
        <f aca="false">IFERROR((D449-N449)/N449,"")</f>
        <v/>
      </c>
      <c r="S449" s="14"/>
      <c r="T449" s="14"/>
    </row>
    <row r="450" customFormat="false" ht="15" hidden="false" customHeight="true" outlineLevel="0" collapsed="false">
      <c r="B450" s="14"/>
      <c r="E450" s="1" t="str">
        <f aca="false">IFERROR((D450-C450)/C450,"")</f>
        <v/>
      </c>
      <c r="H450" s="1" t="str">
        <f aca="false">IFERROR((G450-F450)/F450,"")</f>
        <v/>
      </c>
      <c r="K450" s="1" t="str">
        <f aca="false">IFERROR((J450-I450)/I450,"")</f>
        <v/>
      </c>
      <c r="R450" s="1" t="str">
        <f aca="false">IFERROR((D450-N450)/N450,"")</f>
        <v/>
      </c>
      <c r="S450" s="14"/>
      <c r="T450" s="14"/>
    </row>
    <row r="451" customFormat="false" ht="15" hidden="false" customHeight="true" outlineLevel="0" collapsed="false">
      <c r="B451" s="14"/>
      <c r="E451" s="1" t="str">
        <f aca="false">IFERROR((D451-C451)/C451,"")</f>
        <v/>
      </c>
      <c r="H451" s="1" t="str">
        <f aca="false">IFERROR((G451-F451)/F451,"")</f>
        <v/>
      </c>
      <c r="K451" s="1" t="str">
        <f aca="false">IFERROR((J451-I451)/I451,"")</f>
        <v/>
      </c>
      <c r="R451" s="1" t="str">
        <f aca="false">IFERROR((D451-N451)/N451,"")</f>
        <v/>
      </c>
      <c r="S451" s="14"/>
      <c r="T451" s="14"/>
    </row>
    <row r="452" customFormat="false" ht="15" hidden="false" customHeight="true" outlineLevel="0" collapsed="false">
      <c r="B452" s="14"/>
      <c r="E452" s="1" t="str">
        <f aca="false">IFERROR((D452-C452)/C452,"")</f>
        <v/>
      </c>
      <c r="H452" s="1" t="str">
        <f aca="false">IFERROR((G452-F452)/F452,"")</f>
        <v/>
      </c>
      <c r="K452" s="1" t="str">
        <f aca="false">IFERROR((J452-I452)/I452,"")</f>
        <v/>
      </c>
      <c r="R452" s="1" t="str">
        <f aca="false">IFERROR((D452-N452)/N452,"")</f>
        <v/>
      </c>
      <c r="S452" s="14"/>
      <c r="T452" s="14"/>
    </row>
    <row r="453" customFormat="false" ht="15" hidden="false" customHeight="true" outlineLevel="0" collapsed="false">
      <c r="B453" s="14"/>
      <c r="E453" s="1" t="str">
        <f aca="false">IFERROR((D453-C453)/C453,"")</f>
        <v/>
      </c>
      <c r="H453" s="1" t="str">
        <f aca="false">IFERROR((G453-F453)/F453,"")</f>
        <v/>
      </c>
      <c r="K453" s="1" t="str">
        <f aca="false">IFERROR((J453-I453)/I453,"")</f>
        <v/>
      </c>
      <c r="R453" s="1" t="str">
        <f aca="false">IFERROR((D453-N453)/N453,"")</f>
        <v/>
      </c>
      <c r="S453" s="14"/>
      <c r="T453" s="14"/>
    </row>
    <row r="454" customFormat="false" ht="15" hidden="false" customHeight="true" outlineLevel="0" collapsed="false">
      <c r="B454" s="14"/>
      <c r="E454" s="1" t="str">
        <f aca="false">IFERROR((D454-C454)/C454,"")</f>
        <v/>
      </c>
      <c r="H454" s="1" t="str">
        <f aca="false">IFERROR((G454-F454)/F454,"")</f>
        <v/>
      </c>
      <c r="K454" s="1" t="str">
        <f aca="false">IFERROR((J454-I454)/I454,"")</f>
        <v/>
      </c>
      <c r="R454" s="1" t="str">
        <f aca="false">IFERROR((D454-N454)/N454,"")</f>
        <v/>
      </c>
      <c r="S454" s="14"/>
      <c r="T454" s="14"/>
    </row>
    <row r="455" customFormat="false" ht="15" hidden="false" customHeight="true" outlineLevel="0" collapsed="false">
      <c r="B455" s="14"/>
      <c r="E455" s="1" t="str">
        <f aca="false">IFERROR((D455-C455)/C455,"")</f>
        <v/>
      </c>
      <c r="H455" s="1" t="str">
        <f aca="false">IFERROR((G455-F455)/F455,"")</f>
        <v/>
      </c>
      <c r="K455" s="1" t="str">
        <f aca="false">IFERROR((J455-I455)/I455,"")</f>
        <v/>
      </c>
      <c r="R455" s="1" t="str">
        <f aca="false">IFERROR((D455-N455)/N455,"")</f>
        <v/>
      </c>
      <c r="S455" s="14"/>
      <c r="T455" s="14"/>
    </row>
    <row r="456" customFormat="false" ht="15" hidden="false" customHeight="true" outlineLevel="0" collapsed="false">
      <c r="B456" s="14"/>
      <c r="E456" s="1" t="str">
        <f aca="false">IFERROR((D456-C456)/C456,"")</f>
        <v/>
      </c>
      <c r="H456" s="1" t="str">
        <f aca="false">IFERROR((G456-F456)/F456,"")</f>
        <v/>
      </c>
      <c r="K456" s="1" t="str">
        <f aca="false">IFERROR((J456-I456)/I456,"")</f>
        <v/>
      </c>
      <c r="R456" s="1" t="str">
        <f aca="false">IFERROR((D456-N456)/N456,"")</f>
        <v/>
      </c>
      <c r="S456" s="14"/>
      <c r="T456" s="14"/>
    </row>
    <row r="457" customFormat="false" ht="15" hidden="false" customHeight="true" outlineLevel="0" collapsed="false">
      <c r="B457" s="14"/>
      <c r="E457" s="1" t="str">
        <f aca="false">IFERROR((D457-C457)/C457,"")</f>
        <v/>
      </c>
      <c r="H457" s="1" t="str">
        <f aca="false">IFERROR((G457-F457)/F457,"")</f>
        <v/>
      </c>
      <c r="K457" s="1" t="str">
        <f aca="false">IFERROR((J457-I457)/I457,"")</f>
        <v/>
      </c>
      <c r="R457" s="1" t="str">
        <f aca="false">IFERROR((D457-N457)/N457,"")</f>
        <v/>
      </c>
      <c r="S457" s="14"/>
      <c r="T457" s="14"/>
    </row>
    <row r="458" customFormat="false" ht="15" hidden="false" customHeight="true" outlineLevel="0" collapsed="false">
      <c r="B458" s="14"/>
      <c r="E458" s="1" t="str">
        <f aca="false">IFERROR((D458-C458)/C458,"")</f>
        <v/>
      </c>
      <c r="H458" s="1" t="str">
        <f aca="false">IFERROR((G458-F458)/F458,"")</f>
        <v/>
      </c>
      <c r="K458" s="1" t="str">
        <f aca="false">IFERROR((J458-I458)/I458,"")</f>
        <v/>
      </c>
      <c r="R458" s="1" t="str">
        <f aca="false">IFERROR((D458-N458)/N458,"")</f>
        <v/>
      </c>
      <c r="S458" s="14"/>
      <c r="T458" s="14"/>
    </row>
    <row r="459" customFormat="false" ht="15" hidden="false" customHeight="true" outlineLevel="0" collapsed="false">
      <c r="B459" s="14"/>
      <c r="E459" s="1" t="str">
        <f aca="false">IFERROR((D459-C459)/C459,"")</f>
        <v/>
      </c>
      <c r="H459" s="1" t="str">
        <f aca="false">IFERROR((G459-F459)/F459,"")</f>
        <v/>
      </c>
      <c r="K459" s="1" t="str">
        <f aca="false">IFERROR((J459-I459)/I459,"")</f>
        <v/>
      </c>
      <c r="R459" s="1" t="str">
        <f aca="false">IFERROR((D459-N459)/N459,"")</f>
        <v/>
      </c>
      <c r="S459" s="14"/>
      <c r="T459" s="14"/>
    </row>
    <row r="460" customFormat="false" ht="15" hidden="false" customHeight="true" outlineLevel="0" collapsed="false">
      <c r="B460" s="14"/>
      <c r="E460" s="1" t="str">
        <f aca="false">IFERROR((D460-C460)/C460,"")</f>
        <v/>
      </c>
      <c r="H460" s="1" t="str">
        <f aca="false">IFERROR((G460-F460)/F460,"")</f>
        <v/>
      </c>
      <c r="K460" s="1" t="str">
        <f aca="false">IFERROR((J460-I460)/I460,"")</f>
        <v/>
      </c>
      <c r="R460" s="1" t="str">
        <f aca="false">IFERROR((D460-N460)/N460,"")</f>
        <v/>
      </c>
      <c r="S460" s="14"/>
      <c r="T460" s="14"/>
    </row>
    <row r="461" customFormat="false" ht="15" hidden="false" customHeight="true" outlineLevel="0" collapsed="false">
      <c r="B461" s="14"/>
      <c r="E461" s="1" t="str">
        <f aca="false">IFERROR((D461-C461)/C461,"")</f>
        <v/>
      </c>
      <c r="H461" s="1" t="str">
        <f aca="false">IFERROR((G461-F461)/F461,"")</f>
        <v/>
      </c>
      <c r="K461" s="1" t="str">
        <f aca="false">IFERROR((J461-I461)/I461,"")</f>
        <v/>
      </c>
      <c r="R461" s="1" t="str">
        <f aca="false">IFERROR((D461-N461)/N461,"")</f>
        <v/>
      </c>
      <c r="S461" s="14"/>
      <c r="T461" s="14"/>
    </row>
    <row r="462" customFormat="false" ht="15" hidden="false" customHeight="true" outlineLevel="0" collapsed="false">
      <c r="B462" s="14"/>
      <c r="E462" s="1" t="str">
        <f aca="false">IFERROR((D462-C462)/C462,"")</f>
        <v/>
      </c>
      <c r="H462" s="1" t="str">
        <f aca="false">IFERROR((G462-F462)/F462,"")</f>
        <v/>
      </c>
      <c r="K462" s="1" t="str">
        <f aca="false">IFERROR((J462-I462)/I462,"")</f>
        <v/>
      </c>
      <c r="R462" s="1" t="str">
        <f aca="false">IFERROR((D462-N462)/N462,"")</f>
        <v/>
      </c>
      <c r="S462" s="14"/>
      <c r="T462" s="14"/>
    </row>
    <row r="463" customFormat="false" ht="15" hidden="false" customHeight="true" outlineLevel="0" collapsed="false">
      <c r="B463" s="14"/>
      <c r="E463" s="1" t="str">
        <f aca="false">IFERROR((D463-C463)/C463,"")</f>
        <v/>
      </c>
      <c r="H463" s="1" t="str">
        <f aca="false">IFERROR((G463-F463)/F463,"")</f>
        <v/>
      </c>
      <c r="K463" s="1" t="str">
        <f aca="false">IFERROR((J463-I463)/I463,"")</f>
        <v/>
      </c>
      <c r="R463" s="1" t="str">
        <f aca="false">IFERROR((D463-N463)/N463,"")</f>
        <v/>
      </c>
      <c r="S463" s="14"/>
      <c r="T463" s="14"/>
    </row>
    <row r="464" customFormat="false" ht="15" hidden="false" customHeight="true" outlineLevel="0" collapsed="false">
      <c r="B464" s="14"/>
      <c r="E464" s="1" t="str">
        <f aca="false">IFERROR((D464-C464)/C464,"")</f>
        <v/>
      </c>
      <c r="H464" s="1" t="str">
        <f aca="false">IFERROR((G464-F464)/F464,"")</f>
        <v/>
      </c>
      <c r="K464" s="1" t="str">
        <f aca="false">IFERROR((J464-I464)/I464,"")</f>
        <v/>
      </c>
      <c r="R464" s="1" t="str">
        <f aca="false">IFERROR((D464-N464)/N464,"")</f>
        <v/>
      </c>
      <c r="S464" s="14"/>
      <c r="T464" s="14"/>
    </row>
    <row r="465" customFormat="false" ht="15" hidden="false" customHeight="true" outlineLevel="0" collapsed="false">
      <c r="B465" s="14"/>
      <c r="E465" s="1" t="str">
        <f aca="false">IFERROR((D465-C465)/C465,"")</f>
        <v/>
      </c>
      <c r="H465" s="1" t="str">
        <f aca="false">IFERROR((G465-F465)/F465,"")</f>
        <v/>
      </c>
      <c r="K465" s="1" t="str">
        <f aca="false">IFERROR((J465-I465)/I465,"")</f>
        <v/>
      </c>
      <c r="R465" s="1" t="str">
        <f aca="false">IFERROR((D465-N465)/N465,"")</f>
        <v/>
      </c>
      <c r="S465" s="14"/>
      <c r="T465" s="14"/>
    </row>
    <row r="466" customFormat="false" ht="15" hidden="false" customHeight="true" outlineLevel="0" collapsed="false">
      <c r="B466" s="14"/>
      <c r="E466" s="1" t="str">
        <f aca="false">IFERROR((D466-C466)/C466,"")</f>
        <v/>
      </c>
      <c r="H466" s="1" t="str">
        <f aca="false">IFERROR((G466-F466)/F466,"")</f>
        <v/>
      </c>
      <c r="K466" s="1" t="str">
        <f aca="false">IFERROR((J466-I466)/I466,"")</f>
        <v/>
      </c>
      <c r="R466" s="1" t="str">
        <f aca="false">IFERROR((D466-N466)/N466,"")</f>
        <v/>
      </c>
      <c r="S466" s="14"/>
      <c r="T466" s="14"/>
    </row>
    <row r="467" customFormat="false" ht="15" hidden="false" customHeight="true" outlineLevel="0" collapsed="false">
      <c r="B467" s="14"/>
      <c r="E467" s="1" t="str">
        <f aca="false">IFERROR((D467-C467)/C467,"")</f>
        <v/>
      </c>
      <c r="H467" s="1" t="str">
        <f aca="false">IFERROR((G467-F467)/F467,"")</f>
        <v/>
      </c>
      <c r="K467" s="1" t="str">
        <f aca="false">IFERROR((J467-I467)/I467,"")</f>
        <v/>
      </c>
      <c r="R467" s="1" t="str">
        <f aca="false">IFERROR((D467-N467)/N467,"")</f>
        <v/>
      </c>
      <c r="S467" s="14"/>
      <c r="T467" s="14"/>
    </row>
    <row r="468" customFormat="false" ht="15" hidden="false" customHeight="true" outlineLevel="0" collapsed="false">
      <c r="B468" s="14"/>
      <c r="E468" s="1" t="str">
        <f aca="false">IFERROR((D468-C468)/C468,"")</f>
        <v/>
      </c>
      <c r="H468" s="1" t="str">
        <f aca="false">IFERROR((G468-F468)/F468,"")</f>
        <v/>
      </c>
      <c r="K468" s="1" t="str">
        <f aca="false">IFERROR((J468-I468)/I468,"")</f>
        <v/>
      </c>
      <c r="R468" s="1" t="str">
        <f aca="false">IFERROR((D468-N468)/N468,"")</f>
        <v/>
      </c>
      <c r="S468" s="14"/>
      <c r="T468" s="14"/>
    </row>
    <row r="469" customFormat="false" ht="15" hidden="false" customHeight="true" outlineLevel="0" collapsed="false">
      <c r="B469" s="14"/>
      <c r="E469" s="1" t="str">
        <f aca="false">IFERROR((D469-C469)/C469,"")</f>
        <v/>
      </c>
      <c r="H469" s="1" t="str">
        <f aca="false">IFERROR((G469-F469)/F469,"")</f>
        <v/>
      </c>
      <c r="K469" s="1" t="str">
        <f aca="false">IFERROR((J469-I469)/I469,"")</f>
        <v/>
      </c>
      <c r="R469" s="1" t="str">
        <f aca="false">IFERROR((D469-N469)/N469,"")</f>
        <v/>
      </c>
      <c r="S469" s="14"/>
      <c r="T469" s="14"/>
    </row>
    <row r="470" customFormat="false" ht="15" hidden="false" customHeight="true" outlineLevel="0" collapsed="false">
      <c r="B470" s="14"/>
      <c r="E470" s="1" t="str">
        <f aca="false">IFERROR((D470-C470)/C470,"")</f>
        <v/>
      </c>
      <c r="H470" s="1" t="str">
        <f aca="false">IFERROR((G470-F470)/F470,"")</f>
        <v/>
      </c>
      <c r="K470" s="1" t="str">
        <f aca="false">IFERROR((J470-I470)/I470,"")</f>
        <v/>
      </c>
      <c r="R470" s="1" t="str">
        <f aca="false">IFERROR((D470-N470)/N470,"")</f>
        <v/>
      </c>
      <c r="S470" s="14"/>
      <c r="T470" s="14"/>
    </row>
    <row r="471" customFormat="false" ht="15" hidden="false" customHeight="true" outlineLevel="0" collapsed="false">
      <c r="B471" s="14"/>
      <c r="E471" s="1" t="str">
        <f aca="false">IFERROR((D471-C471)/C471,"")</f>
        <v/>
      </c>
      <c r="H471" s="1" t="str">
        <f aca="false">IFERROR((G471-F471)/F471,"")</f>
        <v/>
      </c>
      <c r="K471" s="1" t="str">
        <f aca="false">IFERROR((J471-I471)/I471,"")</f>
        <v/>
      </c>
      <c r="R471" s="1" t="str">
        <f aca="false">IFERROR((D471-N471)/N471,"")</f>
        <v/>
      </c>
      <c r="S471" s="14"/>
      <c r="T471" s="14"/>
    </row>
    <row r="472" customFormat="false" ht="15" hidden="false" customHeight="true" outlineLevel="0" collapsed="false">
      <c r="B472" s="14"/>
      <c r="E472" s="1" t="str">
        <f aca="false">IFERROR((D472-C472)/C472,"")</f>
        <v/>
      </c>
      <c r="H472" s="1" t="str">
        <f aca="false">IFERROR((G472-F472)/F472,"")</f>
        <v/>
      </c>
      <c r="K472" s="1" t="str">
        <f aca="false">IFERROR((J472-I472)/I472,"")</f>
        <v/>
      </c>
      <c r="R472" s="1" t="str">
        <f aca="false">IFERROR((D472-N472)/N472,"")</f>
        <v/>
      </c>
      <c r="S472" s="14"/>
      <c r="T472" s="14"/>
    </row>
    <row r="473" customFormat="false" ht="15" hidden="false" customHeight="true" outlineLevel="0" collapsed="false">
      <c r="B473" s="14"/>
      <c r="E473" s="1" t="str">
        <f aca="false">IFERROR((D473-C473)/C473,"")</f>
        <v/>
      </c>
      <c r="H473" s="1" t="str">
        <f aca="false">IFERROR((G473-F473)/F473,"")</f>
        <v/>
      </c>
      <c r="K473" s="1" t="str">
        <f aca="false">IFERROR((J473-I473)/I473,"")</f>
        <v/>
      </c>
      <c r="R473" s="1" t="str">
        <f aca="false">IFERROR((D473-N473)/N473,"")</f>
        <v/>
      </c>
      <c r="S473" s="14"/>
      <c r="T473" s="14"/>
    </row>
    <row r="474" customFormat="false" ht="15" hidden="false" customHeight="true" outlineLevel="0" collapsed="false">
      <c r="B474" s="14"/>
      <c r="E474" s="1" t="str">
        <f aca="false">IFERROR((D474-C474)/C474,"")</f>
        <v/>
      </c>
      <c r="H474" s="1" t="str">
        <f aca="false">IFERROR((G474-F474)/F474,"")</f>
        <v/>
      </c>
      <c r="K474" s="1" t="str">
        <f aca="false">IFERROR((J474-I474)/I474,"")</f>
        <v/>
      </c>
      <c r="R474" s="1" t="str">
        <f aca="false">IFERROR((D474-N474)/N474,"")</f>
        <v/>
      </c>
      <c r="S474" s="14"/>
      <c r="T474" s="14"/>
    </row>
    <row r="475" customFormat="false" ht="15" hidden="false" customHeight="true" outlineLevel="0" collapsed="false">
      <c r="B475" s="14"/>
      <c r="E475" s="1" t="str">
        <f aca="false">IFERROR((D475-C475)/C475,"")</f>
        <v/>
      </c>
      <c r="H475" s="1" t="str">
        <f aca="false">IFERROR((G475-F475)/F475,"")</f>
        <v/>
      </c>
      <c r="K475" s="1" t="str">
        <f aca="false">IFERROR((J475-I475)/I475,"")</f>
        <v/>
      </c>
      <c r="R475" s="1" t="str">
        <f aca="false">IFERROR((D475-N475)/N475,"")</f>
        <v/>
      </c>
      <c r="S475" s="14"/>
      <c r="T475" s="14"/>
    </row>
    <row r="476" customFormat="false" ht="15" hidden="false" customHeight="true" outlineLevel="0" collapsed="false">
      <c r="B476" s="14"/>
      <c r="E476" s="1" t="str">
        <f aca="false">IFERROR((D476-C476)/C476,"")</f>
        <v/>
      </c>
      <c r="H476" s="1" t="str">
        <f aca="false">IFERROR((G476-F476)/F476,"")</f>
        <v/>
      </c>
      <c r="K476" s="1" t="str">
        <f aca="false">IFERROR((J476-I476)/I476,"")</f>
        <v/>
      </c>
      <c r="R476" s="1" t="str">
        <f aca="false">IFERROR((D476-N476)/N476,"")</f>
        <v/>
      </c>
      <c r="S476" s="14"/>
      <c r="T476" s="14"/>
    </row>
    <row r="477" customFormat="false" ht="15" hidden="false" customHeight="true" outlineLevel="0" collapsed="false">
      <c r="B477" s="14"/>
      <c r="E477" s="1" t="str">
        <f aca="false">IFERROR((D477-C477)/C477,"")</f>
        <v/>
      </c>
      <c r="H477" s="1" t="str">
        <f aca="false">IFERROR((G477-F477)/F477,"")</f>
        <v/>
      </c>
      <c r="K477" s="1" t="str">
        <f aca="false">IFERROR((J477-I477)/I477,"")</f>
        <v/>
      </c>
      <c r="R477" s="1" t="str">
        <f aca="false">IFERROR((D477-N477)/N477,"")</f>
        <v/>
      </c>
      <c r="S477" s="14"/>
      <c r="T477" s="14"/>
    </row>
    <row r="478" customFormat="false" ht="15" hidden="false" customHeight="true" outlineLevel="0" collapsed="false">
      <c r="B478" s="14"/>
      <c r="E478" s="1" t="str">
        <f aca="false">IFERROR((D478-C478)/C478,"")</f>
        <v/>
      </c>
      <c r="H478" s="1" t="str">
        <f aca="false">IFERROR((G478-F478)/F478,"")</f>
        <v/>
      </c>
      <c r="K478" s="1" t="str">
        <f aca="false">IFERROR((J478-I478)/I478,"")</f>
        <v/>
      </c>
      <c r="R478" s="1" t="str">
        <f aca="false">IFERROR((D478-N478)/N478,"")</f>
        <v/>
      </c>
      <c r="S478" s="14"/>
      <c r="T478" s="14"/>
    </row>
    <row r="479" customFormat="false" ht="15" hidden="false" customHeight="true" outlineLevel="0" collapsed="false">
      <c r="B479" s="14"/>
      <c r="E479" s="1" t="str">
        <f aca="false">IFERROR((D479-C479)/C479,"")</f>
        <v/>
      </c>
      <c r="H479" s="1" t="str">
        <f aca="false">IFERROR((G479-F479)/F479,"")</f>
        <v/>
      </c>
      <c r="K479" s="1" t="str">
        <f aca="false">IFERROR((J479-I479)/I479,"")</f>
        <v/>
      </c>
      <c r="R479" s="1" t="str">
        <f aca="false">IFERROR((D479-N479)/N479,"")</f>
        <v/>
      </c>
      <c r="S479" s="14"/>
      <c r="T479" s="14"/>
    </row>
    <row r="480" customFormat="false" ht="15" hidden="false" customHeight="true" outlineLevel="0" collapsed="false">
      <c r="B480" s="14"/>
      <c r="E480" s="1" t="str">
        <f aca="false">IFERROR((D480-C480)/C480,"")</f>
        <v/>
      </c>
      <c r="H480" s="1" t="str">
        <f aca="false">IFERROR((G480-F480)/F480,"")</f>
        <v/>
      </c>
      <c r="K480" s="1" t="str">
        <f aca="false">IFERROR((J480-I480)/I480,"")</f>
        <v/>
      </c>
      <c r="R480" s="1" t="str">
        <f aca="false">IFERROR((D480-N480)/N480,"")</f>
        <v/>
      </c>
      <c r="S480" s="14"/>
      <c r="T480" s="14"/>
    </row>
    <row r="481" customFormat="false" ht="15" hidden="false" customHeight="true" outlineLevel="0" collapsed="false">
      <c r="B481" s="14"/>
      <c r="E481" s="1" t="str">
        <f aca="false">IFERROR((D481-C481)/C481,"")</f>
        <v/>
      </c>
      <c r="H481" s="1" t="str">
        <f aca="false">IFERROR((G481-F481)/F481,"")</f>
        <v/>
      </c>
      <c r="K481" s="1" t="str">
        <f aca="false">IFERROR((J481-I481)/I481,"")</f>
        <v/>
      </c>
      <c r="R481" s="1" t="str">
        <f aca="false">IFERROR((D481-N481)/N481,"")</f>
        <v/>
      </c>
      <c r="S481" s="14"/>
      <c r="T481" s="14"/>
    </row>
    <row r="482" customFormat="false" ht="15" hidden="false" customHeight="true" outlineLevel="0" collapsed="false">
      <c r="B482" s="14"/>
      <c r="E482" s="1" t="str">
        <f aca="false">IFERROR((D482-C482)/C482,"")</f>
        <v/>
      </c>
      <c r="H482" s="1" t="str">
        <f aca="false">IFERROR((G482-F482)/F482,"")</f>
        <v/>
      </c>
      <c r="K482" s="1" t="str">
        <f aca="false">IFERROR((J482-I482)/I482,"")</f>
        <v/>
      </c>
      <c r="R482" s="1" t="str">
        <f aca="false">IFERROR((D482-N482)/N482,"")</f>
        <v/>
      </c>
      <c r="S482" s="14"/>
      <c r="T482" s="14"/>
    </row>
    <row r="483" customFormat="false" ht="15" hidden="false" customHeight="true" outlineLevel="0" collapsed="false">
      <c r="B483" s="14"/>
      <c r="E483" s="1" t="str">
        <f aca="false">IFERROR((D483-C483)/C483,"")</f>
        <v/>
      </c>
      <c r="H483" s="1" t="str">
        <f aca="false">IFERROR((G483-F483)/F483,"")</f>
        <v/>
      </c>
      <c r="K483" s="1" t="str">
        <f aca="false">IFERROR((J483-I483)/I483,"")</f>
        <v/>
      </c>
      <c r="R483" s="1" t="str">
        <f aca="false">IFERROR((D483-N483)/N483,"")</f>
        <v/>
      </c>
      <c r="S483" s="14"/>
      <c r="T483" s="14"/>
    </row>
    <row r="484" customFormat="false" ht="15" hidden="false" customHeight="true" outlineLevel="0" collapsed="false">
      <c r="B484" s="14"/>
      <c r="E484" s="1" t="str">
        <f aca="false">IFERROR((D484-C484)/C484,"")</f>
        <v/>
      </c>
      <c r="H484" s="1" t="str">
        <f aca="false">IFERROR((G484-F484)/F484,"")</f>
        <v/>
      </c>
      <c r="K484" s="1" t="str">
        <f aca="false">IFERROR((J484-I484)/I484,"")</f>
        <v/>
      </c>
      <c r="R484" s="1" t="str">
        <f aca="false">IFERROR((D484-N484)/N484,"")</f>
        <v/>
      </c>
      <c r="S484" s="14"/>
      <c r="T484" s="14"/>
    </row>
    <row r="485" customFormat="false" ht="15" hidden="false" customHeight="true" outlineLevel="0" collapsed="false">
      <c r="B485" s="14"/>
      <c r="E485" s="1" t="str">
        <f aca="false">IFERROR((D485-C485)/C485,"")</f>
        <v/>
      </c>
      <c r="H485" s="1" t="str">
        <f aca="false">IFERROR((G485-F485)/F485,"")</f>
        <v/>
      </c>
      <c r="K485" s="1" t="str">
        <f aca="false">IFERROR((J485-I485)/I485,"")</f>
        <v/>
      </c>
      <c r="R485" s="1" t="str">
        <f aca="false">IFERROR((D485-N485)/N485,"")</f>
        <v/>
      </c>
      <c r="S485" s="14"/>
      <c r="T485" s="14"/>
    </row>
    <row r="486" customFormat="false" ht="15" hidden="false" customHeight="true" outlineLevel="0" collapsed="false">
      <c r="B486" s="14"/>
      <c r="E486" s="1" t="str">
        <f aca="false">IFERROR((D486-C486)/C486,"")</f>
        <v/>
      </c>
      <c r="H486" s="1" t="str">
        <f aca="false">IFERROR((G486-F486)/F486,"")</f>
        <v/>
      </c>
      <c r="K486" s="1" t="str">
        <f aca="false">IFERROR((J486-I486)/I486,"")</f>
        <v/>
      </c>
      <c r="R486" s="1" t="str">
        <f aca="false">IFERROR((D486-N486)/N486,"")</f>
        <v/>
      </c>
      <c r="S486" s="14"/>
      <c r="T486" s="14"/>
    </row>
    <row r="487" customFormat="false" ht="15" hidden="false" customHeight="true" outlineLevel="0" collapsed="false">
      <c r="B487" s="14"/>
      <c r="E487" s="1" t="str">
        <f aca="false">IFERROR((D487-C487)/C487,"")</f>
        <v/>
      </c>
      <c r="H487" s="1" t="str">
        <f aca="false">IFERROR((G487-F487)/F487,"")</f>
        <v/>
      </c>
      <c r="K487" s="1" t="str">
        <f aca="false">IFERROR((J487-I487)/I487,"")</f>
        <v/>
      </c>
      <c r="R487" s="1" t="str">
        <f aca="false">IFERROR((D487-N487)/N487,"")</f>
        <v/>
      </c>
      <c r="S487" s="14"/>
      <c r="T487" s="14"/>
    </row>
    <row r="488" customFormat="false" ht="15" hidden="false" customHeight="true" outlineLevel="0" collapsed="false">
      <c r="B488" s="14"/>
      <c r="E488" s="1" t="str">
        <f aca="false">IFERROR((D488-C488)/C488,"")</f>
        <v/>
      </c>
      <c r="H488" s="1" t="str">
        <f aca="false">IFERROR((G488-F488)/F488,"")</f>
        <v/>
      </c>
      <c r="K488" s="1" t="str">
        <f aca="false">IFERROR((J488-I488)/I488,"")</f>
        <v/>
      </c>
      <c r="R488" s="1" t="str">
        <f aca="false">IFERROR((D488-N488)/N488,"")</f>
        <v/>
      </c>
      <c r="S488" s="14"/>
      <c r="T488" s="14"/>
    </row>
    <row r="489" customFormat="false" ht="15" hidden="false" customHeight="true" outlineLevel="0" collapsed="false">
      <c r="B489" s="14"/>
      <c r="E489" s="1" t="str">
        <f aca="false">IFERROR((D489-C489)/C489,"")</f>
        <v/>
      </c>
      <c r="H489" s="1" t="str">
        <f aca="false">IFERROR((G489-F489)/F489,"")</f>
        <v/>
      </c>
      <c r="K489" s="1" t="str">
        <f aca="false">IFERROR((J489-I489)/I489,"")</f>
        <v/>
      </c>
      <c r="R489" s="1" t="str">
        <f aca="false">IFERROR((D489-N489)/N489,"")</f>
        <v/>
      </c>
      <c r="S489" s="14"/>
      <c r="T489" s="14"/>
    </row>
    <row r="490" customFormat="false" ht="15" hidden="false" customHeight="true" outlineLevel="0" collapsed="false">
      <c r="B490" s="14"/>
      <c r="E490" s="1" t="str">
        <f aca="false">IFERROR((D490-C490)/C490,"")</f>
        <v/>
      </c>
      <c r="H490" s="1" t="str">
        <f aca="false">IFERROR((G490-F490)/F490,"")</f>
        <v/>
      </c>
      <c r="K490" s="1" t="str">
        <f aca="false">IFERROR((J490-I490)/I490,"")</f>
        <v/>
      </c>
      <c r="R490" s="1" t="str">
        <f aca="false">IFERROR((D490-N490)/N490,"")</f>
        <v/>
      </c>
      <c r="S490" s="14"/>
      <c r="T490" s="14"/>
    </row>
    <row r="491" customFormat="false" ht="15" hidden="false" customHeight="true" outlineLevel="0" collapsed="false">
      <c r="B491" s="14"/>
      <c r="E491" s="1" t="str">
        <f aca="false">IFERROR((D491-C491)/C491,"")</f>
        <v/>
      </c>
      <c r="H491" s="1" t="str">
        <f aca="false">IFERROR((G491-F491)/F491,"")</f>
        <v/>
      </c>
      <c r="K491" s="1" t="str">
        <f aca="false">IFERROR((J491-I491)/I491,"")</f>
        <v/>
      </c>
      <c r="R491" s="1" t="str">
        <f aca="false">IFERROR((D491-N491)/N491,"")</f>
        <v/>
      </c>
      <c r="S491" s="14"/>
      <c r="T491" s="14"/>
    </row>
    <row r="492" customFormat="false" ht="15" hidden="false" customHeight="true" outlineLevel="0" collapsed="false">
      <c r="B492" s="14"/>
      <c r="E492" s="1" t="str">
        <f aca="false">IFERROR((D492-C492)/C492,"")</f>
        <v/>
      </c>
      <c r="H492" s="1" t="str">
        <f aca="false">IFERROR((G492-F492)/F492,"")</f>
        <v/>
      </c>
      <c r="K492" s="1" t="str">
        <f aca="false">IFERROR((J492-I492)/I492,"")</f>
        <v/>
      </c>
      <c r="R492" s="1" t="str">
        <f aca="false">IFERROR((D492-N492)/N492,"")</f>
        <v/>
      </c>
      <c r="S492" s="14"/>
      <c r="T492" s="14"/>
    </row>
    <row r="493" customFormat="false" ht="15" hidden="false" customHeight="true" outlineLevel="0" collapsed="false">
      <c r="B493" s="14"/>
      <c r="E493" s="1" t="str">
        <f aca="false">IFERROR((D493-C493)/C493,"")</f>
        <v/>
      </c>
      <c r="H493" s="1" t="str">
        <f aca="false">IFERROR((G493-F493)/F493,"")</f>
        <v/>
      </c>
      <c r="K493" s="1" t="str">
        <f aca="false">IFERROR((J493-I493)/I493,"")</f>
        <v/>
      </c>
      <c r="R493" s="1" t="str">
        <f aca="false">IFERROR((D493-N493)/N493,"")</f>
        <v/>
      </c>
      <c r="S493" s="14"/>
      <c r="T493" s="14"/>
    </row>
    <row r="494" customFormat="false" ht="15" hidden="false" customHeight="true" outlineLevel="0" collapsed="false">
      <c r="B494" s="14"/>
      <c r="E494" s="1" t="str">
        <f aca="false">IFERROR((D494-C494)/C494,"")</f>
        <v/>
      </c>
      <c r="H494" s="1" t="str">
        <f aca="false">IFERROR((G494-F494)/F494,"")</f>
        <v/>
      </c>
      <c r="K494" s="1" t="str">
        <f aca="false">IFERROR((J494-I494)/I494,"")</f>
        <v/>
      </c>
      <c r="R494" s="1" t="str">
        <f aca="false">IFERROR((D494-N494)/N494,"")</f>
        <v/>
      </c>
      <c r="S494" s="14"/>
      <c r="T494" s="14"/>
    </row>
    <row r="495" customFormat="false" ht="15" hidden="false" customHeight="true" outlineLevel="0" collapsed="false">
      <c r="B495" s="14"/>
      <c r="E495" s="1" t="str">
        <f aca="false">IFERROR((D495-C495)/C495,"")</f>
        <v/>
      </c>
      <c r="H495" s="1" t="str">
        <f aca="false">IFERROR((G495-F495)/F495,"")</f>
        <v/>
      </c>
      <c r="K495" s="1" t="str">
        <f aca="false">IFERROR((J495-I495)/I495,"")</f>
        <v/>
      </c>
      <c r="R495" s="1" t="str">
        <f aca="false">IFERROR((D495-N495)/N495,"")</f>
        <v/>
      </c>
      <c r="S495" s="14"/>
      <c r="T495" s="14"/>
    </row>
    <row r="496" customFormat="false" ht="15" hidden="false" customHeight="true" outlineLevel="0" collapsed="false">
      <c r="B496" s="14"/>
      <c r="E496" s="1" t="str">
        <f aca="false">IFERROR((D496-C496)/C496,"")</f>
        <v/>
      </c>
      <c r="H496" s="1" t="str">
        <f aca="false">IFERROR((G496-F496)/F496,"")</f>
        <v/>
      </c>
      <c r="K496" s="1" t="str">
        <f aca="false">IFERROR((J496-I496)/I496,"")</f>
        <v/>
      </c>
      <c r="R496" s="1" t="str">
        <f aca="false">IFERROR((D496-N496)/N496,"")</f>
        <v/>
      </c>
      <c r="S496" s="14"/>
      <c r="T496" s="14"/>
    </row>
    <row r="497" customFormat="false" ht="15" hidden="false" customHeight="true" outlineLevel="0" collapsed="false">
      <c r="B497" s="14"/>
      <c r="E497" s="1" t="str">
        <f aca="false">IFERROR((D497-C497)/C497,"")</f>
        <v/>
      </c>
      <c r="H497" s="1" t="str">
        <f aca="false">IFERROR((G497-F497)/F497,"")</f>
        <v/>
      </c>
      <c r="K497" s="1" t="str">
        <f aca="false">IFERROR((J497-I497)/I497,"")</f>
        <v/>
      </c>
      <c r="R497" s="1" t="str">
        <f aca="false">IFERROR((D497-N497)/N497,"")</f>
        <v/>
      </c>
      <c r="S497" s="14"/>
      <c r="T497" s="14"/>
    </row>
    <row r="498" customFormat="false" ht="15" hidden="false" customHeight="true" outlineLevel="0" collapsed="false">
      <c r="B498" s="14"/>
      <c r="E498" s="1" t="str">
        <f aca="false">IFERROR((D498-C498)/C498,"")</f>
        <v/>
      </c>
      <c r="H498" s="1" t="str">
        <f aca="false">IFERROR((G498-F498)/F498,"")</f>
        <v/>
      </c>
      <c r="K498" s="1" t="str">
        <f aca="false">IFERROR((J498-I498)/I498,"")</f>
        <v/>
      </c>
      <c r="R498" s="1" t="str">
        <f aca="false">IFERROR((D498-N498)/N498,"")</f>
        <v/>
      </c>
      <c r="S498" s="14"/>
      <c r="T498" s="14"/>
    </row>
    <row r="499" customFormat="false" ht="15" hidden="false" customHeight="true" outlineLevel="0" collapsed="false">
      <c r="B499" s="14"/>
      <c r="E499" s="1" t="str">
        <f aca="false">IFERROR((D499-C499)/C499,"")</f>
        <v/>
      </c>
      <c r="H499" s="1" t="str">
        <f aca="false">IFERROR((G499-F499)/F499,"")</f>
        <v/>
      </c>
      <c r="K499" s="1" t="str">
        <f aca="false">IFERROR((J499-I499)/I499,"")</f>
        <v/>
      </c>
      <c r="R499" s="1" t="str">
        <f aca="false">IFERROR((D499-N499)/N499,"")</f>
        <v/>
      </c>
      <c r="S499" s="14"/>
      <c r="T499" s="14"/>
    </row>
    <row r="500" customFormat="false" ht="15" hidden="false" customHeight="true" outlineLevel="0" collapsed="false">
      <c r="B500" s="14"/>
      <c r="E500" s="1" t="str">
        <f aca="false">IFERROR((D500-C500)/C500,"")</f>
        <v/>
      </c>
      <c r="H500" s="1" t="str">
        <f aca="false">IFERROR((G500-F500)/F500,"")</f>
        <v/>
      </c>
      <c r="K500" s="1" t="str">
        <f aca="false">IFERROR((J500-I500)/I500,"")</f>
        <v/>
      </c>
      <c r="R500" s="1" t="str">
        <f aca="false">IFERROR((D500-N500)/N500,"")</f>
        <v/>
      </c>
      <c r="S500" s="14"/>
      <c r="T500" s="14"/>
    </row>
    <row r="501" customFormat="false" ht="15" hidden="false" customHeight="true" outlineLevel="0" collapsed="false">
      <c r="B501" s="14"/>
      <c r="S501" s="14"/>
      <c r="T501" s="14"/>
    </row>
  </sheetData>
  <dataValidations count="3">
    <dataValidation allowBlank="true" errorStyle="stop" operator="between" showDropDown="false" showErrorMessage="false" showInputMessage="false" sqref="B2:B501" type="list">
      <formula1>Lists!$A$2:$A$11</formula1>
      <formula2>0</formula2>
    </dataValidation>
    <dataValidation allowBlank="true" errorStyle="stop" operator="between" showDropDown="false" showErrorMessage="false" showInputMessage="false" sqref="S2:S501" type="list">
      <formula1>Lists!$D$2:$D$10</formula1>
      <formula2>0</formula2>
    </dataValidation>
    <dataValidation allowBlank="true" errorStyle="stop" operator="between" showDropDown="false" showErrorMessage="false" showInputMessage="false" sqref="T2:T501" type="list">
      <formula1>"Grew,Flat,Declined"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24"/>
    <col collapsed="false" customWidth="true" hidden="false" outlineLevel="0" max="4" min="3" style="1" width="13"/>
    <col collapsed="false" customWidth="true" hidden="false" outlineLevel="0" max="5" min="5" style="1" width="24"/>
    <col collapsed="false" customWidth="true" hidden="false" outlineLevel="0" max="6" min="6" style="1" width="14"/>
    <col collapsed="false" customWidth="true" hidden="false" outlineLevel="0" max="7" min="7" style="1" width="13"/>
    <col collapsed="false" customWidth="true" hidden="false" outlineLevel="0" max="8" min="8" style="1" width="14"/>
    <col collapsed="false" customWidth="true" hidden="false" outlineLevel="0" max="9" min="9" style="1" width="34"/>
    <col collapsed="false" customWidth="true" hidden="false" outlineLevel="0" max="11" min="10" style="1" width="12"/>
    <col collapsed="false" customWidth="true" hidden="false" outlineLevel="0" max="12" min="12" style="1" width="14"/>
    <col collapsed="false" customWidth="true" hidden="false" outlineLevel="0" max="14" min="13" style="1" width="18"/>
    <col collapsed="false" customWidth="true" hidden="false" outlineLevel="0" max="15" min="15" style="1" width="14"/>
    <col collapsed="false" customWidth="true" hidden="false" outlineLevel="0" max="16" min="16" style="1" width="22"/>
    <col collapsed="false" customWidth="true" hidden="false" outlineLevel="0" max="17" min="17" style="1" width="14"/>
    <col collapsed="false" customWidth="true" hidden="false" outlineLevel="0" max="19" min="18" style="1" width="13"/>
    <col collapsed="false" customWidth="true" hidden="false" outlineLevel="0" max="21" min="20" style="1" width="14"/>
    <col collapsed="false" customWidth="true" hidden="false" outlineLevel="0" max="22" min="22" style="1" width="24"/>
    <col collapsed="false" customWidth="true" hidden="false" outlineLevel="0" max="23" min="23" style="1" width="14"/>
    <col collapsed="false" customWidth="true" hidden="false" outlineLevel="0" max="24" min="24" style="1" width="26"/>
    <col collapsed="false" customWidth="true" hidden="false" outlineLevel="0" max="25" min="25" style="1" width="14"/>
    <col collapsed="false" customWidth="true" hidden="false" outlineLevel="0" max="26" min="26" style="1" width="16"/>
    <col collapsed="false" customWidth="true" hidden="false" outlineLevel="0" max="27" min="27" style="1" width="13"/>
    <col collapsed="false" customWidth="true" hidden="false" outlineLevel="0" max="28" min="28" style="1" width="22"/>
    <col collapsed="false" customWidth="true" hidden="false" outlineLevel="0" max="29" min="29" style="1" width="13"/>
  </cols>
  <sheetData>
    <row r="1" customFormat="false" ht="33.75" hidden="false" customHeight="true" outlineLevel="0" collapsed="false">
      <c r="A1" s="13" t="s">
        <v>52</v>
      </c>
      <c r="B1" s="13" t="s">
        <v>96</v>
      </c>
      <c r="C1" s="13" t="s">
        <v>19</v>
      </c>
      <c r="D1" s="13" t="s">
        <v>100</v>
      </c>
      <c r="E1" s="13" t="s">
        <v>103</v>
      </c>
      <c r="F1" s="13" t="s">
        <v>106</v>
      </c>
      <c r="G1" s="13" t="s">
        <v>108</v>
      </c>
      <c r="H1" s="13" t="s">
        <v>110</v>
      </c>
      <c r="I1" s="13" t="s">
        <v>112</v>
      </c>
      <c r="J1" s="13" t="s">
        <v>115</v>
      </c>
      <c r="K1" s="13" t="s">
        <v>117</v>
      </c>
      <c r="L1" s="13" t="s">
        <v>119</v>
      </c>
      <c r="M1" s="13" t="s">
        <v>122</v>
      </c>
      <c r="N1" s="13" t="s">
        <v>124</v>
      </c>
      <c r="O1" s="13" t="s">
        <v>126</v>
      </c>
      <c r="P1" s="13" t="s">
        <v>127</v>
      </c>
      <c r="Q1" s="13" t="s">
        <v>130</v>
      </c>
      <c r="R1" s="13" t="s">
        <v>132</v>
      </c>
      <c r="S1" s="13" t="s">
        <v>134</v>
      </c>
      <c r="T1" s="13" t="s">
        <v>137</v>
      </c>
      <c r="U1" s="13" t="s">
        <v>140</v>
      </c>
      <c r="V1" s="13" t="s">
        <v>142</v>
      </c>
      <c r="W1" s="13" t="s">
        <v>144</v>
      </c>
      <c r="X1" s="13" t="s">
        <v>146</v>
      </c>
      <c r="Y1" s="13" t="s">
        <v>149</v>
      </c>
      <c r="Z1" s="13" t="s">
        <v>151</v>
      </c>
      <c r="AA1" s="13" t="s">
        <v>153</v>
      </c>
      <c r="AB1" s="13" t="s">
        <v>155</v>
      </c>
      <c r="AC1" s="13" t="s">
        <v>158</v>
      </c>
      <c r="AD1" s="13" t="s">
        <v>160</v>
      </c>
    </row>
    <row r="2" customFormat="false" ht="15" hidden="false" customHeight="true" outlineLevel="0" collapsed="false">
      <c r="A2" s="1" t="s">
        <v>314</v>
      </c>
      <c r="B2" s="1" t="s">
        <v>549</v>
      </c>
      <c r="C2" s="1" t="s">
        <v>22</v>
      </c>
      <c r="D2" s="14" t="s">
        <v>550</v>
      </c>
      <c r="E2" s="1" t="s">
        <v>551</v>
      </c>
      <c r="F2" s="1" t="s">
        <v>552</v>
      </c>
      <c r="G2" s="1" t="s">
        <v>553</v>
      </c>
      <c r="H2" s="14" t="s">
        <v>550</v>
      </c>
      <c r="I2" s="1" t="s">
        <v>554</v>
      </c>
      <c r="J2" s="1" t="s">
        <v>555</v>
      </c>
      <c r="K2" s="14" t="s">
        <v>556</v>
      </c>
      <c r="L2" s="1" t="s">
        <v>557</v>
      </c>
      <c r="M2" s="1" t="s">
        <v>558</v>
      </c>
      <c r="N2" s="1" t="s">
        <v>559</v>
      </c>
      <c r="P2" s="1" t="s">
        <v>560</v>
      </c>
      <c r="R2" s="14" t="s">
        <v>554</v>
      </c>
      <c r="X2" s="1" t="s">
        <v>561</v>
      </c>
      <c r="AB2" s="1" t="s">
        <v>562</v>
      </c>
      <c r="AC2" s="1" t="s">
        <v>563</v>
      </c>
      <c r="AD2" s="1" t="s">
        <v>550</v>
      </c>
    </row>
    <row r="3" customFormat="false" ht="15" hidden="false" customHeight="true" outlineLevel="0" collapsed="false">
      <c r="A3" s="1" t="s">
        <v>564</v>
      </c>
      <c r="B3" s="1" t="s">
        <v>565</v>
      </c>
      <c r="C3" s="1" t="s">
        <v>22</v>
      </c>
      <c r="D3" s="14" t="s">
        <v>550</v>
      </c>
      <c r="E3" s="1" t="s">
        <v>551</v>
      </c>
      <c r="F3" s="1" t="s">
        <v>552</v>
      </c>
      <c r="G3" s="1" t="s">
        <v>553</v>
      </c>
      <c r="H3" s="14" t="s">
        <v>550</v>
      </c>
      <c r="I3" s="1" t="s">
        <v>554</v>
      </c>
      <c r="J3" s="1" t="s">
        <v>566</v>
      </c>
      <c r="K3" s="14"/>
      <c r="R3" s="14" t="s">
        <v>554</v>
      </c>
      <c r="X3" s="1" t="s">
        <v>561</v>
      </c>
      <c r="AB3" s="1" t="s">
        <v>562</v>
      </c>
      <c r="AC3" s="1" t="s">
        <v>567</v>
      </c>
      <c r="AD3" s="1" t="s">
        <v>550</v>
      </c>
    </row>
    <row r="4" customFormat="false" ht="15" hidden="false" customHeight="true" outlineLevel="0" collapsed="false">
      <c r="A4" s="1" t="s">
        <v>317</v>
      </c>
      <c r="B4" s="1" t="s">
        <v>568</v>
      </c>
      <c r="C4" s="1" t="s">
        <v>22</v>
      </c>
      <c r="D4" s="14" t="s">
        <v>550</v>
      </c>
      <c r="E4" s="1" t="s">
        <v>551</v>
      </c>
      <c r="F4" s="1" t="s">
        <v>552</v>
      </c>
      <c r="G4" s="1" t="s">
        <v>553</v>
      </c>
      <c r="H4" s="14" t="s">
        <v>550</v>
      </c>
      <c r="I4" s="1" t="s">
        <v>554</v>
      </c>
      <c r="J4" s="1" t="s">
        <v>569</v>
      </c>
      <c r="K4" s="14"/>
      <c r="P4" s="1" t="s">
        <v>560</v>
      </c>
      <c r="Q4" s="1" t="s">
        <v>570</v>
      </c>
      <c r="R4" s="14" t="s">
        <v>554</v>
      </c>
      <c r="X4" s="1" t="s">
        <v>561</v>
      </c>
      <c r="AB4" s="1" t="s">
        <v>562</v>
      </c>
      <c r="AC4" s="1" t="s">
        <v>567</v>
      </c>
      <c r="AD4" s="1" t="s">
        <v>550</v>
      </c>
    </row>
    <row r="5" customFormat="false" ht="15" hidden="false" customHeight="true" outlineLevel="0" collapsed="false">
      <c r="A5" s="1" t="s">
        <v>319</v>
      </c>
      <c r="B5" s="1" t="s">
        <v>571</v>
      </c>
      <c r="C5" s="1" t="s">
        <v>22</v>
      </c>
      <c r="D5" s="14" t="s">
        <v>550</v>
      </c>
      <c r="E5" s="1" t="s">
        <v>551</v>
      </c>
      <c r="F5" s="1" t="s">
        <v>552</v>
      </c>
      <c r="G5" s="1" t="s">
        <v>553</v>
      </c>
      <c r="H5" s="14" t="s">
        <v>550</v>
      </c>
      <c r="I5" s="1" t="s">
        <v>554</v>
      </c>
      <c r="J5" s="1" t="s">
        <v>572</v>
      </c>
      <c r="K5" s="14"/>
      <c r="R5" s="14" t="s">
        <v>554</v>
      </c>
      <c r="X5" s="1" t="s">
        <v>561</v>
      </c>
      <c r="AB5" s="1" t="s">
        <v>562</v>
      </c>
      <c r="AC5" s="1" t="s">
        <v>567</v>
      </c>
      <c r="AD5" s="1" t="s">
        <v>550</v>
      </c>
    </row>
    <row r="6" customFormat="false" ht="15" hidden="false" customHeight="true" outlineLevel="0" collapsed="false">
      <c r="A6" s="1" t="s">
        <v>323</v>
      </c>
      <c r="B6" s="1" t="s">
        <v>573</v>
      </c>
      <c r="C6" s="1" t="s">
        <v>22</v>
      </c>
      <c r="D6" s="14" t="s">
        <v>550</v>
      </c>
      <c r="E6" s="1" t="s">
        <v>551</v>
      </c>
      <c r="F6" s="1" t="s">
        <v>552</v>
      </c>
      <c r="G6" s="1" t="s">
        <v>553</v>
      </c>
      <c r="H6" s="14" t="s">
        <v>550</v>
      </c>
      <c r="I6" s="1" t="s">
        <v>554</v>
      </c>
      <c r="J6" s="1" t="s">
        <v>574</v>
      </c>
      <c r="K6" s="14" t="s">
        <v>575</v>
      </c>
      <c r="L6" s="1" t="s">
        <v>557</v>
      </c>
      <c r="M6" s="1" t="s">
        <v>576</v>
      </c>
      <c r="N6" s="1" t="s">
        <v>577</v>
      </c>
      <c r="P6" s="1" t="s">
        <v>560</v>
      </c>
      <c r="R6" s="14" t="s">
        <v>554</v>
      </c>
      <c r="X6" s="1" t="s">
        <v>561</v>
      </c>
      <c r="AB6" s="1" t="s">
        <v>562</v>
      </c>
      <c r="AC6" s="1" t="s">
        <v>578</v>
      </c>
      <c r="AD6" s="1" t="s">
        <v>550</v>
      </c>
    </row>
    <row r="7" customFormat="false" ht="15" hidden="false" customHeight="true" outlineLevel="0" collapsed="false">
      <c r="A7" s="1" t="s">
        <v>325</v>
      </c>
      <c r="B7" s="1" t="s">
        <v>579</v>
      </c>
      <c r="C7" s="1" t="s">
        <v>22</v>
      </c>
      <c r="D7" s="14" t="s">
        <v>550</v>
      </c>
      <c r="E7" s="1" t="s">
        <v>551</v>
      </c>
      <c r="F7" s="1" t="s">
        <v>552</v>
      </c>
      <c r="G7" s="1" t="s">
        <v>553</v>
      </c>
      <c r="H7" s="14" t="s">
        <v>550</v>
      </c>
      <c r="I7" s="1" t="s">
        <v>554</v>
      </c>
      <c r="J7" s="1" t="s">
        <v>580</v>
      </c>
      <c r="K7" s="14"/>
      <c r="R7" s="14" t="s">
        <v>554</v>
      </c>
      <c r="X7" s="1" t="s">
        <v>561</v>
      </c>
      <c r="AB7" s="1" t="s">
        <v>562</v>
      </c>
      <c r="AC7" s="1" t="s">
        <v>567</v>
      </c>
      <c r="AD7" s="1" t="s">
        <v>550</v>
      </c>
    </row>
    <row r="8" customFormat="false" ht="15" hidden="false" customHeight="true" outlineLevel="0" collapsed="false">
      <c r="A8" s="1" t="s">
        <v>327</v>
      </c>
      <c r="B8" s="1" t="s">
        <v>581</v>
      </c>
      <c r="C8" s="1" t="s">
        <v>22</v>
      </c>
      <c r="D8" s="14" t="s">
        <v>550</v>
      </c>
      <c r="E8" s="1" t="s">
        <v>551</v>
      </c>
      <c r="F8" s="1" t="s">
        <v>582</v>
      </c>
      <c r="G8" s="1" t="s">
        <v>553</v>
      </c>
      <c r="H8" s="14" t="s">
        <v>550</v>
      </c>
      <c r="I8" s="1" t="s">
        <v>554</v>
      </c>
      <c r="J8" s="1" t="s">
        <v>583</v>
      </c>
      <c r="K8" s="14" t="s">
        <v>584</v>
      </c>
      <c r="L8" s="1" t="s">
        <v>557</v>
      </c>
      <c r="M8" s="1" t="s">
        <v>585</v>
      </c>
      <c r="N8" s="1" t="s">
        <v>586</v>
      </c>
      <c r="P8" s="1" t="s">
        <v>560</v>
      </c>
      <c r="R8" s="14" t="s">
        <v>554</v>
      </c>
      <c r="X8" s="1" t="s">
        <v>561</v>
      </c>
      <c r="AB8" s="1" t="s">
        <v>562</v>
      </c>
      <c r="AC8" s="1" t="s">
        <v>587</v>
      </c>
      <c r="AD8" s="1" t="s">
        <v>550</v>
      </c>
    </row>
    <row r="9" customFormat="false" ht="15" hidden="false" customHeight="true" outlineLevel="0" collapsed="false">
      <c r="A9" s="1" t="s">
        <v>329</v>
      </c>
      <c r="B9" s="1" t="s">
        <v>588</v>
      </c>
      <c r="C9" s="1" t="s">
        <v>22</v>
      </c>
      <c r="D9" s="14" t="s">
        <v>550</v>
      </c>
      <c r="E9" s="1" t="s">
        <v>551</v>
      </c>
      <c r="F9" s="1" t="s">
        <v>552</v>
      </c>
      <c r="G9" s="1" t="s">
        <v>553</v>
      </c>
      <c r="H9" s="14" t="s">
        <v>550</v>
      </c>
      <c r="I9" s="1" t="s">
        <v>554</v>
      </c>
      <c r="J9" s="1" t="s">
        <v>589</v>
      </c>
      <c r="K9" s="14"/>
      <c r="R9" s="14" t="s">
        <v>554</v>
      </c>
      <c r="X9" s="1" t="s">
        <v>561</v>
      </c>
      <c r="AB9" s="1" t="s">
        <v>562</v>
      </c>
      <c r="AC9" s="1" t="s">
        <v>567</v>
      </c>
      <c r="AD9" s="1" t="s">
        <v>550</v>
      </c>
    </row>
    <row r="10" customFormat="false" ht="15" hidden="false" customHeight="true" outlineLevel="0" collapsed="false">
      <c r="A10" s="1" t="s">
        <v>331</v>
      </c>
      <c r="B10" s="1" t="s">
        <v>590</v>
      </c>
      <c r="C10" s="1" t="s">
        <v>22</v>
      </c>
      <c r="D10" s="14" t="s">
        <v>550</v>
      </c>
      <c r="E10" s="1" t="s">
        <v>551</v>
      </c>
      <c r="F10" s="1" t="s">
        <v>552</v>
      </c>
      <c r="G10" s="1" t="s">
        <v>553</v>
      </c>
      <c r="H10" s="14" t="s">
        <v>550</v>
      </c>
      <c r="I10" s="1" t="s">
        <v>554</v>
      </c>
      <c r="J10" s="1" t="s">
        <v>591</v>
      </c>
      <c r="K10" s="14"/>
      <c r="R10" s="14" t="s">
        <v>554</v>
      </c>
      <c r="X10" s="1" t="s">
        <v>561</v>
      </c>
      <c r="AB10" s="1" t="s">
        <v>562</v>
      </c>
      <c r="AC10" s="1" t="s">
        <v>567</v>
      </c>
      <c r="AD10" s="1" t="s">
        <v>550</v>
      </c>
    </row>
    <row r="11" customFormat="false" ht="15" hidden="false" customHeight="true" outlineLevel="0" collapsed="false">
      <c r="A11" s="1" t="s">
        <v>334</v>
      </c>
      <c r="B11" s="1" t="s">
        <v>592</v>
      </c>
      <c r="C11" s="1" t="s">
        <v>22</v>
      </c>
      <c r="D11" s="14" t="s">
        <v>550</v>
      </c>
      <c r="E11" s="1" t="s">
        <v>551</v>
      </c>
      <c r="F11" s="1" t="s">
        <v>552</v>
      </c>
      <c r="G11" s="1" t="s">
        <v>553</v>
      </c>
      <c r="H11" s="14" t="s">
        <v>550</v>
      </c>
      <c r="I11" s="1" t="s">
        <v>554</v>
      </c>
      <c r="J11" s="1" t="s">
        <v>593</v>
      </c>
      <c r="K11" s="14"/>
      <c r="R11" s="14" t="s">
        <v>554</v>
      </c>
      <c r="X11" s="1" t="s">
        <v>561</v>
      </c>
      <c r="AB11" s="1" t="s">
        <v>562</v>
      </c>
      <c r="AC11" s="1" t="s">
        <v>567</v>
      </c>
      <c r="AD11" s="1" t="s">
        <v>550</v>
      </c>
    </row>
    <row r="12" customFormat="false" ht="15" hidden="false" customHeight="true" outlineLevel="0" collapsed="false">
      <c r="A12" s="1" t="s">
        <v>337</v>
      </c>
      <c r="B12" s="1" t="s">
        <v>594</v>
      </c>
      <c r="C12" s="1" t="s">
        <v>22</v>
      </c>
      <c r="D12" s="14" t="s">
        <v>550</v>
      </c>
      <c r="E12" s="1" t="s">
        <v>551</v>
      </c>
      <c r="F12" s="1" t="s">
        <v>582</v>
      </c>
      <c r="G12" s="1" t="s">
        <v>553</v>
      </c>
      <c r="H12" s="14" t="s">
        <v>550</v>
      </c>
      <c r="I12" s="1" t="s">
        <v>554</v>
      </c>
      <c r="J12" s="1" t="s">
        <v>595</v>
      </c>
      <c r="K12" s="14" t="s">
        <v>596</v>
      </c>
      <c r="L12" s="1" t="s">
        <v>597</v>
      </c>
      <c r="M12" s="1" t="s">
        <v>598</v>
      </c>
      <c r="N12" s="1" t="s">
        <v>586</v>
      </c>
      <c r="P12" s="1" t="s">
        <v>560</v>
      </c>
      <c r="R12" s="14" t="s">
        <v>554</v>
      </c>
      <c r="X12" s="1" t="s">
        <v>561</v>
      </c>
      <c r="Z12" s="1" t="s">
        <v>554</v>
      </c>
      <c r="AB12" s="1" t="s">
        <v>562</v>
      </c>
      <c r="AC12" s="1" t="s">
        <v>599</v>
      </c>
      <c r="AD12" s="1" t="s">
        <v>550</v>
      </c>
    </row>
    <row r="13" customFormat="false" ht="15" hidden="false" customHeight="true" outlineLevel="0" collapsed="false">
      <c r="A13" s="1" t="s">
        <v>340</v>
      </c>
      <c r="B13" s="1" t="s">
        <v>600</v>
      </c>
      <c r="C13" s="1" t="s">
        <v>22</v>
      </c>
      <c r="D13" s="14" t="s">
        <v>550</v>
      </c>
      <c r="E13" s="1" t="s">
        <v>551</v>
      </c>
      <c r="F13" s="1" t="s">
        <v>582</v>
      </c>
      <c r="G13" s="1" t="s">
        <v>553</v>
      </c>
      <c r="H13" s="14" t="s">
        <v>550</v>
      </c>
      <c r="I13" s="1" t="s">
        <v>554</v>
      </c>
      <c r="J13" s="1" t="s">
        <v>601</v>
      </c>
      <c r="K13" s="14" t="s">
        <v>556</v>
      </c>
      <c r="L13" s="1" t="s">
        <v>557</v>
      </c>
      <c r="M13" s="1" t="s">
        <v>602</v>
      </c>
      <c r="N13" s="1" t="s">
        <v>586</v>
      </c>
      <c r="P13" s="1" t="s">
        <v>560</v>
      </c>
      <c r="R13" s="14" t="s">
        <v>554</v>
      </c>
      <c r="X13" s="1" t="s">
        <v>561</v>
      </c>
      <c r="AA13" s="1" t="s">
        <v>554</v>
      </c>
      <c r="AB13" s="1" t="s">
        <v>562</v>
      </c>
      <c r="AD13" s="1" t="s">
        <v>550</v>
      </c>
    </row>
    <row r="14" customFormat="false" ht="15" hidden="false" customHeight="true" outlineLevel="0" collapsed="false">
      <c r="A14" s="1" t="s">
        <v>603</v>
      </c>
      <c r="B14" s="1" t="s">
        <v>604</v>
      </c>
      <c r="C14" s="1" t="s">
        <v>22</v>
      </c>
      <c r="D14" s="14" t="s">
        <v>550</v>
      </c>
      <c r="E14" s="1" t="s">
        <v>551</v>
      </c>
      <c r="F14" s="1" t="s">
        <v>582</v>
      </c>
      <c r="G14" s="1" t="s">
        <v>553</v>
      </c>
      <c r="H14" s="14" t="s">
        <v>550</v>
      </c>
      <c r="I14" s="1" t="s">
        <v>554</v>
      </c>
      <c r="J14" s="1" t="s">
        <v>605</v>
      </c>
      <c r="K14" s="14" t="s">
        <v>556</v>
      </c>
      <c r="L14" s="1" t="s">
        <v>557</v>
      </c>
      <c r="P14" s="1" t="s">
        <v>560</v>
      </c>
      <c r="R14" s="14" t="s">
        <v>554</v>
      </c>
      <c r="X14" s="1" t="s">
        <v>561</v>
      </c>
      <c r="AB14" s="1" t="s">
        <v>562</v>
      </c>
      <c r="AC14" s="1" t="s">
        <v>606</v>
      </c>
      <c r="AD14" s="1" t="s">
        <v>550</v>
      </c>
    </row>
    <row r="15" customFormat="false" ht="15" hidden="false" customHeight="true" outlineLevel="0" collapsed="false">
      <c r="A15" s="1" t="s">
        <v>607</v>
      </c>
      <c r="B15" s="1" t="s">
        <v>608</v>
      </c>
      <c r="C15" s="1" t="s">
        <v>22</v>
      </c>
      <c r="D15" s="14" t="s">
        <v>550</v>
      </c>
      <c r="E15" s="1" t="s">
        <v>551</v>
      </c>
      <c r="F15" s="1" t="s">
        <v>582</v>
      </c>
      <c r="G15" s="1" t="s">
        <v>553</v>
      </c>
      <c r="H15" s="14" t="s">
        <v>550</v>
      </c>
      <c r="I15" s="1" t="s">
        <v>554</v>
      </c>
      <c r="J15" s="1" t="s">
        <v>609</v>
      </c>
      <c r="K15" s="14" t="s">
        <v>610</v>
      </c>
      <c r="L15" s="1" t="s">
        <v>557</v>
      </c>
      <c r="M15" s="1" t="s">
        <v>611</v>
      </c>
      <c r="N15" s="1" t="s">
        <v>612</v>
      </c>
      <c r="P15" s="1" t="s">
        <v>560</v>
      </c>
      <c r="R15" s="14" t="s">
        <v>554</v>
      </c>
      <c r="X15" s="1" t="s">
        <v>561</v>
      </c>
      <c r="AB15" s="1" t="s">
        <v>562</v>
      </c>
      <c r="AD15" s="1" t="s">
        <v>550</v>
      </c>
    </row>
    <row r="16" customFormat="false" ht="15" hidden="false" customHeight="true" outlineLevel="0" collapsed="false">
      <c r="A16" s="1" t="s">
        <v>613</v>
      </c>
      <c r="B16" s="1" t="s">
        <v>614</v>
      </c>
      <c r="C16" s="1" t="s">
        <v>22</v>
      </c>
      <c r="D16" s="14" t="s">
        <v>550</v>
      </c>
      <c r="E16" s="1" t="s">
        <v>551</v>
      </c>
      <c r="F16" s="1" t="s">
        <v>582</v>
      </c>
      <c r="G16" s="1" t="s">
        <v>553</v>
      </c>
      <c r="H16" s="14" t="s">
        <v>550</v>
      </c>
      <c r="I16" s="1" t="s">
        <v>554</v>
      </c>
      <c r="J16" s="1" t="s">
        <v>615</v>
      </c>
      <c r="K16" s="14" t="s">
        <v>610</v>
      </c>
      <c r="L16" s="1" t="s">
        <v>557</v>
      </c>
      <c r="M16" s="1" t="s">
        <v>616</v>
      </c>
      <c r="N16" s="1" t="s">
        <v>586</v>
      </c>
      <c r="P16" s="1" t="s">
        <v>560</v>
      </c>
      <c r="R16" s="14" t="s">
        <v>554</v>
      </c>
      <c r="X16" s="1" t="s">
        <v>561</v>
      </c>
      <c r="AB16" s="1" t="s">
        <v>562</v>
      </c>
      <c r="AD16" s="1" t="s">
        <v>550</v>
      </c>
    </row>
    <row r="17" customFormat="false" ht="15" hidden="false" customHeight="true" outlineLevel="0" collapsed="false">
      <c r="A17" s="1" t="s">
        <v>617</v>
      </c>
      <c r="B17" s="1" t="s">
        <v>618</v>
      </c>
      <c r="C17" s="1" t="s">
        <v>22</v>
      </c>
      <c r="D17" s="14" t="s">
        <v>550</v>
      </c>
      <c r="E17" s="1" t="s">
        <v>551</v>
      </c>
      <c r="F17" s="1" t="s">
        <v>552</v>
      </c>
      <c r="G17" s="1" t="s">
        <v>553</v>
      </c>
      <c r="H17" s="14" t="s">
        <v>550</v>
      </c>
      <c r="I17" s="1" t="s">
        <v>554</v>
      </c>
      <c r="J17" s="1" t="s">
        <v>619</v>
      </c>
      <c r="K17" s="14"/>
      <c r="R17" s="14" t="s">
        <v>554</v>
      </c>
      <c r="X17" s="1" t="s">
        <v>620</v>
      </c>
      <c r="AB17" s="1" t="s">
        <v>620</v>
      </c>
      <c r="AC17" s="1" t="s">
        <v>621</v>
      </c>
      <c r="AD17" s="1" t="s">
        <v>550</v>
      </c>
    </row>
    <row r="18" customFormat="false" ht="15" hidden="false" customHeight="true" outlineLevel="0" collapsed="false">
      <c r="A18" s="1" t="s">
        <v>622</v>
      </c>
      <c r="B18" s="1" t="s">
        <v>623</v>
      </c>
      <c r="C18" s="1" t="s">
        <v>22</v>
      </c>
      <c r="D18" s="14" t="s">
        <v>550</v>
      </c>
      <c r="E18" s="1" t="s">
        <v>551</v>
      </c>
      <c r="F18" s="1" t="s">
        <v>552</v>
      </c>
      <c r="G18" s="1" t="s">
        <v>553</v>
      </c>
      <c r="H18" s="14" t="s">
        <v>550</v>
      </c>
      <c r="I18" s="1" t="s">
        <v>554</v>
      </c>
      <c r="J18" s="1" t="s">
        <v>624</v>
      </c>
      <c r="K18" s="14"/>
      <c r="R18" s="14" t="s">
        <v>554</v>
      </c>
      <c r="X18" s="1" t="s">
        <v>620</v>
      </c>
      <c r="AB18" s="1" t="s">
        <v>620</v>
      </c>
      <c r="AC18" s="1" t="s">
        <v>621</v>
      </c>
      <c r="AD18" s="1" t="s">
        <v>550</v>
      </c>
    </row>
    <row r="19" customFormat="false" ht="15" hidden="false" customHeight="true" outlineLevel="0" collapsed="false">
      <c r="A19" s="1" t="s">
        <v>625</v>
      </c>
      <c r="B19" s="1" t="s">
        <v>626</v>
      </c>
      <c r="C19" s="1" t="s">
        <v>22</v>
      </c>
      <c r="D19" s="14" t="s">
        <v>550</v>
      </c>
      <c r="E19" s="1" t="s">
        <v>551</v>
      </c>
      <c r="F19" s="1" t="s">
        <v>582</v>
      </c>
      <c r="G19" s="1" t="s">
        <v>553</v>
      </c>
      <c r="H19" s="14" t="s">
        <v>550</v>
      </c>
      <c r="I19" s="1" t="s">
        <v>554</v>
      </c>
      <c r="J19" s="1" t="s">
        <v>627</v>
      </c>
      <c r="K19" s="14" t="s">
        <v>575</v>
      </c>
      <c r="L19" s="1" t="s">
        <v>557</v>
      </c>
      <c r="M19" s="1" t="s">
        <v>628</v>
      </c>
      <c r="N19" s="1" t="s">
        <v>586</v>
      </c>
      <c r="P19" s="1" t="s">
        <v>560</v>
      </c>
      <c r="R19" s="14" t="s">
        <v>554</v>
      </c>
      <c r="X19" s="1" t="s">
        <v>620</v>
      </c>
      <c r="AB19" s="1" t="s">
        <v>620</v>
      </c>
      <c r="AC19" s="1" t="s">
        <v>629</v>
      </c>
      <c r="AD19" s="1" t="s">
        <v>550</v>
      </c>
    </row>
    <row r="20" customFormat="false" ht="15" hidden="false" customHeight="true" outlineLevel="0" collapsed="false">
      <c r="A20" s="1" t="s">
        <v>630</v>
      </c>
      <c r="B20" s="1" t="s">
        <v>631</v>
      </c>
      <c r="C20" s="1" t="s">
        <v>22</v>
      </c>
      <c r="D20" s="14" t="s">
        <v>550</v>
      </c>
      <c r="E20" s="1" t="s">
        <v>551</v>
      </c>
      <c r="F20" s="1" t="s">
        <v>582</v>
      </c>
      <c r="G20" s="1" t="s">
        <v>553</v>
      </c>
      <c r="H20" s="14" t="s">
        <v>550</v>
      </c>
      <c r="I20" s="1" t="s">
        <v>554</v>
      </c>
      <c r="J20" s="1" t="s">
        <v>632</v>
      </c>
      <c r="K20" s="14" t="s">
        <v>575</v>
      </c>
      <c r="L20" s="1" t="s">
        <v>557</v>
      </c>
      <c r="M20" s="1" t="s">
        <v>633</v>
      </c>
      <c r="N20" s="1" t="s">
        <v>586</v>
      </c>
      <c r="P20" s="1" t="s">
        <v>560</v>
      </c>
      <c r="R20" s="14" t="s">
        <v>554</v>
      </c>
      <c r="X20" s="1" t="s">
        <v>620</v>
      </c>
      <c r="AB20" s="1" t="s">
        <v>620</v>
      </c>
      <c r="AC20" s="1" t="s">
        <v>629</v>
      </c>
      <c r="AD20" s="1" t="s">
        <v>550</v>
      </c>
    </row>
    <row r="21" customFormat="false" ht="15" hidden="false" customHeight="true" outlineLevel="0" collapsed="false">
      <c r="A21" s="1" t="s">
        <v>634</v>
      </c>
      <c r="B21" s="1" t="s">
        <v>635</v>
      </c>
      <c r="C21" s="1" t="s">
        <v>22</v>
      </c>
      <c r="D21" s="14" t="s">
        <v>550</v>
      </c>
      <c r="E21" s="1" t="s">
        <v>551</v>
      </c>
      <c r="F21" s="1" t="s">
        <v>582</v>
      </c>
      <c r="G21" s="1" t="s">
        <v>553</v>
      </c>
      <c r="H21" s="14" t="s">
        <v>550</v>
      </c>
      <c r="I21" s="1" t="s">
        <v>554</v>
      </c>
      <c r="J21" s="1" t="s">
        <v>636</v>
      </c>
      <c r="K21" s="14" t="s">
        <v>575</v>
      </c>
      <c r="L21" s="1" t="s">
        <v>557</v>
      </c>
      <c r="M21" s="1" t="s">
        <v>637</v>
      </c>
      <c r="N21" s="1" t="s">
        <v>586</v>
      </c>
      <c r="P21" s="1" t="s">
        <v>560</v>
      </c>
      <c r="R21" s="14" t="s">
        <v>554</v>
      </c>
      <c r="X21" s="1" t="s">
        <v>620</v>
      </c>
      <c r="AB21" s="1" t="s">
        <v>620</v>
      </c>
      <c r="AC21" s="1" t="s">
        <v>629</v>
      </c>
      <c r="AD21" s="1" t="s">
        <v>550</v>
      </c>
    </row>
    <row r="22" customFormat="false" ht="15" hidden="false" customHeight="true" outlineLevel="0" collapsed="false">
      <c r="A22" s="1" t="s">
        <v>638</v>
      </c>
      <c r="B22" s="1" t="s">
        <v>639</v>
      </c>
      <c r="C22" s="1" t="s">
        <v>22</v>
      </c>
      <c r="D22" s="14" t="s">
        <v>550</v>
      </c>
      <c r="E22" s="1" t="s">
        <v>551</v>
      </c>
      <c r="F22" s="1" t="s">
        <v>582</v>
      </c>
      <c r="G22" s="1" t="s">
        <v>553</v>
      </c>
      <c r="H22" s="14" t="s">
        <v>550</v>
      </c>
      <c r="I22" s="1" t="s">
        <v>554</v>
      </c>
      <c r="J22" s="1" t="s">
        <v>640</v>
      </c>
      <c r="K22" s="14" t="s">
        <v>556</v>
      </c>
      <c r="L22" s="1" t="s">
        <v>557</v>
      </c>
      <c r="M22" s="1" t="s">
        <v>641</v>
      </c>
      <c r="N22" s="1" t="s">
        <v>586</v>
      </c>
      <c r="P22" s="1" t="s">
        <v>560</v>
      </c>
      <c r="R22" s="14" t="s">
        <v>554</v>
      </c>
      <c r="X22" s="1" t="s">
        <v>620</v>
      </c>
      <c r="AB22" s="1" t="s">
        <v>620</v>
      </c>
      <c r="AC22" s="1" t="s">
        <v>629</v>
      </c>
      <c r="AD22" s="1" t="s">
        <v>550</v>
      </c>
    </row>
    <row r="23" customFormat="false" ht="15" hidden="false" customHeight="true" outlineLevel="0" collapsed="false">
      <c r="A23" s="1" t="s">
        <v>642</v>
      </c>
      <c r="B23" s="1" t="s">
        <v>643</v>
      </c>
      <c r="C23" s="1" t="s">
        <v>22</v>
      </c>
      <c r="D23" s="14" t="s">
        <v>550</v>
      </c>
      <c r="E23" s="1" t="s">
        <v>551</v>
      </c>
      <c r="F23" s="1" t="s">
        <v>582</v>
      </c>
      <c r="G23" s="1" t="s">
        <v>553</v>
      </c>
      <c r="H23" s="14" t="s">
        <v>550</v>
      </c>
      <c r="I23" s="1" t="s">
        <v>554</v>
      </c>
      <c r="J23" s="1" t="s">
        <v>644</v>
      </c>
      <c r="K23" s="14" t="s">
        <v>610</v>
      </c>
      <c r="L23" s="1" t="s">
        <v>557</v>
      </c>
      <c r="M23" s="1" t="s">
        <v>645</v>
      </c>
      <c r="N23" s="1" t="s">
        <v>586</v>
      </c>
      <c r="P23" s="1" t="s">
        <v>560</v>
      </c>
      <c r="R23" s="14" t="s">
        <v>554</v>
      </c>
      <c r="X23" s="1" t="s">
        <v>620</v>
      </c>
      <c r="AB23" s="1" t="s">
        <v>620</v>
      </c>
      <c r="AC23" s="1" t="s">
        <v>629</v>
      </c>
      <c r="AD23" s="1" t="s">
        <v>550</v>
      </c>
    </row>
    <row r="24" customFormat="false" ht="15" hidden="false" customHeight="true" outlineLevel="0" collapsed="false">
      <c r="A24" s="1" t="s">
        <v>646</v>
      </c>
      <c r="B24" s="1" t="s">
        <v>647</v>
      </c>
      <c r="C24" s="1" t="s">
        <v>22</v>
      </c>
      <c r="D24" s="14" t="s">
        <v>550</v>
      </c>
      <c r="E24" s="1" t="s">
        <v>551</v>
      </c>
      <c r="F24" s="1" t="s">
        <v>552</v>
      </c>
      <c r="G24" s="1" t="s">
        <v>553</v>
      </c>
      <c r="H24" s="14" t="s">
        <v>550</v>
      </c>
      <c r="I24" s="1" t="s">
        <v>554</v>
      </c>
      <c r="J24" s="1" t="s">
        <v>648</v>
      </c>
      <c r="K24" s="14"/>
      <c r="R24" s="14" t="s">
        <v>554</v>
      </c>
      <c r="X24" s="1" t="s">
        <v>620</v>
      </c>
      <c r="AB24" s="1" t="s">
        <v>620</v>
      </c>
      <c r="AC24" s="1" t="s">
        <v>621</v>
      </c>
      <c r="AD24" s="1" t="s">
        <v>550</v>
      </c>
    </row>
    <row r="25" customFormat="false" ht="15" hidden="false" customHeight="true" outlineLevel="0" collapsed="false">
      <c r="A25" s="1" t="s">
        <v>649</v>
      </c>
      <c r="B25" s="1" t="s">
        <v>650</v>
      </c>
      <c r="C25" s="1" t="s">
        <v>22</v>
      </c>
      <c r="D25" s="14" t="s">
        <v>550</v>
      </c>
      <c r="E25" s="1" t="s">
        <v>551</v>
      </c>
      <c r="F25" s="1" t="s">
        <v>582</v>
      </c>
      <c r="G25" s="1" t="s">
        <v>553</v>
      </c>
      <c r="H25" s="14" t="s">
        <v>550</v>
      </c>
      <c r="I25" s="1" t="s">
        <v>554</v>
      </c>
      <c r="J25" s="1" t="s">
        <v>651</v>
      </c>
      <c r="K25" s="14" t="s">
        <v>652</v>
      </c>
      <c r="L25" s="1" t="s">
        <v>557</v>
      </c>
      <c r="M25" s="1" t="s">
        <v>653</v>
      </c>
      <c r="N25" s="1" t="s">
        <v>586</v>
      </c>
      <c r="P25" s="1" t="s">
        <v>560</v>
      </c>
      <c r="R25" s="14" t="s">
        <v>554</v>
      </c>
      <c r="X25" s="1" t="s">
        <v>620</v>
      </c>
      <c r="AB25" s="1" t="s">
        <v>620</v>
      </c>
      <c r="AC25" s="1" t="s">
        <v>629</v>
      </c>
      <c r="AD25" s="1" t="s">
        <v>550</v>
      </c>
    </row>
    <row r="26" customFormat="false" ht="15" hidden="false" customHeight="true" outlineLevel="0" collapsed="false">
      <c r="A26" s="1" t="s">
        <v>654</v>
      </c>
      <c r="B26" s="1" t="s">
        <v>655</v>
      </c>
      <c r="C26" s="1" t="s">
        <v>22</v>
      </c>
      <c r="D26" s="14" t="s">
        <v>550</v>
      </c>
      <c r="E26" s="1" t="s">
        <v>551</v>
      </c>
      <c r="F26" s="1" t="s">
        <v>552</v>
      </c>
      <c r="G26" s="1" t="s">
        <v>553</v>
      </c>
      <c r="H26" s="14" t="s">
        <v>550</v>
      </c>
      <c r="I26" s="1" t="s">
        <v>554</v>
      </c>
      <c r="J26" s="1" t="s">
        <v>656</v>
      </c>
      <c r="K26" s="14"/>
      <c r="R26" s="14" t="s">
        <v>554</v>
      </c>
      <c r="X26" s="1" t="s">
        <v>620</v>
      </c>
      <c r="AB26" s="1" t="s">
        <v>620</v>
      </c>
      <c r="AC26" s="1" t="s">
        <v>657</v>
      </c>
      <c r="AD26" s="1" t="s">
        <v>550</v>
      </c>
    </row>
    <row r="27" customFormat="false" ht="15" hidden="false" customHeight="true" outlineLevel="0" collapsed="false">
      <c r="A27" s="1" t="s">
        <v>658</v>
      </c>
      <c r="B27" s="1" t="s">
        <v>659</v>
      </c>
      <c r="C27" s="1" t="s">
        <v>22</v>
      </c>
      <c r="D27" s="14" t="s">
        <v>550</v>
      </c>
      <c r="E27" s="1" t="s">
        <v>551</v>
      </c>
      <c r="F27" s="1" t="s">
        <v>552</v>
      </c>
      <c r="G27" s="1" t="s">
        <v>553</v>
      </c>
      <c r="H27" s="14" t="s">
        <v>550</v>
      </c>
      <c r="I27" s="1" t="s">
        <v>554</v>
      </c>
      <c r="J27" s="1" t="s">
        <v>660</v>
      </c>
      <c r="K27" s="14"/>
      <c r="R27" s="14" t="s">
        <v>554</v>
      </c>
      <c r="X27" s="1" t="s">
        <v>620</v>
      </c>
      <c r="AB27" s="1" t="s">
        <v>620</v>
      </c>
      <c r="AC27" s="1" t="s">
        <v>661</v>
      </c>
      <c r="AD27" s="1" t="s">
        <v>550</v>
      </c>
    </row>
    <row r="28" customFormat="false" ht="15" hidden="false" customHeight="true" outlineLevel="0" collapsed="false">
      <c r="A28" s="1" t="s">
        <v>662</v>
      </c>
      <c r="B28" s="1" t="s">
        <v>663</v>
      </c>
      <c r="C28" s="1" t="s">
        <v>22</v>
      </c>
      <c r="D28" s="14" t="s">
        <v>550</v>
      </c>
      <c r="E28" s="1" t="s">
        <v>551</v>
      </c>
      <c r="F28" s="1" t="s">
        <v>552</v>
      </c>
      <c r="G28" s="1" t="s">
        <v>553</v>
      </c>
      <c r="H28" s="14" t="s">
        <v>550</v>
      </c>
      <c r="I28" s="1" t="s">
        <v>554</v>
      </c>
      <c r="J28" s="1" t="s">
        <v>664</v>
      </c>
      <c r="K28" s="14"/>
      <c r="R28" s="14" t="s">
        <v>554</v>
      </c>
      <c r="X28" s="1" t="s">
        <v>665</v>
      </c>
      <c r="Y28" s="1" t="s">
        <v>666</v>
      </c>
      <c r="AB28" s="1" t="s">
        <v>667</v>
      </c>
      <c r="AC28" s="1" t="s">
        <v>567</v>
      </c>
      <c r="AD28" s="1" t="s">
        <v>550</v>
      </c>
    </row>
    <row r="29" customFormat="false" ht="15" hidden="false" customHeight="true" outlineLevel="0" collapsed="false">
      <c r="A29" s="1" t="s">
        <v>668</v>
      </c>
      <c r="B29" s="1" t="s">
        <v>669</v>
      </c>
      <c r="C29" s="1" t="s">
        <v>22</v>
      </c>
      <c r="D29" s="14" t="s">
        <v>550</v>
      </c>
      <c r="E29" s="1" t="s">
        <v>551</v>
      </c>
      <c r="F29" s="1" t="s">
        <v>552</v>
      </c>
      <c r="G29" s="1" t="s">
        <v>553</v>
      </c>
      <c r="H29" s="14" t="s">
        <v>550</v>
      </c>
      <c r="I29" s="1" t="s">
        <v>554</v>
      </c>
      <c r="J29" s="1" t="s">
        <v>670</v>
      </c>
      <c r="K29" s="14"/>
      <c r="R29" s="14" t="s">
        <v>554</v>
      </c>
      <c r="X29" s="1" t="s">
        <v>665</v>
      </c>
      <c r="Y29" s="1" t="s">
        <v>671</v>
      </c>
      <c r="AB29" s="1" t="s">
        <v>667</v>
      </c>
      <c r="AC29" s="1" t="s">
        <v>567</v>
      </c>
      <c r="AD29" s="1" t="s">
        <v>550</v>
      </c>
    </row>
    <row r="30" customFormat="false" ht="15" hidden="false" customHeight="true" outlineLevel="0" collapsed="false">
      <c r="A30" s="1" t="s">
        <v>672</v>
      </c>
      <c r="B30" s="1" t="s">
        <v>673</v>
      </c>
      <c r="C30" s="1" t="s">
        <v>22</v>
      </c>
      <c r="D30" s="14" t="s">
        <v>550</v>
      </c>
      <c r="E30" s="1" t="s">
        <v>551</v>
      </c>
      <c r="F30" s="1" t="s">
        <v>552</v>
      </c>
      <c r="G30" s="1" t="s">
        <v>553</v>
      </c>
      <c r="H30" s="14" t="s">
        <v>550</v>
      </c>
      <c r="I30" s="1" t="s">
        <v>554</v>
      </c>
      <c r="J30" s="1" t="s">
        <v>674</v>
      </c>
      <c r="K30" s="14"/>
      <c r="R30" s="14" t="s">
        <v>554</v>
      </c>
      <c r="X30" s="1" t="s">
        <v>665</v>
      </c>
      <c r="Y30" s="1" t="s">
        <v>675</v>
      </c>
      <c r="AB30" s="1" t="s">
        <v>667</v>
      </c>
      <c r="AC30" s="1" t="s">
        <v>567</v>
      </c>
      <c r="AD30" s="1" t="s">
        <v>550</v>
      </c>
    </row>
    <row r="31" customFormat="false" ht="15" hidden="false" customHeight="true" outlineLevel="0" collapsed="false">
      <c r="A31" s="1" t="s">
        <v>676</v>
      </c>
      <c r="B31" s="1" t="s">
        <v>677</v>
      </c>
      <c r="C31" s="1" t="s">
        <v>22</v>
      </c>
      <c r="D31" s="14" t="s">
        <v>550</v>
      </c>
      <c r="E31" s="1" t="s">
        <v>551</v>
      </c>
      <c r="F31" s="1" t="s">
        <v>552</v>
      </c>
      <c r="G31" s="1" t="s">
        <v>553</v>
      </c>
      <c r="H31" s="14" t="s">
        <v>550</v>
      </c>
      <c r="I31" s="1" t="s">
        <v>554</v>
      </c>
      <c r="J31" s="1" t="s">
        <v>678</v>
      </c>
      <c r="K31" s="14"/>
      <c r="R31" s="14" t="s">
        <v>554</v>
      </c>
      <c r="X31" s="1" t="s">
        <v>665</v>
      </c>
      <c r="Y31" s="1" t="s">
        <v>679</v>
      </c>
      <c r="AB31" s="1" t="s">
        <v>667</v>
      </c>
      <c r="AC31" s="1" t="s">
        <v>567</v>
      </c>
      <c r="AD31" s="1" t="s">
        <v>550</v>
      </c>
    </row>
    <row r="32" customFormat="false" ht="15" hidden="false" customHeight="true" outlineLevel="0" collapsed="false">
      <c r="A32" s="1" t="s">
        <v>346</v>
      </c>
      <c r="B32" s="1" t="s">
        <v>680</v>
      </c>
      <c r="C32" s="1" t="s">
        <v>22</v>
      </c>
      <c r="D32" s="14" t="s">
        <v>550</v>
      </c>
      <c r="E32" s="1" t="s">
        <v>551</v>
      </c>
      <c r="F32" s="1" t="s">
        <v>552</v>
      </c>
      <c r="G32" s="1" t="s">
        <v>553</v>
      </c>
      <c r="H32" s="14" t="s">
        <v>550</v>
      </c>
      <c r="I32" s="1" t="s">
        <v>554</v>
      </c>
      <c r="J32" s="1" t="s">
        <v>681</v>
      </c>
      <c r="K32" s="14"/>
      <c r="R32" s="14" t="s">
        <v>554</v>
      </c>
      <c r="X32" s="1" t="s">
        <v>665</v>
      </c>
      <c r="Y32" s="1" t="s">
        <v>682</v>
      </c>
      <c r="AB32" s="1" t="s">
        <v>667</v>
      </c>
      <c r="AC32" s="1" t="s">
        <v>567</v>
      </c>
      <c r="AD32" s="1" t="s">
        <v>550</v>
      </c>
    </row>
    <row r="33" customFormat="false" ht="15" hidden="false" customHeight="true" outlineLevel="0" collapsed="false">
      <c r="A33" s="1" t="s">
        <v>683</v>
      </c>
      <c r="B33" s="1" t="s">
        <v>684</v>
      </c>
      <c r="C33" s="1" t="s">
        <v>22</v>
      </c>
      <c r="D33" s="14" t="s">
        <v>550</v>
      </c>
      <c r="E33" s="1" t="s">
        <v>551</v>
      </c>
      <c r="F33" s="1" t="s">
        <v>582</v>
      </c>
      <c r="G33" s="1" t="s">
        <v>553</v>
      </c>
      <c r="H33" s="14" t="s">
        <v>550</v>
      </c>
      <c r="I33" s="1" t="s">
        <v>554</v>
      </c>
      <c r="J33" s="1" t="s">
        <v>685</v>
      </c>
      <c r="K33" s="14" t="s">
        <v>686</v>
      </c>
      <c r="L33" s="1" t="s">
        <v>687</v>
      </c>
      <c r="M33" s="1" t="s">
        <v>688</v>
      </c>
      <c r="N33" s="1" t="s">
        <v>586</v>
      </c>
      <c r="P33" s="1" t="s">
        <v>689</v>
      </c>
      <c r="Q33" s="1" t="s">
        <v>690</v>
      </c>
      <c r="R33" s="14" t="s">
        <v>554</v>
      </c>
      <c r="X33" s="1" t="s">
        <v>665</v>
      </c>
      <c r="Y33" s="1" t="s">
        <v>691</v>
      </c>
      <c r="AB33" s="1" t="s">
        <v>667</v>
      </c>
      <c r="AD33" s="1" t="s">
        <v>550</v>
      </c>
    </row>
    <row r="34" customFormat="false" ht="15" hidden="false" customHeight="true" outlineLevel="0" collapsed="false">
      <c r="A34" s="1" t="s">
        <v>692</v>
      </c>
      <c r="B34" s="1" t="s">
        <v>693</v>
      </c>
      <c r="C34" s="1" t="s">
        <v>22</v>
      </c>
      <c r="D34" s="14" t="s">
        <v>550</v>
      </c>
      <c r="E34" s="1" t="s">
        <v>551</v>
      </c>
      <c r="F34" s="1" t="s">
        <v>582</v>
      </c>
      <c r="G34" s="1" t="s">
        <v>553</v>
      </c>
      <c r="H34" s="14" t="s">
        <v>550</v>
      </c>
      <c r="I34" s="1" t="s">
        <v>554</v>
      </c>
      <c r="J34" s="1" t="s">
        <v>694</v>
      </c>
      <c r="K34" s="14" t="s">
        <v>695</v>
      </c>
      <c r="L34" s="1" t="s">
        <v>597</v>
      </c>
      <c r="M34" s="1" t="s">
        <v>696</v>
      </c>
      <c r="N34" s="1" t="s">
        <v>586</v>
      </c>
      <c r="P34" s="1" t="s">
        <v>560</v>
      </c>
      <c r="R34" s="14" t="s">
        <v>554</v>
      </c>
      <c r="X34" s="1" t="s">
        <v>665</v>
      </c>
      <c r="Y34" s="1" t="s">
        <v>697</v>
      </c>
      <c r="AB34" s="1" t="s">
        <v>667</v>
      </c>
      <c r="AD34" s="1" t="s">
        <v>550</v>
      </c>
    </row>
    <row r="35" customFormat="false" ht="15" hidden="false" customHeight="true" outlineLevel="0" collapsed="false">
      <c r="A35" s="1" t="s">
        <v>698</v>
      </c>
      <c r="B35" s="1" t="s">
        <v>684</v>
      </c>
      <c r="C35" s="1" t="s">
        <v>22</v>
      </c>
      <c r="D35" s="14" t="s">
        <v>550</v>
      </c>
      <c r="E35" s="1" t="s">
        <v>551</v>
      </c>
      <c r="F35" s="1" t="s">
        <v>582</v>
      </c>
      <c r="G35" s="1" t="s">
        <v>553</v>
      </c>
      <c r="H35" s="14" t="s">
        <v>550</v>
      </c>
      <c r="I35" s="1" t="s">
        <v>554</v>
      </c>
      <c r="J35" s="1" t="s">
        <v>699</v>
      </c>
      <c r="K35" s="14"/>
      <c r="P35" s="1" t="s">
        <v>689</v>
      </c>
      <c r="Q35" s="1" t="s">
        <v>690</v>
      </c>
      <c r="R35" s="14" t="s">
        <v>554</v>
      </c>
      <c r="X35" s="1" t="s">
        <v>665</v>
      </c>
      <c r="Y35" s="1" t="s">
        <v>700</v>
      </c>
      <c r="AB35" s="1" t="s">
        <v>667</v>
      </c>
      <c r="AC35" s="1" t="s">
        <v>701</v>
      </c>
      <c r="AD35" s="1" t="s">
        <v>550</v>
      </c>
    </row>
    <row r="36" customFormat="false" ht="15" hidden="false" customHeight="true" outlineLevel="0" collapsed="false">
      <c r="A36" s="1" t="s">
        <v>702</v>
      </c>
      <c r="B36" s="1" t="s">
        <v>703</v>
      </c>
      <c r="C36" s="1" t="s">
        <v>22</v>
      </c>
      <c r="D36" s="14" t="s">
        <v>550</v>
      </c>
      <c r="E36" s="1" t="s">
        <v>551</v>
      </c>
      <c r="F36" s="1" t="s">
        <v>552</v>
      </c>
      <c r="G36" s="1" t="s">
        <v>553</v>
      </c>
      <c r="H36" s="14" t="s">
        <v>550</v>
      </c>
      <c r="I36" s="1" t="s">
        <v>554</v>
      </c>
      <c r="J36" s="1" t="s">
        <v>704</v>
      </c>
      <c r="K36" s="14"/>
      <c r="R36" s="14" t="s">
        <v>554</v>
      </c>
      <c r="X36" s="1" t="s">
        <v>665</v>
      </c>
      <c r="Y36" s="1" t="s">
        <v>705</v>
      </c>
      <c r="AB36" s="1" t="s">
        <v>667</v>
      </c>
      <c r="AC36" s="1" t="s">
        <v>567</v>
      </c>
      <c r="AD36" s="1" t="s">
        <v>550</v>
      </c>
    </row>
    <row r="37" customFormat="false" ht="15" hidden="false" customHeight="true" outlineLevel="0" collapsed="false">
      <c r="A37" s="1" t="s">
        <v>706</v>
      </c>
      <c r="B37" s="1" t="s">
        <v>707</v>
      </c>
      <c r="C37" s="1" t="s">
        <v>22</v>
      </c>
      <c r="D37" s="14" t="s">
        <v>550</v>
      </c>
      <c r="E37" s="1" t="s">
        <v>551</v>
      </c>
      <c r="F37" s="1" t="s">
        <v>552</v>
      </c>
      <c r="G37" s="1" t="s">
        <v>553</v>
      </c>
      <c r="H37" s="14" t="s">
        <v>550</v>
      </c>
      <c r="I37" s="1" t="s">
        <v>554</v>
      </c>
      <c r="J37" s="1" t="s">
        <v>708</v>
      </c>
      <c r="K37" s="14"/>
      <c r="R37" s="14" t="s">
        <v>554</v>
      </c>
      <c r="X37" s="1" t="s">
        <v>665</v>
      </c>
      <c r="Y37" s="1" t="s">
        <v>709</v>
      </c>
      <c r="AB37" s="1" t="s">
        <v>667</v>
      </c>
      <c r="AC37" s="1" t="s">
        <v>567</v>
      </c>
      <c r="AD37" s="1" t="s">
        <v>550</v>
      </c>
    </row>
    <row r="38" customFormat="false" ht="15" hidden="false" customHeight="true" outlineLevel="0" collapsed="false">
      <c r="A38" s="1" t="s">
        <v>710</v>
      </c>
      <c r="B38" s="1" t="s">
        <v>711</v>
      </c>
      <c r="C38" s="1" t="s">
        <v>22</v>
      </c>
      <c r="D38" s="14" t="s">
        <v>550</v>
      </c>
      <c r="E38" s="1" t="s">
        <v>551</v>
      </c>
      <c r="F38" s="1" t="s">
        <v>582</v>
      </c>
      <c r="G38" s="1" t="s">
        <v>553</v>
      </c>
      <c r="H38" s="14" t="s">
        <v>550</v>
      </c>
      <c r="I38" s="1" t="s">
        <v>554</v>
      </c>
      <c r="J38" s="1" t="s">
        <v>712</v>
      </c>
      <c r="K38" s="14" t="s">
        <v>713</v>
      </c>
      <c r="L38" s="1" t="s">
        <v>557</v>
      </c>
      <c r="M38" s="1" t="s">
        <v>714</v>
      </c>
      <c r="N38" s="1" t="s">
        <v>586</v>
      </c>
      <c r="P38" s="1" t="s">
        <v>560</v>
      </c>
      <c r="R38" s="14" t="s">
        <v>554</v>
      </c>
      <c r="X38" s="1" t="s">
        <v>665</v>
      </c>
      <c r="Y38" s="1" t="s">
        <v>715</v>
      </c>
      <c r="AB38" s="1" t="s">
        <v>667</v>
      </c>
      <c r="AD38" s="1" t="s">
        <v>550</v>
      </c>
    </row>
    <row r="39" customFormat="false" ht="15" hidden="false" customHeight="true" outlineLevel="0" collapsed="false">
      <c r="A39" s="1" t="s">
        <v>716</v>
      </c>
      <c r="B39" s="1" t="s">
        <v>717</v>
      </c>
      <c r="C39" s="1" t="s">
        <v>22</v>
      </c>
      <c r="D39" s="14" t="s">
        <v>550</v>
      </c>
      <c r="E39" s="1" t="s">
        <v>551</v>
      </c>
      <c r="F39" s="1" t="s">
        <v>582</v>
      </c>
      <c r="G39" s="1" t="s">
        <v>553</v>
      </c>
      <c r="H39" s="14" t="s">
        <v>550</v>
      </c>
      <c r="I39" s="1" t="s">
        <v>554</v>
      </c>
      <c r="J39" s="1" t="s">
        <v>718</v>
      </c>
      <c r="K39" s="14"/>
      <c r="L39" s="1" t="s">
        <v>719</v>
      </c>
      <c r="M39" s="1" t="s">
        <v>720</v>
      </c>
      <c r="N39" s="1" t="s">
        <v>586</v>
      </c>
      <c r="P39" s="1" t="s">
        <v>689</v>
      </c>
      <c r="Q39" s="1" t="s">
        <v>721</v>
      </c>
      <c r="R39" s="14" t="s">
        <v>554</v>
      </c>
      <c r="X39" s="1" t="s">
        <v>665</v>
      </c>
      <c r="Y39" s="1" t="s">
        <v>722</v>
      </c>
      <c r="AB39" s="1" t="s">
        <v>667</v>
      </c>
      <c r="AC39" s="1" t="s">
        <v>723</v>
      </c>
      <c r="AD39" s="1" t="s">
        <v>550</v>
      </c>
    </row>
    <row r="40" customFormat="false" ht="15" hidden="false" customHeight="true" outlineLevel="0" collapsed="false">
      <c r="A40" s="1" t="s">
        <v>342</v>
      </c>
      <c r="B40" s="1" t="s">
        <v>724</v>
      </c>
      <c r="C40" s="1" t="s">
        <v>23</v>
      </c>
      <c r="D40" s="14" t="s">
        <v>550</v>
      </c>
      <c r="E40" s="1" t="s">
        <v>551</v>
      </c>
      <c r="F40" s="1" t="s">
        <v>725</v>
      </c>
      <c r="G40" s="1" t="s">
        <v>553</v>
      </c>
      <c r="H40" s="14" t="s">
        <v>550</v>
      </c>
      <c r="I40" s="1" t="s">
        <v>554</v>
      </c>
      <c r="J40" s="1" t="s">
        <v>726</v>
      </c>
      <c r="K40" s="14"/>
      <c r="L40" s="1" t="s">
        <v>727</v>
      </c>
      <c r="O40" s="1" t="s">
        <v>728</v>
      </c>
      <c r="P40" s="1" t="s">
        <v>560</v>
      </c>
      <c r="Q40" s="1" t="s">
        <v>729</v>
      </c>
      <c r="R40" s="14" t="s">
        <v>554</v>
      </c>
      <c r="X40" s="1" t="s">
        <v>561</v>
      </c>
      <c r="AB40" s="1" t="s">
        <v>562</v>
      </c>
      <c r="AC40" s="1" t="s">
        <v>730</v>
      </c>
      <c r="AD40" s="1" t="s">
        <v>550</v>
      </c>
    </row>
    <row r="41" customFormat="false" ht="15" hidden="false" customHeight="true" outlineLevel="0" collapsed="false">
      <c r="A41" s="1" t="s">
        <v>344</v>
      </c>
      <c r="B41" s="1" t="s">
        <v>731</v>
      </c>
      <c r="C41" s="1" t="s">
        <v>23</v>
      </c>
      <c r="D41" s="14" t="s">
        <v>550</v>
      </c>
      <c r="E41" s="1" t="s">
        <v>551</v>
      </c>
      <c r="F41" s="1" t="s">
        <v>725</v>
      </c>
      <c r="G41" s="1" t="s">
        <v>553</v>
      </c>
      <c r="H41" s="14" t="s">
        <v>550</v>
      </c>
      <c r="I41" s="1" t="s">
        <v>554</v>
      </c>
      <c r="J41" s="1" t="s">
        <v>732</v>
      </c>
      <c r="K41" s="14"/>
      <c r="L41" s="1" t="s">
        <v>733</v>
      </c>
      <c r="O41" s="1" t="s">
        <v>734</v>
      </c>
      <c r="P41" s="1" t="s">
        <v>560</v>
      </c>
      <c r="Q41" s="1" t="s">
        <v>735</v>
      </c>
      <c r="R41" s="14" t="s">
        <v>554</v>
      </c>
      <c r="X41" s="1" t="s">
        <v>561</v>
      </c>
      <c r="Z41" s="1" t="s">
        <v>554</v>
      </c>
      <c r="AB41" s="1" t="s">
        <v>562</v>
      </c>
      <c r="AC41" s="1" t="s">
        <v>730</v>
      </c>
      <c r="AD41" s="1" t="s">
        <v>550</v>
      </c>
    </row>
    <row r="42" customFormat="false" ht="15" hidden="false" customHeight="true" outlineLevel="0" collapsed="false">
      <c r="A42" s="1" t="s">
        <v>736</v>
      </c>
      <c r="B42" s="1" t="s">
        <v>669</v>
      </c>
      <c r="C42" s="1" t="s">
        <v>23</v>
      </c>
      <c r="D42" s="14" t="s">
        <v>550</v>
      </c>
      <c r="E42" s="1" t="s">
        <v>551</v>
      </c>
      <c r="F42" s="1" t="s">
        <v>725</v>
      </c>
      <c r="G42" s="1" t="s">
        <v>553</v>
      </c>
      <c r="H42" s="14" t="s">
        <v>550</v>
      </c>
      <c r="I42" s="1" t="s">
        <v>554</v>
      </c>
      <c r="J42" s="1" t="s">
        <v>737</v>
      </c>
      <c r="K42" s="14"/>
      <c r="L42" s="1" t="s">
        <v>738</v>
      </c>
      <c r="O42" s="1" t="s">
        <v>734</v>
      </c>
      <c r="P42" s="1" t="s">
        <v>560</v>
      </c>
      <c r="R42" s="14" t="s">
        <v>554</v>
      </c>
      <c r="V42" s="1" t="s">
        <v>554</v>
      </c>
      <c r="W42" s="1" t="s">
        <v>739</v>
      </c>
      <c r="X42" s="1" t="s">
        <v>561</v>
      </c>
      <c r="AB42" s="1" t="s">
        <v>562</v>
      </c>
      <c r="AC42" s="1" t="s">
        <v>740</v>
      </c>
      <c r="AD42" s="1" t="s">
        <v>550</v>
      </c>
    </row>
    <row r="43" customFormat="false" ht="15" hidden="false" customHeight="true" outlineLevel="0" collapsed="false">
      <c r="A43" s="1" t="s">
        <v>346</v>
      </c>
      <c r="B43" s="1" t="s">
        <v>680</v>
      </c>
      <c r="C43" s="1" t="s">
        <v>23</v>
      </c>
      <c r="D43" s="14" t="s">
        <v>550</v>
      </c>
      <c r="E43" s="1" t="s">
        <v>551</v>
      </c>
      <c r="F43" s="1" t="s">
        <v>725</v>
      </c>
      <c r="G43" s="1" t="s">
        <v>553</v>
      </c>
      <c r="H43" s="14" t="s">
        <v>550</v>
      </c>
      <c r="I43" s="1" t="s">
        <v>554</v>
      </c>
      <c r="J43" s="1" t="s">
        <v>741</v>
      </c>
      <c r="K43" s="14"/>
      <c r="R43" s="14" t="s">
        <v>554</v>
      </c>
      <c r="X43" s="1" t="s">
        <v>561</v>
      </c>
      <c r="AA43" s="1" t="s">
        <v>554</v>
      </c>
      <c r="AB43" s="1" t="s">
        <v>562</v>
      </c>
      <c r="AC43" s="1" t="s">
        <v>742</v>
      </c>
      <c r="AD43" s="1" t="s">
        <v>550</v>
      </c>
    </row>
    <row r="44" customFormat="false" ht="15" hidden="false" customHeight="true" outlineLevel="0" collapsed="false">
      <c r="A44" s="1" t="s">
        <v>348</v>
      </c>
      <c r="B44" s="1" t="s">
        <v>743</v>
      </c>
      <c r="C44" s="1" t="s">
        <v>23</v>
      </c>
      <c r="D44" s="14" t="s">
        <v>550</v>
      </c>
      <c r="E44" s="1" t="s">
        <v>551</v>
      </c>
      <c r="F44" s="1" t="s">
        <v>725</v>
      </c>
      <c r="G44" s="1" t="s">
        <v>553</v>
      </c>
      <c r="H44" s="14" t="s">
        <v>550</v>
      </c>
      <c r="I44" s="1" t="s">
        <v>554</v>
      </c>
      <c r="J44" s="1" t="s">
        <v>744</v>
      </c>
      <c r="K44" s="14"/>
      <c r="L44" s="1" t="s">
        <v>557</v>
      </c>
      <c r="O44" s="1" t="s">
        <v>745</v>
      </c>
      <c r="P44" s="1" t="s">
        <v>560</v>
      </c>
      <c r="Q44" s="1" t="s">
        <v>746</v>
      </c>
      <c r="R44" s="14" t="s">
        <v>554</v>
      </c>
      <c r="X44" s="1" t="s">
        <v>561</v>
      </c>
      <c r="AB44" s="1" t="s">
        <v>562</v>
      </c>
      <c r="AC44" s="1" t="s">
        <v>747</v>
      </c>
      <c r="AD44" s="1" t="s">
        <v>550</v>
      </c>
    </row>
    <row r="45" customFormat="false" ht="15" hidden="false" customHeight="true" outlineLevel="0" collapsed="false">
      <c r="A45" s="1" t="s">
        <v>353</v>
      </c>
      <c r="B45" s="1" t="s">
        <v>748</v>
      </c>
      <c r="C45" s="1" t="s">
        <v>23</v>
      </c>
      <c r="D45" s="14" t="s">
        <v>550</v>
      </c>
      <c r="E45" s="1" t="s">
        <v>551</v>
      </c>
      <c r="F45" s="1" t="s">
        <v>725</v>
      </c>
      <c r="G45" s="1" t="s">
        <v>553</v>
      </c>
      <c r="H45" s="14" t="s">
        <v>550</v>
      </c>
      <c r="I45" s="1" t="s">
        <v>554</v>
      </c>
      <c r="J45" s="1" t="s">
        <v>749</v>
      </c>
      <c r="K45" s="14"/>
      <c r="L45" s="1" t="s">
        <v>557</v>
      </c>
      <c r="O45" s="1" t="s">
        <v>750</v>
      </c>
      <c r="P45" s="1" t="s">
        <v>560</v>
      </c>
      <c r="R45" s="14" t="s">
        <v>554</v>
      </c>
      <c r="X45" s="1" t="s">
        <v>561</v>
      </c>
      <c r="AB45" s="1" t="s">
        <v>562</v>
      </c>
      <c r="AC45" s="1" t="s">
        <v>747</v>
      </c>
      <c r="AD45" s="1" t="s">
        <v>550</v>
      </c>
    </row>
    <row r="46" customFormat="false" ht="15" hidden="false" customHeight="true" outlineLevel="0" collapsed="false">
      <c r="A46" s="1" t="s">
        <v>351</v>
      </c>
      <c r="B46" s="1" t="s">
        <v>751</v>
      </c>
      <c r="C46" s="1" t="s">
        <v>23</v>
      </c>
      <c r="D46" s="14" t="s">
        <v>550</v>
      </c>
      <c r="E46" s="1" t="s">
        <v>551</v>
      </c>
      <c r="F46" s="1" t="s">
        <v>725</v>
      </c>
      <c r="G46" s="1" t="s">
        <v>553</v>
      </c>
      <c r="H46" s="14" t="s">
        <v>550</v>
      </c>
      <c r="I46" s="1" t="s">
        <v>554</v>
      </c>
      <c r="J46" s="1" t="s">
        <v>752</v>
      </c>
      <c r="K46" s="14"/>
      <c r="L46" s="1" t="s">
        <v>557</v>
      </c>
      <c r="O46" s="1" t="s">
        <v>753</v>
      </c>
      <c r="P46" s="1" t="s">
        <v>560</v>
      </c>
      <c r="Q46" s="1" t="s">
        <v>754</v>
      </c>
      <c r="R46" s="14" t="s">
        <v>554</v>
      </c>
      <c r="X46" s="1" t="s">
        <v>561</v>
      </c>
      <c r="AB46" s="1" t="s">
        <v>562</v>
      </c>
      <c r="AC46" s="1" t="s">
        <v>747</v>
      </c>
      <c r="AD46" s="1" t="s">
        <v>550</v>
      </c>
    </row>
    <row r="47" customFormat="false" ht="15" hidden="false" customHeight="true" outlineLevel="0" collapsed="false">
      <c r="A47" s="1" t="s">
        <v>355</v>
      </c>
      <c r="B47" s="1" t="s">
        <v>755</v>
      </c>
      <c r="C47" s="1" t="s">
        <v>23</v>
      </c>
      <c r="D47" s="14" t="s">
        <v>550</v>
      </c>
      <c r="E47" s="1" t="s">
        <v>551</v>
      </c>
      <c r="F47" s="1" t="s">
        <v>725</v>
      </c>
      <c r="G47" s="1" t="s">
        <v>553</v>
      </c>
      <c r="H47" s="14" t="s">
        <v>550</v>
      </c>
      <c r="I47" s="1" t="s">
        <v>554</v>
      </c>
      <c r="J47" s="1" t="s">
        <v>756</v>
      </c>
      <c r="K47" s="14" t="s">
        <v>652</v>
      </c>
      <c r="L47" s="1" t="s">
        <v>557</v>
      </c>
      <c r="M47" s="1" t="s">
        <v>757</v>
      </c>
      <c r="N47" s="1" t="s">
        <v>758</v>
      </c>
      <c r="O47" s="1" t="s">
        <v>759</v>
      </c>
      <c r="P47" s="1" t="s">
        <v>560</v>
      </c>
      <c r="Q47" s="1" t="s">
        <v>760</v>
      </c>
      <c r="R47" s="14" t="s">
        <v>554</v>
      </c>
      <c r="X47" s="1" t="s">
        <v>561</v>
      </c>
      <c r="AB47" s="1" t="s">
        <v>562</v>
      </c>
      <c r="AC47" s="1" t="s">
        <v>761</v>
      </c>
      <c r="AD47" s="1" t="s">
        <v>550</v>
      </c>
    </row>
    <row r="48" customFormat="false" ht="15" hidden="false" customHeight="true" outlineLevel="0" collapsed="false">
      <c r="A48" s="1" t="s">
        <v>357</v>
      </c>
      <c r="B48" s="1" t="s">
        <v>762</v>
      </c>
      <c r="C48" s="1" t="s">
        <v>23</v>
      </c>
      <c r="D48" s="14" t="s">
        <v>550</v>
      </c>
      <c r="E48" s="1" t="s">
        <v>551</v>
      </c>
      <c r="F48" s="1" t="s">
        <v>763</v>
      </c>
      <c r="G48" s="1" t="s">
        <v>553</v>
      </c>
      <c r="H48" s="14" t="s">
        <v>550</v>
      </c>
      <c r="I48" s="1" t="s">
        <v>554</v>
      </c>
      <c r="J48" s="1" t="s">
        <v>764</v>
      </c>
      <c r="K48" s="14"/>
      <c r="L48" s="1" t="s">
        <v>765</v>
      </c>
      <c r="M48" s="1" t="s">
        <v>766</v>
      </c>
      <c r="N48" s="1" t="s">
        <v>586</v>
      </c>
      <c r="O48" s="1" t="s">
        <v>767</v>
      </c>
      <c r="P48" s="1" t="s">
        <v>560</v>
      </c>
      <c r="Q48" s="1" t="s">
        <v>768</v>
      </c>
      <c r="R48" s="14" t="s">
        <v>554</v>
      </c>
      <c r="X48" s="1" t="s">
        <v>561</v>
      </c>
      <c r="AB48" s="1" t="s">
        <v>562</v>
      </c>
      <c r="AC48" s="1" t="s">
        <v>769</v>
      </c>
      <c r="AD48" s="1" t="s">
        <v>550</v>
      </c>
    </row>
    <row r="49" customFormat="false" ht="15" hidden="false" customHeight="true" outlineLevel="0" collapsed="false">
      <c r="A49" s="1" t="s">
        <v>770</v>
      </c>
      <c r="B49" s="1" t="s">
        <v>771</v>
      </c>
      <c r="C49" s="1" t="s">
        <v>23</v>
      </c>
      <c r="D49" s="14" t="s">
        <v>550</v>
      </c>
      <c r="E49" s="1" t="s">
        <v>551</v>
      </c>
      <c r="F49" s="1" t="s">
        <v>725</v>
      </c>
      <c r="G49" s="1" t="s">
        <v>553</v>
      </c>
      <c r="H49" s="14" t="s">
        <v>550</v>
      </c>
      <c r="I49" s="1" t="s">
        <v>554</v>
      </c>
      <c r="J49" s="1" t="s">
        <v>772</v>
      </c>
      <c r="K49" s="14" t="s">
        <v>773</v>
      </c>
      <c r="L49" s="1" t="s">
        <v>557</v>
      </c>
      <c r="O49" s="1" t="s">
        <v>774</v>
      </c>
      <c r="P49" s="1" t="s">
        <v>560</v>
      </c>
      <c r="Q49" s="1" t="s">
        <v>775</v>
      </c>
      <c r="R49" s="14" t="s">
        <v>554</v>
      </c>
      <c r="X49" s="1" t="s">
        <v>561</v>
      </c>
      <c r="AB49" s="1" t="s">
        <v>562</v>
      </c>
      <c r="AC49" s="1" t="s">
        <v>776</v>
      </c>
      <c r="AD49" s="1" t="s">
        <v>550</v>
      </c>
    </row>
    <row r="50" customFormat="false" ht="15" hidden="false" customHeight="true" outlineLevel="0" collapsed="false">
      <c r="A50" s="1" t="s">
        <v>359</v>
      </c>
      <c r="B50" s="1" t="s">
        <v>777</v>
      </c>
      <c r="C50" s="1" t="s">
        <v>23</v>
      </c>
      <c r="D50" s="14" t="s">
        <v>550</v>
      </c>
      <c r="E50" s="1" t="s">
        <v>551</v>
      </c>
      <c r="F50" s="1" t="s">
        <v>725</v>
      </c>
      <c r="G50" s="1" t="s">
        <v>553</v>
      </c>
      <c r="H50" s="14" t="s">
        <v>550</v>
      </c>
      <c r="I50" s="1" t="s">
        <v>554</v>
      </c>
      <c r="J50" s="1" t="s">
        <v>778</v>
      </c>
      <c r="K50" s="14"/>
      <c r="L50" s="1" t="s">
        <v>557</v>
      </c>
      <c r="M50" s="1" t="s">
        <v>779</v>
      </c>
      <c r="N50" s="1" t="s">
        <v>780</v>
      </c>
      <c r="O50" s="1" t="s">
        <v>781</v>
      </c>
      <c r="P50" s="1" t="s">
        <v>560</v>
      </c>
      <c r="Q50" s="1" t="s">
        <v>782</v>
      </c>
      <c r="R50" s="14" t="s">
        <v>554</v>
      </c>
      <c r="X50" s="1" t="s">
        <v>561</v>
      </c>
      <c r="AB50" s="1" t="s">
        <v>562</v>
      </c>
      <c r="AC50" s="1" t="s">
        <v>783</v>
      </c>
      <c r="AD50" s="1" t="s">
        <v>550</v>
      </c>
    </row>
    <row r="51" customFormat="false" ht="15" hidden="false" customHeight="true" outlineLevel="0" collapsed="false">
      <c r="A51" s="1" t="s">
        <v>361</v>
      </c>
      <c r="B51" s="1" t="s">
        <v>784</v>
      </c>
      <c r="C51" s="1" t="s">
        <v>23</v>
      </c>
      <c r="D51" s="14" t="s">
        <v>550</v>
      </c>
      <c r="E51" s="1" t="s">
        <v>551</v>
      </c>
      <c r="F51" s="1" t="s">
        <v>725</v>
      </c>
      <c r="G51" s="1" t="s">
        <v>553</v>
      </c>
      <c r="H51" s="14" t="s">
        <v>550</v>
      </c>
      <c r="I51" s="1" t="s">
        <v>554</v>
      </c>
      <c r="J51" s="1" t="s">
        <v>785</v>
      </c>
      <c r="K51" s="14" t="s">
        <v>786</v>
      </c>
      <c r="L51" s="1" t="s">
        <v>557</v>
      </c>
      <c r="M51" s="1" t="s">
        <v>787</v>
      </c>
      <c r="N51" s="1" t="s">
        <v>586</v>
      </c>
      <c r="P51" s="1" t="s">
        <v>560</v>
      </c>
      <c r="Q51" s="1" t="s">
        <v>788</v>
      </c>
      <c r="R51" s="14" t="s">
        <v>554</v>
      </c>
      <c r="X51" s="1" t="s">
        <v>561</v>
      </c>
      <c r="AB51" s="1" t="s">
        <v>562</v>
      </c>
      <c r="AC51" s="1" t="s">
        <v>789</v>
      </c>
      <c r="AD51" s="1" t="s">
        <v>550</v>
      </c>
    </row>
    <row r="52" customFormat="false" ht="15" hidden="false" customHeight="true" outlineLevel="0" collapsed="false">
      <c r="A52" s="1" t="s">
        <v>363</v>
      </c>
      <c r="B52" s="1" t="s">
        <v>790</v>
      </c>
      <c r="C52" s="1" t="s">
        <v>23</v>
      </c>
      <c r="D52" s="14" t="s">
        <v>550</v>
      </c>
      <c r="E52" s="1" t="s">
        <v>551</v>
      </c>
      <c r="F52" s="1" t="s">
        <v>725</v>
      </c>
      <c r="G52" s="1" t="s">
        <v>553</v>
      </c>
      <c r="H52" s="14" t="s">
        <v>550</v>
      </c>
      <c r="I52" s="1" t="s">
        <v>554</v>
      </c>
      <c r="J52" s="1" t="s">
        <v>791</v>
      </c>
      <c r="K52" s="14" t="s">
        <v>792</v>
      </c>
      <c r="L52" s="1" t="s">
        <v>557</v>
      </c>
      <c r="P52" s="1" t="s">
        <v>560</v>
      </c>
      <c r="Q52" s="1" t="s">
        <v>793</v>
      </c>
      <c r="R52" s="14" t="s">
        <v>554</v>
      </c>
      <c r="X52" s="1" t="s">
        <v>561</v>
      </c>
      <c r="AB52" s="1" t="s">
        <v>562</v>
      </c>
      <c r="AC52" s="1" t="s">
        <v>794</v>
      </c>
      <c r="AD52" s="1" t="s">
        <v>550</v>
      </c>
    </row>
    <row r="53" customFormat="false" ht="15" hidden="false" customHeight="true" outlineLevel="0" collapsed="false">
      <c r="A53" s="1" t="s">
        <v>795</v>
      </c>
      <c r="B53" s="1" t="s">
        <v>796</v>
      </c>
      <c r="C53" s="1" t="s">
        <v>23</v>
      </c>
      <c r="D53" s="14" t="s">
        <v>550</v>
      </c>
      <c r="E53" s="1" t="s">
        <v>551</v>
      </c>
      <c r="F53" s="1" t="s">
        <v>763</v>
      </c>
      <c r="G53" s="1" t="s">
        <v>553</v>
      </c>
      <c r="H53" s="14" t="s">
        <v>550</v>
      </c>
      <c r="I53" s="1" t="s">
        <v>554</v>
      </c>
      <c r="J53" s="1" t="s">
        <v>797</v>
      </c>
      <c r="K53" s="14" t="s">
        <v>798</v>
      </c>
      <c r="L53" s="1" t="s">
        <v>557</v>
      </c>
      <c r="M53" s="1" t="s">
        <v>799</v>
      </c>
      <c r="N53" s="1" t="s">
        <v>586</v>
      </c>
      <c r="P53" s="1" t="s">
        <v>560</v>
      </c>
      <c r="Q53" s="1" t="s">
        <v>800</v>
      </c>
      <c r="R53" s="14" t="s">
        <v>554</v>
      </c>
      <c r="X53" s="1" t="s">
        <v>561</v>
      </c>
      <c r="AB53" s="1" t="s">
        <v>562</v>
      </c>
      <c r="AC53" s="1" t="s">
        <v>761</v>
      </c>
      <c r="AD53" s="1" t="s">
        <v>550</v>
      </c>
    </row>
    <row r="54" customFormat="false" ht="15" hidden="false" customHeight="true" outlineLevel="0" collapsed="false">
      <c r="A54" s="1" t="s">
        <v>801</v>
      </c>
      <c r="B54" s="1" t="s">
        <v>802</v>
      </c>
      <c r="C54" s="1" t="s">
        <v>23</v>
      </c>
      <c r="D54" s="14" t="s">
        <v>550</v>
      </c>
      <c r="E54" s="1" t="s">
        <v>551</v>
      </c>
      <c r="F54" s="1" t="s">
        <v>763</v>
      </c>
      <c r="G54" s="1" t="s">
        <v>553</v>
      </c>
      <c r="H54" s="14" t="s">
        <v>550</v>
      </c>
      <c r="I54" s="1" t="s">
        <v>554</v>
      </c>
      <c r="J54" s="1" t="s">
        <v>803</v>
      </c>
      <c r="K54" s="14" t="s">
        <v>804</v>
      </c>
      <c r="L54" s="1" t="s">
        <v>557</v>
      </c>
      <c r="M54" s="1" t="s">
        <v>805</v>
      </c>
      <c r="N54" s="1" t="s">
        <v>586</v>
      </c>
      <c r="O54" s="1" t="s">
        <v>806</v>
      </c>
      <c r="P54" s="1" t="s">
        <v>560</v>
      </c>
      <c r="Q54" s="1" t="s">
        <v>807</v>
      </c>
      <c r="R54" s="14" t="s">
        <v>554</v>
      </c>
      <c r="X54" s="1" t="s">
        <v>561</v>
      </c>
      <c r="AB54" s="1" t="s">
        <v>562</v>
      </c>
      <c r="AC54" s="1" t="s">
        <v>808</v>
      </c>
      <c r="AD54" s="1" t="s">
        <v>550</v>
      </c>
    </row>
    <row r="55" customFormat="false" ht="15" hidden="false" customHeight="true" outlineLevel="0" collapsed="false">
      <c r="A55" s="1" t="s">
        <v>809</v>
      </c>
      <c r="B55" s="1" t="s">
        <v>810</v>
      </c>
      <c r="C55" s="1" t="s">
        <v>23</v>
      </c>
      <c r="D55" s="14" t="s">
        <v>550</v>
      </c>
      <c r="E55" s="1" t="s">
        <v>551</v>
      </c>
      <c r="F55" s="1" t="s">
        <v>725</v>
      </c>
      <c r="G55" s="1" t="s">
        <v>553</v>
      </c>
      <c r="H55" s="14" t="s">
        <v>550</v>
      </c>
      <c r="I55" s="1" t="s">
        <v>554</v>
      </c>
      <c r="J55" s="1" t="s">
        <v>811</v>
      </c>
      <c r="K55" s="14" t="s">
        <v>812</v>
      </c>
      <c r="L55" s="1" t="s">
        <v>557</v>
      </c>
      <c r="O55" s="1" t="s">
        <v>813</v>
      </c>
      <c r="P55" s="1" t="s">
        <v>560</v>
      </c>
      <c r="Q55" s="1" t="s">
        <v>814</v>
      </c>
      <c r="R55" s="14" t="s">
        <v>554</v>
      </c>
      <c r="X55" s="1" t="s">
        <v>620</v>
      </c>
      <c r="AB55" s="1" t="s">
        <v>620</v>
      </c>
      <c r="AC55" s="1" t="s">
        <v>815</v>
      </c>
      <c r="AD55" s="1" t="s">
        <v>550</v>
      </c>
    </row>
    <row r="56" customFormat="false" ht="15" hidden="false" customHeight="true" outlineLevel="0" collapsed="false">
      <c r="A56" s="1" t="s">
        <v>816</v>
      </c>
      <c r="B56" s="1" t="s">
        <v>817</v>
      </c>
      <c r="C56" s="1" t="s">
        <v>23</v>
      </c>
      <c r="D56" s="14" t="s">
        <v>550</v>
      </c>
      <c r="E56" s="1" t="s">
        <v>551</v>
      </c>
      <c r="F56" s="1" t="s">
        <v>725</v>
      </c>
      <c r="G56" s="1" t="s">
        <v>553</v>
      </c>
      <c r="H56" s="14" t="s">
        <v>550</v>
      </c>
      <c r="I56" s="1" t="s">
        <v>554</v>
      </c>
      <c r="J56" s="1" t="s">
        <v>818</v>
      </c>
      <c r="K56" s="14" t="s">
        <v>819</v>
      </c>
      <c r="L56" s="1" t="s">
        <v>820</v>
      </c>
      <c r="M56" s="1" t="s">
        <v>821</v>
      </c>
      <c r="N56" s="1" t="s">
        <v>822</v>
      </c>
      <c r="P56" s="1" t="s">
        <v>823</v>
      </c>
      <c r="Q56" s="1" t="s">
        <v>824</v>
      </c>
      <c r="R56" s="14" t="s">
        <v>554</v>
      </c>
      <c r="V56" s="1" t="s">
        <v>554</v>
      </c>
      <c r="W56" s="1" t="s">
        <v>825</v>
      </c>
      <c r="X56" s="1" t="s">
        <v>620</v>
      </c>
      <c r="AB56" s="1" t="s">
        <v>620</v>
      </c>
      <c r="AC56" s="1" t="s">
        <v>826</v>
      </c>
      <c r="AD56" s="1" t="s">
        <v>550</v>
      </c>
    </row>
    <row r="57" customFormat="false" ht="15" hidden="false" customHeight="true" outlineLevel="0" collapsed="false">
      <c r="A57" s="1" t="s">
        <v>827</v>
      </c>
      <c r="B57" s="1" t="s">
        <v>828</v>
      </c>
      <c r="C57" s="1" t="s">
        <v>23</v>
      </c>
      <c r="D57" s="14" t="s">
        <v>550</v>
      </c>
      <c r="E57" s="1" t="s">
        <v>551</v>
      </c>
      <c r="F57" s="1" t="s">
        <v>725</v>
      </c>
      <c r="G57" s="1" t="s">
        <v>553</v>
      </c>
      <c r="H57" s="14" t="s">
        <v>550</v>
      </c>
      <c r="I57" s="1" t="s">
        <v>554</v>
      </c>
      <c r="J57" s="1" t="s">
        <v>829</v>
      </c>
      <c r="K57" s="14" t="s">
        <v>830</v>
      </c>
      <c r="L57" s="1" t="s">
        <v>831</v>
      </c>
      <c r="M57" s="1" t="s">
        <v>832</v>
      </c>
      <c r="N57" s="1" t="s">
        <v>833</v>
      </c>
      <c r="P57" s="1" t="s">
        <v>560</v>
      </c>
      <c r="Q57" s="1" t="s">
        <v>834</v>
      </c>
      <c r="R57" s="14" t="s">
        <v>554</v>
      </c>
      <c r="X57" s="1" t="s">
        <v>620</v>
      </c>
      <c r="AB57" s="1" t="s">
        <v>620</v>
      </c>
      <c r="AC57" s="1" t="s">
        <v>835</v>
      </c>
      <c r="AD57" s="1" t="s">
        <v>550</v>
      </c>
    </row>
    <row r="58" customFormat="false" ht="15" hidden="false" customHeight="true" outlineLevel="0" collapsed="false">
      <c r="A58" s="1" t="s">
        <v>836</v>
      </c>
      <c r="B58" s="1" t="s">
        <v>837</v>
      </c>
      <c r="C58" s="1" t="s">
        <v>23</v>
      </c>
      <c r="D58" s="14" t="s">
        <v>550</v>
      </c>
      <c r="E58" s="1" t="s">
        <v>551</v>
      </c>
      <c r="F58" s="1" t="s">
        <v>725</v>
      </c>
      <c r="G58" s="1" t="s">
        <v>553</v>
      </c>
      <c r="H58" s="14" t="s">
        <v>550</v>
      </c>
      <c r="I58" s="1" t="s">
        <v>554</v>
      </c>
      <c r="J58" s="1" t="s">
        <v>838</v>
      </c>
      <c r="K58" s="14"/>
      <c r="L58" s="1" t="s">
        <v>839</v>
      </c>
      <c r="P58" s="1" t="s">
        <v>823</v>
      </c>
      <c r="Q58" s="1" t="s">
        <v>840</v>
      </c>
      <c r="R58" s="14" t="s">
        <v>554</v>
      </c>
      <c r="V58" s="1" t="s">
        <v>554</v>
      </c>
      <c r="W58" s="1" t="s">
        <v>841</v>
      </c>
      <c r="X58" s="1" t="s">
        <v>620</v>
      </c>
      <c r="AB58" s="1" t="s">
        <v>620</v>
      </c>
      <c r="AC58" s="1" t="s">
        <v>842</v>
      </c>
      <c r="AD58" s="1" t="s">
        <v>550</v>
      </c>
    </row>
    <row r="59" customFormat="false" ht="15" hidden="false" customHeight="true" outlineLevel="0" collapsed="false">
      <c r="A59" s="1" t="s">
        <v>843</v>
      </c>
      <c r="B59" s="1" t="s">
        <v>663</v>
      </c>
      <c r="C59" s="1" t="s">
        <v>23</v>
      </c>
      <c r="D59" s="14" t="s">
        <v>550</v>
      </c>
      <c r="E59" s="1" t="s">
        <v>551</v>
      </c>
      <c r="F59" s="1" t="s">
        <v>725</v>
      </c>
      <c r="G59" s="1" t="s">
        <v>553</v>
      </c>
      <c r="H59" s="14" t="s">
        <v>550</v>
      </c>
      <c r="I59" s="1" t="s">
        <v>554</v>
      </c>
      <c r="J59" s="1" t="s">
        <v>844</v>
      </c>
      <c r="K59" s="14"/>
      <c r="L59" s="1" t="s">
        <v>845</v>
      </c>
      <c r="P59" s="1" t="s">
        <v>560</v>
      </c>
      <c r="Q59" s="1" t="s">
        <v>846</v>
      </c>
      <c r="R59" s="14" t="s">
        <v>554</v>
      </c>
      <c r="V59" s="1" t="s">
        <v>554</v>
      </c>
      <c r="W59" s="1" t="s">
        <v>847</v>
      </c>
      <c r="X59" s="1" t="s">
        <v>620</v>
      </c>
      <c r="AB59" s="1" t="s">
        <v>620</v>
      </c>
      <c r="AC59" s="1" t="s">
        <v>848</v>
      </c>
      <c r="AD59" s="1" t="s">
        <v>550</v>
      </c>
    </row>
    <row r="60" customFormat="false" ht="15" hidden="false" customHeight="true" outlineLevel="0" collapsed="false">
      <c r="A60" s="1" t="s">
        <v>407</v>
      </c>
      <c r="B60" s="1" t="s">
        <v>849</v>
      </c>
      <c r="C60" s="1" t="s">
        <v>23</v>
      </c>
      <c r="D60" s="14" t="s">
        <v>550</v>
      </c>
      <c r="E60" s="1" t="s">
        <v>551</v>
      </c>
      <c r="F60" s="1" t="s">
        <v>725</v>
      </c>
      <c r="G60" s="1" t="s">
        <v>553</v>
      </c>
      <c r="H60" s="14" t="s">
        <v>550</v>
      </c>
      <c r="I60" s="1" t="s">
        <v>554</v>
      </c>
      <c r="J60" s="1" t="s">
        <v>850</v>
      </c>
      <c r="K60" s="14"/>
      <c r="L60" s="1" t="s">
        <v>851</v>
      </c>
      <c r="M60" s="1" t="s">
        <v>852</v>
      </c>
      <c r="N60" s="1" t="s">
        <v>853</v>
      </c>
      <c r="O60" s="1" t="s">
        <v>854</v>
      </c>
      <c r="P60" s="1" t="s">
        <v>560</v>
      </c>
      <c r="Q60" s="1" t="s">
        <v>775</v>
      </c>
      <c r="R60" s="14" t="s">
        <v>554</v>
      </c>
      <c r="X60" s="1" t="s">
        <v>620</v>
      </c>
      <c r="AB60" s="1" t="s">
        <v>620</v>
      </c>
      <c r="AC60" s="1" t="s">
        <v>855</v>
      </c>
      <c r="AD60" s="1" t="s">
        <v>550</v>
      </c>
    </row>
    <row r="61" customFormat="false" ht="15" hidden="false" customHeight="true" outlineLevel="0" collapsed="false">
      <c r="A61" s="1" t="s">
        <v>856</v>
      </c>
      <c r="B61" s="1" t="s">
        <v>857</v>
      </c>
      <c r="C61" s="1" t="s">
        <v>23</v>
      </c>
      <c r="D61" s="14" t="s">
        <v>550</v>
      </c>
      <c r="E61" s="1" t="s">
        <v>551</v>
      </c>
      <c r="F61" s="1" t="s">
        <v>763</v>
      </c>
      <c r="G61" s="1" t="s">
        <v>553</v>
      </c>
      <c r="H61" s="14" t="s">
        <v>550</v>
      </c>
      <c r="I61" s="1" t="s">
        <v>554</v>
      </c>
      <c r="J61" s="1" t="s">
        <v>858</v>
      </c>
      <c r="K61" s="14" t="s">
        <v>859</v>
      </c>
      <c r="L61" s="1" t="s">
        <v>860</v>
      </c>
      <c r="M61" s="1" t="s">
        <v>861</v>
      </c>
      <c r="N61" s="1" t="s">
        <v>586</v>
      </c>
      <c r="O61" s="1" t="s">
        <v>862</v>
      </c>
      <c r="P61" s="1" t="s">
        <v>863</v>
      </c>
      <c r="Q61" s="1" t="s">
        <v>864</v>
      </c>
      <c r="R61" s="14" t="s">
        <v>554</v>
      </c>
      <c r="X61" s="1" t="s">
        <v>620</v>
      </c>
      <c r="AB61" s="1" t="s">
        <v>620</v>
      </c>
      <c r="AC61" s="1" t="s">
        <v>865</v>
      </c>
      <c r="AD61" s="1" t="s">
        <v>550</v>
      </c>
    </row>
    <row r="62" customFormat="false" ht="15" hidden="false" customHeight="true" outlineLevel="0" collapsed="false">
      <c r="A62" s="1" t="s">
        <v>866</v>
      </c>
      <c r="B62" s="1" t="s">
        <v>867</v>
      </c>
      <c r="C62" s="1" t="s">
        <v>23</v>
      </c>
      <c r="D62" s="14" t="s">
        <v>550</v>
      </c>
      <c r="E62" s="1" t="s">
        <v>551</v>
      </c>
      <c r="F62" s="1" t="s">
        <v>763</v>
      </c>
      <c r="G62" s="1" t="s">
        <v>553</v>
      </c>
      <c r="H62" s="14" t="s">
        <v>550</v>
      </c>
      <c r="I62" s="1" t="s">
        <v>554</v>
      </c>
      <c r="J62" s="1" t="s">
        <v>868</v>
      </c>
      <c r="K62" s="14" t="s">
        <v>773</v>
      </c>
      <c r="L62" s="1" t="s">
        <v>557</v>
      </c>
      <c r="M62" s="1" t="s">
        <v>869</v>
      </c>
      <c r="N62" s="1" t="s">
        <v>586</v>
      </c>
      <c r="Q62" s="1" t="s">
        <v>834</v>
      </c>
      <c r="R62" s="14" t="s">
        <v>554</v>
      </c>
      <c r="X62" s="1" t="s">
        <v>620</v>
      </c>
      <c r="AB62" s="1" t="s">
        <v>620</v>
      </c>
      <c r="AC62" s="1" t="s">
        <v>870</v>
      </c>
      <c r="AD62" s="1" t="s">
        <v>550</v>
      </c>
    </row>
    <row r="63" customFormat="false" ht="15" hidden="false" customHeight="true" outlineLevel="0" collapsed="false">
      <c r="A63" s="1" t="s">
        <v>871</v>
      </c>
      <c r="B63" s="1" t="s">
        <v>872</v>
      </c>
      <c r="C63" s="1" t="s">
        <v>23</v>
      </c>
      <c r="D63" s="14" t="s">
        <v>550</v>
      </c>
      <c r="E63" s="1" t="s">
        <v>551</v>
      </c>
      <c r="F63" s="1" t="s">
        <v>763</v>
      </c>
      <c r="G63" s="1" t="s">
        <v>553</v>
      </c>
      <c r="H63" s="14" t="s">
        <v>550</v>
      </c>
      <c r="I63" s="1" t="s">
        <v>554</v>
      </c>
      <c r="J63" s="1" t="s">
        <v>873</v>
      </c>
      <c r="K63" s="14" t="s">
        <v>713</v>
      </c>
      <c r="L63" s="1" t="s">
        <v>557</v>
      </c>
      <c r="M63" s="1" t="s">
        <v>874</v>
      </c>
      <c r="N63" s="1" t="s">
        <v>586</v>
      </c>
      <c r="Q63" s="1" t="s">
        <v>834</v>
      </c>
      <c r="R63" s="14" t="s">
        <v>554</v>
      </c>
      <c r="X63" s="1" t="s">
        <v>620</v>
      </c>
      <c r="AB63" s="1" t="s">
        <v>620</v>
      </c>
      <c r="AC63" s="1" t="s">
        <v>875</v>
      </c>
      <c r="AD63" s="1" t="s">
        <v>550</v>
      </c>
    </row>
    <row r="64" customFormat="false" ht="15" hidden="false" customHeight="true" outlineLevel="0" collapsed="false">
      <c r="A64" s="1" t="s">
        <v>876</v>
      </c>
      <c r="B64" s="1" t="s">
        <v>877</v>
      </c>
      <c r="C64" s="1" t="s">
        <v>23</v>
      </c>
      <c r="D64" s="14" t="s">
        <v>550</v>
      </c>
      <c r="E64" s="1" t="s">
        <v>551</v>
      </c>
      <c r="F64" s="1" t="s">
        <v>763</v>
      </c>
      <c r="G64" s="1" t="s">
        <v>553</v>
      </c>
      <c r="H64" s="14" t="s">
        <v>550</v>
      </c>
      <c r="I64" s="1" t="s">
        <v>554</v>
      </c>
      <c r="J64" s="1" t="s">
        <v>878</v>
      </c>
      <c r="K64" s="14" t="s">
        <v>713</v>
      </c>
      <c r="L64" s="1" t="s">
        <v>557</v>
      </c>
      <c r="M64" s="1" t="s">
        <v>879</v>
      </c>
      <c r="N64" s="1" t="s">
        <v>586</v>
      </c>
      <c r="Q64" s="1" t="s">
        <v>834</v>
      </c>
      <c r="R64" s="14" t="s">
        <v>554</v>
      </c>
      <c r="X64" s="1" t="s">
        <v>620</v>
      </c>
      <c r="AB64" s="1" t="s">
        <v>620</v>
      </c>
      <c r="AC64" s="1" t="s">
        <v>880</v>
      </c>
      <c r="AD64" s="1" t="s">
        <v>550</v>
      </c>
    </row>
    <row r="65" customFormat="false" ht="15" hidden="false" customHeight="true" outlineLevel="0" collapsed="false">
      <c r="A65" s="1" t="s">
        <v>881</v>
      </c>
      <c r="B65" s="1" t="s">
        <v>882</v>
      </c>
      <c r="C65" s="1" t="s">
        <v>23</v>
      </c>
      <c r="D65" s="14" t="s">
        <v>550</v>
      </c>
      <c r="E65" s="1" t="s">
        <v>551</v>
      </c>
      <c r="F65" s="1" t="s">
        <v>763</v>
      </c>
      <c r="G65" s="1" t="s">
        <v>553</v>
      </c>
      <c r="H65" s="14" t="s">
        <v>550</v>
      </c>
      <c r="I65" s="1" t="s">
        <v>554</v>
      </c>
      <c r="J65" s="1" t="s">
        <v>883</v>
      </c>
      <c r="K65" s="14" t="s">
        <v>884</v>
      </c>
      <c r="L65" s="1" t="s">
        <v>885</v>
      </c>
      <c r="M65" s="1" t="s">
        <v>886</v>
      </c>
      <c r="N65" s="1" t="s">
        <v>887</v>
      </c>
      <c r="P65" s="1" t="s">
        <v>560</v>
      </c>
      <c r="Q65" s="1" t="s">
        <v>888</v>
      </c>
      <c r="R65" s="14" t="s">
        <v>554</v>
      </c>
      <c r="V65" s="1" t="s">
        <v>554</v>
      </c>
      <c r="W65" s="1" t="s">
        <v>889</v>
      </c>
      <c r="X65" s="1" t="s">
        <v>620</v>
      </c>
      <c r="AB65" s="1" t="s">
        <v>620</v>
      </c>
      <c r="AC65" s="1" t="s">
        <v>890</v>
      </c>
      <c r="AD65" s="1" t="s">
        <v>550</v>
      </c>
    </row>
    <row r="66" customFormat="false" ht="15" hidden="false" customHeight="true" outlineLevel="0" collapsed="false">
      <c r="A66" s="1" t="s">
        <v>891</v>
      </c>
      <c r="B66" s="1" t="s">
        <v>892</v>
      </c>
      <c r="C66" s="1" t="s">
        <v>23</v>
      </c>
      <c r="D66" s="14" t="s">
        <v>550</v>
      </c>
      <c r="E66" s="1" t="s">
        <v>551</v>
      </c>
      <c r="F66" s="1" t="s">
        <v>725</v>
      </c>
      <c r="G66" s="1" t="s">
        <v>553</v>
      </c>
      <c r="H66" s="14" t="s">
        <v>550</v>
      </c>
      <c r="I66" s="1" t="s">
        <v>554</v>
      </c>
      <c r="J66" s="1" t="s">
        <v>893</v>
      </c>
      <c r="K66" s="14"/>
      <c r="L66" s="1" t="s">
        <v>557</v>
      </c>
      <c r="Q66" s="1" t="s">
        <v>894</v>
      </c>
      <c r="R66" s="14" t="s">
        <v>554</v>
      </c>
      <c r="X66" s="1" t="s">
        <v>620</v>
      </c>
      <c r="AB66" s="1" t="s">
        <v>620</v>
      </c>
      <c r="AC66" s="1" t="s">
        <v>895</v>
      </c>
      <c r="AD66" s="1" t="s">
        <v>550</v>
      </c>
    </row>
    <row r="67" customFormat="false" ht="15" hidden="false" customHeight="true" outlineLevel="0" collapsed="false">
      <c r="A67" s="1" t="s">
        <v>896</v>
      </c>
      <c r="B67" s="1" t="s">
        <v>897</v>
      </c>
      <c r="C67" s="1" t="s">
        <v>23</v>
      </c>
      <c r="D67" s="14" t="s">
        <v>550</v>
      </c>
      <c r="E67" s="1" t="s">
        <v>551</v>
      </c>
      <c r="F67" s="1" t="s">
        <v>725</v>
      </c>
      <c r="G67" s="1" t="s">
        <v>553</v>
      </c>
      <c r="H67" s="14" t="s">
        <v>550</v>
      </c>
      <c r="I67" s="1" t="s">
        <v>898</v>
      </c>
      <c r="J67" s="1" t="s">
        <v>899</v>
      </c>
      <c r="K67" s="14"/>
      <c r="R67" s="14"/>
      <c r="X67" s="1" t="s">
        <v>620</v>
      </c>
      <c r="AB67" s="1" t="s">
        <v>620</v>
      </c>
      <c r="AC67" s="1" t="s">
        <v>900</v>
      </c>
      <c r="AD67" s="1" t="s">
        <v>550</v>
      </c>
    </row>
    <row r="68" customFormat="false" ht="15" hidden="false" customHeight="true" outlineLevel="0" collapsed="false">
      <c r="A68" s="1" t="s">
        <v>901</v>
      </c>
      <c r="B68" s="1" t="s">
        <v>902</v>
      </c>
      <c r="C68" s="1" t="s">
        <v>23</v>
      </c>
      <c r="D68" s="14" t="s">
        <v>550</v>
      </c>
      <c r="E68" s="1" t="s">
        <v>551</v>
      </c>
      <c r="F68" s="1" t="s">
        <v>725</v>
      </c>
      <c r="G68" s="1" t="s">
        <v>553</v>
      </c>
      <c r="H68" s="14" t="s">
        <v>550</v>
      </c>
      <c r="I68" s="1" t="s">
        <v>554</v>
      </c>
      <c r="J68" s="1" t="s">
        <v>903</v>
      </c>
      <c r="K68" s="14"/>
      <c r="R68" s="14" t="s">
        <v>554</v>
      </c>
      <c r="X68" s="1" t="s">
        <v>665</v>
      </c>
      <c r="Y68" s="1" t="s">
        <v>904</v>
      </c>
      <c r="AB68" s="1" t="s">
        <v>667</v>
      </c>
      <c r="AD68" s="1" t="s">
        <v>550</v>
      </c>
    </row>
    <row r="69" customFormat="false" ht="15" hidden="false" customHeight="true" outlineLevel="0" collapsed="false">
      <c r="A69" s="1" t="s">
        <v>905</v>
      </c>
      <c r="B69" s="1" t="s">
        <v>906</v>
      </c>
      <c r="C69" s="1" t="s">
        <v>23</v>
      </c>
      <c r="D69" s="14" t="s">
        <v>550</v>
      </c>
      <c r="E69" s="1" t="s">
        <v>551</v>
      </c>
      <c r="F69" s="1" t="s">
        <v>763</v>
      </c>
      <c r="G69" s="1" t="s">
        <v>553</v>
      </c>
      <c r="H69" s="14" t="s">
        <v>550</v>
      </c>
      <c r="I69" s="1" t="s">
        <v>554</v>
      </c>
      <c r="J69" s="1" t="s">
        <v>907</v>
      </c>
      <c r="K69" s="14" t="s">
        <v>798</v>
      </c>
      <c r="M69" s="1" t="s">
        <v>908</v>
      </c>
      <c r="N69" s="1" t="s">
        <v>586</v>
      </c>
      <c r="R69" s="14" t="s">
        <v>554</v>
      </c>
      <c r="X69" s="1" t="s">
        <v>665</v>
      </c>
      <c r="Y69" s="1" t="s">
        <v>909</v>
      </c>
      <c r="AB69" s="1" t="s">
        <v>667</v>
      </c>
      <c r="AC69" s="1" t="s">
        <v>910</v>
      </c>
      <c r="AD69" s="1" t="s">
        <v>550</v>
      </c>
    </row>
    <row r="70" customFormat="false" ht="15" hidden="false" customHeight="true" outlineLevel="0" collapsed="false">
      <c r="A70" s="1" t="s">
        <v>911</v>
      </c>
      <c r="B70" s="1" t="s">
        <v>912</v>
      </c>
      <c r="C70" s="1" t="s">
        <v>23</v>
      </c>
      <c r="D70" s="14" t="s">
        <v>550</v>
      </c>
      <c r="E70" s="1" t="s">
        <v>551</v>
      </c>
      <c r="F70" s="1" t="s">
        <v>763</v>
      </c>
      <c r="G70" s="1" t="s">
        <v>553</v>
      </c>
      <c r="H70" s="14" t="s">
        <v>550</v>
      </c>
      <c r="I70" s="1" t="s">
        <v>554</v>
      </c>
      <c r="J70" s="1" t="s">
        <v>913</v>
      </c>
      <c r="K70" s="14" t="s">
        <v>792</v>
      </c>
      <c r="M70" s="1" t="s">
        <v>914</v>
      </c>
      <c r="N70" s="1" t="s">
        <v>586</v>
      </c>
      <c r="R70" s="14" t="s">
        <v>554</v>
      </c>
      <c r="X70" s="1" t="s">
        <v>665</v>
      </c>
      <c r="Y70" s="1" t="s">
        <v>915</v>
      </c>
      <c r="AB70" s="1" t="s">
        <v>667</v>
      </c>
      <c r="AC70" s="1" t="s">
        <v>916</v>
      </c>
      <c r="AD70" s="1" t="s">
        <v>550</v>
      </c>
    </row>
    <row r="71" customFormat="false" ht="15" hidden="false" customHeight="true" outlineLevel="0" collapsed="false">
      <c r="A71" s="1" t="s">
        <v>917</v>
      </c>
      <c r="B71" s="1" t="s">
        <v>918</v>
      </c>
      <c r="C71" s="1" t="s">
        <v>23</v>
      </c>
      <c r="D71" s="14" t="s">
        <v>550</v>
      </c>
      <c r="E71" s="1" t="s">
        <v>551</v>
      </c>
      <c r="F71" s="1" t="s">
        <v>763</v>
      </c>
      <c r="G71" s="1" t="s">
        <v>553</v>
      </c>
      <c r="H71" s="14" t="s">
        <v>550</v>
      </c>
      <c r="I71" s="1" t="s">
        <v>554</v>
      </c>
      <c r="J71" s="1" t="s">
        <v>919</v>
      </c>
      <c r="K71" s="14"/>
      <c r="M71" s="1" t="s">
        <v>920</v>
      </c>
      <c r="N71" s="1" t="s">
        <v>586</v>
      </c>
      <c r="R71" s="14" t="s">
        <v>554</v>
      </c>
      <c r="X71" s="1" t="s">
        <v>665</v>
      </c>
      <c r="Y71" s="1" t="s">
        <v>921</v>
      </c>
      <c r="AB71" s="1" t="s">
        <v>667</v>
      </c>
      <c r="AC71" s="1" t="s">
        <v>922</v>
      </c>
      <c r="AD71" s="1" t="s">
        <v>550</v>
      </c>
    </row>
    <row r="72" customFormat="false" ht="15" hidden="false" customHeight="true" outlineLevel="0" collapsed="false">
      <c r="A72" s="1" t="s">
        <v>923</v>
      </c>
      <c r="B72" s="1" t="s">
        <v>924</v>
      </c>
      <c r="C72" s="1" t="s">
        <v>23</v>
      </c>
      <c r="D72" s="14" t="s">
        <v>550</v>
      </c>
      <c r="E72" s="1" t="s">
        <v>551</v>
      </c>
      <c r="F72" s="1" t="s">
        <v>725</v>
      </c>
      <c r="G72" s="1" t="s">
        <v>553</v>
      </c>
      <c r="H72" s="14" t="s">
        <v>550</v>
      </c>
      <c r="I72" s="1" t="s">
        <v>554</v>
      </c>
      <c r="J72" s="1" t="s">
        <v>925</v>
      </c>
      <c r="K72" s="14"/>
      <c r="R72" s="14" t="s">
        <v>554</v>
      </c>
      <c r="X72" s="1" t="s">
        <v>665</v>
      </c>
      <c r="Y72" s="1" t="s">
        <v>926</v>
      </c>
      <c r="AB72" s="1" t="s">
        <v>667</v>
      </c>
      <c r="AD72" s="1" t="s">
        <v>550</v>
      </c>
    </row>
    <row r="73" customFormat="false" ht="15" hidden="false" customHeight="true" outlineLevel="0" collapsed="false">
      <c r="A73" s="1" t="s">
        <v>927</v>
      </c>
      <c r="B73" s="1" t="s">
        <v>928</v>
      </c>
      <c r="C73" s="1" t="s">
        <v>23</v>
      </c>
      <c r="D73" s="14" t="s">
        <v>550</v>
      </c>
      <c r="E73" s="1" t="s">
        <v>551</v>
      </c>
      <c r="F73" s="1" t="s">
        <v>725</v>
      </c>
      <c r="G73" s="1" t="s">
        <v>553</v>
      </c>
      <c r="H73" s="14" t="s">
        <v>550</v>
      </c>
      <c r="I73" s="1" t="s">
        <v>929</v>
      </c>
      <c r="J73" s="1" t="s">
        <v>930</v>
      </c>
      <c r="K73" s="14"/>
      <c r="R73" s="14" t="s">
        <v>554</v>
      </c>
      <c r="X73" s="1" t="s">
        <v>665</v>
      </c>
      <c r="Y73" s="1" t="s">
        <v>931</v>
      </c>
      <c r="AB73" s="1" t="s">
        <v>667</v>
      </c>
      <c r="AD73" s="1" t="s">
        <v>550</v>
      </c>
    </row>
    <row r="74" customFormat="false" ht="15" hidden="false" customHeight="true" outlineLevel="0" collapsed="false">
      <c r="A74" s="1" t="s">
        <v>932</v>
      </c>
      <c r="B74" s="1" t="s">
        <v>933</v>
      </c>
      <c r="C74" s="1" t="s">
        <v>23</v>
      </c>
      <c r="D74" s="14" t="s">
        <v>550</v>
      </c>
      <c r="E74" s="1" t="s">
        <v>551</v>
      </c>
      <c r="F74" s="1" t="s">
        <v>725</v>
      </c>
      <c r="G74" s="1" t="s">
        <v>553</v>
      </c>
      <c r="H74" s="14" t="s">
        <v>550</v>
      </c>
      <c r="I74" s="1" t="s">
        <v>554</v>
      </c>
      <c r="J74" s="1" t="s">
        <v>934</v>
      </c>
      <c r="K74" s="14"/>
      <c r="R74" s="14" t="s">
        <v>554</v>
      </c>
      <c r="X74" s="1" t="s">
        <v>665</v>
      </c>
      <c r="Y74" s="1" t="s">
        <v>935</v>
      </c>
      <c r="AB74" s="1" t="s">
        <v>667</v>
      </c>
      <c r="AD74" s="1" t="s">
        <v>550</v>
      </c>
    </row>
    <row r="75" customFormat="false" ht="15" hidden="false" customHeight="true" outlineLevel="0" collapsed="false">
      <c r="A75" s="1" t="s">
        <v>936</v>
      </c>
      <c r="B75" s="1" t="s">
        <v>581</v>
      </c>
      <c r="C75" s="1" t="s">
        <v>23</v>
      </c>
      <c r="D75" s="14" t="s">
        <v>550</v>
      </c>
      <c r="E75" s="1" t="s">
        <v>551</v>
      </c>
      <c r="F75" s="1" t="s">
        <v>763</v>
      </c>
      <c r="G75" s="1" t="s">
        <v>553</v>
      </c>
      <c r="H75" s="14" t="s">
        <v>550</v>
      </c>
      <c r="I75" s="1" t="s">
        <v>554</v>
      </c>
      <c r="J75" s="1" t="s">
        <v>937</v>
      </c>
      <c r="K75" s="14"/>
      <c r="M75" s="1" t="s">
        <v>585</v>
      </c>
      <c r="N75" s="1" t="s">
        <v>586</v>
      </c>
      <c r="R75" s="14" t="s">
        <v>554</v>
      </c>
      <c r="X75" s="1" t="s">
        <v>665</v>
      </c>
      <c r="Y75" s="1" t="s">
        <v>938</v>
      </c>
      <c r="AB75" s="1" t="s">
        <v>667</v>
      </c>
      <c r="AC75" s="1" t="s">
        <v>939</v>
      </c>
      <c r="AD75" s="1" t="s">
        <v>550</v>
      </c>
    </row>
    <row r="76" customFormat="false" ht="15" hidden="false" customHeight="true" outlineLevel="0" collapsed="false">
      <c r="A76" s="1" t="s">
        <v>940</v>
      </c>
      <c r="B76" s="1" t="s">
        <v>579</v>
      </c>
      <c r="C76" s="1" t="s">
        <v>23</v>
      </c>
      <c r="D76" s="14" t="s">
        <v>550</v>
      </c>
      <c r="E76" s="1" t="s">
        <v>551</v>
      </c>
      <c r="F76" s="1" t="s">
        <v>763</v>
      </c>
      <c r="G76" s="1" t="s">
        <v>553</v>
      </c>
      <c r="H76" s="14" t="s">
        <v>550</v>
      </c>
      <c r="I76" s="1" t="s">
        <v>554</v>
      </c>
      <c r="J76" s="1" t="s">
        <v>941</v>
      </c>
      <c r="K76" s="14" t="s">
        <v>804</v>
      </c>
      <c r="M76" s="1" t="s">
        <v>942</v>
      </c>
      <c r="N76" s="1" t="s">
        <v>586</v>
      </c>
      <c r="R76" s="14" t="s">
        <v>554</v>
      </c>
      <c r="X76" s="1" t="s">
        <v>665</v>
      </c>
      <c r="Y76" s="1" t="s">
        <v>938</v>
      </c>
      <c r="AB76" s="1" t="s">
        <v>667</v>
      </c>
      <c r="AC76" s="1" t="s">
        <v>943</v>
      </c>
      <c r="AD76" s="1" t="s">
        <v>550</v>
      </c>
    </row>
    <row r="77" customFormat="false" ht="15" hidden="false" customHeight="true" outlineLevel="0" collapsed="false">
      <c r="A77" s="1" t="s">
        <v>944</v>
      </c>
      <c r="B77" s="1" t="s">
        <v>945</v>
      </c>
      <c r="C77" s="1" t="s">
        <v>23</v>
      </c>
      <c r="D77" s="14" t="s">
        <v>550</v>
      </c>
      <c r="E77" s="1" t="s">
        <v>551</v>
      </c>
      <c r="F77" s="1" t="s">
        <v>763</v>
      </c>
      <c r="G77" s="1" t="s">
        <v>553</v>
      </c>
      <c r="H77" s="14" t="s">
        <v>550</v>
      </c>
      <c r="I77" s="1" t="s">
        <v>554</v>
      </c>
      <c r="J77" s="1" t="s">
        <v>946</v>
      </c>
      <c r="K77" s="14"/>
      <c r="M77" s="1" t="s">
        <v>861</v>
      </c>
      <c r="N77" s="1" t="s">
        <v>947</v>
      </c>
      <c r="P77" s="1" t="s">
        <v>948</v>
      </c>
      <c r="Q77" s="1" t="s">
        <v>949</v>
      </c>
      <c r="R77" s="14" t="s">
        <v>554</v>
      </c>
      <c r="X77" s="1" t="s">
        <v>665</v>
      </c>
      <c r="Y77" s="1" t="s">
        <v>950</v>
      </c>
      <c r="AB77" s="1" t="s">
        <v>667</v>
      </c>
      <c r="AD77" s="1" t="s">
        <v>550</v>
      </c>
    </row>
    <row r="78" customFormat="false" ht="15" hidden="false" customHeight="true" outlineLevel="0" collapsed="false">
      <c r="A78" s="1" t="s">
        <v>951</v>
      </c>
      <c r="B78" s="1" t="s">
        <v>952</v>
      </c>
      <c r="C78" s="1" t="s">
        <v>23</v>
      </c>
      <c r="D78" s="14" t="s">
        <v>550</v>
      </c>
      <c r="E78" s="1" t="s">
        <v>551</v>
      </c>
      <c r="F78" s="1" t="s">
        <v>763</v>
      </c>
      <c r="G78" s="1" t="s">
        <v>553</v>
      </c>
      <c r="H78" s="14" t="s">
        <v>550</v>
      </c>
      <c r="I78" s="1" t="s">
        <v>554</v>
      </c>
      <c r="J78" s="1" t="s">
        <v>953</v>
      </c>
      <c r="K78" s="14"/>
      <c r="R78" s="14" t="s">
        <v>554</v>
      </c>
      <c r="X78" s="1" t="s">
        <v>665</v>
      </c>
      <c r="Y78" s="1" t="s">
        <v>954</v>
      </c>
      <c r="AB78" s="1" t="s">
        <v>667</v>
      </c>
      <c r="AD78" s="1" t="s">
        <v>550</v>
      </c>
    </row>
    <row r="79" customFormat="false" ht="15" hidden="false" customHeight="true" outlineLevel="0" collapsed="false">
      <c r="A79" s="1" t="s">
        <v>266</v>
      </c>
      <c r="B79" s="1" t="s">
        <v>955</v>
      </c>
      <c r="C79" s="1" t="s">
        <v>25</v>
      </c>
      <c r="D79" s="14" t="s">
        <v>550</v>
      </c>
      <c r="H79" s="14"/>
      <c r="I79" s="1" t="s">
        <v>554</v>
      </c>
      <c r="J79" s="1" t="s">
        <v>956</v>
      </c>
      <c r="K79" s="14"/>
      <c r="R79" s="14" t="s">
        <v>554</v>
      </c>
      <c r="X79" s="1" t="s">
        <v>561</v>
      </c>
      <c r="Z79" s="1" t="s">
        <v>554</v>
      </c>
      <c r="AB79" s="1" t="s">
        <v>957</v>
      </c>
      <c r="AC79" s="1" t="s">
        <v>958</v>
      </c>
      <c r="AD79" s="1" t="s">
        <v>550</v>
      </c>
    </row>
    <row r="80" customFormat="false" ht="15" hidden="false" customHeight="true" outlineLevel="0" collapsed="false">
      <c r="A80" s="1" t="s">
        <v>271</v>
      </c>
      <c r="B80" s="1" t="s">
        <v>959</v>
      </c>
      <c r="C80" s="1" t="s">
        <v>25</v>
      </c>
      <c r="D80" s="14" t="s">
        <v>550</v>
      </c>
      <c r="H80" s="14"/>
      <c r="I80" s="1" t="s">
        <v>554</v>
      </c>
      <c r="J80" s="1" t="s">
        <v>960</v>
      </c>
      <c r="K80" s="14"/>
      <c r="R80" s="14" t="s">
        <v>554</v>
      </c>
      <c r="X80" s="1" t="s">
        <v>561</v>
      </c>
      <c r="AB80" s="1" t="s">
        <v>957</v>
      </c>
      <c r="AC80" s="1" t="s">
        <v>958</v>
      </c>
      <c r="AD80" s="1" t="s">
        <v>550</v>
      </c>
    </row>
    <row r="81" customFormat="false" ht="15" hidden="false" customHeight="true" outlineLevel="0" collapsed="false">
      <c r="A81" s="1" t="s">
        <v>275</v>
      </c>
      <c r="B81" s="1" t="s">
        <v>961</v>
      </c>
      <c r="C81" s="1" t="s">
        <v>25</v>
      </c>
      <c r="D81" s="14" t="s">
        <v>550</v>
      </c>
      <c r="H81" s="14"/>
      <c r="I81" s="1" t="s">
        <v>554</v>
      </c>
      <c r="J81" s="1" t="s">
        <v>962</v>
      </c>
      <c r="K81" s="14"/>
      <c r="R81" s="14" t="s">
        <v>554</v>
      </c>
      <c r="X81" s="1" t="s">
        <v>561</v>
      </c>
      <c r="AB81" s="1" t="s">
        <v>957</v>
      </c>
      <c r="AC81" s="1" t="s">
        <v>958</v>
      </c>
      <c r="AD81" s="1" t="s">
        <v>550</v>
      </c>
    </row>
    <row r="82" customFormat="false" ht="15" hidden="false" customHeight="true" outlineLevel="0" collapsed="false">
      <c r="A82" s="1" t="s">
        <v>280</v>
      </c>
      <c r="B82" s="1" t="s">
        <v>963</v>
      </c>
      <c r="C82" s="1" t="s">
        <v>25</v>
      </c>
      <c r="D82" s="14" t="s">
        <v>550</v>
      </c>
      <c r="H82" s="14"/>
      <c r="I82" s="1" t="s">
        <v>554</v>
      </c>
      <c r="J82" s="1" t="s">
        <v>964</v>
      </c>
      <c r="K82" s="14"/>
      <c r="R82" s="14" t="s">
        <v>554</v>
      </c>
      <c r="X82" s="1" t="s">
        <v>561</v>
      </c>
      <c r="AB82" s="1" t="s">
        <v>957</v>
      </c>
      <c r="AC82" s="1" t="s">
        <v>958</v>
      </c>
      <c r="AD82" s="1" t="s">
        <v>550</v>
      </c>
    </row>
    <row r="83" customFormat="false" ht="15" hidden="false" customHeight="true" outlineLevel="0" collapsed="false">
      <c r="A83" s="1" t="s">
        <v>284</v>
      </c>
      <c r="B83" s="1" t="s">
        <v>965</v>
      </c>
      <c r="C83" s="1" t="s">
        <v>25</v>
      </c>
      <c r="D83" s="14" t="s">
        <v>550</v>
      </c>
      <c r="H83" s="14"/>
      <c r="I83" s="1" t="s">
        <v>554</v>
      </c>
      <c r="J83" s="1" t="s">
        <v>966</v>
      </c>
      <c r="K83" s="14"/>
      <c r="R83" s="14" t="s">
        <v>554</v>
      </c>
      <c r="X83" s="1" t="s">
        <v>561</v>
      </c>
      <c r="AB83" s="1" t="s">
        <v>957</v>
      </c>
      <c r="AC83" s="1" t="s">
        <v>958</v>
      </c>
      <c r="AD83" s="1" t="s">
        <v>550</v>
      </c>
    </row>
    <row r="84" customFormat="false" ht="15" hidden="false" customHeight="true" outlineLevel="0" collapsed="false">
      <c r="A84" s="1" t="s">
        <v>287</v>
      </c>
      <c r="B84" s="1" t="s">
        <v>967</v>
      </c>
      <c r="C84" s="1" t="s">
        <v>25</v>
      </c>
      <c r="D84" s="14" t="s">
        <v>550</v>
      </c>
      <c r="H84" s="14"/>
      <c r="I84" s="1" t="s">
        <v>554</v>
      </c>
      <c r="J84" s="1" t="s">
        <v>968</v>
      </c>
      <c r="K84" s="14"/>
      <c r="R84" s="14" t="s">
        <v>554</v>
      </c>
      <c r="X84" s="1" t="s">
        <v>561</v>
      </c>
      <c r="AB84" s="1" t="s">
        <v>957</v>
      </c>
      <c r="AC84" s="1" t="s">
        <v>958</v>
      </c>
      <c r="AD84" s="1" t="s">
        <v>550</v>
      </c>
    </row>
    <row r="85" customFormat="false" ht="15" hidden="false" customHeight="true" outlineLevel="0" collapsed="false">
      <c r="A85" s="1" t="s">
        <v>290</v>
      </c>
      <c r="B85" s="1" t="s">
        <v>969</v>
      </c>
      <c r="C85" s="1" t="s">
        <v>25</v>
      </c>
      <c r="D85" s="14" t="s">
        <v>550</v>
      </c>
      <c r="H85" s="14"/>
      <c r="I85" s="1" t="s">
        <v>554</v>
      </c>
      <c r="J85" s="1" t="s">
        <v>970</v>
      </c>
      <c r="K85" s="14"/>
      <c r="R85" s="14" t="s">
        <v>554</v>
      </c>
      <c r="X85" s="1" t="s">
        <v>561</v>
      </c>
      <c r="AB85" s="1" t="s">
        <v>957</v>
      </c>
      <c r="AC85" s="1" t="s">
        <v>958</v>
      </c>
      <c r="AD85" s="1" t="s">
        <v>550</v>
      </c>
    </row>
    <row r="86" customFormat="false" ht="15" hidden="false" customHeight="true" outlineLevel="0" collapsed="false">
      <c r="A86" s="1" t="s">
        <v>293</v>
      </c>
      <c r="B86" s="1" t="s">
        <v>971</v>
      </c>
      <c r="C86" s="1" t="s">
        <v>25</v>
      </c>
      <c r="D86" s="14" t="s">
        <v>550</v>
      </c>
      <c r="H86" s="14"/>
      <c r="I86" s="1" t="s">
        <v>554</v>
      </c>
      <c r="J86" s="1" t="s">
        <v>972</v>
      </c>
      <c r="K86" s="14"/>
      <c r="R86" s="14" t="s">
        <v>554</v>
      </c>
      <c r="X86" s="1" t="s">
        <v>561</v>
      </c>
      <c r="AB86" s="1" t="s">
        <v>957</v>
      </c>
      <c r="AC86" s="1" t="s">
        <v>958</v>
      </c>
      <c r="AD86" s="1" t="s">
        <v>550</v>
      </c>
    </row>
    <row r="87" customFormat="false" ht="15" hidden="false" customHeight="true" outlineLevel="0" collapsed="false">
      <c r="A87" s="1" t="s">
        <v>296</v>
      </c>
      <c r="B87" s="1" t="s">
        <v>973</v>
      </c>
      <c r="C87" s="1" t="s">
        <v>25</v>
      </c>
      <c r="D87" s="14" t="s">
        <v>550</v>
      </c>
      <c r="H87" s="14"/>
      <c r="I87" s="1" t="s">
        <v>554</v>
      </c>
      <c r="J87" s="1" t="s">
        <v>974</v>
      </c>
      <c r="K87" s="14"/>
      <c r="R87" s="14" t="s">
        <v>554</v>
      </c>
      <c r="X87" s="1" t="s">
        <v>561</v>
      </c>
      <c r="AB87" s="1" t="s">
        <v>957</v>
      </c>
      <c r="AC87" s="1" t="s">
        <v>958</v>
      </c>
      <c r="AD87" s="1" t="s">
        <v>550</v>
      </c>
    </row>
    <row r="88" customFormat="false" ht="15" hidden="false" customHeight="true" outlineLevel="0" collapsed="false">
      <c r="A88" s="1" t="s">
        <v>300</v>
      </c>
      <c r="B88" s="1" t="s">
        <v>975</v>
      </c>
      <c r="C88" s="1" t="s">
        <v>25</v>
      </c>
      <c r="D88" s="14" t="s">
        <v>550</v>
      </c>
      <c r="H88" s="14"/>
      <c r="I88" s="1" t="s">
        <v>554</v>
      </c>
      <c r="J88" s="1" t="s">
        <v>976</v>
      </c>
      <c r="K88" s="14"/>
      <c r="R88" s="14" t="s">
        <v>554</v>
      </c>
      <c r="X88" s="1" t="s">
        <v>561</v>
      </c>
      <c r="AB88" s="1" t="s">
        <v>957</v>
      </c>
      <c r="AC88" s="1" t="s">
        <v>958</v>
      </c>
      <c r="AD88" s="1" t="s">
        <v>550</v>
      </c>
    </row>
    <row r="89" customFormat="false" ht="15" hidden="false" customHeight="true" outlineLevel="0" collapsed="false">
      <c r="A89" s="1" t="s">
        <v>303</v>
      </c>
      <c r="B89" s="1" t="s">
        <v>977</v>
      </c>
      <c r="C89" s="1" t="s">
        <v>25</v>
      </c>
      <c r="D89" s="14" t="s">
        <v>550</v>
      </c>
      <c r="H89" s="14"/>
      <c r="I89" s="1" t="s">
        <v>554</v>
      </c>
      <c r="J89" s="1" t="s">
        <v>978</v>
      </c>
      <c r="K89" s="14"/>
      <c r="R89" s="14" t="s">
        <v>554</v>
      </c>
      <c r="X89" s="1" t="s">
        <v>561</v>
      </c>
      <c r="AB89" s="1" t="s">
        <v>957</v>
      </c>
      <c r="AC89" s="1" t="s">
        <v>958</v>
      </c>
      <c r="AD89" s="1" t="s">
        <v>550</v>
      </c>
    </row>
    <row r="90" customFormat="false" ht="15" hidden="false" customHeight="true" outlineLevel="0" collapsed="false">
      <c r="A90" s="1" t="s">
        <v>308</v>
      </c>
      <c r="B90" s="1" t="s">
        <v>979</v>
      </c>
      <c r="C90" s="1" t="s">
        <v>25</v>
      </c>
      <c r="D90" s="14" t="s">
        <v>550</v>
      </c>
      <c r="H90" s="14"/>
      <c r="I90" s="1" t="s">
        <v>554</v>
      </c>
      <c r="J90" s="1" t="s">
        <v>980</v>
      </c>
      <c r="K90" s="14"/>
      <c r="R90" s="14" t="s">
        <v>554</v>
      </c>
      <c r="X90" s="1" t="s">
        <v>561</v>
      </c>
      <c r="AB90" s="1" t="s">
        <v>957</v>
      </c>
      <c r="AC90" s="1" t="s">
        <v>958</v>
      </c>
      <c r="AD90" s="1" t="s">
        <v>550</v>
      </c>
    </row>
    <row r="91" customFormat="false" ht="15" hidden="false" customHeight="true" outlineLevel="0" collapsed="false">
      <c r="A91" s="1" t="s">
        <v>311</v>
      </c>
      <c r="B91" s="1" t="s">
        <v>981</v>
      </c>
      <c r="C91" s="1" t="s">
        <v>25</v>
      </c>
      <c r="D91" s="14" t="s">
        <v>550</v>
      </c>
      <c r="H91" s="14"/>
      <c r="I91" s="1" t="s">
        <v>554</v>
      </c>
      <c r="J91" s="1" t="s">
        <v>982</v>
      </c>
      <c r="K91" s="14"/>
      <c r="R91" s="14" t="s">
        <v>554</v>
      </c>
      <c r="X91" s="1" t="s">
        <v>561</v>
      </c>
      <c r="AB91" s="1" t="s">
        <v>957</v>
      </c>
      <c r="AC91" s="1" t="s">
        <v>958</v>
      </c>
      <c r="AD91" s="1" t="s">
        <v>550</v>
      </c>
    </row>
    <row r="92" customFormat="false" ht="15" hidden="false" customHeight="true" outlineLevel="0" collapsed="false">
      <c r="A92" s="1" t="s">
        <v>369</v>
      </c>
      <c r="B92" s="1" t="s">
        <v>983</v>
      </c>
      <c r="C92" s="1" t="s">
        <v>26</v>
      </c>
      <c r="D92" s="14" t="s">
        <v>550</v>
      </c>
      <c r="E92" s="1" t="s">
        <v>551</v>
      </c>
      <c r="F92" s="1" t="s">
        <v>984</v>
      </c>
      <c r="G92" s="1" t="s">
        <v>553</v>
      </c>
      <c r="H92" s="14" t="s">
        <v>550</v>
      </c>
      <c r="I92" s="1" t="s">
        <v>554</v>
      </c>
      <c r="J92" s="1" t="s">
        <v>985</v>
      </c>
      <c r="K92" s="14" t="n">
        <v>2016</v>
      </c>
      <c r="L92" s="1" t="s">
        <v>557</v>
      </c>
      <c r="M92" s="1" t="n">
        <v>7569</v>
      </c>
      <c r="N92" s="1" t="s">
        <v>986</v>
      </c>
      <c r="O92" s="1" t="s">
        <v>987</v>
      </c>
      <c r="P92" s="1" t="s">
        <v>560</v>
      </c>
      <c r="Q92" s="1" t="s">
        <v>988</v>
      </c>
      <c r="R92" s="14" t="s">
        <v>554</v>
      </c>
      <c r="X92" s="1" t="s">
        <v>561</v>
      </c>
      <c r="Z92" s="1" t="s">
        <v>554</v>
      </c>
      <c r="AB92" s="1" t="s">
        <v>562</v>
      </c>
      <c r="AC92" s="1" t="s">
        <v>989</v>
      </c>
      <c r="AD92" s="1" t="s">
        <v>550</v>
      </c>
    </row>
    <row r="93" customFormat="false" ht="15" hidden="false" customHeight="true" outlineLevel="0" collapsed="false">
      <c r="A93" s="1" t="s">
        <v>367</v>
      </c>
      <c r="B93" s="1" t="s">
        <v>990</v>
      </c>
      <c r="C93" s="1" t="s">
        <v>26</v>
      </c>
      <c r="D93" s="14" t="s">
        <v>550</v>
      </c>
      <c r="E93" s="1" t="s">
        <v>551</v>
      </c>
      <c r="F93" s="1" t="s">
        <v>984</v>
      </c>
      <c r="G93" s="1" t="s">
        <v>553</v>
      </c>
      <c r="H93" s="14" t="s">
        <v>550</v>
      </c>
      <c r="I93" s="1" t="s">
        <v>554</v>
      </c>
      <c r="J93" s="1" t="s">
        <v>991</v>
      </c>
      <c r="K93" s="14" t="n">
        <v>2008</v>
      </c>
      <c r="L93" s="1" t="s">
        <v>557</v>
      </c>
      <c r="M93" s="1" t="n">
        <v>1899</v>
      </c>
      <c r="N93" s="1" t="s">
        <v>992</v>
      </c>
      <c r="O93" s="1" t="s">
        <v>993</v>
      </c>
      <c r="P93" s="1" t="s">
        <v>560</v>
      </c>
      <c r="Q93" s="1" t="s">
        <v>988</v>
      </c>
      <c r="R93" s="14" t="s">
        <v>554</v>
      </c>
      <c r="X93" s="1" t="s">
        <v>561</v>
      </c>
      <c r="AB93" s="1" t="s">
        <v>562</v>
      </c>
      <c r="AC93" s="1" t="s">
        <v>989</v>
      </c>
      <c r="AD93" s="1" t="s">
        <v>550</v>
      </c>
    </row>
    <row r="94" customFormat="false" ht="15" hidden="false" customHeight="true" outlineLevel="0" collapsed="false">
      <c r="A94" s="1" t="s">
        <v>365</v>
      </c>
      <c r="B94" s="1" t="s">
        <v>994</v>
      </c>
      <c r="C94" s="1" t="s">
        <v>26</v>
      </c>
      <c r="D94" s="14" t="s">
        <v>550</v>
      </c>
      <c r="E94" s="1" t="s">
        <v>551</v>
      </c>
      <c r="F94" s="1" t="s">
        <v>984</v>
      </c>
      <c r="G94" s="1" t="s">
        <v>553</v>
      </c>
      <c r="H94" s="14" t="s">
        <v>550</v>
      </c>
      <c r="I94" s="1" t="s">
        <v>554</v>
      </c>
      <c r="J94" s="1" t="s">
        <v>995</v>
      </c>
      <c r="K94" s="14" t="n">
        <v>2012</v>
      </c>
      <c r="L94" s="1" t="s">
        <v>557</v>
      </c>
      <c r="M94" s="1" t="n">
        <v>4000</v>
      </c>
      <c r="N94" s="1" t="s">
        <v>996</v>
      </c>
      <c r="O94" s="1" t="s">
        <v>997</v>
      </c>
      <c r="P94" s="1" t="s">
        <v>560</v>
      </c>
      <c r="Q94" s="1" t="s">
        <v>988</v>
      </c>
      <c r="R94" s="14" t="s">
        <v>554</v>
      </c>
      <c r="X94" s="1" t="s">
        <v>561</v>
      </c>
      <c r="AB94" s="1" t="s">
        <v>562</v>
      </c>
      <c r="AC94" s="1" t="s">
        <v>989</v>
      </c>
      <c r="AD94" s="1" t="s">
        <v>550</v>
      </c>
    </row>
    <row r="95" customFormat="false" ht="15" hidden="false" customHeight="true" outlineLevel="0" collapsed="false">
      <c r="A95" s="1" t="s">
        <v>375</v>
      </c>
      <c r="B95" s="1" t="s">
        <v>998</v>
      </c>
      <c r="C95" s="1" t="s">
        <v>26</v>
      </c>
      <c r="D95" s="14" t="s">
        <v>550</v>
      </c>
      <c r="E95" s="1" t="s">
        <v>551</v>
      </c>
      <c r="F95" s="1" t="s">
        <v>984</v>
      </c>
      <c r="G95" s="1" t="s">
        <v>553</v>
      </c>
      <c r="H95" s="14" t="s">
        <v>550</v>
      </c>
      <c r="I95" s="1" t="s">
        <v>554</v>
      </c>
      <c r="J95" s="1" t="s">
        <v>999</v>
      </c>
      <c r="K95" s="14" t="n">
        <v>2015</v>
      </c>
      <c r="L95" s="1" t="s">
        <v>557</v>
      </c>
      <c r="M95" s="1" t="n">
        <v>2000</v>
      </c>
      <c r="N95" s="1" t="s">
        <v>996</v>
      </c>
      <c r="O95" s="1" t="s">
        <v>1000</v>
      </c>
      <c r="P95" s="1" t="s">
        <v>560</v>
      </c>
      <c r="Q95" s="1" t="s">
        <v>988</v>
      </c>
      <c r="R95" s="14" t="s">
        <v>554</v>
      </c>
      <c r="X95" s="1" t="s">
        <v>561</v>
      </c>
      <c r="AB95" s="1" t="s">
        <v>562</v>
      </c>
      <c r="AC95" s="1" t="s">
        <v>989</v>
      </c>
      <c r="AD95" s="1" t="s">
        <v>550</v>
      </c>
    </row>
    <row r="96" customFormat="false" ht="15" hidden="false" customHeight="true" outlineLevel="0" collapsed="false">
      <c r="A96" s="1" t="s">
        <v>373</v>
      </c>
      <c r="B96" s="1" t="s">
        <v>1001</v>
      </c>
      <c r="C96" s="1" t="s">
        <v>26</v>
      </c>
      <c r="D96" s="14" t="s">
        <v>550</v>
      </c>
      <c r="E96" s="1" t="s">
        <v>551</v>
      </c>
      <c r="F96" s="1" t="s">
        <v>984</v>
      </c>
      <c r="G96" s="1" t="s">
        <v>553</v>
      </c>
      <c r="H96" s="14" t="s">
        <v>550</v>
      </c>
      <c r="I96" s="1" t="s">
        <v>554</v>
      </c>
      <c r="J96" s="1" t="s">
        <v>1002</v>
      </c>
      <c r="K96" s="14" t="n">
        <v>1997</v>
      </c>
      <c r="L96" s="1" t="s">
        <v>1003</v>
      </c>
      <c r="M96" s="1" t="n">
        <v>6700</v>
      </c>
      <c r="N96" s="1" t="s">
        <v>1004</v>
      </c>
      <c r="O96" s="1" t="s">
        <v>1005</v>
      </c>
      <c r="P96" s="1" t="s">
        <v>560</v>
      </c>
      <c r="Q96" s="1" t="s">
        <v>988</v>
      </c>
      <c r="R96" s="14" t="s">
        <v>554</v>
      </c>
      <c r="X96" s="1" t="s">
        <v>561</v>
      </c>
      <c r="AA96" s="1" t="s">
        <v>554</v>
      </c>
      <c r="AB96" s="1" t="s">
        <v>562</v>
      </c>
      <c r="AC96" s="1" t="s">
        <v>989</v>
      </c>
      <c r="AD96" s="1" t="s">
        <v>550</v>
      </c>
    </row>
    <row r="97" customFormat="false" ht="15" hidden="false" customHeight="true" outlineLevel="0" collapsed="false">
      <c r="A97" s="1" t="s">
        <v>371</v>
      </c>
      <c r="B97" s="1" t="s">
        <v>1006</v>
      </c>
      <c r="C97" s="1" t="s">
        <v>26</v>
      </c>
      <c r="D97" s="14" t="s">
        <v>550</v>
      </c>
      <c r="E97" s="1" t="s">
        <v>551</v>
      </c>
      <c r="F97" s="1" t="s">
        <v>984</v>
      </c>
      <c r="G97" s="1" t="s">
        <v>553</v>
      </c>
      <c r="H97" s="14" t="s">
        <v>550</v>
      </c>
      <c r="I97" s="1" t="s">
        <v>554</v>
      </c>
      <c r="J97" s="1" t="s">
        <v>1007</v>
      </c>
      <c r="K97" s="14" t="n">
        <v>2019</v>
      </c>
      <c r="L97" s="1" t="s">
        <v>557</v>
      </c>
      <c r="M97" s="1" t="n">
        <v>9619</v>
      </c>
      <c r="N97" s="1" t="s">
        <v>1008</v>
      </c>
      <c r="O97" s="1" t="s">
        <v>1009</v>
      </c>
      <c r="P97" s="1" t="s">
        <v>560</v>
      </c>
      <c r="Q97" s="1" t="s">
        <v>1010</v>
      </c>
      <c r="R97" s="14" t="s">
        <v>554</v>
      </c>
      <c r="X97" s="1" t="s">
        <v>561</v>
      </c>
      <c r="AB97" s="1" t="s">
        <v>562</v>
      </c>
      <c r="AC97" s="1" t="s">
        <v>989</v>
      </c>
      <c r="AD97" s="1" t="s">
        <v>550</v>
      </c>
    </row>
    <row r="98" customFormat="false" ht="15" hidden="false" customHeight="true" outlineLevel="0" collapsed="false">
      <c r="A98" s="1" t="s">
        <v>382</v>
      </c>
      <c r="B98" s="1" t="s">
        <v>1011</v>
      </c>
      <c r="C98" s="1" t="s">
        <v>26</v>
      </c>
      <c r="D98" s="14" t="s">
        <v>550</v>
      </c>
      <c r="E98" s="1" t="s">
        <v>551</v>
      </c>
      <c r="F98" s="1" t="s">
        <v>984</v>
      </c>
      <c r="G98" s="1" t="s">
        <v>553</v>
      </c>
      <c r="H98" s="14" t="s">
        <v>550</v>
      </c>
      <c r="I98" s="1" t="s">
        <v>554</v>
      </c>
      <c r="J98" s="1" t="s">
        <v>1012</v>
      </c>
      <c r="K98" s="14" t="n">
        <v>2014</v>
      </c>
      <c r="L98" s="1" t="s">
        <v>557</v>
      </c>
      <c r="M98" s="1" t="n">
        <v>1000</v>
      </c>
      <c r="N98" s="1" t="s">
        <v>1013</v>
      </c>
      <c r="O98" s="1" t="s">
        <v>1014</v>
      </c>
      <c r="P98" s="1" t="s">
        <v>560</v>
      </c>
      <c r="Q98" s="1" t="s">
        <v>988</v>
      </c>
      <c r="R98" s="14" t="s">
        <v>554</v>
      </c>
      <c r="X98" s="1" t="s">
        <v>561</v>
      </c>
      <c r="AB98" s="1" t="s">
        <v>562</v>
      </c>
      <c r="AC98" s="1" t="s">
        <v>989</v>
      </c>
      <c r="AD98" s="1" t="s">
        <v>550</v>
      </c>
    </row>
    <row r="99" customFormat="false" ht="15" hidden="false" customHeight="true" outlineLevel="0" collapsed="false">
      <c r="A99" s="1" t="s">
        <v>379</v>
      </c>
      <c r="B99" s="1" t="s">
        <v>1015</v>
      </c>
      <c r="C99" s="1" t="s">
        <v>26</v>
      </c>
      <c r="D99" s="14" t="s">
        <v>550</v>
      </c>
      <c r="E99" s="1" t="s">
        <v>551</v>
      </c>
      <c r="F99" s="1" t="s">
        <v>984</v>
      </c>
      <c r="G99" s="1" t="s">
        <v>553</v>
      </c>
      <c r="H99" s="14" t="s">
        <v>550</v>
      </c>
      <c r="I99" s="1" t="s">
        <v>554</v>
      </c>
      <c r="J99" s="1" t="s">
        <v>1016</v>
      </c>
      <c r="K99" s="14" t="n">
        <v>1988</v>
      </c>
      <c r="L99" s="1" t="s">
        <v>1017</v>
      </c>
      <c r="N99" s="1" t="s">
        <v>1018</v>
      </c>
      <c r="O99" s="1" t="s">
        <v>1005</v>
      </c>
      <c r="P99" s="1" t="s">
        <v>560</v>
      </c>
      <c r="Q99" s="1" t="s">
        <v>988</v>
      </c>
      <c r="R99" s="14" t="s">
        <v>554</v>
      </c>
      <c r="X99" s="1" t="s">
        <v>561</v>
      </c>
      <c r="AB99" s="1" t="s">
        <v>562</v>
      </c>
      <c r="AC99" s="1" t="s">
        <v>989</v>
      </c>
      <c r="AD99" s="1" t="s">
        <v>550</v>
      </c>
    </row>
    <row r="100" customFormat="false" ht="15" hidden="false" customHeight="true" outlineLevel="0" collapsed="false">
      <c r="A100" s="1" t="s">
        <v>377</v>
      </c>
      <c r="B100" s="1" t="s">
        <v>1019</v>
      </c>
      <c r="C100" s="1" t="s">
        <v>26</v>
      </c>
      <c r="D100" s="14" t="s">
        <v>550</v>
      </c>
      <c r="E100" s="1" t="s">
        <v>551</v>
      </c>
      <c r="F100" s="1" t="s">
        <v>984</v>
      </c>
      <c r="G100" s="1" t="s">
        <v>553</v>
      </c>
      <c r="H100" s="14" t="s">
        <v>550</v>
      </c>
      <c r="I100" s="1" t="s">
        <v>554</v>
      </c>
      <c r="J100" s="1" t="s">
        <v>1020</v>
      </c>
      <c r="K100" s="14" t="n">
        <v>2019</v>
      </c>
      <c r="L100" s="1" t="s">
        <v>557</v>
      </c>
      <c r="M100" s="1" t="n">
        <v>11900</v>
      </c>
      <c r="N100" s="1" t="s">
        <v>1021</v>
      </c>
      <c r="O100" s="1" t="s">
        <v>1022</v>
      </c>
      <c r="P100" s="1" t="s">
        <v>560</v>
      </c>
      <c r="Q100" s="1" t="s">
        <v>1023</v>
      </c>
      <c r="R100" s="14" t="s">
        <v>554</v>
      </c>
      <c r="X100" s="1" t="s">
        <v>561</v>
      </c>
      <c r="AB100" s="1" t="s">
        <v>562</v>
      </c>
      <c r="AC100" s="1" t="s">
        <v>989</v>
      </c>
      <c r="AD100" s="1" t="s">
        <v>550</v>
      </c>
    </row>
    <row r="101" customFormat="false" ht="15" hidden="false" customHeight="true" outlineLevel="0" collapsed="false">
      <c r="A101" s="1" t="s">
        <v>1024</v>
      </c>
      <c r="B101" s="1" t="s">
        <v>1025</v>
      </c>
      <c r="C101" s="1" t="s">
        <v>26</v>
      </c>
      <c r="D101" s="14" t="s">
        <v>550</v>
      </c>
      <c r="E101" s="1" t="s">
        <v>551</v>
      </c>
      <c r="F101" s="1" t="s">
        <v>984</v>
      </c>
      <c r="G101" s="1" t="s">
        <v>553</v>
      </c>
      <c r="H101" s="14" t="s">
        <v>550</v>
      </c>
      <c r="I101" s="1" t="s">
        <v>554</v>
      </c>
      <c r="J101" s="1" t="s">
        <v>1026</v>
      </c>
      <c r="K101" s="14" t="n">
        <v>1994</v>
      </c>
      <c r="L101" s="1" t="s">
        <v>557</v>
      </c>
      <c r="M101" s="1" t="n">
        <v>1000</v>
      </c>
      <c r="N101" s="1" t="s">
        <v>1027</v>
      </c>
      <c r="O101" s="1" t="s">
        <v>1028</v>
      </c>
      <c r="P101" s="1" t="s">
        <v>1029</v>
      </c>
      <c r="Q101" s="1" t="s">
        <v>1030</v>
      </c>
      <c r="R101" s="14" t="s">
        <v>554</v>
      </c>
      <c r="X101" s="1" t="s">
        <v>561</v>
      </c>
      <c r="AB101" s="1" t="s">
        <v>562</v>
      </c>
      <c r="AC101" s="1" t="s">
        <v>989</v>
      </c>
      <c r="AD101" s="1" t="s">
        <v>550</v>
      </c>
    </row>
    <row r="102" customFormat="false" ht="15" hidden="false" customHeight="true" outlineLevel="0" collapsed="false">
      <c r="A102" s="1" t="s">
        <v>386</v>
      </c>
      <c r="B102" s="1" t="s">
        <v>1031</v>
      </c>
      <c r="C102" s="1" t="s">
        <v>26</v>
      </c>
      <c r="D102" s="14" t="s">
        <v>550</v>
      </c>
      <c r="E102" s="1" t="s">
        <v>551</v>
      </c>
      <c r="F102" s="1" t="s">
        <v>984</v>
      </c>
      <c r="G102" s="1" t="s">
        <v>553</v>
      </c>
      <c r="H102" s="14" t="s">
        <v>550</v>
      </c>
      <c r="I102" s="1" t="s">
        <v>554</v>
      </c>
      <c r="J102" s="1" t="s">
        <v>1032</v>
      </c>
      <c r="K102" s="14" t="n">
        <v>2012</v>
      </c>
      <c r="L102" s="1" t="s">
        <v>557</v>
      </c>
      <c r="M102" s="1" t="n">
        <v>1446</v>
      </c>
      <c r="N102" s="1" t="s">
        <v>1033</v>
      </c>
      <c r="O102" s="1" t="s">
        <v>1034</v>
      </c>
      <c r="P102" s="1" t="s">
        <v>560</v>
      </c>
      <c r="Q102" s="1" t="s">
        <v>988</v>
      </c>
      <c r="R102" s="14" t="s">
        <v>554</v>
      </c>
      <c r="X102" s="1" t="s">
        <v>561</v>
      </c>
      <c r="AB102" s="1" t="s">
        <v>562</v>
      </c>
      <c r="AC102" s="1" t="s">
        <v>989</v>
      </c>
      <c r="AD102" s="1" t="s">
        <v>550</v>
      </c>
    </row>
    <row r="103" customFormat="false" ht="15" hidden="false" customHeight="true" outlineLevel="0" collapsed="false">
      <c r="A103" s="1" t="s">
        <v>384</v>
      </c>
      <c r="B103" s="1" t="s">
        <v>1035</v>
      </c>
      <c r="C103" s="1" t="s">
        <v>26</v>
      </c>
      <c r="D103" s="14" t="s">
        <v>550</v>
      </c>
      <c r="E103" s="1" t="s">
        <v>551</v>
      </c>
      <c r="F103" s="1" t="s">
        <v>984</v>
      </c>
      <c r="G103" s="1" t="s">
        <v>553</v>
      </c>
      <c r="H103" s="14" t="s">
        <v>550</v>
      </c>
      <c r="I103" s="1" t="s">
        <v>554</v>
      </c>
      <c r="J103" s="1" t="s">
        <v>1036</v>
      </c>
      <c r="K103" s="14" t="n">
        <v>2005</v>
      </c>
      <c r="L103" s="1" t="s">
        <v>1037</v>
      </c>
      <c r="M103" s="1" t="n">
        <v>21000</v>
      </c>
      <c r="N103" s="1" t="s">
        <v>1038</v>
      </c>
      <c r="O103" s="1" t="s">
        <v>1039</v>
      </c>
      <c r="P103" s="1" t="s">
        <v>560</v>
      </c>
      <c r="Q103" s="1" t="s">
        <v>988</v>
      </c>
      <c r="R103" s="14" t="s">
        <v>554</v>
      </c>
      <c r="X103" s="1" t="s">
        <v>561</v>
      </c>
      <c r="AB103" s="1" t="s">
        <v>562</v>
      </c>
      <c r="AC103" s="1" t="s">
        <v>989</v>
      </c>
      <c r="AD103" s="1" t="s">
        <v>550</v>
      </c>
    </row>
    <row r="104" customFormat="false" ht="15" hidden="false" customHeight="true" outlineLevel="0" collapsed="false">
      <c r="A104" s="1" t="s">
        <v>1040</v>
      </c>
      <c r="B104" s="1" t="s">
        <v>1041</v>
      </c>
      <c r="C104" s="1" t="s">
        <v>26</v>
      </c>
      <c r="D104" s="14" t="s">
        <v>550</v>
      </c>
      <c r="E104" s="1" t="s">
        <v>551</v>
      </c>
      <c r="F104" s="1" t="s">
        <v>984</v>
      </c>
      <c r="G104" s="1" t="s">
        <v>553</v>
      </c>
      <c r="H104" s="14" t="s">
        <v>550</v>
      </c>
      <c r="I104" s="1" t="s">
        <v>554</v>
      </c>
      <c r="J104" s="1" t="s">
        <v>1042</v>
      </c>
      <c r="K104" s="14" t="n">
        <v>2015</v>
      </c>
      <c r="L104" s="1" t="s">
        <v>557</v>
      </c>
      <c r="M104" s="1" t="n">
        <v>2000</v>
      </c>
      <c r="N104" s="1" t="s">
        <v>1043</v>
      </c>
      <c r="O104" s="1" t="s">
        <v>1044</v>
      </c>
      <c r="P104" s="1" t="s">
        <v>560</v>
      </c>
      <c r="Q104" s="1" t="s">
        <v>988</v>
      </c>
      <c r="R104" s="14" t="s">
        <v>554</v>
      </c>
      <c r="X104" s="1" t="s">
        <v>561</v>
      </c>
      <c r="AB104" s="1" t="s">
        <v>562</v>
      </c>
      <c r="AC104" s="1" t="s">
        <v>989</v>
      </c>
      <c r="AD104" s="1" t="s">
        <v>550</v>
      </c>
    </row>
    <row r="105" customFormat="false" ht="15" hidden="false" customHeight="true" outlineLevel="0" collapsed="false">
      <c r="A105" s="1" t="s">
        <v>1045</v>
      </c>
      <c r="B105" s="1" t="s">
        <v>1046</v>
      </c>
      <c r="C105" s="1" t="s">
        <v>26</v>
      </c>
      <c r="D105" s="14" t="s">
        <v>550</v>
      </c>
      <c r="E105" s="1" t="s">
        <v>551</v>
      </c>
      <c r="F105" s="1" t="s">
        <v>984</v>
      </c>
      <c r="G105" s="1" t="s">
        <v>553</v>
      </c>
      <c r="H105" s="14" t="s">
        <v>550</v>
      </c>
      <c r="I105" s="1" t="s">
        <v>554</v>
      </c>
      <c r="J105" s="1" t="s">
        <v>1047</v>
      </c>
      <c r="K105" s="14" t="n">
        <v>2020</v>
      </c>
      <c r="L105" s="1" t="s">
        <v>557</v>
      </c>
      <c r="M105" s="1" t="n">
        <v>1237</v>
      </c>
      <c r="N105" s="1" t="s">
        <v>1048</v>
      </c>
      <c r="O105" s="1" t="s">
        <v>1049</v>
      </c>
      <c r="P105" s="1" t="s">
        <v>560</v>
      </c>
      <c r="Q105" s="1" t="s">
        <v>1050</v>
      </c>
      <c r="R105" s="14" t="s">
        <v>554</v>
      </c>
      <c r="X105" s="1" t="s">
        <v>561</v>
      </c>
      <c r="AB105" s="1" t="s">
        <v>562</v>
      </c>
      <c r="AC105" s="1" t="s">
        <v>989</v>
      </c>
      <c r="AD105" s="1" t="s">
        <v>550</v>
      </c>
    </row>
    <row r="106" customFormat="false" ht="15" hidden="false" customHeight="true" outlineLevel="0" collapsed="false">
      <c r="A106" s="1" t="s">
        <v>1051</v>
      </c>
      <c r="B106" s="1" t="s">
        <v>1052</v>
      </c>
      <c r="C106" s="1" t="s">
        <v>26</v>
      </c>
      <c r="D106" s="14" t="s">
        <v>550</v>
      </c>
      <c r="E106" s="1" t="s">
        <v>551</v>
      </c>
      <c r="F106" s="1" t="s">
        <v>984</v>
      </c>
      <c r="G106" s="1" t="s">
        <v>553</v>
      </c>
      <c r="H106" s="14" t="s">
        <v>550</v>
      </c>
      <c r="I106" s="1" t="s">
        <v>554</v>
      </c>
      <c r="J106" s="1" t="s">
        <v>1053</v>
      </c>
      <c r="K106" s="14" t="n">
        <v>2020</v>
      </c>
      <c r="L106" s="1" t="s">
        <v>1054</v>
      </c>
      <c r="M106" s="1" t="n">
        <v>16000</v>
      </c>
      <c r="N106" s="1" t="s">
        <v>1055</v>
      </c>
      <c r="O106" s="1" t="s">
        <v>1056</v>
      </c>
      <c r="P106" s="1" t="s">
        <v>1057</v>
      </c>
      <c r="Q106" s="1" t="s">
        <v>1058</v>
      </c>
      <c r="R106" s="14" t="s">
        <v>554</v>
      </c>
      <c r="X106" s="1" t="s">
        <v>561</v>
      </c>
      <c r="AB106" s="1" t="s">
        <v>562</v>
      </c>
      <c r="AC106" s="1" t="s">
        <v>989</v>
      </c>
      <c r="AD106" s="1" t="s">
        <v>550</v>
      </c>
    </row>
    <row r="107" customFormat="false" ht="15" hidden="false" customHeight="true" outlineLevel="0" collapsed="false">
      <c r="A107" s="1" t="s">
        <v>1059</v>
      </c>
      <c r="B107" s="1" t="s">
        <v>1060</v>
      </c>
      <c r="C107" s="1" t="s">
        <v>24</v>
      </c>
      <c r="D107" s="14" t="s">
        <v>550</v>
      </c>
      <c r="E107" s="1" t="s">
        <v>551</v>
      </c>
      <c r="F107" s="1" t="s">
        <v>1061</v>
      </c>
      <c r="G107" s="1" t="s">
        <v>553</v>
      </c>
      <c r="H107" s="14" t="s">
        <v>550</v>
      </c>
      <c r="I107" s="1" t="s">
        <v>554</v>
      </c>
      <c r="J107" s="1" t="s">
        <v>1062</v>
      </c>
      <c r="K107" s="14"/>
      <c r="L107" s="1" t="s">
        <v>1063</v>
      </c>
      <c r="M107" s="1" t="s">
        <v>1064</v>
      </c>
      <c r="N107" s="1" t="s">
        <v>1065</v>
      </c>
      <c r="O107" s="1" t="s">
        <v>1066</v>
      </c>
      <c r="P107" s="1" t="s">
        <v>1067</v>
      </c>
      <c r="R107" s="14" t="s">
        <v>554</v>
      </c>
      <c r="W107" s="1" t="s">
        <v>561</v>
      </c>
      <c r="X107" s="1" t="s">
        <v>561</v>
      </c>
      <c r="AA107" s="1" t="s">
        <v>562</v>
      </c>
      <c r="AB107" s="1" t="s">
        <v>1068</v>
      </c>
      <c r="AD107" s="1" t="s">
        <v>550</v>
      </c>
    </row>
    <row r="108" customFormat="false" ht="15" hidden="false" customHeight="true" outlineLevel="0" collapsed="false">
      <c r="A108" s="1" t="s">
        <v>393</v>
      </c>
      <c r="B108" s="1" t="s">
        <v>1069</v>
      </c>
      <c r="C108" s="1" t="s">
        <v>24</v>
      </c>
      <c r="D108" s="14" t="s">
        <v>550</v>
      </c>
      <c r="E108" s="1" t="s">
        <v>551</v>
      </c>
      <c r="F108" s="1" t="s">
        <v>1061</v>
      </c>
      <c r="G108" s="1" t="s">
        <v>553</v>
      </c>
      <c r="H108" s="14" t="s">
        <v>550</v>
      </c>
      <c r="I108" s="1" t="s">
        <v>554</v>
      </c>
      <c r="J108" s="1" t="s">
        <v>1070</v>
      </c>
      <c r="K108" s="14"/>
      <c r="L108" s="1" t="s">
        <v>1071</v>
      </c>
      <c r="M108" s="1" t="s">
        <v>1072</v>
      </c>
      <c r="N108" s="1" t="s">
        <v>1065</v>
      </c>
      <c r="O108" s="1" t="s">
        <v>1073</v>
      </c>
      <c r="P108" s="1" t="s">
        <v>1074</v>
      </c>
      <c r="R108" s="14" t="s">
        <v>554</v>
      </c>
      <c r="W108" s="1" t="s">
        <v>561</v>
      </c>
      <c r="X108" s="1" t="s">
        <v>561</v>
      </c>
      <c r="Z108" s="1" t="s">
        <v>554</v>
      </c>
      <c r="AA108" s="1" t="s">
        <v>562</v>
      </c>
      <c r="AB108" s="1" t="s">
        <v>1068</v>
      </c>
      <c r="AD108" s="1" t="s">
        <v>550</v>
      </c>
    </row>
    <row r="109" customFormat="false" ht="15" hidden="false" customHeight="true" outlineLevel="0" collapsed="false">
      <c r="A109" s="1" t="s">
        <v>1075</v>
      </c>
      <c r="B109" s="1" t="s">
        <v>1076</v>
      </c>
      <c r="C109" s="1" t="s">
        <v>24</v>
      </c>
      <c r="D109" s="14" t="s">
        <v>550</v>
      </c>
      <c r="E109" s="1" t="s">
        <v>551</v>
      </c>
      <c r="F109" s="1" t="s">
        <v>1061</v>
      </c>
      <c r="G109" s="1" t="s">
        <v>553</v>
      </c>
      <c r="H109" s="14" t="s">
        <v>550</v>
      </c>
      <c r="I109" s="1" t="s">
        <v>554</v>
      </c>
      <c r="J109" s="1" t="s">
        <v>1077</v>
      </c>
      <c r="K109" s="14"/>
      <c r="L109" s="1" t="s">
        <v>1078</v>
      </c>
      <c r="M109" s="1" t="s">
        <v>1079</v>
      </c>
      <c r="N109" s="1" t="s">
        <v>1065</v>
      </c>
      <c r="O109" s="1" t="s">
        <v>1080</v>
      </c>
      <c r="P109" s="1" t="s">
        <v>1081</v>
      </c>
      <c r="R109" s="14" t="s">
        <v>554</v>
      </c>
      <c r="W109" s="1" t="s">
        <v>561</v>
      </c>
      <c r="X109" s="1" t="s">
        <v>561</v>
      </c>
      <c r="AA109" s="1" t="s">
        <v>562</v>
      </c>
      <c r="AB109" s="1" t="s">
        <v>1068</v>
      </c>
      <c r="AD109" s="1" t="s">
        <v>550</v>
      </c>
    </row>
    <row r="110" customFormat="false" ht="15" hidden="false" customHeight="true" outlineLevel="0" collapsed="false">
      <c r="A110" s="1" t="s">
        <v>390</v>
      </c>
      <c r="B110" s="1" t="s">
        <v>1082</v>
      </c>
      <c r="C110" s="1" t="s">
        <v>24</v>
      </c>
      <c r="D110" s="14" t="s">
        <v>550</v>
      </c>
      <c r="E110" s="1" t="s">
        <v>551</v>
      </c>
      <c r="F110" s="1" t="s">
        <v>1061</v>
      </c>
      <c r="G110" s="1" t="s">
        <v>553</v>
      </c>
      <c r="H110" s="14" t="s">
        <v>550</v>
      </c>
      <c r="I110" s="1" t="s">
        <v>554</v>
      </c>
      <c r="J110" s="1" t="s">
        <v>1083</v>
      </c>
      <c r="K110" s="14"/>
      <c r="L110" s="1" t="s">
        <v>557</v>
      </c>
      <c r="M110" s="1" t="s">
        <v>1084</v>
      </c>
      <c r="N110" s="1" t="s">
        <v>1065</v>
      </c>
      <c r="O110" s="1" t="s">
        <v>1085</v>
      </c>
      <c r="P110" s="1" t="s">
        <v>1074</v>
      </c>
      <c r="R110" s="14" t="s">
        <v>554</v>
      </c>
      <c r="W110" s="1" t="s">
        <v>561</v>
      </c>
      <c r="X110" s="1" t="s">
        <v>561</v>
      </c>
      <c r="AA110" s="1" t="s">
        <v>562</v>
      </c>
      <c r="AB110" s="1" t="s">
        <v>1068</v>
      </c>
      <c r="AD110" s="1" t="s">
        <v>550</v>
      </c>
    </row>
    <row r="111" customFormat="false" ht="15" hidden="false" customHeight="true" outlineLevel="0" collapsed="false">
      <c r="A111" s="1" t="s">
        <v>1086</v>
      </c>
      <c r="B111" s="1" t="s">
        <v>1087</v>
      </c>
      <c r="C111" s="1" t="s">
        <v>24</v>
      </c>
      <c r="D111" s="14" t="s">
        <v>550</v>
      </c>
      <c r="E111" s="1" t="s">
        <v>551</v>
      </c>
      <c r="F111" s="1" t="s">
        <v>1061</v>
      </c>
      <c r="G111" s="1" t="s">
        <v>553</v>
      </c>
      <c r="H111" s="14" t="s">
        <v>550</v>
      </c>
      <c r="I111" s="1" t="s">
        <v>554</v>
      </c>
      <c r="J111" s="1" t="s">
        <v>1088</v>
      </c>
      <c r="K111" s="14"/>
      <c r="L111" s="1" t="s">
        <v>557</v>
      </c>
      <c r="M111" s="1" t="s">
        <v>1089</v>
      </c>
      <c r="N111" s="1" t="s">
        <v>1065</v>
      </c>
      <c r="O111" s="1" t="s">
        <v>1090</v>
      </c>
      <c r="P111" s="1" t="s">
        <v>1091</v>
      </c>
      <c r="R111" s="14" t="s">
        <v>554</v>
      </c>
      <c r="W111" s="1" t="s">
        <v>561</v>
      </c>
      <c r="X111" s="1" t="s">
        <v>561</v>
      </c>
      <c r="AA111" s="1" t="s">
        <v>562</v>
      </c>
      <c r="AB111" s="1" t="s">
        <v>1068</v>
      </c>
      <c r="AD111" s="1" t="s">
        <v>550</v>
      </c>
    </row>
    <row r="112" customFormat="false" ht="15" hidden="false" customHeight="true" outlineLevel="0" collapsed="false">
      <c r="A112" s="1" t="s">
        <v>388</v>
      </c>
      <c r="B112" s="1" t="s">
        <v>1092</v>
      </c>
      <c r="C112" s="1" t="s">
        <v>24</v>
      </c>
      <c r="D112" s="14" t="s">
        <v>550</v>
      </c>
      <c r="E112" s="1" t="s">
        <v>551</v>
      </c>
      <c r="F112" s="1" t="s">
        <v>1061</v>
      </c>
      <c r="G112" s="1" t="s">
        <v>553</v>
      </c>
      <c r="H112" s="14" t="s">
        <v>550</v>
      </c>
      <c r="I112" s="1" t="s">
        <v>554</v>
      </c>
      <c r="J112" s="1" t="s">
        <v>1093</v>
      </c>
      <c r="K112" s="14"/>
      <c r="L112" s="1" t="s">
        <v>1094</v>
      </c>
      <c r="M112" s="1" t="s">
        <v>1095</v>
      </c>
      <c r="N112" s="1" t="s">
        <v>1065</v>
      </c>
      <c r="O112" s="1" t="s">
        <v>1096</v>
      </c>
      <c r="P112" s="1" t="s">
        <v>1074</v>
      </c>
      <c r="R112" s="14" t="s">
        <v>554</v>
      </c>
      <c r="W112" s="1" t="s">
        <v>561</v>
      </c>
      <c r="X112" s="1" t="s">
        <v>561</v>
      </c>
      <c r="AA112" s="1" t="s">
        <v>562</v>
      </c>
      <c r="AB112" s="1" t="s">
        <v>1068</v>
      </c>
      <c r="AD112" s="1" t="s">
        <v>550</v>
      </c>
    </row>
    <row r="113" customFormat="false" ht="15" hidden="false" customHeight="true" outlineLevel="0" collapsed="false">
      <c r="A113" s="1" t="s">
        <v>401</v>
      </c>
      <c r="B113" s="1" t="s">
        <v>1097</v>
      </c>
      <c r="C113" s="1" t="s">
        <v>24</v>
      </c>
      <c r="D113" s="14" t="s">
        <v>550</v>
      </c>
      <c r="E113" s="1" t="s">
        <v>551</v>
      </c>
      <c r="F113" s="1" t="s">
        <v>1061</v>
      </c>
      <c r="G113" s="1" t="s">
        <v>553</v>
      </c>
      <c r="H113" s="14" t="s">
        <v>550</v>
      </c>
      <c r="I113" s="1" t="s">
        <v>554</v>
      </c>
      <c r="J113" s="1" t="s">
        <v>1098</v>
      </c>
      <c r="K113" s="14"/>
      <c r="L113" s="1" t="s">
        <v>557</v>
      </c>
      <c r="M113" s="1" t="s">
        <v>1099</v>
      </c>
      <c r="N113" s="1" t="s">
        <v>1065</v>
      </c>
      <c r="O113" s="1" t="s">
        <v>1100</v>
      </c>
      <c r="P113" s="1" t="s">
        <v>1074</v>
      </c>
      <c r="R113" s="14" t="s">
        <v>554</v>
      </c>
      <c r="W113" s="1" t="s">
        <v>561</v>
      </c>
      <c r="X113" s="1" t="s">
        <v>561</v>
      </c>
      <c r="AA113" s="1" t="s">
        <v>562</v>
      </c>
      <c r="AB113" s="1" t="s">
        <v>1068</v>
      </c>
      <c r="AD113" s="1" t="s">
        <v>550</v>
      </c>
    </row>
    <row r="114" customFormat="false" ht="15" hidden="false" customHeight="true" outlineLevel="0" collapsed="false">
      <c r="A114" s="1" t="s">
        <v>399</v>
      </c>
      <c r="B114" s="1" t="s">
        <v>1101</v>
      </c>
      <c r="C114" s="1" t="s">
        <v>24</v>
      </c>
      <c r="D114" s="14" t="s">
        <v>550</v>
      </c>
      <c r="E114" s="1" t="s">
        <v>551</v>
      </c>
      <c r="F114" s="1" t="s">
        <v>1061</v>
      </c>
      <c r="G114" s="1" t="s">
        <v>553</v>
      </c>
      <c r="H114" s="14" t="s">
        <v>550</v>
      </c>
      <c r="I114" s="1" t="s">
        <v>554</v>
      </c>
      <c r="J114" s="1" t="s">
        <v>1102</v>
      </c>
      <c r="K114" s="14"/>
      <c r="L114" s="1" t="s">
        <v>1103</v>
      </c>
      <c r="M114" s="1" t="s">
        <v>1104</v>
      </c>
      <c r="N114" s="1" t="s">
        <v>1065</v>
      </c>
      <c r="O114" s="1" t="s">
        <v>1105</v>
      </c>
      <c r="P114" s="1" t="s">
        <v>1106</v>
      </c>
      <c r="R114" s="14" t="s">
        <v>554</v>
      </c>
      <c r="W114" s="1" t="s">
        <v>561</v>
      </c>
      <c r="X114" s="1" t="s">
        <v>561</v>
      </c>
      <c r="AA114" s="1" t="s">
        <v>562</v>
      </c>
      <c r="AB114" s="1" t="s">
        <v>1068</v>
      </c>
      <c r="AD114" s="1" t="s">
        <v>550</v>
      </c>
    </row>
    <row r="115" customFormat="false" ht="15" hidden="false" customHeight="true" outlineLevel="0" collapsed="false">
      <c r="A115" s="1" t="s">
        <v>396</v>
      </c>
      <c r="B115" s="1" t="s">
        <v>1107</v>
      </c>
      <c r="C115" s="1" t="s">
        <v>24</v>
      </c>
      <c r="D115" s="14" t="s">
        <v>550</v>
      </c>
      <c r="E115" s="1" t="s">
        <v>551</v>
      </c>
      <c r="F115" s="1" t="s">
        <v>1061</v>
      </c>
      <c r="G115" s="1" t="s">
        <v>553</v>
      </c>
      <c r="H115" s="14" t="s">
        <v>550</v>
      </c>
      <c r="I115" s="1" t="s">
        <v>554</v>
      </c>
      <c r="J115" s="1" t="s">
        <v>1108</v>
      </c>
      <c r="K115" s="14"/>
      <c r="L115" s="1" t="s">
        <v>557</v>
      </c>
      <c r="M115" s="1" t="s">
        <v>1109</v>
      </c>
      <c r="N115" s="1" t="s">
        <v>1065</v>
      </c>
      <c r="O115" s="1" t="s">
        <v>1110</v>
      </c>
      <c r="P115" s="1" t="s">
        <v>1074</v>
      </c>
      <c r="R115" s="14" t="s">
        <v>554</v>
      </c>
      <c r="W115" s="1" t="s">
        <v>561</v>
      </c>
      <c r="X115" s="1" t="s">
        <v>561</v>
      </c>
      <c r="AA115" s="1" t="s">
        <v>562</v>
      </c>
      <c r="AB115" s="1" t="s">
        <v>1068</v>
      </c>
      <c r="AD115" s="1" t="s">
        <v>550</v>
      </c>
    </row>
    <row r="116" customFormat="false" ht="15" hidden="false" customHeight="true" outlineLevel="0" collapsed="false">
      <c r="A116" s="1" t="s">
        <v>407</v>
      </c>
      <c r="B116" s="1" t="s">
        <v>849</v>
      </c>
      <c r="C116" s="1" t="s">
        <v>24</v>
      </c>
      <c r="D116" s="14" t="s">
        <v>550</v>
      </c>
      <c r="E116" s="1" t="s">
        <v>551</v>
      </c>
      <c r="F116" s="1" t="s">
        <v>1061</v>
      </c>
      <c r="G116" s="1" t="s">
        <v>553</v>
      </c>
      <c r="H116" s="14" t="s">
        <v>550</v>
      </c>
      <c r="I116" s="1" t="s">
        <v>554</v>
      </c>
      <c r="J116" s="1" t="s">
        <v>1111</v>
      </c>
      <c r="K116" s="14"/>
      <c r="L116" s="1" t="s">
        <v>1112</v>
      </c>
      <c r="M116" s="1" t="s">
        <v>1113</v>
      </c>
      <c r="N116" s="1" t="s">
        <v>1065</v>
      </c>
      <c r="O116" s="1" t="s">
        <v>1114</v>
      </c>
      <c r="P116" s="1" t="s">
        <v>1074</v>
      </c>
      <c r="R116" s="14" t="s">
        <v>554</v>
      </c>
      <c r="W116" s="1" t="s">
        <v>561</v>
      </c>
      <c r="X116" s="1" t="s">
        <v>561</v>
      </c>
      <c r="AA116" s="1" t="s">
        <v>562</v>
      </c>
      <c r="AB116" s="1" t="s">
        <v>1068</v>
      </c>
      <c r="AD116" s="1" t="s">
        <v>550</v>
      </c>
    </row>
    <row r="117" customFormat="false" ht="15" hidden="false" customHeight="true" outlineLevel="0" collapsed="false">
      <c r="A117" s="1" t="s">
        <v>405</v>
      </c>
      <c r="B117" s="1" t="s">
        <v>1115</v>
      </c>
      <c r="C117" s="1" t="s">
        <v>24</v>
      </c>
      <c r="D117" s="14" t="s">
        <v>550</v>
      </c>
      <c r="E117" s="1" t="s">
        <v>551</v>
      </c>
      <c r="F117" s="1" t="s">
        <v>1061</v>
      </c>
      <c r="G117" s="1" t="s">
        <v>553</v>
      </c>
      <c r="H117" s="14" t="s">
        <v>550</v>
      </c>
      <c r="I117" s="1" t="s">
        <v>554</v>
      </c>
      <c r="J117" s="1" t="s">
        <v>1116</v>
      </c>
      <c r="K117" s="14"/>
      <c r="L117" s="1" t="s">
        <v>557</v>
      </c>
      <c r="M117" s="1" t="s">
        <v>1117</v>
      </c>
      <c r="N117" s="1" t="s">
        <v>1065</v>
      </c>
      <c r="O117" s="1" t="s">
        <v>1118</v>
      </c>
      <c r="P117" s="1" t="s">
        <v>1074</v>
      </c>
      <c r="R117" s="14" t="s">
        <v>554</v>
      </c>
      <c r="W117" s="1" t="s">
        <v>561</v>
      </c>
      <c r="X117" s="1" t="s">
        <v>561</v>
      </c>
      <c r="AA117" s="1" t="s">
        <v>562</v>
      </c>
      <c r="AB117" s="1" t="s">
        <v>1068</v>
      </c>
      <c r="AD117" s="1" t="s">
        <v>550</v>
      </c>
    </row>
    <row r="118" customFormat="false" ht="15" hidden="false" customHeight="true" outlineLevel="0" collapsed="false">
      <c r="A118" s="1" t="s">
        <v>403</v>
      </c>
      <c r="B118" s="1" t="s">
        <v>1119</v>
      </c>
      <c r="C118" s="1" t="s">
        <v>24</v>
      </c>
      <c r="D118" s="14" t="s">
        <v>550</v>
      </c>
      <c r="E118" s="1" t="s">
        <v>551</v>
      </c>
      <c r="F118" s="1" t="s">
        <v>1061</v>
      </c>
      <c r="G118" s="1" t="s">
        <v>553</v>
      </c>
      <c r="H118" s="14" t="s">
        <v>550</v>
      </c>
      <c r="I118" s="1" t="s">
        <v>554</v>
      </c>
      <c r="J118" s="1" t="s">
        <v>1120</v>
      </c>
      <c r="K118" s="14"/>
      <c r="L118" s="1" t="s">
        <v>557</v>
      </c>
      <c r="M118" s="1" t="s">
        <v>1121</v>
      </c>
      <c r="N118" s="1" t="s">
        <v>1065</v>
      </c>
      <c r="O118" s="1" t="s">
        <v>1122</v>
      </c>
      <c r="P118" s="1" t="s">
        <v>1074</v>
      </c>
      <c r="R118" s="14" t="s">
        <v>554</v>
      </c>
      <c r="W118" s="1" t="s">
        <v>561</v>
      </c>
      <c r="X118" s="1" t="s">
        <v>561</v>
      </c>
      <c r="AA118" s="1" t="s">
        <v>562</v>
      </c>
      <c r="AB118" s="1" t="s">
        <v>1068</v>
      </c>
      <c r="AD118" s="1" t="s">
        <v>550</v>
      </c>
    </row>
    <row r="119" customFormat="false" ht="15" hidden="false" customHeight="true" outlineLevel="0" collapsed="false">
      <c r="A119" s="1" t="s">
        <v>413</v>
      </c>
      <c r="B119" s="1" t="s">
        <v>1123</v>
      </c>
      <c r="C119" s="1" t="s">
        <v>24</v>
      </c>
      <c r="D119" s="14" t="s">
        <v>550</v>
      </c>
      <c r="E119" s="1" t="s">
        <v>551</v>
      </c>
      <c r="F119" s="1" t="s">
        <v>1061</v>
      </c>
      <c r="G119" s="1" t="s">
        <v>553</v>
      </c>
      <c r="H119" s="14" t="s">
        <v>550</v>
      </c>
      <c r="I119" s="1" t="s">
        <v>554</v>
      </c>
      <c r="J119" s="1" t="s">
        <v>1124</v>
      </c>
      <c r="K119" s="14"/>
      <c r="L119" s="1" t="s">
        <v>557</v>
      </c>
      <c r="M119" s="1" t="s">
        <v>1125</v>
      </c>
      <c r="N119" s="1" t="s">
        <v>1065</v>
      </c>
      <c r="O119" s="1" t="s">
        <v>1126</v>
      </c>
      <c r="P119" s="1" t="s">
        <v>1074</v>
      </c>
      <c r="R119" s="14" t="s">
        <v>554</v>
      </c>
      <c r="W119" s="1" t="s">
        <v>561</v>
      </c>
      <c r="X119" s="1" t="s">
        <v>561</v>
      </c>
      <c r="AA119" s="1" t="s">
        <v>562</v>
      </c>
      <c r="AB119" s="1" t="s">
        <v>1068</v>
      </c>
      <c r="AD119" s="1" t="s">
        <v>550</v>
      </c>
    </row>
    <row r="120" customFormat="false" ht="15" hidden="false" customHeight="true" outlineLevel="0" collapsed="false">
      <c r="A120" s="1" t="s">
        <v>1127</v>
      </c>
      <c r="B120" s="1" t="s">
        <v>1128</v>
      </c>
      <c r="C120" s="1" t="s">
        <v>24</v>
      </c>
      <c r="D120" s="14" t="s">
        <v>550</v>
      </c>
      <c r="E120" s="1" t="s">
        <v>551</v>
      </c>
      <c r="F120" s="1" t="s">
        <v>1061</v>
      </c>
      <c r="G120" s="1" t="s">
        <v>553</v>
      </c>
      <c r="H120" s="14" t="s">
        <v>550</v>
      </c>
      <c r="I120" s="1" t="s">
        <v>554</v>
      </c>
      <c r="J120" s="1" t="s">
        <v>1129</v>
      </c>
      <c r="K120" s="14"/>
      <c r="L120" s="1" t="s">
        <v>557</v>
      </c>
      <c r="M120" s="1" t="s">
        <v>1130</v>
      </c>
      <c r="N120" s="1" t="s">
        <v>1065</v>
      </c>
      <c r="O120" s="1" t="s">
        <v>1131</v>
      </c>
      <c r="P120" s="1" t="s">
        <v>1074</v>
      </c>
      <c r="R120" s="14" t="s">
        <v>554</v>
      </c>
      <c r="W120" s="1" t="s">
        <v>561</v>
      </c>
      <c r="X120" s="1" t="s">
        <v>561</v>
      </c>
      <c r="AA120" s="1" t="s">
        <v>562</v>
      </c>
      <c r="AB120" s="1" t="s">
        <v>1068</v>
      </c>
      <c r="AD120" s="1" t="s">
        <v>550</v>
      </c>
    </row>
    <row r="121" customFormat="false" ht="15" hidden="false" customHeight="true" outlineLevel="0" collapsed="false">
      <c r="A121" s="1" t="s">
        <v>410</v>
      </c>
      <c r="B121" s="1" t="s">
        <v>1132</v>
      </c>
      <c r="C121" s="1" t="s">
        <v>24</v>
      </c>
      <c r="D121" s="14" t="s">
        <v>550</v>
      </c>
      <c r="E121" s="1" t="s">
        <v>551</v>
      </c>
      <c r="F121" s="1" t="s">
        <v>1061</v>
      </c>
      <c r="G121" s="1" t="s">
        <v>553</v>
      </c>
      <c r="H121" s="14" t="s">
        <v>550</v>
      </c>
      <c r="I121" s="1" t="s">
        <v>554</v>
      </c>
      <c r="J121" s="1" t="s">
        <v>1133</v>
      </c>
      <c r="K121" s="14"/>
      <c r="L121" s="1" t="s">
        <v>1134</v>
      </c>
      <c r="M121" s="1" t="s">
        <v>1135</v>
      </c>
      <c r="N121" s="1" t="s">
        <v>1065</v>
      </c>
      <c r="O121" s="1" t="s">
        <v>1136</v>
      </c>
      <c r="P121" s="1" t="s">
        <v>1137</v>
      </c>
      <c r="R121" s="14" t="s">
        <v>554</v>
      </c>
      <c r="W121" s="1" t="s">
        <v>561</v>
      </c>
      <c r="X121" s="1" t="s">
        <v>561</v>
      </c>
      <c r="AA121" s="1" t="s">
        <v>562</v>
      </c>
      <c r="AB121" s="1" t="s">
        <v>1068</v>
      </c>
      <c r="AD121" s="1" t="s">
        <v>550</v>
      </c>
    </row>
    <row r="122" customFormat="false" ht="15" hidden="false" customHeight="true" outlineLevel="0" collapsed="false">
      <c r="A122" s="1" t="s">
        <v>420</v>
      </c>
      <c r="B122" s="1" t="s">
        <v>1138</v>
      </c>
      <c r="C122" s="1" t="s">
        <v>27</v>
      </c>
      <c r="D122" s="14" t="s">
        <v>550</v>
      </c>
      <c r="E122" s="1" t="s">
        <v>551</v>
      </c>
      <c r="F122" s="1" t="s">
        <v>1139</v>
      </c>
      <c r="G122" s="1" t="s">
        <v>553</v>
      </c>
      <c r="H122" s="14" t="s">
        <v>550</v>
      </c>
      <c r="I122" s="1" t="s">
        <v>554</v>
      </c>
      <c r="J122" s="1" t="s">
        <v>1140</v>
      </c>
      <c r="K122" s="14"/>
      <c r="L122" s="1" t="s">
        <v>1141</v>
      </c>
      <c r="M122" s="1" t="s">
        <v>1142</v>
      </c>
      <c r="N122" s="1" t="s">
        <v>1143</v>
      </c>
      <c r="P122" s="1" t="s">
        <v>1144</v>
      </c>
      <c r="Q122" s="1" t="s">
        <v>1145</v>
      </c>
      <c r="R122" s="14" t="s">
        <v>554</v>
      </c>
      <c r="W122" s="1" t="s">
        <v>561</v>
      </c>
      <c r="X122" s="1" t="s">
        <v>561</v>
      </c>
      <c r="AA122" s="1" t="s">
        <v>562</v>
      </c>
      <c r="AB122" s="1" t="s">
        <v>1146</v>
      </c>
      <c r="AD122" s="1" t="s">
        <v>550</v>
      </c>
    </row>
    <row r="123" customFormat="false" ht="15" hidden="false" customHeight="true" outlineLevel="0" collapsed="false">
      <c r="A123" s="1" t="s">
        <v>418</v>
      </c>
      <c r="B123" s="1" t="s">
        <v>1147</v>
      </c>
      <c r="C123" s="1" t="s">
        <v>27</v>
      </c>
      <c r="D123" s="14" t="s">
        <v>550</v>
      </c>
      <c r="E123" s="1" t="s">
        <v>551</v>
      </c>
      <c r="F123" s="1" t="s">
        <v>1139</v>
      </c>
      <c r="G123" s="1" t="s">
        <v>553</v>
      </c>
      <c r="H123" s="14" t="s">
        <v>550</v>
      </c>
      <c r="I123" s="1" t="s">
        <v>554</v>
      </c>
      <c r="J123" s="1" t="s">
        <v>1148</v>
      </c>
      <c r="K123" s="14"/>
      <c r="L123" s="1" t="s">
        <v>1149</v>
      </c>
      <c r="M123" s="1" t="s">
        <v>1150</v>
      </c>
      <c r="N123" s="1" t="s">
        <v>1143</v>
      </c>
      <c r="P123" s="1" t="s">
        <v>1151</v>
      </c>
      <c r="Q123" s="1" t="s">
        <v>1152</v>
      </c>
      <c r="R123" s="14" t="s">
        <v>554</v>
      </c>
      <c r="W123" s="1" t="s">
        <v>561</v>
      </c>
      <c r="X123" s="1" t="s">
        <v>561</v>
      </c>
      <c r="AA123" s="1" t="s">
        <v>562</v>
      </c>
      <c r="AB123" s="1" t="s">
        <v>1153</v>
      </c>
      <c r="AD123" s="1" t="s">
        <v>550</v>
      </c>
    </row>
    <row r="124" customFormat="false" ht="15" hidden="false" customHeight="true" outlineLevel="0" collapsed="false">
      <c r="A124" s="1" t="s">
        <v>416</v>
      </c>
      <c r="B124" s="1" t="s">
        <v>1154</v>
      </c>
      <c r="C124" s="1" t="s">
        <v>27</v>
      </c>
      <c r="D124" s="14" t="s">
        <v>550</v>
      </c>
      <c r="E124" s="1" t="s">
        <v>551</v>
      </c>
      <c r="F124" s="1" t="s">
        <v>1139</v>
      </c>
      <c r="G124" s="1" t="s">
        <v>553</v>
      </c>
      <c r="H124" s="14" t="s">
        <v>550</v>
      </c>
      <c r="I124" s="1" t="s">
        <v>554</v>
      </c>
      <c r="J124" s="1" t="s">
        <v>1155</v>
      </c>
      <c r="K124" s="14"/>
      <c r="L124" s="1" t="s">
        <v>1156</v>
      </c>
      <c r="M124" s="1" t="s">
        <v>1157</v>
      </c>
      <c r="N124" s="1" t="s">
        <v>1143</v>
      </c>
      <c r="P124" s="1" t="s">
        <v>1158</v>
      </c>
      <c r="Q124" s="1" t="s">
        <v>1159</v>
      </c>
      <c r="R124" s="14" t="s">
        <v>554</v>
      </c>
      <c r="W124" s="1" t="s">
        <v>561</v>
      </c>
      <c r="X124" s="1" t="s">
        <v>561</v>
      </c>
      <c r="Z124" s="1" t="s">
        <v>554</v>
      </c>
      <c r="AA124" s="1" t="s">
        <v>562</v>
      </c>
      <c r="AB124" s="1" t="s">
        <v>1160</v>
      </c>
      <c r="AD124" s="1" t="s">
        <v>550</v>
      </c>
    </row>
    <row r="125" customFormat="false" ht="15" hidden="false" customHeight="true" outlineLevel="0" collapsed="false">
      <c r="A125" s="1" t="s">
        <v>1161</v>
      </c>
      <c r="B125" s="1" t="s">
        <v>1162</v>
      </c>
      <c r="C125" s="1" t="s">
        <v>27</v>
      </c>
      <c r="D125" s="14" t="s">
        <v>550</v>
      </c>
      <c r="E125" s="1" t="s">
        <v>551</v>
      </c>
      <c r="F125" s="1" t="s">
        <v>1139</v>
      </c>
      <c r="G125" s="1" t="s">
        <v>553</v>
      </c>
      <c r="H125" s="14" t="s">
        <v>550</v>
      </c>
      <c r="I125" s="1" t="s">
        <v>554</v>
      </c>
      <c r="J125" s="1" t="s">
        <v>1163</v>
      </c>
      <c r="K125" s="14"/>
      <c r="L125" s="1" t="s">
        <v>1164</v>
      </c>
      <c r="M125" s="1" t="s">
        <v>1165</v>
      </c>
      <c r="N125" s="1" t="s">
        <v>1143</v>
      </c>
      <c r="P125" s="1" t="s">
        <v>1166</v>
      </c>
      <c r="Q125" s="1" t="s">
        <v>1152</v>
      </c>
      <c r="R125" s="14" t="s">
        <v>554</v>
      </c>
      <c r="W125" s="1" t="s">
        <v>561</v>
      </c>
      <c r="X125" s="1" t="s">
        <v>561</v>
      </c>
      <c r="AA125" s="1" t="s">
        <v>562</v>
      </c>
      <c r="AB125" s="1" t="s">
        <v>1153</v>
      </c>
      <c r="AD125" s="1" t="s">
        <v>550</v>
      </c>
    </row>
    <row r="126" customFormat="false" ht="15" hidden="false" customHeight="true" outlineLevel="0" collapsed="false">
      <c r="A126" s="1" t="s">
        <v>426</v>
      </c>
      <c r="B126" s="1" t="s">
        <v>1167</v>
      </c>
      <c r="C126" s="1" t="s">
        <v>27</v>
      </c>
      <c r="D126" s="14" t="s">
        <v>550</v>
      </c>
      <c r="E126" s="1" t="s">
        <v>551</v>
      </c>
      <c r="F126" s="1" t="s">
        <v>1139</v>
      </c>
      <c r="G126" s="1" t="s">
        <v>553</v>
      </c>
      <c r="H126" s="14" t="s">
        <v>550</v>
      </c>
      <c r="I126" s="1" t="s">
        <v>554</v>
      </c>
      <c r="J126" s="1" t="s">
        <v>1168</v>
      </c>
      <c r="K126" s="14"/>
      <c r="L126" s="1" t="s">
        <v>1169</v>
      </c>
      <c r="M126" s="1" t="s">
        <v>1170</v>
      </c>
      <c r="N126" s="1" t="s">
        <v>1143</v>
      </c>
      <c r="P126" s="1" t="s">
        <v>1171</v>
      </c>
      <c r="Q126" s="1" t="s">
        <v>1152</v>
      </c>
      <c r="R126" s="14" t="s">
        <v>554</v>
      </c>
      <c r="W126" s="1" t="s">
        <v>561</v>
      </c>
      <c r="X126" s="1" t="s">
        <v>561</v>
      </c>
      <c r="AA126" s="1" t="s">
        <v>562</v>
      </c>
      <c r="AB126" s="1" t="s">
        <v>1153</v>
      </c>
      <c r="AD126" s="1" t="s">
        <v>550</v>
      </c>
    </row>
    <row r="127" customFormat="false" ht="15" hidden="false" customHeight="true" outlineLevel="0" collapsed="false">
      <c r="A127" s="1" t="s">
        <v>1172</v>
      </c>
      <c r="B127" s="1" t="s">
        <v>1173</v>
      </c>
      <c r="C127" s="1" t="s">
        <v>27</v>
      </c>
      <c r="D127" s="14" t="s">
        <v>550</v>
      </c>
      <c r="E127" s="1" t="s">
        <v>551</v>
      </c>
      <c r="F127" s="1" t="s">
        <v>1139</v>
      </c>
      <c r="G127" s="1" t="s">
        <v>553</v>
      </c>
      <c r="H127" s="14" t="s">
        <v>550</v>
      </c>
      <c r="I127" s="1" t="s">
        <v>554</v>
      </c>
      <c r="J127" s="1" t="s">
        <v>1174</v>
      </c>
      <c r="K127" s="14"/>
      <c r="L127" s="1" t="s">
        <v>1175</v>
      </c>
      <c r="M127" s="1" t="s">
        <v>1176</v>
      </c>
      <c r="N127" s="1" t="s">
        <v>1143</v>
      </c>
      <c r="P127" s="1" t="s">
        <v>1177</v>
      </c>
      <c r="Q127" s="1" t="s">
        <v>1178</v>
      </c>
      <c r="R127" s="14" t="s">
        <v>554</v>
      </c>
      <c r="W127" s="1" t="s">
        <v>561</v>
      </c>
      <c r="X127" s="1" t="s">
        <v>561</v>
      </c>
      <c r="AA127" s="1" t="s">
        <v>562</v>
      </c>
      <c r="AB127" s="1" t="s">
        <v>1179</v>
      </c>
      <c r="AD127" s="1" t="s">
        <v>550</v>
      </c>
    </row>
    <row r="128" customFormat="false" ht="15" hidden="false" customHeight="true" outlineLevel="0" collapsed="false">
      <c r="A128" s="1" t="s">
        <v>424</v>
      </c>
      <c r="B128" s="1" t="s">
        <v>1180</v>
      </c>
      <c r="C128" s="1" t="s">
        <v>27</v>
      </c>
      <c r="D128" s="14" t="s">
        <v>550</v>
      </c>
      <c r="E128" s="1" t="s">
        <v>551</v>
      </c>
      <c r="F128" s="1" t="s">
        <v>1139</v>
      </c>
      <c r="G128" s="1" t="s">
        <v>553</v>
      </c>
      <c r="H128" s="14" t="s">
        <v>550</v>
      </c>
      <c r="I128" s="1" t="s">
        <v>554</v>
      </c>
      <c r="J128" s="1" t="s">
        <v>1181</v>
      </c>
      <c r="K128" s="14"/>
      <c r="L128" s="1" t="s">
        <v>1182</v>
      </c>
      <c r="M128" s="1" t="s">
        <v>1183</v>
      </c>
      <c r="N128" s="1" t="s">
        <v>1143</v>
      </c>
      <c r="P128" s="1" t="s">
        <v>1184</v>
      </c>
      <c r="Q128" s="1" t="s">
        <v>1185</v>
      </c>
      <c r="R128" s="14" t="s">
        <v>554</v>
      </c>
      <c r="W128" s="1" t="s">
        <v>561</v>
      </c>
      <c r="X128" s="1" t="s">
        <v>561</v>
      </c>
      <c r="AA128" s="1" t="s">
        <v>562</v>
      </c>
      <c r="AB128" s="1" t="s">
        <v>1186</v>
      </c>
      <c r="AD128" s="1" t="s">
        <v>550</v>
      </c>
    </row>
    <row r="129" customFormat="false" ht="15" hidden="false" customHeight="true" outlineLevel="0" collapsed="false">
      <c r="A129" s="1" t="s">
        <v>1187</v>
      </c>
      <c r="B129" s="1" t="s">
        <v>1188</v>
      </c>
      <c r="C129" s="1" t="s">
        <v>27</v>
      </c>
      <c r="D129" s="14" t="s">
        <v>550</v>
      </c>
      <c r="E129" s="1" t="s">
        <v>551</v>
      </c>
      <c r="F129" s="1" t="s">
        <v>1139</v>
      </c>
      <c r="G129" s="1" t="s">
        <v>553</v>
      </c>
      <c r="H129" s="14" t="s">
        <v>550</v>
      </c>
      <c r="I129" s="1" t="s">
        <v>554</v>
      </c>
      <c r="J129" s="1" t="s">
        <v>1189</v>
      </c>
      <c r="K129" s="14"/>
      <c r="L129" s="1" t="s">
        <v>1190</v>
      </c>
      <c r="M129" s="1" t="s">
        <v>1191</v>
      </c>
      <c r="N129" s="1" t="s">
        <v>1143</v>
      </c>
      <c r="P129" s="1" t="s">
        <v>1192</v>
      </c>
      <c r="Q129" s="1" t="s">
        <v>1152</v>
      </c>
      <c r="R129" s="14" t="s">
        <v>554</v>
      </c>
      <c r="W129" s="1" t="s">
        <v>561</v>
      </c>
      <c r="X129" s="1" t="s">
        <v>561</v>
      </c>
      <c r="AA129" s="1" t="s">
        <v>562</v>
      </c>
      <c r="AB129" s="1" t="s">
        <v>1193</v>
      </c>
      <c r="AD129" s="1" t="s">
        <v>550</v>
      </c>
    </row>
    <row r="130" customFormat="false" ht="15" hidden="false" customHeight="true" outlineLevel="0" collapsed="false">
      <c r="A130" s="1" t="s">
        <v>432</v>
      </c>
      <c r="B130" s="1" t="s">
        <v>1194</v>
      </c>
      <c r="C130" s="1" t="s">
        <v>27</v>
      </c>
      <c r="D130" s="14" t="s">
        <v>550</v>
      </c>
      <c r="E130" s="1" t="s">
        <v>551</v>
      </c>
      <c r="F130" s="1" t="s">
        <v>1139</v>
      </c>
      <c r="G130" s="1" t="s">
        <v>553</v>
      </c>
      <c r="H130" s="14" t="s">
        <v>550</v>
      </c>
      <c r="I130" s="1" t="s">
        <v>554</v>
      </c>
      <c r="J130" s="1" t="s">
        <v>1195</v>
      </c>
      <c r="K130" s="14"/>
      <c r="L130" s="1" t="s">
        <v>1196</v>
      </c>
      <c r="M130" s="1" t="s">
        <v>1197</v>
      </c>
      <c r="N130" s="1" t="s">
        <v>1143</v>
      </c>
      <c r="P130" s="1" t="s">
        <v>1198</v>
      </c>
      <c r="Q130" s="1" t="s">
        <v>1152</v>
      </c>
      <c r="R130" s="14" t="s">
        <v>554</v>
      </c>
      <c r="W130" s="1" t="s">
        <v>561</v>
      </c>
      <c r="X130" s="1" t="s">
        <v>561</v>
      </c>
      <c r="AA130" s="1" t="s">
        <v>562</v>
      </c>
      <c r="AB130" s="1" t="s">
        <v>1199</v>
      </c>
      <c r="AD130" s="1" t="s">
        <v>550</v>
      </c>
    </row>
    <row r="131" customFormat="false" ht="15" hidden="false" customHeight="true" outlineLevel="0" collapsed="false">
      <c r="A131" s="1" t="s">
        <v>422</v>
      </c>
      <c r="B131" s="1" t="s">
        <v>1200</v>
      </c>
      <c r="C131" s="1" t="s">
        <v>27</v>
      </c>
      <c r="D131" s="14" t="s">
        <v>550</v>
      </c>
      <c r="E131" s="1" t="s">
        <v>551</v>
      </c>
      <c r="F131" s="1" t="s">
        <v>1139</v>
      </c>
      <c r="G131" s="1" t="s">
        <v>553</v>
      </c>
      <c r="H131" s="14" t="s">
        <v>550</v>
      </c>
      <c r="I131" s="1" t="s">
        <v>554</v>
      </c>
      <c r="J131" s="1" t="s">
        <v>1201</v>
      </c>
      <c r="K131" s="14"/>
      <c r="L131" s="1" t="s">
        <v>1202</v>
      </c>
      <c r="M131" s="1" t="s">
        <v>1203</v>
      </c>
      <c r="N131" s="1" t="s">
        <v>1143</v>
      </c>
      <c r="P131" s="1" t="s">
        <v>1204</v>
      </c>
      <c r="Q131" s="1" t="s">
        <v>1152</v>
      </c>
      <c r="R131" s="14" t="s">
        <v>554</v>
      </c>
      <c r="W131" s="1" t="s">
        <v>561</v>
      </c>
      <c r="X131" s="1" t="s">
        <v>561</v>
      </c>
      <c r="AA131" s="1" t="s">
        <v>562</v>
      </c>
      <c r="AB131" s="1" t="s">
        <v>1153</v>
      </c>
      <c r="AD131" s="1" t="s">
        <v>550</v>
      </c>
    </row>
    <row r="132" customFormat="false" ht="15" hidden="false" customHeight="true" outlineLevel="0" collapsed="false">
      <c r="A132" s="1" t="s">
        <v>1205</v>
      </c>
      <c r="B132" s="1" t="s">
        <v>1206</v>
      </c>
      <c r="C132" s="1" t="s">
        <v>27</v>
      </c>
      <c r="D132" s="14" t="s">
        <v>550</v>
      </c>
      <c r="E132" s="1" t="s">
        <v>551</v>
      </c>
      <c r="F132" s="1" t="s">
        <v>1139</v>
      </c>
      <c r="G132" s="1" t="s">
        <v>553</v>
      </c>
      <c r="H132" s="14" t="s">
        <v>550</v>
      </c>
      <c r="I132" s="1" t="s">
        <v>554</v>
      </c>
      <c r="J132" s="1" t="s">
        <v>1207</v>
      </c>
      <c r="K132" s="14"/>
      <c r="L132" s="1" t="s">
        <v>1208</v>
      </c>
      <c r="M132" s="1" t="s">
        <v>1209</v>
      </c>
      <c r="N132" s="1" t="s">
        <v>1143</v>
      </c>
      <c r="P132" s="1" t="s">
        <v>1210</v>
      </c>
      <c r="Q132" s="1" t="s">
        <v>1152</v>
      </c>
      <c r="R132" s="14" t="s">
        <v>554</v>
      </c>
      <c r="W132" s="1" t="s">
        <v>561</v>
      </c>
      <c r="X132" s="1" t="s">
        <v>561</v>
      </c>
      <c r="AA132" s="1" t="s">
        <v>562</v>
      </c>
      <c r="AB132" s="1" t="s">
        <v>1211</v>
      </c>
      <c r="AD132" s="1" t="s">
        <v>550</v>
      </c>
    </row>
    <row r="133" customFormat="false" ht="15" hidden="false" customHeight="true" outlineLevel="0" collapsed="false">
      <c r="A133" s="1" t="s">
        <v>434</v>
      </c>
      <c r="B133" s="1" t="s">
        <v>1212</v>
      </c>
      <c r="C133" s="1" t="s">
        <v>27</v>
      </c>
      <c r="D133" s="14" t="s">
        <v>550</v>
      </c>
      <c r="E133" s="1" t="s">
        <v>551</v>
      </c>
      <c r="F133" s="1" t="s">
        <v>1139</v>
      </c>
      <c r="G133" s="1" t="s">
        <v>553</v>
      </c>
      <c r="H133" s="14" t="s">
        <v>550</v>
      </c>
      <c r="I133" s="1" t="s">
        <v>554</v>
      </c>
      <c r="J133" s="1" t="s">
        <v>1213</v>
      </c>
      <c r="K133" s="14"/>
      <c r="L133" s="1" t="s">
        <v>1214</v>
      </c>
      <c r="M133" s="1" t="s">
        <v>1215</v>
      </c>
      <c r="N133" s="1" t="s">
        <v>1143</v>
      </c>
      <c r="P133" s="1" t="s">
        <v>1216</v>
      </c>
      <c r="Q133" s="1" t="s">
        <v>1152</v>
      </c>
      <c r="R133" s="14" t="s">
        <v>554</v>
      </c>
      <c r="W133" s="1" t="s">
        <v>561</v>
      </c>
      <c r="X133" s="1" t="s">
        <v>561</v>
      </c>
      <c r="AA133" s="1" t="s">
        <v>562</v>
      </c>
      <c r="AB133" s="1" t="s">
        <v>1217</v>
      </c>
      <c r="AD133" s="1" t="s">
        <v>550</v>
      </c>
    </row>
    <row r="134" customFormat="false" ht="15" hidden="false" customHeight="true" outlineLevel="0" collapsed="false">
      <c r="A134" s="1" t="s">
        <v>437</v>
      </c>
      <c r="B134" s="1" t="s">
        <v>1218</v>
      </c>
      <c r="C134" s="1" t="s">
        <v>27</v>
      </c>
      <c r="D134" s="14" t="s">
        <v>550</v>
      </c>
      <c r="E134" s="1" t="s">
        <v>551</v>
      </c>
      <c r="F134" s="1" t="s">
        <v>1139</v>
      </c>
      <c r="G134" s="1" t="s">
        <v>553</v>
      </c>
      <c r="H134" s="14" t="s">
        <v>550</v>
      </c>
      <c r="I134" s="1" t="s">
        <v>554</v>
      </c>
      <c r="J134" s="1" t="s">
        <v>1219</v>
      </c>
      <c r="K134" s="14"/>
      <c r="L134" s="1" t="s">
        <v>1220</v>
      </c>
      <c r="M134" s="1" t="s">
        <v>1221</v>
      </c>
      <c r="N134" s="1" t="s">
        <v>1143</v>
      </c>
      <c r="P134" s="1" t="s">
        <v>1222</v>
      </c>
      <c r="Q134" s="1" t="s">
        <v>1223</v>
      </c>
      <c r="R134" s="14" t="s">
        <v>554</v>
      </c>
      <c r="W134" s="1" t="s">
        <v>561</v>
      </c>
      <c r="X134" s="1" t="s">
        <v>561</v>
      </c>
      <c r="AA134" s="1" t="s">
        <v>562</v>
      </c>
      <c r="AB134" s="1" t="s">
        <v>1153</v>
      </c>
      <c r="AD134" s="1" t="s">
        <v>550</v>
      </c>
    </row>
    <row r="135" customFormat="false" ht="15" hidden="false" customHeight="true" outlineLevel="0" collapsed="false">
      <c r="A135" s="1" t="s">
        <v>430</v>
      </c>
      <c r="B135" s="1" t="s">
        <v>1224</v>
      </c>
      <c r="C135" s="1" t="s">
        <v>27</v>
      </c>
      <c r="D135" s="14" t="s">
        <v>550</v>
      </c>
      <c r="E135" s="1" t="s">
        <v>551</v>
      </c>
      <c r="F135" s="1" t="s">
        <v>1139</v>
      </c>
      <c r="G135" s="1" t="s">
        <v>553</v>
      </c>
      <c r="H135" s="14" t="s">
        <v>550</v>
      </c>
      <c r="I135" s="1" t="s">
        <v>554</v>
      </c>
      <c r="J135" s="1" t="s">
        <v>1225</v>
      </c>
      <c r="K135" s="14"/>
      <c r="L135" s="1" t="s">
        <v>1226</v>
      </c>
      <c r="M135" s="1" t="s">
        <v>1227</v>
      </c>
      <c r="N135" s="1" t="s">
        <v>1143</v>
      </c>
      <c r="P135" s="1" t="s">
        <v>1228</v>
      </c>
      <c r="Q135" s="1" t="s">
        <v>1229</v>
      </c>
      <c r="R135" s="14" t="s">
        <v>554</v>
      </c>
      <c r="W135" s="1" t="s">
        <v>561</v>
      </c>
      <c r="X135" s="1" t="s">
        <v>561</v>
      </c>
      <c r="AA135" s="1" t="s">
        <v>562</v>
      </c>
      <c r="AB135" s="1" t="s">
        <v>1230</v>
      </c>
      <c r="AD135" s="1" t="s">
        <v>550</v>
      </c>
    </row>
    <row r="136" customFormat="false" ht="15" hidden="false" customHeight="true" outlineLevel="0" collapsed="false">
      <c r="A136" s="1" t="s">
        <v>428</v>
      </c>
      <c r="B136" s="1" t="s">
        <v>1231</v>
      </c>
      <c r="C136" s="1" t="s">
        <v>27</v>
      </c>
      <c r="D136" s="14" t="s">
        <v>550</v>
      </c>
      <c r="E136" s="1" t="s">
        <v>551</v>
      </c>
      <c r="F136" s="1" t="s">
        <v>1139</v>
      </c>
      <c r="G136" s="1" t="s">
        <v>553</v>
      </c>
      <c r="H136" s="14" t="s">
        <v>550</v>
      </c>
      <c r="I136" s="1" t="s">
        <v>554</v>
      </c>
      <c r="J136" s="1" t="s">
        <v>1232</v>
      </c>
      <c r="K136" s="14"/>
      <c r="L136" s="1" t="s">
        <v>1233</v>
      </c>
      <c r="M136" s="1" t="s">
        <v>1234</v>
      </c>
      <c r="N136" s="1" t="s">
        <v>1143</v>
      </c>
      <c r="P136" s="1" t="s">
        <v>1235</v>
      </c>
      <c r="Q136" s="1" t="s">
        <v>1152</v>
      </c>
      <c r="R136" s="14" t="s">
        <v>554</v>
      </c>
      <c r="W136" s="1" t="s">
        <v>561</v>
      </c>
      <c r="X136" s="1" t="s">
        <v>561</v>
      </c>
      <c r="AA136" s="1" t="s">
        <v>562</v>
      </c>
      <c r="AB136" s="1" t="s">
        <v>1236</v>
      </c>
      <c r="AD136" s="1" t="s">
        <v>550</v>
      </c>
    </row>
    <row r="137" customFormat="false" ht="15" hidden="false" customHeight="true" outlineLevel="0" collapsed="false">
      <c r="A137" s="1" t="s">
        <v>1237</v>
      </c>
      <c r="B137" s="1" t="s">
        <v>1238</v>
      </c>
      <c r="C137" s="1" t="s">
        <v>28</v>
      </c>
      <c r="D137" s="14" t="s">
        <v>550</v>
      </c>
      <c r="E137" s="1" t="s">
        <v>551</v>
      </c>
      <c r="F137" s="1" t="s">
        <v>1239</v>
      </c>
      <c r="G137" s="1" t="s">
        <v>553</v>
      </c>
      <c r="H137" s="14" t="s">
        <v>550</v>
      </c>
      <c r="I137" s="1" t="s">
        <v>554</v>
      </c>
      <c r="J137" s="1" t="s">
        <v>1240</v>
      </c>
      <c r="K137" s="14"/>
      <c r="L137" s="1" t="s">
        <v>1241</v>
      </c>
      <c r="M137" s="1" t="s">
        <v>1242</v>
      </c>
      <c r="N137" s="1" t="s">
        <v>1143</v>
      </c>
      <c r="P137" s="1" t="s">
        <v>1243</v>
      </c>
      <c r="Q137" s="1" t="s">
        <v>1152</v>
      </c>
      <c r="R137" s="14" t="s">
        <v>554</v>
      </c>
      <c r="W137" s="1" t="s">
        <v>561</v>
      </c>
      <c r="X137" s="1" t="s">
        <v>561</v>
      </c>
      <c r="AA137" s="1" t="s">
        <v>562</v>
      </c>
      <c r="AB137" s="1" t="s">
        <v>1244</v>
      </c>
      <c r="AD137" s="1" t="s">
        <v>550</v>
      </c>
    </row>
    <row r="138" customFormat="false" ht="15" hidden="false" customHeight="true" outlineLevel="0" collapsed="false">
      <c r="A138" s="1" t="s">
        <v>443</v>
      </c>
      <c r="B138" s="1" t="s">
        <v>1245</v>
      </c>
      <c r="C138" s="1" t="s">
        <v>28</v>
      </c>
      <c r="D138" s="14" t="s">
        <v>550</v>
      </c>
      <c r="E138" s="1" t="s">
        <v>551</v>
      </c>
      <c r="F138" s="1" t="s">
        <v>1239</v>
      </c>
      <c r="G138" s="1" t="s">
        <v>553</v>
      </c>
      <c r="H138" s="14" t="s">
        <v>550</v>
      </c>
      <c r="I138" s="1" t="s">
        <v>554</v>
      </c>
      <c r="J138" s="1" t="s">
        <v>1246</v>
      </c>
      <c r="K138" s="14"/>
      <c r="L138" s="1" t="s">
        <v>1247</v>
      </c>
      <c r="M138" s="1" t="s">
        <v>1248</v>
      </c>
      <c r="N138" s="1" t="s">
        <v>1143</v>
      </c>
      <c r="P138" s="1" t="s">
        <v>1249</v>
      </c>
      <c r="Q138" s="1" t="s">
        <v>1152</v>
      </c>
      <c r="R138" s="14" t="s">
        <v>554</v>
      </c>
      <c r="W138" s="1" t="s">
        <v>561</v>
      </c>
      <c r="X138" s="1" t="s">
        <v>561</v>
      </c>
      <c r="AA138" s="1" t="s">
        <v>562</v>
      </c>
      <c r="AB138" s="1" t="s">
        <v>1153</v>
      </c>
      <c r="AD138" s="1" t="s">
        <v>550</v>
      </c>
    </row>
    <row r="139" customFormat="false" ht="15" hidden="false" customHeight="true" outlineLevel="0" collapsed="false">
      <c r="A139" s="1" t="s">
        <v>439</v>
      </c>
      <c r="B139" s="1" t="s">
        <v>1250</v>
      </c>
      <c r="C139" s="1" t="s">
        <v>28</v>
      </c>
      <c r="D139" s="14" t="s">
        <v>550</v>
      </c>
      <c r="E139" s="1" t="s">
        <v>551</v>
      </c>
      <c r="F139" s="1" t="s">
        <v>1239</v>
      </c>
      <c r="G139" s="1" t="s">
        <v>553</v>
      </c>
      <c r="H139" s="14" t="s">
        <v>550</v>
      </c>
      <c r="I139" s="1" t="s">
        <v>554</v>
      </c>
      <c r="J139" s="1" t="s">
        <v>1251</v>
      </c>
      <c r="K139" s="14"/>
      <c r="L139" s="1" t="s">
        <v>1252</v>
      </c>
      <c r="M139" s="1" t="s">
        <v>1248</v>
      </c>
      <c r="N139" s="1" t="s">
        <v>1143</v>
      </c>
      <c r="P139" s="1" t="s">
        <v>1253</v>
      </c>
      <c r="Q139" s="1" t="s">
        <v>1152</v>
      </c>
      <c r="R139" s="14" t="s">
        <v>554</v>
      </c>
      <c r="W139" s="1" t="s">
        <v>561</v>
      </c>
      <c r="X139" s="1" t="s">
        <v>561</v>
      </c>
      <c r="AA139" s="1" t="s">
        <v>562</v>
      </c>
      <c r="AB139" s="1" t="s">
        <v>1153</v>
      </c>
      <c r="AD139" s="1" t="s">
        <v>550</v>
      </c>
    </row>
    <row r="140" customFormat="false" ht="15" hidden="false" customHeight="true" outlineLevel="0" collapsed="false">
      <c r="A140" s="1" t="s">
        <v>441</v>
      </c>
      <c r="B140" s="1" t="s">
        <v>1254</v>
      </c>
      <c r="C140" s="1" t="s">
        <v>28</v>
      </c>
      <c r="D140" s="14" t="s">
        <v>550</v>
      </c>
      <c r="E140" s="1" t="s">
        <v>551</v>
      </c>
      <c r="F140" s="1" t="s">
        <v>1239</v>
      </c>
      <c r="G140" s="1" t="s">
        <v>553</v>
      </c>
      <c r="H140" s="14" t="s">
        <v>550</v>
      </c>
      <c r="I140" s="1" t="s">
        <v>554</v>
      </c>
      <c r="J140" s="1" t="s">
        <v>1255</v>
      </c>
      <c r="K140" s="14"/>
      <c r="L140" s="1" t="s">
        <v>1256</v>
      </c>
      <c r="M140" s="1" t="s">
        <v>1257</v>
      </c>
      <c r="N140" s="1" t="s">
        <v>1143</v>
      </c>
      <c r="P140" s="1" t="s">
        <v>1258</v>
      </c>
      <c r="Q140" s="1" t="s">
        <v>1259</v>
      </c>
      <c r="R140" s="14" t="s">
        <v>554</v>
      </c>
      <c r="W140" s="1" t="s">
        <v>561</v>
      </c>
      <c r="X140" s="1" t="s">
        <v>561</v>
      </c>
      <c r="AA140" s="1" t="s">
        <v>562</v>
      </c>
      <c r="AB140" s="1" t="s">
        <v>1260</v>
      </c>
      <c r="AD140" s="1" t="s">
        <v>550</v>
      </c>
    </row>
    <row r="141" customFormat="false" ht="15" hidden="false" customHeight="true" outlineLevel="0" collapsed="false">
      <c r="A141" s="1" t="s">
        <v>1261</v>
      </c>
      <c r="B141" s="1" t="s">
        <v>1262</v>
      </c>
      <c r="C141" s="1" t="s">
        <v>28</v>
      </c>
      <c r="D141" s="14" t="s">
        <v>550</v>
      </c>
      <c r="E141" s="1" t="s">
        <v>551</v>
      </c>
      <c r="F141" s="1" t="s">
        <v>1239</v>
      </c>
      <c r="G141" s="1" t="s">
        <v>553</v>
      </c>
      <c r="H141" s="14" t="s">
        <v>550</v>
      </c>
      <c r="I141" s="1" t="s">
        <v>554</v>
      </c>
      <c r="J141" s="1" t="s">
        <v>1263</v>
      </c>
      <c r="K141" s="14"/>
      <c r="L141" s="1" t="s">
        <v>1264</v>
      </c>
      <c r="M141" s="1" t="s">
        <v>1265</v>
      </c>
      <c r="N141" s="1" t="s">
        <v>1143</v>
      </c>
      <c r="P141" s="1" t="s">
        <v>1266</v>
      </c>
      <c r="Q141" s="1" t="s">
        <v>1267</v>
      </c>
      <c r="R141" s="14" t="s">
        <v>554</v>
      </c>
      <c r="W141" s="1" t="s">
        <v>561</v>
      </c>
      <c r="X141" s="1" t="s">
        <v>561</v>
      </c>
      <c r="AA141" s="1" t="s">
        <v>562</v>
      </c>
      <c r="AB141" s="1" t="s">
        <v>1268</v>
      </c>
      <c r="AD141" s="1" t="s">
        <v>550</v>
      </c>
    </row>
    <row r="142" customFormat="false" ht="15" hidden="false" customHeight="true" outlineLevel="0" collapsed="false">
      <c r="A142" s="1" t="s">
        <v>445</v>
      </c>
      <c r="B142" s="1" t="s">
        <v>1269</v>
      </c>
      <c r="C142" s="1" t="s">
        <v>28</v>
      </c>
      <c r="D142" s="14" t="s">
        <v>550</v>
      </c>
      <c r="E142" s="1" t="s">
        <v>551</v>
      </c>
      <c r="F142" s="1" t="s">
        <v>1239</v>
      </c>
      <c r="G142" s="1" t="s">
        <v>553</v>
      </c>
      <c r="H142" s="14" t="s">
        <v>550</v>
      </c>
      <c r="I142" s="1" t="s">
        <v>554</v>
      </c>
      <c r="J142" s="1" t="s">
        <v>1270</v>
      </c>
      <c r="K142" s="14"/>
      <c r="L142" s="1" t="s">
        <v>1271</v>
      </c>
      <c r="M142" s="1" t="s">
        <v>1272</v>
      </c>
      <c r="N142" s="1" t="s">
        <v>1143</v>
      </c>
      <c r="P142" s="1" t="s">
        <v>1273</v>
      </c>
      <c r="Q142" s="1" t="s">
        <v>1152</v>
      </c>
      <c r="R142" s="14" t="s">
        <v>554</v>
      </c>
      <c r="W142" s="1" t="s">
        <v>561</v>
      </c>
      <c r="X142" s="1" t="s">
        <v>561</v>
      </c>
      <c r="AA142" s="1" t="s">
        <v>562</v>
      </c>
      <c r="AB142" s="1" t="s">
        <v>1274</v>
      </c>
      <c r="AD142" s="1" t="s">
        <v>550</v>
      </c>
    </row>
    <row r="143" customFormat="false" ht="15" hidden="false" customHeight="true" outlineLevel="0" collapsed="false">
      <c r="A143" s="1" t="s">
        <v>447</v>
      </c>
      <c r="B143" s="1" t="s">
        <v>1275</v>
      </c>
      <c r="C143" s="1" t="s">
        <v>28</v>
      </c>
      <c r="D143" s="14" t="s">
        <v>550</v>
      </c>
      <c r="E143" s="1" t="s">
        <v>551</v>
      </c>
      <c r="F143" s="1" t="s">
        <v>1239</v>
      </c>
      <c r="G143" s="1" t="s">
        <v>553</v>
      </c>
      <c r="H143" s="14" t="s">
        <v>550</v>
      </c>
      <c r="I143" s="1" t="s">
        <v>554</v>
      </c>
      <c r="J143" s="1" t="s">
        <v>1276</v>
      </c>
      <c r="K143" s="14"/>
      <c r="L143" s="1" t="s">
        <v>1277</v>
      </c>
      <c r="M143" s="1" t="s">
        <v>1248</v>
      </c>
      <c r="N143" s="1" t="s">
        <v>1143</v>
      </c>
      <c r="P143" s="1" t="s">
        <v>1278</v>
      </c>
      <c r="Q143" s="1" t="s">
        <v>1279</v>
      </c>
      <c r="R143" s="14" t="s">
        <v>554</v>
      </c>
      <c r="W143" s="1" t="s">
        <v>561</v>
      </c>
      <c r="X143" s="1" t="s">
        <v>561</v>
      </c>
      <c r="AA143" s="1" t="s">
        <v>562</v>
      </c>
      <c r="AB143" s="1" t="s">
        <v>1280</v>
      </c>
      <c r="AD143" s="1" t="s">
        <v>550</v>
      </c>
    </row>
    <row r="144" customFormat="false" ht="15" hidden="false" customHeight="true" outlineLevel="0" collapsed="false">
      <c r="A144" s="1" t="s">
        <v>449</v>
      </c>
      <c r="B144" s="1" t="s">
        <v>1281</v>
      </c>
      <c r="C144" s="1" t="s">
        <v>28</v>
      </c>
      <c r="D144" s="14" t="s">
        <v>550</v>
      </c>
      <c r="E144" s="1" t="s">
        <v>551</v>
      </c>
      <c r="F144" s="1" t="s">
        <v>1239</v>
      </c>
      <c r="G144" s="1" t="s">
        <v>553</v>
      </c>
      <c r="H144" s="14" t="s">
        <v>550</v>
      </c>
      <c r="I144" s="1" t="s">
        <v>554</v>
      </c>
      <c r="J144" s="1" t="s">
        <v>1282</v>
      </c>
      <c r="K144" s="14"/>
      <c r="L144" s="1" t="s">
        <v>1283</v>
      </c>
      <c r="M144" s="1" t="s">
        <v>1248</v>
      </c>
      <c r="N144" s="1" t="s">
        <v>1143</v>
      </c>
      <c r="P144" s="1" t="s">
        <v>1284</v>
      </c>
      <c r="Q144" s="1" t="s">
        <v>1285</v>
      </c>
      <c r="R144" s="14" t="s">
        <v>554</v>
      </c>
      <c r="W144" s="1" t="s">
        <v>561</v>
      </c>
      <c r="X144" s="1" t="s">
        <v>561</v>
      </c>
      <c r="AA144" s="1" t="s">
        <v>562</v>
      </c>
      <c r="AB144" s="1" t="s">
        <v>1286</v>
      </c>
      <c r="AD144" s="1" t="s">
        <v>550</v>
      </c>
    </row>
    <row r="145" customFormat="false" ht="15" hidden="false" customHeight="true" outlineLevel="0" collapsed="false">
      <c r="A145" s="1" t="s">
        <v>456</v>
      </c>
      <c r="B145" s="1" t="s">
        <v>1287</v>
      </c>
      <c r="C145" s="1" t="s">
        <v>28</v>
      </c>
      <c r="D145" s="14" t="s">
        <v>550</v>
      </c>
      <c r="E145" s="1" t="s">
        <v>551</v>
      </c>
      <c r="F145" s="1" t="s">
        <v>1239</v>
      </c>
      <c r="G145" s="1" t="s">
        <v>553</v>
      </c>
      <c r="H145" s="14" t="s">
        <v>550</v>
      </c>
      <c r="I145" s="1" t="s">
        <v>554</v>
      </c>
      <c r="J145" s="1" t="s">
        <v>1288</v>
      </c>
      <c r="K145" s="14"/>
      <c r="L145" s="1" t="s">
        <v>1289</v>
      </c>
      <c r="M145" s="1" t="s">
        <v>1290</v>
      </c>
      <c r="N145" s="1" t="s">
        <v>1143</v>
      </c>
      <c r="P145" s="1" t="s">
        <v>1291</v>
      </c>
      <c r="Q145" s="1" t="s">
        <v>1152</v>
      </c>
      <c r="R145" s="14" t="s">
        <v>554</v>
      </c>
      <c r="W145" s="1" t="s">
        <v>561</v>
      </c>
      <c r="X145" s="1" t="s">
        <v>561</v>
      </c>
      <c r="AA145" s="1" t="s">
        <v>562</v>
      </c>
      <c r="AB145" s="1" t="s">
        <v>1292</v>
      </c>
      <c r="AD145" s="1" t="s">
        <v>550</v>
      </c>
    </row>
    <row r="146" customFormat="false" ht="15" hidden="false" customHeight="true" outlineLevel="0" collapsed="false">
      <c r="A146" s="1" t="s">
        <v>454</v>
      </c>
      <c r="B146" s="1" t="s">
        <v>1293</v>
      </c>
      <c r="C146" s="1" t="s">
        <v>28</v>
      </c>
      <c r="D146" s="14" t="s">
        <v>550</v>
      </c>
      <c r="E146" s="1" t="s">
        <v>551</v>
      </c>
      <c r="F146" s="1" t="s">
        <v>1239</v>
      </c>
      <c r="G146" s="1" t="s">
        <v>553</v>
      </c>
      <c r="H146" s="14" t="s">
        <v>550</v>
      </c>
      <c r="I146" s="1" t="s">
        <v>554</v>
      </c>
      <c r="J146" s="1" t="s">
        <v>1294</v>
      </c>
      <c r="K146" s="14"/>
      <c r="L146" s="1" t="s">
        <v>1295</v>
      </c>
      <c r="M146" s="1" t="s">
        <v>1296</v>
      </c>
      <c r="N146" s="1" t="s">
        <v>1143</v>
      </c>
      <c r="P146" s="1" t="s">
        <v>1297</v>
      </c>
      <c r="Q146" s="1" t="s">
        <v>1152</v>
      </c>
      <c r="R146" s="14" t="s">
        <v>554</v>
      </c>
      <c r="W146" s="1" t="s">
        <v>561</v>
      </c>
      <c r="X146" s="1" t="s">
        <v>561</v>
      </c>
      <c r="AA146" s="1" t="s">
        <v>562</v>
      </c>
      <c r="AB146" s="1" t="s">
        <v>1153</v>
      </c>
      <c r="AD146" s="1" t="s">
        <v>550</v>
      </c>
    </row>
    <row r="147" customFormat="false" ht="15" hidden="false" customHeight="true" outlineLevel="0" collapsed="false">
      <c r="A147" s="1" t="s">
        <v>1298</v>
      </c>
      <c r="B147" s="1" t="s">
        <v>1299</v>
      </c>
      <c r="C147" s="1" t="s">
        <v>28</v>
      </c>
      <c r="D147" s="14" t="s">
        <v>550</v>
      </c>
      <c r="E147" s="1" t="s">
        <v>551</v>
      </c>
      <c r="F147" s="1" t="s">
        <v>1239</v>
      </c>
      <c r="G147" s="1" t="s">
        <v>553</v>
      </c>
      <c r="H147" s="14" t="s">
        <v>550</v>
      </c>
      <c r="I147" s="1" t="s">
        <v>554</v>
      </c>
      <c r="J147" s="1" t="s">
        <v>1300</v>
      </c>
      <c r="K147" s="14"/>
      <c r="L147" s="1" t="s">
        <v>1301</v>
      </c>
      <c r="M147" s="1" t="s">
        <v>1302</v>
      </c>
      <c r="N147" s="1" t="s">
        <v>1143</v>
      </c>
      <c r="P147" s="1" t="s">
        <v>1303</v>
      </c>
      <c r="Q147" s="1" t="s">
        <v>1304</v>
      </c>
      <c r="R147" s="14" t="s">
        <v>554</v>
      </c>
      <c r="W147" s="1" t="s">
        <v>561</v>
      </c>
      <c r="X147" s="1" t="s">
        <v>561</v>
      </c>
      <c r="AA147" s="1" t="s">
        <v>562</v>
      </c>
      <c r="AB147" s="1" t="s">
        <v>1153</v>
      </c>
      <c r="AD147" s="1" t="s">
        <v>550</v>
      </c>
    </row>
    <row r="148" customFormat="false" ht="15" hidden="false" customHeight="true" outlineLevel="0" collapsed="false">
      <c r="A148" s="1" t="s">
        <v>1305</v>
      </c>
      <c r="B148" s="1" t="s">
        <v>1306</v>
      </c>
      <c r="C148" s="1" t="s">
        <v>28</v>
      </c>
      <c r="D148" s="14" t="s">
        <v>550</v>
      </c>
      <c r="E148" s="1" t="s">
        <v>551</v>
      </c>
      <c r="F148" s="1" t="s">
        <v>1239</v>
      </c>
      <c r="G148" s="1" t="s">
        <v>553</v>
      </c>
      <c r="H148" s="14" t="s">
        <v>550</v>
      </c>
      <c r="I148" s="1" t="s">
        <v>554</v>
      </c>
      <c r="J148" s="1" t="s">
        <v>1307</v>
      </c>
      <c r="K148" s="14"/>
      <c r="L148" s="1" t="s">
        <v>1308</v>
      </c>
      <c r="M148" s="1" t="s">
        <v>1309</v>
      </c>
      <c r="N148" s="1" t="s">
        <v>1143</v>
      </c>
      <c r="P148" s="1" t="s">
        <v>1310</v>
      </c>
      <c r="Q148" s="1" t="s">
        <v>1311</v>
      </c>
      <c r="R148" s="14" t="s">
        <v>554</v>
      </c>
      <c r="W148" s="1" t="s">
        <v>561</v>
      </c>
      <c r="X148" s="1" t="s">
        <v>561</v>
      </c>
      <c r="AA148" s="1" t="s">
        <v>562</v>
      </c>
      <c r="AB148" s="1" t="s">
        <v>1312</v>
      </c>
      <c r="AD148" s="1" t="s">
        <v>550</v>
      </c>
    </row>
    <row r="149" customFormat="false" ht="15" hidden="false" customHeight="true" outlineLevel="0" collapsed="false">
      <c r="A149" s="1" t="s">
        <v>451</v>
      </c>
      <c r="B149" s="1" t="s">
        <v>1313</v>
      </c>
      <c r="C149" s="1" t="s">
        <v>28</v>
      </c>
      <c r="D149" s="14" t="s">
        <v>550</v>
      </c>
      <c r="E149" s="1" t="s">
        <v>551</v>
      </c>
      <c r="F149" s="1" t="s">
        <v>1239</v>
      </c>
      <c r="G149" s="1" t="s">
        <v>553</v>
      </c>
      <c r="H149" s="14" t="s">
        <v>550</v>
      </c>
      <c r="I149" s="1" t="s">
        <v>554</v>
      </c>
      <c r="J149" s="1" t="s">
        <v>1314</v>
      </c>
      <c r="K149" s="14"/>
      <c r="L149" s="1" t="s">
        <v>1315</v>
      </c>
      <c r="M149" s="1" t="s">
        <v>1316</v>
      </c>
      <c r="N149" s="1" t="s">
        <v>1143</v>
      </c>
      <c r="P149" s="1" t="s">
        <v>1317</v>
      </c>
      <c r="Q149" s="1" t="s">
        <v>1152</v>
      </c>
      <c r="R149" s="14" t="s">
        <v>554</v>
      </c>
      <c r="W149" s="1" t="s">
        <v>561</v>
      </c>
      <c r="X149" s="1" t="s">
        <v>561</v>
      </c>
      <c r="AA149" s="1" t="s">
        <v>562</v>
      </c>
      <c r="AB149" s="1" t="s">
        <v>1318</v>
      </c>
      <c r="AD149" s="1" t="s">
        <v>550</v>
      </c>
    </row>
    <row r="150" customFormat="false" ht="15" hidden="false" customHeight="true" outlineLevel="0" collapsed="false">
      <c r="A150" s="1" t="s">
        <v>458</v>
      </c>
      <c r="B150" s="1" t="s">
        <v>1319</v>
      </c>
      <c r="C150" s="1" t="s">
        <v>28</v>
      </c>
      <c r="D150" s="14" t="s">
        <v>550</v>
      </c>
      <c r="E150" s="1" t="s">
        <v>551</v>
      </c>
      <c r="F150" s="1" t="s">
        <v>1239</v>
      </c>
      <c r="G150" s="1" t="s">
        <v>553</v>
      </c>
      <c r="H150" s="14" t="s">
        <v>550</v>
      </c>
      <c r="I150" s="1" t="s">
        <v>554</v>
      </c>
      <c r="J150" s="1" t="s">
        <v>1320</v>
      </c>
      <c r="K150" s="14"/>
      <c r="L150" s="1" t="s">
        <v>1321</v>
      </c>
      <c r="M150" s="1" t="s">
        <v>1322</v>
      </c>
      <c r="N150" s="1" t="s">
        <v>1143</v>
      </c>
      <c r="P150" s="1" t="s">
        <v>1323</v>
      </c>
      <c r="Q150" s="1" t="s">
        <v>1152</v>
      </c>
      <c r="R150" s="14" t="s">
        <v>554</v>
      </c>
      <c r="W150" s="1" t="s">
        <v>561</v>
      </c>
      <c r="X150" s="1" t="s">
        <v>561</v>
      </c>
      <c r="AA150" s="1" t="s">
        <v>562</v>
      </c>
      <c r="AB150" s="1" t="s">
        <v>1153</v>
      </c>
      <c r="AD150" s="1" t="s">
        <v>550</v>
      </c>
    </row>
    <row r="151" customFormat="false" ht="15" hidden="false" customHeight="true" outlineLevel="0" collapsed="false">
      <c r="A151" s="1" t="s">
        <v>461</v>
      </c>
      <c r="B151" s="1" t="s">
        <v>1324</v>
      </c>
      <c r="C151" s="1" t="s">
        <v>28</v>
      </c>
      <c r="D151" s="14" t="s">
        <v>550</v>
      </c>
      <c r="E151" s="1" t="s">
        <v>551</v>
      </c>
      <c r="F151" s="1" t="s">
        <v>1239</v>
      </c>
      <c r="G151" s="1" t="s">
        <v>553</v>
      </c>
      <c r="H151" s="14" t="s">
        <v>550</v>
      </c>
      <c r="I151" s="1" t="s">
        <v>554</v>
      </c>
      <c r="J151" s="1" t="s">
        <v>1325</v>
      </c>
      <c r="K151" s="14"/>
      <c r="L151" s="1" t="s">
        <v>1326</v>
      </c>
      <c r="M151" s="1" t="s">
        <v>1327</v>
      </c>
      <c r="N151" s="1" t="s">
        <v>1143</v>
      </c>
      <c r="P151" s="1" t="s">
        <v>1328</v>
      </c>
      <c r="Q151" s="1" t="s">
        <v>1152</v>
      </c>
      <c r="R151" s="14" t="s">
        <v>554</v>
      </c>
      <c r="W151" s="1" t="s">
        <v>561</v>
      </c>
      <c r="X151" s="1" t="s">
        <v>561</v>
      </c>
      <c r="AA151" s="1" t="s">
        <v>562</v>
      </c>
      <c r="AB151" s="1" t="s">
        <v>1153</v>
      </c>
      <c r="AD151" s="1" t="s">
        <v>550</v>
      </c>
    </row>
    <row r="152" customFormat="false" ht="15" hidden="false" customHeight="true" outlineLevel="0" collapsed="false">
      <c r="A152" s="1" t="s">
        <v>489</v>
      </c>
      <c r="B152" s="1" t="s">
        <v>1329</v>
      </c>
      <c r="C152" s="1" t="s">
        <v>29</v>
      </c>
      <c r="D152" s="14" t="s">
        <v>1330</v>
      </c>
      <c r="E152" s="1" t="s">
        <v>551</v>
      </c>
      <c r="F152" s="1" t="s">
        <v>1331</v>
      </c>
      <c r="G152" s="1" t="s">
        <v>553</v>
      </c>
      <c r="H152" s="14" t="s">
        <v>1330</v>
      </c>
      <c r="I152" s="1" t="s">
        <v>554</v>
      </c>
      <c r="J152" s="1" t="s">
        <v>1332</v>
      </c>
      <c r="K152" s="14"/>
      <c r="L152" s="1" t="s">
        <v>1333</v>
      </c>
      <c r="M152" s="1" t="s">
        <v>1334</v>
      </c>
      <c r="N152" s="1" t="s">
        <v>1335</v>
      </c>
      <c r="P152" s="1" t="s">
        <v>689</v>
      </c>
      <c r="Q152" s="1" t="s">
        <v>1336</v>
      </c>
      <c r="R152" s="14" t="s">
        <v>554</v>
      </c>
      <c r="X152" s="1" t="s">
        <v>561</v>
      </c>
      <c r="Z152" s="1" t="s">
        <v>554</v>
      </c>
      <c r="AB152" s="1" t="s">
        <v>562</v>
      </c>
      <c r="AC152" s="1" t="s">
        <v>1337</v>
      </c>
      <c r="AD152" s="1" t="s">
        <v>1330</v>
      </c>
    </row>
    <row r="153" customFormat="false" ht="15" hidden="false" customHeight="true" outlineLevel="0" collapsed="false">
      <c r="A153" s="1" t="s">
        <v>487</v>
      </c>
      <c r="B153" s="1" t="s">
        <v>1338</v>
      </c>
      <c r="C153" s="1" t="s">
        <v>29</v>
      </c>
      <c r="D153" s="14" t="s">
        <v>1330</v>
      </c>
      <c r="E153" s="1" t="s">
        <v>551</v>
      </c>
      <c r="F153" s="1" t="s">
        <v>1331</v>
      </c>
      <c r="G153" s="1" t="s">
        <v>553</v>
      </c>
      <c r="H153" s="14" t="s">
        <v>1330</v>
      </c>
      <c r="I153" s="1" t="s">
        <v>554</v>
      </c>
      <c r="J153" s="1" t="s">
        <v>1339</v>
      </c>
      <c r="K153" s="14" t="n">
        <v>2011</v>
      </c>
      <c r="L153" s="1" t="s">
        <v>1340</v>
      </c>
      <c r="M153" s="1" t="s">
        <v>1341</v>
      </c>
      <c r="N153" s="1" t="s">
        <v>1335</v>
      </c>
      <c r="P153" s="1" t="s">
        <v>560</v>
      </c>
      <c r="Q153" s="1" t="s">
        <v>1342</v>
      </c>
      <c r="R153" s="14" t="s">
        <v>554</v>
      </c>
      <c r="X153" s="1" t="s">
        <v>561</v>
      </c>
      <c r="AB153" s="1" t="s">
        <v>562</v>
      </c>
      <c r="AC153" s="1" t="s">
        <v>1343</v>
      </c>
      <c r="AD153" s="1" t="s">
        <v>1330</v>
      </c>
    </row>
    <row r="154" customFormat="false" ht="15" hidden="false" customHeight="true" outlineLevel="0" collapsed="false">
      <c r="A154" s="1" t="s">
        <v>480</v>
      </c>
      <c r="B154" s="1" t="s">
        <v>1344</v>
      </c>
      <c r="C154" s="1" t="s">
        <v>29</v>
      </c>
      <c r="D154" s="14" t="s">
        <v>1330</v>
      </c>
      <c r="E154" s="1" t="s">
        <v>551</v>
      </c>
      <c r="F154" s="1" t="s">
        <v>1331</v>
      </c>
      <c r="G154" s="1" t="s">
        <v>553</v>
      </c>
      <c r="H154" s="14" t="s">
        <v>1330</v>
      </c>
      <c r="I154" s="1" t="s">
        <v>554</v>
      </c>
      <c r="J154" s="1" t="s">
        <v>1345</v>
      </c>
      <c r="K154" s="14" t="n">
        <v>2008</v>
      </c>
      <c r="L154" s="1" t="s">
        <v>1346</v>
      </c>
      <c r="M154" s="1" t="s">
        <v>1347</v>
      </c>
      <c r="N154" s="1" t="s">
        <v>1335</v>
      </c>
      <c r="P154" s="1" t="s">
        <v>560</v>
      </c>
      <c r="Q154" s="1" t="s">
        <v>1348</v>
      </c>
      <c r="R154" s="14" t="s">
        <v>554</v>
      </c>
      <c r="X154" s="1" t="s">
        <v>561</v>
      </c>
      <c r="AB154" s="1" t="s">
        <v>562</v>
      </c>
      <c r="AC154" s="1" t="s">
        <v>1349</v>
      </c>
      <c r="AD154" s="1" t="s">
        <v>1330</v>
      </c>
    </row>
    <row r="155" customFormat="false" ht="15" hidden="false" customHeight="true" outlineLevel="0" collapsed="false">
      <c r="A155" s="1" t="s">
        <v>483</v>
      </c>
      <c r="B155" s="1" t="s">
        <v>1350</v>
      </c>
      <c r="C155" s="1" t="s">
        <v>29</v>
      </c>
      <c r="D155" s="14" t="s">
        <v>1330</v>
      </c>
      <c r="E155" s="1" t="s">
        <v>551</v>
      </c>
      <c r="F155" s="1" t="s">
        <v>1331</v>
      </c>
      <c r="G155" s="1" t="s">
        <v>553</v>
      </c>
      <c r="H155" s="14" t="s">
        <v>1330</v>
      </c>
      <c r="I155" s="1" t="s">
        <v>554</v>
      </c>
      <c r="J155" s="1" t="s">
        <v>1351</v>
      </c>
      <c r="K155" s="14"/>
      <c r="L155" s="1" t="s">
        <v>557</v>
      </c>
      <c r="M155" s="1" t="s">
        <v>1352</v>
      </c>
      <c r="N155" s="1" t="s">
        <v>1335</v>
      </c>
      <c r="P155" s="1" t="s">
        <v>560</v>
      </c>
      <c r="Q155" s="1" t="s">
        <v>1353</v>
      </c>
      <c r="R155" s="14" t="s">
        <v>554</v>
      </c>
      <c r="X155" s="1" t="s">
        <v>561</v>
      </c>
      <c r="Z155" s="1" t="s">
        <v>554</v>
      </c>
      <c r="AB155" s="1" t="s">
        <v>562</v>
      </c>
      <c r="AC155" s="1" t="s">
        <v>1354</v>
      </c>
      <c r="AD155" s="1" t="s">
        <v>1330</v>
      </c>
    </row>
    <row r="156" customFormat="false" ht="15" hidden="false" customHeight="true" outlineLevel="0" collapsed="false">
      <c r="A156" s="1" t="s">
        <v>485</v>
      </c>
      <c r="B156" s="1" t="s">
        <v>1355</v>
      </c>
      <c r="C156" s="1" t="s">
        <v>29</v>
      </c>
      <c r="D156" s="14" t="s">
        <v>1330</v>
      </c>
      <c r="E156" s="1" t="s">
        <v>551</v>
      </c>
      <c r="F156" s="1" t="s">
        <v>1331</v>
      </c>
      <c r="G156" s="1" t="s">
        <v>553</v>
      </c>
      <c r="H156" s="14" t="s">
        <v>1330</v>
      </c>
      <c r="I156" s="1" t="s">
        <v>554</v>
      </c>
      <c r="J156" s="1" t="s">
        <v>1356</v>
      </c>
      <c r="K156" s="14"/>
      <c r="L156" s="1" t="s">
        <v>557</v>
      </c>
      <c r="M156" s="1" t="s">
        <v>1357</v>
      </c>
      <c r="N156" s="1" t="s">
        <v>1335</v>
      </c>
      <c r="P156" s="1" t="s">
        <v>560</v>
      </c>
      <c r="Q156" s="1" t="s">
        <v>1358</v>
      </c>
      <c r="R156" s="14" t="s">
        <v>554</v>
      </c>
      <c r="X156" s="1" t="s">
        <v>561</v>
      </c>
      <c r="Z156" s="1" t="s">
        <v>554</v>
      </c>
      <c r="AB156" s="1" t="s">
        <v>562</v>
      </c>
      <c r="AC156" s="1" t="s">
        <v>1359</v>
      </c>
      <c r="AD156" s="1" t="s">
        <v>1330</v>
      </c>
    </row>
    <row r="157" customFormat="false" ht="15" hidden="false" customHeight="true" outlineLevel="0" collapsed="false">
      <c r="A157" s="1" t="s">
        <v>470</v>
      </c>
      <c r="B157" s="1" t="s">
        <v>1360</v>
      </c>
      <c r="C157" s="1" t="s">
        <v>29</v>
      </c>
      <c r="D157" s="14" t="s">
        <v>1330</v>
      </c>
      <c r="E157" s="1" t="s">
        <v>551</v>
      </c>
      <c r="F157" s="1" t="s">
        <v>1331</v>
      </c>
      <c r="G157" s="1" t="s">
        <v>553</v>
      </c>
      <c r="H157" s="14" t="s">
        <v>1330</v>
      </c>
      <c r="I157" s="1" t="s">
        <v>554</v>
      </c>
      <c r="J157" s="1" t="s">
        <v>1361</v>
      </c>
      <c r="K157" s="14"/>
      <c r="L157" s="1" t="s">
        <v>557</v>
      </c>
      <c r="M157" s="1" t="s">
        <v>1357</v>
      </c>
      <c r="N157" s="1" t="s">
        <v>1335</v>
      </c>
      <c r="P157" s="1" t="s">
        <v>560</v>
      </c>
      <c r="Q157" s="1" t="s">
        <v>1362</v>
      </c>
      <c r="R157" s="14" t="s">
        <v>554</v>
      </c>
      <c r="X157" s="1" t="s">
        <v>561</v>
      </c>
      <c r="AB157" s="1" t="s">
        <v>562</v>
      </c>
      <c r="AC157" s="1" t="s">
        <v>1363</v>
      </c>
      <c r="AD157" s="1" t="s">
        <v>1330</v>
      </c>
    </row>
    <row r="158" customFormat="false" ht="15" hidden="false" customHeight="true" outlineLevel="0" collapsed="false">
      <c r="A158" s="1" t="s">
        <v>474</v>
      </c>
      <c r="B158" s="1" t="s">
        <v>1364</v>
      </c>
      <c r="C158" s="1" t="s">
        <v>29</v>
      </c>
      <c r="D158" s="14" t="s">
        <v>1330</v>
      </c>
      <c r="E158" s="1" t="s">
        <v>551</v>
      </c>
      <c r="F158" s="1" t="s">
        <v>1331</v>
      </c>
      <c r="G158" s="1" t="s">
        <v>553</v>
      </c>
      <c r="H158" s="14" t="s">
        <v>1330</v>
      </c>
      <c r="I158" s="1" t="s">
        <v>554</v>
      </c>
      <c r="J158" s="1" t="s">
        <v>1365</v>
      </c>
      <c r="K158" s="14" t="n">
        <v>2008</v>
      </c>
      <c r="L158" s="1" t="s">
        <v>1366</v>
      </c>
      <c r="M158" s="1" t="s">
        <v>1367</v>
      </c>
      <c r="N158" s="1" t="s">
        <v>1335</v>
      </c>
      <c r="P158" s="1" t="s">
        <v>689</v>
      </c>
      <c r="Q158" s="1" t="s">
        <v>1368</v>
      </c>
      <c r="R158" s="14" t="s">
        <v>554</v>
      </c>
      <c r="X158" s="1" t="s">
        <v>561</v>
      </c>
      <c r="AB158" s="1" t="s">
        <v>562</v>
      </c>
      <c r="AC158" s="1" t="s">
        <v>1369</v>
      </c>
      <c r="AD158" s="1" t="s">
        <v>1330</v>
      </c>
    </row>
    <row r="159" customFormat="false" ht="15" hidden="false" customHeight="true" outlineLevel="0" collapsed="false">
      <c r="A159" s="1" t="s">
        <v>477</v>
      </c>
      <c r="B159" s="1" t="s">
        <v>1370</v>
      </c>
      <c r="C159" s="1" t="s">
        <v>29</v>
      </c>
      <c r="D159" s="14" t="s">
        <v>1330</v>
      </c>
      <c r="E159" s="1" t="s">
        <v>551</v>
      </c>
      <c r="F159" s="1" t="s">
        <v>1331</v>
      </c>
      <c r="G159" s="1" t="s">
        <v>553</v>
      </c>
      <c r="H159" s="14" t="s">
        <v>1330</v>
      </c>
      <c r="I159" s="1" t="s">
        <v>554</v>
      </c>
      <c r="J159" s="1" t="s">
        <v>1371</v>
      </c>
      <c r="K159" s="14" t="n">
        <v>1995</v>
      </c>
      <c r="L159" s="1" t="s">
        <v>1372</v>
      </c>
      <c r="M159" s="1" t="s">
        <v>1357</v>
      </c>
      <c r="N159" s="1" t="s">
        <v>1335</v>
      </c>
      <c r="P159" s="1" t="s">
        <v>689</v>
      </c>
      <c r="Q159" s="1" t="s">
        <v>1373</v>
      </c>
      <c r="R159" s="14" t="s">
        <v>554</v>
      </c>
      <c r="X159" s="1" t="s">
        <v>561</v>
      </c>
      <c r="AB159" s="1" t="s">
        <v>562</v>
      </c>
      <c r="AC159" s="1" t="s">
        <v>1349</v>
      </c>
      <c r="AD159" s="1" t="s">
        <v>1330</v>
      </c>
    </row>
    <row r="160" customFormat="false" ht="15" hidden="false" customHeight="true" outlineLevel="0" collapsed="false">
      <c r="A160" s="1" t="s">
        <v>463</v>
      </c>
      <c r="B160" s="1" t="s">
        <v>1374</v>
      </c>
      <c r="C160" s="1" t="s">
        <v>29</v>
      </c>
      <c r="D160" s="14" t="s">
        <v>1330</v>
      </c>
      <c r="E160" s="1" t="s">
        <v>551</v>
      </c>
      <c r="F160" s="1" t="s">
        <v>1331</v>
      </c>
      <c r="G160" s="1" t="s">
        <v>553</v>
      </c>
      <c r="H160" s="14" t="s">
        <v>1330</v>
      </c>
      <c r="I160" s="1" t="s">
        <v>554</v>
      </c>
      <c r="J160" s="1" t="s">
        <v>1375</v>
      </c>
      <c r="K160" s="14" t="n">
        <v>2012</v>
      </c>
      <c r="L160" s="1" t="s">
        <v>557</v>
      </c>
      <c r="M160" s="1" t="s">
        <v>1376</v>
      </c>
      <c r="N160" s="1" t="s">
        <v>1335</v>
      </c>
      <c r="P160" s="1" t="s">
        <v>560</v>
      </c>
      <c r="Q160" s="1" t="s">
        <v>1377</v>
      </c>
      <c r="R160" s="14" t="s">
        <v>554</v>
      </c>
      <c r="X160" s="1" t="s">
        <v>561</v>
      </c>
      <c r="AB160" s="1" t="s">
        <v>562</v>
      </c>
      <c r="AC160" s="1" t="s">
        <v>1378</v>
      </c>
      <c r="AD160" s="1" t="s">
        <v>1330</v>
      </c>
    </row>
    <row r="161" customFormat="false" ht="15" hidden="false" customHeight="true" outlineLevel="0" collapsed="false">
      <c r="A161" s="1" t="s">
        <v>1379</v>
      </c>
      <c r="B161" s="1" t="s">
        <v>1380</v>
      </c>
      <c r="C161" s="1" t="s">
        <v>29</v>
      </c>
      <c r="D161" s="14" t="s">
        <v>1330</v>
      </c>
      <c r="E161" s="1" t="s">
        <v>551</v>
      </c>
      <c r="F161" s="1" t="s">
        <v>1331</v>
      </c>
      <c r="G161" s="1" t="s">
        <v>553</v>
      </c>
      <c r="H161" s="14" t="s">
        <v>1330</v>
      </c>
      <c r="I161" s="1" t="s">
        <v>554</v>
      </c>
      <c r="J161" s="1" t="s">
        <v>1381</v>
      </c>
      <c r="K161" s="14" t="n">
        <v>2013</v>
      </c>
      <c r="L161" s="1" t="s">
        <v>1382</v>
      </c>
      <c r="M161" s="1" t="s">
        <v>1383</v>
      </c>
      <c r="N161" s="1" t="s">
        <v>1335</v>
      </c>
      <c r="P161" s="1" t="s">
        <v>689</v>
      </c>
      <c r="Q161" s="1" t="s">
        <v>1384</v>
      </c>
      <c r="R161" s="14" t="s">
        <v>554</v>
      </c>
      <c r="X161" s="1" t="s">
        <v>561</v>
      </c>
      <c r="AB161" s="1" t="s">
        <v>562</v>
      </c>
      <c r="AC161" s="1" t="s">
        <v>1349</v>
      </c>
      <c r="AD161" s="1" t="s">
        <v>1330</v>
      </c>
    </row>
    <row r="162" customFormat="false" ht="15" hidden="false" customHeight="true" outlineLevel="0" collapsed="false">
      <c r="A162" s="1" t="s">
        <v>1385</v>
      </c>
      <c r="B162" s="1" t="s">
        <v>1386</v>
      </c>
      <c r="C162" s="1" t="s">
        <v>29</v>
      </c>
      <c r="D162" s="14" t="s">
        <v>1330</v>
      </c>
      <c r="E162" s="1" t="s">
        <v>551</v>
      </c>
      <c r="F162" s="1" t="s">
        <v>1331</v>
      </c>
      <c r="G162" s="1" t="s">
        <v>553</v>
      </c>
      <c r="H162" s="14" t="s">
        <v>1330</v>
      </c>
      <c r="I162" s="1" t="s">
        <v>554</v>
      </c>
      <c r="J162" s="1" t="s">
        <v>1387</v>
      </c>
      <c r="K162" s="14"/>
      <c r="L162" s="1" t="s">
        <v>1388</v>
      </c>
      <c r="M162" s="1" t="s">
        <v>1383</v>
      </c>
      <c r="N162" s="1" t="s">
        <v>1335</v>
      </c>
      <c r="P162" s="1" t="s">
        <v>560</v>
      </c>
      <c r="Q162" s="1" t="s">
        <v>1389</v>
      </c>
      <c r="R162" s="14" t="s">
        <v>554</v>
      </c>
      <c r="X162" s="1" t="s">
        <v>561</v>
      </c>
      <c r="AB162" s="1" t="s">
        <v>562</v>
      </c>
      <c r="AC162" s="1" t="s">
        <v>1390</v>
      </c>
      <c r="AD162" s="1" t="s">
        <v>1330</v>
      </c>
    </row>
    <row r="163" customFormat="false" ht="15" hidden="false" customHeight="true" outlineLevel="0" collapsed="false">
      <c r="A163" s="1" t="s">
        <v>465</v>
      </c>
      <c r="B163" s="1" t="s">
        <v>1391</v>
      </c>
      <c r="C163" s="1" t="s">
        <v>29</v>
      </c>
      <c r="D163" s="14" t="s">
        <v>1330</v>
      </c>
      <c r="E163" s="1" t="s">
        <v>551</v>
      </c>
      <c r="F163" s="1" t="s">
        <v>1331</v>
      </c>
      <c r="G163" s="1" t="s">
        <v>553</v>
      </c>
      <c r="H163" s="14" t="s">
        <v>1330</v>
      </c>
      <c r="I163" s="1" t="s">
        <v>554</v>
      </c>
      <c r="J163" s="1" t="s">
        <v>1392</v>
      </c>
      <c r="K163" s="14"/>
      <c r="L163" s="1" t="s">
        <v>557</v>
      </c>
      <c r="M163" s="1" t="s">
        <v>1357</v>
      </c>
      <c r="N163" s="1" t="s">
        <v>1335</v>
      </c>
      <c r="P163" s="1" t="s">
        <v>560</v>
      </c>
      <c r="Q163" s="1" t="s">
        <v>1393</v>
      </c>
      <c r="R163" s="14" t="s">
        <v>554</v>
      </c>
      <c r="X163" s="1" t="s">
        <v>561</v>
      </c>
      <c r="AB163" s="1" t="s">
        <v>562</v>
      </c>
      <c r="AC163" s="1" t="s">
        <v>1394</v>
      </c>
      <c r="AD163" s="1" t="s">
        <v>1330</v>
      </c>
    </row>
    <row r="164" customFormat="false" ht="15" hidden="false" customHeight="true" outlineLevel="0" collapsed="false">
      <c r="A164" s="1" t="s">
        <v>1395</v>
      </c>
      <c r="B164" s="1" t="s">
        <v>1396</v>
      </c>
      <c r="C164" s="1" t="s">
        <v>29</v>
      </c>
      <c r="D164" s="14" t="s">
        <v>1330</v>
      </c>
      <c r="E164" s="1" t="s">
        <v>551</v>
      </c>
      <c r="F164" s="1" t="s">
        <v>1331</v>
      </c>
      <c r="G164" s="1" t="s">
        <v>553</v>
      </c>
      <c r="H164" s="14" t="s">
        <v>1330</v>
      </c>
      <c r="I164" s="1" t="s">
        <v>554</v>
      </c>
      <c r="J164" s="1" t="s">
        <v>1397</v>
      </c>
      <c r="K164" s="14"/>
      <c r="L164" s="1" t="s">
        <v>557</v>
      </c>
      <c r="M164" s="1" t="s">
        <v>1398</v>
      </c>
      <c r="N164" s="1" t="s">
        <v>1335</v>
      </c>
      <c r="P164" s="1" t="s">
        <v>560</v>
      </c>
      <c r="Q164" s="1" t="s">
        <v>1399</v>
      </c>
      <c r="R164" s="14" t="s">
        <v>554</v>
      </c>
      <c r="X164" s="1" t="s">
        <v>561</v>
      </c>
      <c r="AB164" s="1" t="s">
        <v>562</v>
      </c>
      <c r="AC164" s="1" t="s">
        <v>1400</v>
      </c>
      <c r="AD164" s="1" t="s">
        <v>1330</v>
      </c>
    </row>
    <row r="165" customFormat="false" ht="15" hidden="false" customHeight="true" outlineLevel="0" collapsed="false">
      <c r="A165" s="1" t="s">
        <v>1401</v>
      </c>
      <c r="B165" s="1" t="s">
        <v>1402</v>
      </c>
      <c r="C165" s="1" t="s">
        <v>29</v>
      </c>
      <c r="D165" s="14" t="s">
        <v>1330</v>
      </c>
      <c r="E165" s="1" t="s">
        <v>551</v>
      </c>
      <c r="F165" s="1" t="s">
        <v>1331</v>
      </c>
      <c r="G165" s="1" t="s">
        <v>553</v>
      </c>
      <c r="H165" s="14" t="s">
        <v>1330</v>
      </c>
      <c r="I165" s="1" t="s">
        <v>554</v>
      </c>
      <c r="J165" s="1" t="s">
        <v>1403</v>
      </c>
      <c r="K165" s="14"/>
      <c r="L165" s="1" t="s">
        <v>557</v>
      </c>
      <c r="M165" s="1" t="s">
        <v>1357</v>
      </c>
      <c r="N165" s="1" t="s">
        <v>1335</v>
      </c>
      <c r="P165" s="1" t="s">
        <v>689</v>
      </c>
      <c r="Q165" s="1" t="s">
        <v>1404</v>
      </c>
      <c r="R165" s="14" t="s">
        <v>554</v>
      </c>
      <c r="X165" s="1" t="s">
        <v>561</v>
      </c>
      <c r="AB165" s="1" t="s">
        <v>562</v>
      </c>
      <c r="AC165" s="1" t="s">
        <v>1405</v>
      </c>
      <c r="AD165" s="1" t="s">
        <v>1330</v>
      </c>
    </row>
    <row r="166" customFormat="false" ht="15" hidden="false" customHeight="true" outlineLevel="0" collapsed="false">
      <c r="A166" s="1" t="s">
        <v>468</v>
      </c>
      <c r="B166" s="1" t="s">
        <v>1406</v>
      </c>
      <c r="C166" s="1" t="s">
        <v>29</v>
      </c>
      <c r="D166" s="14" t="s">
        <v>1330</v>
      </c>
      <c r="E166" s="1" t="s">
        <v>551</v>
      </c>
      <c r="F166" s="1" t="s">
        <v>1331</v>
      </c>
      <c r="G166" s="1" t="s">
        <v>553</v>
      </c>
      <c r="H166" s="14" t="s">
        <v>1330</v>
      </c>
      <c r="I166" s="1" t="s">
        <v>554</v>
      </c>
      <c r="J166" s="1" t="s">
        <v>1407</v>
      </c>
      <c r="K166" s="14"/>
      <c r="L166" s="1" t="s">
        <v>557</v>
      </c>
      <c r="M166" s="1" t="s">
        <v>1408</v>
      </c>
      <c r="N166" s="1" t="s">
        <v>1335</v>
      </c>
      <c r="P166" s="1" t="s">
        <v>560</v>
      </c>
      <c r="Q166" s="1" t="s">
        <v>1409</v>
      </c>
      <c r="R166" s="14" t="s">
        <v>554</v>
      </c>
      <c r="X166" s="1" t="s">
        <v>561</v>
      </c>
      <c r="AB166" s="1" t="s">
        <v>562</v>
      </c>
      <c r="AC166" s="1" t="s">
        <v>1410</v>
      </c>
      <c r="AD166" s="1" t="s">
        <v>1330</v>
      </c>
    </row>
    <row r="167" customFormat="false" ht="15" hidden="false" customHeight="true" outlineLevel="0" collapsed="false">
      <c r="A167" s="1" t="s">
        <v>515</v>
      </c>
      <c r="B167" s="1" t="s">
        <v>1411</v>
      </c>
      <c r="C167" s="1" t="s">
        <v>30</v>
      </c>
      <c r="D167" s="14" t="s">
        <v>1330</v>
      </c>
      <c r="E167" s="1" t="s">
        <v>551</v>
      </c>
      <c r="F167" s="1" t="s">
        <v>1412</v>
      </c>
      <c r="G167" s="1" t="s">
        <v>553</v>
      </c>
      <c r="H167" s="14" t="s">
        <v>1330</v>
      </c>
      <c r="I167" s="1" t="s">
        <v>554</v>
      </c>
      <c r="J167" s="1" t="s">
        <v>1413</v>
      </c>
      <c r="K167" s="14" t="n">
        <v>2018</v>
      </c>
      <c r="L167" s="1" t="s">
        <v>557</v>
      </c>
      <c r="M167" s="1" t="s">
        <v>1414</v>
      </c>
      <c r="N167" s="1" t="s">
        <v>1335</v>
      </c>
      <c r="P167" s="1" t="s">
        <v>560</v>
      </c>
      <c r="Q167" s="1" t="s">
        <v>1415</v>
      </c>
      <c r="R167" s="14" t="s">
        <v>554</v>
      </c>
      <c r="X167" s="1" t="s">
        <v>561</v>
      </c>
      <c r="Z167" s="1" t="s">
        <v>554</v>
      </c>
      <c r="AB167" s="1" t="s">
        <v>562</v>
      </c>
      <c r="AC167" s="1" t="s">
        <v>1416</v>
      </c>
      <c r="AD167" s="1" t="s">
        <v>1330</v>
      </c>
    </row>
    <row r="168" customFormat="false" ht="15" hidden="false" customHeight="true" outlineLevel="0" collapsed="false">
      <c r="A168" s="1" t="s">
        <v>517</v>
      </c>
      <c r="B168" s="1" t="s">
        <v>1417</v>
      </c>
      <c r="C168" s="1" t="s">
        <v>30</v>
      </c>
      <c r="D168" s="14" t="s">
        <v>1330</v>
      </c>
      <c r="E168" s="1" t="s">
        <v>551</v>
      </c>
      <c r="F168" s="1" t="s">
        <v>1412</v>
      </c>
      <c r="G168" s="1" t="s">
        <v>553</v>
      </c>
      <c r="H168" s="14" t="s">
        <v>1330</v>
      </c>
      <c r="I168" s="1" t="s">
        <v>554</v>
      </c>
      <c r="J168" s="1" t="s">
        <v>1418</v>
      </c>
      <c r="K168" s="14" t="n">
        <v>2020</v>
      </c>
      <c r="L168" s="1" t="s">
        <v>557</v>
      </c>
      <c r="M168" s="1" t="s">
        <v>1419</v>
      </c>
      <c r="N168" s="1" t="s">
        <v>1335</v>
      </c>
      <c r="P168" s="1" t="s">
        <v>560</v>
      </c>
      <c r="Q168" s="1" t="s">
        <v>1420</v>
      </c>
      <c r="R168" s="14" t="s">
        <v>554</v>
      </c>
      <c r="X168" s="1" t="s">
        <v>561</v>
      </c>
      <c r="AA168" s="1" t="s">
        <v>554</v>
      </c>
      <c r="AB168" s="1" t="s">
        <v>562</v>
      </c>
      <c r="AC168" s="1" t="s">
        <v>1421</v>
      </c>
      <c r="AD168" s="1" t="s">
        <v>1330</v>
      </c>
    </row>
    <row r="169" customFormat="false" ht="15" hidden="false" customHeight="true" outlineLevel="0" collapsed="false">
      <c r="A169" s="1" t="s">
        <v>509</v>
      </c>
      <c r="B169" s="1" t="s">
        <v>1422</v>
      </c>
      <c r="C169" s="1" t="s">
        <v>30</v>
      </c>
      <c r="D169" s="14" t="s">
        <v>1330</v>
      </c>
      <c r="E169" s="1" t="s">
        <v>551</v>
      </c>
      <c r="F169" s="1" t="s">
        <v>1412</v>
      </c>
      <c r="G169" s="1" t="s">
        <v>553</v>
      </c>
      <c r="H169" s="14" t="s">
        <v>1330</v>
      </c>
      <c r="I169" s="1" t="s">
        <v>554</v>
      </c>
      <c r="J169" s="1" t="s">
        <v>1423</v>
      </c>
      <c r="K169" s="14" t="n">
        <v>2020</v>
      </c>
      <c r="L169" s="1" t="s">
        <v>557</v>
      </c>
      <c r="M169" s="1" t="s">
        <v>1424</v>
      </c>
      <c r="N169" s="1" t="s">
        <v>1335</v>
      </c>
      <c r="P169" s="1" t="s">
        <v>560</v>
      </c>
      <c r="Q169" s="1" t="s">
        <v>1425</v>
      </c>
      <c r="R169" s="14" t="s">
        <v>554</v>
      </c>
      <c r="X169" s="1" t="s">
        <v>561</v>
      </c>
      <c r="AA169" s="1" t="s">
        <v>554</v>
      </c>
      <c r="AB169" s="1" t="s">
        <v>562</v>
      </c>
      <c r="AC169" s="1" t="s">
        <v>1426</v>
      </c>
      <c r="AD169" s="1" t="s">
        <v>1330</v>
      </c>
    </row>
    <row r="170" customFormat="false" ht="15" hidden="false" customHeight="true" outlineLevel="0" collapsed="false">
      <c r="A170" s="1" t="s">
        <v>511</v>
      </c>
      <c r="B170" s="1" t="s">
        <v>1427</v>
      </c>
      <c r="C170" s="1" t="s">
        <v>30</v>
      </c>
      <c r="D170" s="14" t="s">
        <v>1330</v>
      </c>
      <c r="E170" s="1" t="s">
        <v>551</v>
      </c>
      <c r="F170" s="1" t="s">
        <v>1412</v>
      </c>
      <c r="G170" s="1" t="s">
        <v>553</v>
      </c>
      <c r="H170" s="14" t="s">
        <v>1330</v>
      </c>
      <c r="I170" s="1" t="s">
        <v>554</v>
      </c>
      <c r="J170" s="1" t="s">
        <v>1428</v>
      </c>
      <c r="K170" s="14" t="n">
        <v>2020</v>
      </c>
      <c r="L170" s="1" t="s">
        <v>557</v>
      </c>
      <c r="M170" s="1" t="s">
        <v>1429</v>
      </c>
      <c r="N170" s="1" t="s">
        <v>1335</v>
      </c>
      <c r="P170" s="1" t="s">
        <v>560</v>
      </c>
      <c r="Q170" s="1" t="s">
        <v>1430</v>
      </c>
      <c r="R170" s="14" t="s">
        <v>554</v>
      </c>
      <c r="X170" s="1" t="s">
        <v>561</v>
      </c>
      <c r="AB170" s="1" t="s">
        <v>562</v>
      </c>
      <c r="AC170" s="1" t="s">
        <v>1431</v>
      </c>
      <c r="AD170" s="1" t="s">
        <v>1330</v>
      </c>
    </row>
    <row r="171" customFormat="false" ht="15" hidden="false" customHeight="true" outlineLevel="0" collapsed="false">
      <c r="A171" s="1" t="s">
        <v>513</v>
      </c>
      <c r="B171" s="1" t="s">
        <v>1432</v>
      </c>
      <c r="C171" s="1" t="s">
        <v>30</v>
      </c>
      <c r="D171" s="14" t="s">
        <v>1330</v>
      </c>
      <c r="E171" s="1" t="s">
        <v>551</v>
      </c>
      <c r="F171" s="1" t="s">
        <v>1412</v>
      </c>
      <c r="G171" s="1" t="s">
        <v>553</v>
      </c>
      <c r="H171" s="14" t="s">
        <v>1330</v>
      </c>
      <c r="I171" s="1" t="s">
        <v>554</v>
      </c>
      <c r="J171" s="1" t="s">
        <v>1433</v>
      </c>
      <c r="K171" s="14"/>
      <c r="L171" s="1" t="s">
        <v>557</v>
      </c>
      <c r="M171" s="1" t="s">
        <v>1434</v>
      </c>
      <c r="N171" s="1" t="s">
        <v>1335</v>
      </c>
      <c r="P171" s="1" t="s">
        <v>560</v>
      </c>
      <c r="Q171" s="1" t="s">
        <v>1425</v>
      </c>
      <c r="R171" s="14" t="s">
        <v>554</v>
      </c>
      <c r="X171" s="1" t="s">
        <v>561</v>
      </c>
      <c r="AB171" s="1" t="s">
        <v>562</v>
      </c>
      <c r="AC171" s="1" t="s">
        <v>1435</v>
      </c>
      <c r="AD171" s="1" t="s">
        <v>1330</v>
      </c>
    </row>
    <row r="172" customFormat="false" ht="15" hidden="false" customHeight="true" outlineLevel="0" collapsed="false">
      <c r="A172" s="1" t="s">
        <v>1436</v>
      </c>
      <c r="B172" s="1" t="s">
        <v>1437</v>
      </c>
      <c r="C172" s="1" t="s">
        <v>30</v>
      </c>
      <c r="D172" s="14" t="s">
        <v>1330</v>
      </c>
      <c r="E172" s="1" t="s">
        <v>551</v>
      </c>
      <c r="F172" s="1" t="s">
        <v>1412</v>
      </c>
      <c r="G172" s="1" t="s">
        <v>553</v>
      </c>
      <c r="H172" s="14" t="s">
        <v>1330</v>
      </c>
      <c r="I172" s="1" t="s">
        <v>554</v>
      </c>
      <c r="J172" s="1" t="s">
        <v>1438</v>
      </c>
      <c r="K172" s="14" t="n">
        <v>2019</v>
      </c>
      <c r="L172" s="1" t="s">
        <v>557</v>
      </c>
      <c r="M172" s="1" t="s">
        <v>1439</v>
      </c>
      <c r="N172" s="1" t="s">
        <v>1335</v>
      </c>
      <c r="P172" s="1" t="s">
        <v>560</v>
      </c>
      <c r="Q172" s="1" t="s">
        <v>1440</v>
      </c>
      <c r="R172" s="14" t="s">
        <v>554</v>
      </c>
      <c r="X172" s="1" t="s">
        <v>561</v>
      </c>
      <c r="AB172" s="1" t="s">
        <v>562</v>
      </c>
      <c r="AC172" s="1" t="s">
        <v>1441</v>
      </c>
      <c r="AD172" s="1" t="s">
        <v>1330</v>
      </c>
    </row>
    <row r="173" customFormat="false" ht="15" hidden="false" customHeight="true" outlineLevel="0" collapsed="false">
      <c r="A173" s="1" t="s">
        <v>503</v>
      </c>
      <c r="B173" s="1" t="s">
        <v>1442</v>
      </c>
      <c r="C173" s="1" t="s">
        <v>30</v>
      </c>
      <c r="D173" s="14" t="s">
        <v>1330</v>
      </c>
      <c r="E173" s="1" t="s">
        <v>551</v>
      </c>
      <c r="F173" s="1" t="s">
        <v>1412</v>
      </c>
      <c r="G173" s="1" t="s">
        <v>553</v>
      </c>
      <c r="H173" s="14" t="s">
        <v>1330</v>
      </c>
      <c r="I173" s="1" t="s">
        <v>554</v>
      </c>
      <c r="J173" s="1" t="s">
        <v>1443</v>
      </c>
      <c r="K173" s="14" t="n">
        <v>2022</v>
      </c>
      <c r="L173" s="1" t="s">
        <v>557</v>
      </c>
      <c r="M173" s="1" t="s">
        <v>1444</v>
      </c>
      <c r="N173" s="1" t="s">
        <v>1335</v>
      </c>
      <c r="P173" s="1" t="s">
        <v>560</v>
      </c>
      <c r="Q173" s="1" t="s">
        <v>1445</v>
      </c>
      <c r="R173" s="14" t="s">
        <v>554</v>
      </c>
      <c r="X173" s="1" t="s">
        <v>561</v>
      </c>
      <c r="AB173" s="1" t="s">
        <v>562</v>
      </c>
      <c r="AC173" s="1" t="s">
        <v>1446</v>
      </c>
      <c r="AD173" s="1" t="s">
        <v>1330</v>
      </c>
    </row>
    <row r="174" customFormat="false" ht="15" hidden="false" customHeight="true" outlineLevel="0" collapsed="false">
      <c r="A174" s="1" t="s">
        <v>505</v>
      </c>
      <c r="B174" s="1" t="s">
        <v>1447</v>
      </c>
      <c r="C174" s="1" t="s">
        <v>30</v>
      </c>
      <c r="D174" s="14" t="s">
        <v>1330</v>
      </c>
      <c r="E174" s="1" t="s">
        <v>551</v>
      </c>
      <c r="F174" s="1" t="s">
        <v>1412</v>
      </c>
      <c r="G174" s="1" t="s">
        <v>553</v>
      </c>
      <c r="H174" s="14" t="s">
        <v>1330</v>
      </c>
      <c r="I174" s="1" t="s">
        <v>554</v>
      </c>
      <c r="J174" s="1" t="s">
        <v>1448</v>
      </c>
      <c r="K174" s="14"/>
      <c r="L174" s="1" t="s">
        <v>557</v>
      </c>
      <c r="M174" s="1" t="s">
        <v>1357</v>
      </c>
      <c r="N174" s="1" t="s">
        <v>1335</v>
      </c>
      <c r="P174" s="1" t="s">
        <v>560</v>
      </c>
      <c r="Q174" s="1" t="s">
        <v>1449</v>
      </c>
      <c r="R174" s="14" t="s">
        <v>554</v>
      </c>
      <c r="X174" s="1" t="s">
        <v>561</v>
      </c>
      <c r="AB174" s="1" t="s">
        <v>562</v>
      </c>
      <c r="AC174" s="1" t="s">
        <v>1450</v>
      </c>
      <c r="AD174" s="1" t="s">
        <v>1330</v>
      </c>
    </row>
    <row r="175" customFormat="false" ht="15" hidden="false" customHeight="true" outlineLevel="0" collapsed="false">
      <c r="A175" s="1" t="s">
        <v>507</v>
      </c>
      <c r="B175" s="1" t="s">
        <v>1451</v>
      </c>
      <c r="C175" s="1" t="s">
        <v>30</v>
      </c>
      <c r="D175" s="14" t="s">
        <v>1330</v>
      </c>
      <c r="E175" s="1" t="s">
        <v>551</v>
      </c>
      <c r="F175" s="1" t="s">
        <v>1412</v>
      </c>
      <c r="G175" s="1" t="s">
        <v>553</v>
      </c>
      <c r="H175" s="14" t="s">
        <v>1330</v>
      </c>
      <c r="I175" s="1" t="s">
        <v>554</v>
      </c>
      <c r="J175" s="1" t="s">
        <v>1452</v>
      </c>
      <c r="K175" s="14" t="n">
        <v>2018</v>
      </c>
      <c r="L175" s="1" t="s">
        <v>557</v>
      </c>
      <c r="M175" s="1" t="s">
        <v>1453</v>
      </c>
      <c r="N175" s="1" t="s">
        <v>1335</v>
      </c>
      <c r="P175" s="1" t="s">
        <v>560</v>
      </c>
      <c r="Q175" s="1" t="s">
        <v>1420</v>
      </c>
      <c r="R175" s="14" t="s">
        <v>554</v>
      </c>
      <c r="X175" s="1" t="s">
        <v>561</v>
      </c>
      <c r="AB175" s="1" t="s">
        <v>562</v>
      </c>
      <c r="AC175" s="1" t="s">
        <v>1454</v>
      </c>
      <c r="AD175" s="1" t="s">
        <v>1330</v>
      </c>
    </row>
    <row r="176" customFormat="false" ht="15" hidden="false" customHeight="true" outlineLevel="0" collapsed="false">
      <c r="A176" s="1" t="s">
        <v>497</v>
      </c>
      <c r="B176" s="1" t="s">
        <v>1455</v>
      </c>
      <c r="C176" s="1" t="s">
        <v>30</v>
      </c>
      <c r="D176" s="14" t="s">
        <v>1330</v>
      </c>
      <c r="E176" s="1" t="s">
        <v>551</v>
      </c>
      <c r="F176" s="1" t="s">
        <v>1412</v>
      </c>
      <c r="G176" s="1" t="s">
        <v>553</v>
      </c>
      <c r="H176" s="14" t="s">
        <v>1330</v>
      </c>
      <c r="I176" s="1" t="s">
        <v>554</v>
      </c>
      <c r="J176" s="1" t="s">
        <v>1456</v>
      </c>
      <c r="K176" s="14" t="n">
        <v>2020</v>
      </c>
      <c r="L176" s="1" t="s">
        <v>557</v>
      </c>
      <c r="M176" s="1" t="s">
        <v>1457</v>
      </c>
      <c r="N176" s="1" t="s">
        <v>1335</v>
      </c>
      <c r="P176" s="1" t="s">
        <v>560</v>
      </c>
      <c r="Q176" s="1" t="s">
        <v>1425</v>
      </c>
      <c r="R176" s="14" t="s">
        <v>554</v>
      </c>
      <c r="X176" s="1" t="s">
        <v>561</v>
      </c>
      <c r="AB176" s="1" t="s">
        <v>562</v>
      </c>
      <c r="AC176" s="1" t="s">
        <v>1458</v>
      </c>
      <c r="AD176" s="1" t="s">
        <v>1330</v>
      </c>
    </row>
    <row r="177" customFormat="false" ht="15" hidden="false" customHeight="true" outlineLevel="0" collapsed="false">
      <c r="A177" s="1" t="s">
        <v>499</v>
      </c>
      <c r="B177" s="1" t="s">
        <v>1459</v>
      </c>
      <c r="C177" s="1" t="s">
        <v>30</v>
      </c>
      <c r="D177" s="14" t="s">
        <v>1330</v>
      </c>
      <c r="E177" s="1" t="s">
        <v>551</v>
      </c>
      <c r="F177" s="1" t="s">
        <v>1412</v>
      </c>
      <c r="G177" s="1" t="s">
        <v>553</v>
      </c>
      <c r="H177" s="14" t="s">
        <v>1330</v>
      </c>
      <c r="I177" s="1" t="s">
        <v>554</v>
      </c>
      <c r="J177" s="1" t="s">
        <v>1460</v>
      </c>
      <c r="K177" s="14" t="n">
        <v>2015</v>
      </c>
      <c r="L177" s="1" t="s">
        <v>557</v>
      </c>
      <c r="M177" s="1" t="s">
        <v>1461</v>
      </c>
      <c r="N177" s="1" t="s">
        <v>1335</v>
      </c>
      <c r="P177" s="1" t="s">
        <v>560</v>
      </c>
      <c r="Q177" s="1" t="s">
        <v>1462</v>
      </c>
      <c r="R177" s="14" t="s">
        <v>554</v>
      </c>
      <c r="X177" s="1" t="s">
        <v>561</v>
      </c>
      <c r="AB177" s="1" t="s">
        <v>562</v>
      </c>
      <c r="AC177" s="1" t="s">
        <v>1463</v>
      </c>
      <c r="AD177" s="1" t="s">
        <v>1330</v>
      </c>
    </row>
    <row r="178" customFormat="false" ht="15" hidden="false" customHeight="true" outlineLevel="0" collapsed="false">
      <c r="A178" s="1" t="s">
        <v>501</v>
      </c>
      <c r="B178" s="1" t="s">
        <v>1464</v>
      </c>
      <c r="C178" s="1" t="s">
        <v>30</v>
      </c>
      <c r="D178" s="14" t="s">
        <v>1330</v>
      </c>
      <c r="E178" s="1" t="s">
        <v>551</v>
      </c>
      <c r="F178" s="1" t="s">
        <v>1412</v>
      </c>
      <c r="G178" s="1" t="s">
        <v>553</v>
      </c>
      <c r="H178" s="14" t="s">
        <v>1330</v>
      </c>
      <c r="I178" s="1" t="s">
        <v>554</v>
      </c>
      <c r="J178" s="1" t="s">
        <v>1465</v>
      </c>
      <c r="K178" s="14" t="n">
        <v>2021</v>
      </c>
      <c r="L178" s="1" t="s">
        <v>557</v>
      </c>
      <c r="M178" s="1" t="s">
        <v>1466</v>
      </c>
      <c r="N178" s="1" t="s">
        <v>1335</v>
      </c>
      <c r="P178" s="1" t="s">
        <v>560</v>
      </c>
      <c r="Q178" s="1" t="s">
        <v>1425</v>
      </c>
      <c r="R178" s="14" t="s">
        <v>554</v>
      </c>
      <c r="X178" s="1" t="s">
        <v>561</v>
      </c>
      <c r="AB178" s="1" t="s">
        <v>562</v>
      </c>
      <c r="AC178" s="1" t="s">
        <v>1467</v>
      </c>
      <c r="AD178" s="1" t="s">
        <v>1330</v>
      </c>
    </row>
    <row r="179" customFormat="false" ht="15" hidden="false" customHeight="true" outlineLevel="0" collapsed="false">
      <c r="A179" s="1" t="s">
        <v>491</v>
      </c>
      <c r="B179" s="1" t="s">
        <v>1468</v>
      </c>
      <c r="C179" s="1" t="s">
        <v>30</v>
      </c>
      <c r="D179" s="14" t="s">
        <v>1330</v>
      </c>
      <c r="E179" s="1" t="s">
        <v>551</v>
      </c>
      <c r="F179" s="1" t="s">
        <v>1412</v>
      </c>
      <c r="G179" s="1" t="s">
        <v>553</v>
      </c>
      <c r="H179" s="14" t="s">
        <v>1330</v>
      </c>
      <c r="I179" s="1" t="s">
        <v>554</v>
      </c>
      <c r="J179" s="1" t="s">
        <v>1469</v>
      </c>
      <c r="K179" s="14" t="n">
        <v>2012</v>
      </c>
      <c r="L179" s="1" t="s">
        <v>557</v>
      </c>
      <c r="M179" s="1" t="s">
        <v>1470</v>
      </c>
      <c r="N179" s="1" t="s">
        <v>1335</v>
      </c>
      <c r="P179" s="1" t="s">
        <v>560</v>
      </c>
      <c r="Q179" s="1" t="s">
        <v>1420</v>
      </c>
      <c r="R179" s="14" t="s">
        <v>554</v>
      </c>
      <c r="X179" s="1" t="s">
        <v>561</v>
      </c>
      <c r="AB179" s="1" t="s">
        <v>562</v>
      </c>
      <c r="AC179" s="1" t="s">
        <v>1471</v>
      </c>
      <c r="AD179" s="1" t="s">
        <v>1330</v>
      </c>
    </row>
    <row r="180" customFormat="false" ht="15" hidden="false" customHeight="true" outlineLevel="0" collapsed="false">
      <c r="A180" s="1" t="s">
        <v>493</v>
      </c>
      <c r="B180" s="1" t="s">
        <v>1472</v>
      </c>
      <c r="C180" s="1" t="s">
        <v>30</v>
      </c>
      <c r="D180" s="14" t="s">
        <v>1330</v>
      </c>
      <c r="E180" s="1" t="s">
        <v>551</v>
      </c>
      <c r="F180" s="1" t="s">
        <v>1412</v>
      </c>
      <c r="G180" s="1" t="s">
        <v>553</v>
      </c>
      <c r="H180" s="14" t="s">
        <v>1330</v>
      </c>
      <c r="I180" s="1" t="s">
        <v>554</v>
      </c>
      <c r="J180" s="1" t="s">
        <v>1473</v>
      </c>
      <c r="K180" s="14" t="n">
        <v>2018</v>
      </c>
      <c r="L180" s="1" t="s">
        <v>557</v>
      </c>
      <c r="M180" s="1" t="s">
        <v>1474</v>
      </c>
      <c r="N180" s="1" t="s">
        <v>1335</v>
      </c>
      <c r="P180" s="1" t="s">
        <v>560</v>
      </c>
      <c r="Q180" s="1" t="s">
        <v>1475</v>
      </c>
      <c r="R180" s="14" t="s">
        <v>554</v>
      </c>
      <c r="X180" s="1" t="s">
        <v>561</v>
      </c>
      <c r="AB180" s="1" t="s">
        <v>562</v>
      </c>
      <c r="AC180" s="1" t="s">
        <v>1476</v>
      </c>
      <c r="AD180" s="1" t="s">
        <v>1330</v>
      </c>
    </row>
    <row r="181" customFormat="false" ht="15" hidden="false" customHeight="true" outlineLevel="0" collapsed="false">
      <c r="A181" s="1" t="s">
        <v>495</v>
      </c>
      <c r="B181" s="1" t="s">
        <v>1477</v>
      </c>
      <c r="C181" s="1" t="s">
        <v>30</v>
      </c>
      <c r="D181" s="14" t="s">
        <v>1330</v>
      </c>
      <c r="E181" s="1" t="s">
        <v>551</v>
      </c>
      <c r="F181" s="1" t="s">
        <v>1412</v>
      </c>
      <c r="G181" s="1" t="s">
        <v>553</v>
      </c>
      <c r="H181" s="14" t="s">
        <v>1330</v>
      </c>
      <c r="I181" s="1" t="s">
        <v>554</v>
      </c>
      <c r="J181" s="1" t="s">
        <v>1478</v>
      </c>
      <c r="K181" s="14"/>
      <c r="L181" s="1" t="s">
        <v>1479</v>
      </c>
      <c r="M181" s="1" t="s">
        <v>1480</v>
      </c>
      <c r="N181" s="1" t="s">
        <v>1335</v>
      </c>
      <c r="P181" s="1" t="s">
        <v>689</v>
      </c>
      <c r="Q181" s="1" t="s">
        <v>1481</v>
      </c>
      <c r="R181" s="14" t="s">
        <v>554</v>
      </c>
      <c r="X181" s="1" t="s">
        <v>561</v>
      </c>
      <c r="AB181" s="1" t="s">
        <v>562</v>
      </c>
      <c r="AC181" s="1" t="s">
        <v>1482</v>
      </c>
      <c r="AD181" s="1" t="s">
        <v>1330</v>
      </c>
    </row>
    <row r="182" customFormat="false" ht="15" hidden="false" customHeight="true" outlineLevel="0" collapsed="false">
      <c r="A182" s="1" t="s">
        <v>547</v>
      </c>
      <c r="B182" s="1" t="s">
        <v>1483</v>
      </c>
      <c r="C182" s="1" t="s">
        <v>31</v>
      </c>
      <c r="D182" s="14" t="s">
        <v>1330</v>
      </c>
      <c r="E182" s="1" t="s">
        <v>551</v>
      </c>
      <c r="F182" s="1" t="s">
        <v>1484</v>
      </c>
      <c r="G182" s="1" t="s">
        <v>553</v>
      </c>
      <c r="H182" s="14" t="s">
        <v>1330</v>
      </c>
      <c r="I182" s="1" t="s">
        <v>554</v>
      </c>
      <c r="J182" s="1" t="s">
        <v>1485</v>
      </c>
      <c r="K182" s="14" t="n">
        <v>2012</v>
      </c>
      <c r="L182" s="1" t="s">
        <v>1486</v>
      </c>
      <c r="M182" s="1" t="s">
        <v>1487</v>
      </c>
      <c r="N182" s="1" t="s">
        <v>1488</v>
      </c>
      <c r="P182" s="1" t="s">
        <v>560</v>
      </c>
      <c r="Q182" s="1" t="s">
        <v>1489</v>
      </c>
      <c r="R182" s="14" t="s">
        <v>554</v>
      </c>
      <c r="X182" s="1" t="s">
        <v>561</v>
      </c>
      <c r="AB182" s="1" t="s">
        <v>562</v>
      </c>
      <c r="AC182" s="1" t="s">
        <v>1490</v>
      </c>
      <c r="AD182" s="1" t="s">
        <v>1330</v>
      </c>
    </row>
    <row r="183" customFormat="false" ht="15" hidden="false" customHeight="true" outlineLevel="0" collapsed="false">
      <c r="A183" s="1" t="s">
        <v>545</v>
      </c>
      <c r="B183" s="1" t="s">
        <v>1491</v>
      </c>
      <c r="C183" s="1" t="s">
        <v>31</v>
      </c>
      <c r="D183" s="14" t="s">
        <v>1330</v>
      </c>
      <c r="E183" s="1" t="s">
        <v>551</v>
      </c>
      <c r="F183" s="1" t="s">
        <v>1484</v>
      </c>
      <c r="G183" s="1" t="s">
        <v>553</v>
      </c>
      <c r="H183" s="14" t="s">
        <v>1330</v>
      </c>
      <c r="I183" s="1" t="s">
        <v>554</v>
      </c>
      <c r="J183" s="1" t="s">
        <v>1492</v>
      </c>
      <c r="K183" s="14" t="n">
        <v>2013</v>
      </c>
      <c r="L183" s="1" t="s">
        <v>557</v>
      </c>
      <c r="M183" s="1" t="s">
        <v>1493</v>
      </c>
      <c r="N183" s="1" t="s">
        <v>1488</v>
      </c>
      <c r="P183" s="1" t="s">
        <v>560</v>
      </c>
      <c r="Q183" s="1" t="s">
        <v>1494</v>
      </c>
      <c r="R183" s="14" t="s">
        <v>554</v>
      </c>
      <c r="X183" s="1" t="s">
        <v>561</v>
      </c>
      <c r="AB183" s="1" t="s">
        <v>562</v>
      </c>
      <c r="AC183" s="1" t="s">
        <v>1495</v>
      </c>
      <c r="AD183" s="1" t="s">
        <v>1330</v>
      </c>
    </row>
    <row r="184" customFormat="false" ht="15" hidden="false" customHeight="true" outlineLevel="0" collapsed="false">
      <c r="A184" s="1" t="s">
        <v>539</v>
      </c>
      <c r="B184" s="1" t="s">
        <v>1496</v>
      </c>
      <c r="C184" s="1" t="s">
        <v>31</v>
      </c>
      <c r="D184" s="14" t="s">
        <v>1330</v>
      </c>
      <c r="E184" s="1" t="s">
        <v>551</v>
      </c>
      <c r="F184" s="1" t="s">
        <v>1484</v>
      </c>
      <c r="G184" s="1" t="s">
        <v>553</v>
      </c>
      <c r="H184" s="14" t="s">
        <v>1330</v>
      </c>
      <c r="I184" s="1" t="s">
        <v>554</v>
      </c>
      <c r="J184" s="1" t="s">
        <v>1497</v>
      </c>
      <c r="K184" s="14" t="n">
        <v>2009</v>
      </c>
      <c r="L184" s="1" t="s">
        <v>557</v>
      </c>
      <c r="M184" s="1" t="s">
        <v>1498</v>
      </c>
      <c r="N184" s="1" t="s">
        <v>1488</v>
      </c>
      <c r="P184" s="1" t="s">
        <v>560</v>
      </c>
      <c r="Q184" s="1" t="s">
        <v>1499</v>
      </c>
      <c r="R184" s="14" t="s">
        <v>554</v>
      </c>
      <c r="X184" s="1" t="s">
        <v>561</v>
      </c>
      <c r="AB184" s="1" t="s">
        <v>562</v>
      </c>
      <c r="AC184" s="1" t="s">
        <v>1500</v>
      </c>
      <c r="AD184" s="1" t="s">
        <v>1330</v>
      </c>
    </row>
    <row r="185" customFormat="false" ht="15" hidden="false" customHeight="true" outlineLevel="0" collapsed="false">
      <c r="A185" s="1" t="s">
        <v>541</v>
      </c>
      <c r="B185" s="1" t="s">
        <v>1501</v>
      </c>
      <c r="C185" s="1" t="s">
        <v>31</v>
      </c>
      <c r="D185" s="14" t="s">
        <v>1330</v>
      </c>
      <c r="E185" s="1" t="s">
        <v>551</v>
      </c>
      <c r="F185" s="1" t="s">
        <v>1484</v>
      </c>
      <c r="G185" s="1" t="s">
        <v>553</v>
      </c>
      <c r="H185" s="14" t="s">
        <v>1330</v>
      </c>
      <c r="I185" s="1" t="s">
        <v>554</v>
      </c>
      <c r="J185" s="1" t="s">
        <v>1502</v>
      </c>
      <c r="K185" s="14" t="n">
        <v>2020</v>
      </c>
      <c r="L185" s="1" t="s">
        <v>557</v>
      </c>
      <c r="M185" s="1" t="s">
        <v>1503</v>
      </c>
      <c r="N185" s="1" t="s">
        <v>1488</v>
      </c>
      <c r="P185" s="1" t="s">
        <v>560</v>
      </c>
      <c r="Q185" s="1" t="s">
        <v>1504</v>
      </c>
      <c r="R185" s="14" t="s">
        <v>554</v>
      </c>
      <c r="X185" s="1" t="s">
        <v>561</v>
      </c>
      <c r="Z185" s="1" t="s">
        <v>554</v>
      </c>
      <c r="AB185" s="1" t="s">
        <v>562</v>
      </c>
      <c r="AC185" s="1" t="s">
        <v>1505</v>
      </c>
      <c r="AD185" s="1" t="s">
        <v>1330</v>
      </c>
    </row>
    <row r="186" customFormat="false" ht="15" hidden="false" customHeight="true" outlineLevel="0" collapsed="false">
      <c r="A186" s="1" t="s">
        <v>543</v>
      </c>
      <c r="B186" s="1" t="s">
        <v>1506</v>
      </c>
      <c r="C186" s="1" t="s">
        <v>31</v>
      </c>
      <c r="D186" s="14" t="s">
        <v>1330</v>
      </c>
      <c r="E186" s="1" t="s">
        <v>551</v>
      </c>
      <c r="F186" s="1" t="s">
        <v>1484</v>
      </c>
      <c r="G186" s="1" t="s">
        <v>553</v>
      </c>
      <c r="H186" s="14" t="s">
        <v>1330</v>
      </c>
      <c r="I186" s="1" t="s">
        <v>554</v>
      </c>
      <c r="J186" s="1" t="s">
        <v>1507</v>
      </c>
      <c r="K186" s="14" t="n">
        <v>2016</v>
      </c>
      <c r="L186" s="1" t="s">
        <v>557</v>
      </c>
      <c r="M186" s="1" t="s">
        <v>1508</v>
      </c>
      <c r="N186" s="1" t="s">
        <v>1488</v>
      </c>
      <c r="P186" s="1" t="s">
        <v>560</v>
      </c>
      <c r="Q186" s="1" t="s">
        <v>1504</v>
      </c>
      <c r="R186" s="14" t="s">
        <v>554</v>
      </c>
      <c r="X186" s="1" t="s">
        <v>561</v>
      </c>
      <c r="AB186" s="1" t="s">
        <v>562</v>
      </c>
      <c r="AC186" s="1" t="s">
        <v>1509</v>
      </c>
      <c r="AD186" s="1" t="s">
        <v>1330</v>
      </c>
    </row>
    <row r="187" customFormat="false" ht="15" hidden="false" customHeight="true" outlineLevel="0" collapsed="false">
      <c r="A187" s="1" t="s">
        <v>532</v>
      </c>
      <c r="B187" s="1" t="s">
        <v>1510</v>
      </c>
      <c r="C187" s="1" t="s">
        <v>31</v>
      </c>
      <c r="D187" s="14" t="s">
        <v>1330</v>
      </c>
      <c r="E187" s="1" t="s">
        <v>551</v>
      </c>
      <c r="F187" s="1" t="s">
        <v>1484</v>
      </c>
      <c r="G187" s="1" t="s">
        <v>553</v>
      </c>
      <c r="H187" s="14" t="s">
        <v>1330</v>
      </c>
      <c r="I187" s="1" t="s">
        <v>554</v>
      </c>
      <c r="J187" s="1" t="s">
        <v>1511</v>
      </c>
      <c r="K187" s="14"/>
      <c r="L187" s="1" t="s">
        <v>557</v>
      </c>
      <c r="M187" s="1" t="s">
        <v>1512</v>
      </c>
      <c r="N187" s="1" t="s">
        <v>1488</v>
      </c>
      <c r="P187" s="1" t="s">
        <v>560</v>
      </c>
      <c r="Q187" s="1" t="s">
        <v>1513</v>
      </c>
      <c r="R187" s="14" t="s">
        <v>554</v>
      </c>
      <c r="X187" s="1" t="s">
        <v>561</v>
      </c>
      <c r="AA187" s="1" t="s">
        <v>554</v>
      </c>
      <c r="AB187" s="1" t="s">
        <v>562</v>
      </c>
      <c r="AC187" s="1" t="s">
        <v>1514</v>
      </c>
      <c r="AD187" s="1" t="s">
        <v>1330</v>
      </c>
    </row>
    <row r="188" customFormat="false" ht="15" hidden="false" customHeight="true" outlineLevel="0" collapsed="false">
      <c r="A188" s="1" t="s">
        <v>534</v>
      </c>
      <c r="B188" s="1" t="s">
        <v>1515</v>
      </c>
      <c r="C188" s="1" t="s">
        <v>31</v>
      </c>
      <c r="D188" s="14" t="s">
        <v>1330</v>
      </c>
      <c r="E188" s="1" t="s">
        <v>551</v>
      </c>
      <c r="F188" s="1" t="s">
        <v>1484</v>
      </c>
      <c r="G188" s="1" t="s">
        <v>553</v>
      </c>
      <c r="H188" s="14" t="s">
        <v>1330</v>
      </c>
      <c r="I188" s="1" t="s">
        <v>554</v>
      </c>
      <c r="J188" s="1" t="s">
        <v>1516</v>
      </c>
      <c r="K188" s="14" t="n">
        <v>2010</v>
      </c>
      <c r="L188" s="1" t="s">
        <v>1517</v>
      </c>
      <c r="M188" s="1" t="s">
        <v>1518</v>
      </c>
      <c r="N188" s="1" t="s">
        <v>1488</v>
      </c>
      <c r="P188" s="1" t="s">
        <v>689</v>
      </c>
      <c r="Q188" s="1" t="s">
        <v>1519</v>
      </c>
      <c r="R188" s="14" t="s">
        <v>554</v>
      </c>
      <c r="X188" s="1" t="s">
        <v>561</v>
      </c>
      <c r="AB188" s="1" t="s">
        <v>562</v>
      </c>
      <c r="AC188" s="1" t="s">
        <v>1520</v>
      </c>
      <c r="AD188" s="1" t="s">
        <v>1330</v>
      </c>
    </row>
    <row r="189" customFormat="false" ht="15" hidden="false" customHeight="true" outlineLevel="0" collapsed="false">
      <c r="A189" s="1" t="s">
        <v>1521</v>
      </c>
      <c r="B189" s="1" t="s">
        <v>1522</v>
      </c>
      <c r="C189" s="1" t="s">
        <v>31</v>
      </c>
      <c r="D189" s="14" t="s">
        <v>1330</v>
      </c>
      <c r="E189" s="1" t="s">
        <v>551</v>
      </c>
      <c r="F189" s="1" t="s">
        <v>1484</v>
      </c>
      <c r="G189" s="1" t="s">
        <v>553</v>
      </c>
      <c r="H189" s="14" t="s">
        <v>1330</v>
      </c>
      <c r="I189" s="1" t="s">
        <v>554</v>
      </c>
      <c r="J189" s="1" t="s">
        <v>1523</v>
      </c>
      <c r="K189" s="14" t="n">
        <v>2012</v>
      </c>
      <c r="L189" s="1" t="s">
        <v>557</v>
      </c>
      <c r="M189" s="1" t="s">
        <v>1524</v>
      </c>
      <c r="N189" s="1" t="s">
        <v>1488</v>
      </c>
      <c r="P189" s="1" t="s">
        <v>560</v>
      </c>
      <c r="Q189" s="1" t="s">
        <v>1525</v>
      </c>
      <c r="R189" s="14" t="s">
        <v>554</v>
      </c>
      <c r="X189" s="1" t="s">
        <v>561</v>
      </c>
      <c r="AB189" s="1" t="s">
        <v>562</v>
      </c>
      <c r="AC189" s="1" t="s">
        <v>1526</v>
      </c>
      <c r="AD189" s="1" t="s">
        <v>1330</v>
      </c>
    </row>
    <row r="190" customFormat="false" ht="15" hidden="false" customHeight="true" outlineLevel="0" collapsed="false">
      <c r="A190" s="1" t="s">
        <v>536</v>
      </c>
      <c r="B190" s="1" t="s">
        <v>1527</v>
      </c>
      <c r="C190" s="1" t="s">
        <v>31</v>
      </c>
      <c r="D190" s="14" t="s">
        <v>1330</v>
      </c>
      <c r="E190" s="1" t="s">
        <v>551</v>
      </c>
      <c r="F190" s="1" t="s">
        <v>1484</v>
      </c>
      <c r="G190" s="1" t="s">
        <v>553</v>
      </c>
      <c r="H190" s="14" t="s">
        <v>1330</v>
      </c>
      <c r="I190" s="1" t="s">
        <v>554</v>
      </c>
      <c r="J190" s="1" t="s">
        <v>1528</v>
      </c>
      <c r="K190" s="14" t="n">
        <v>2014</v>
      </c>
      <c r="L190" s="1" t="s">
        <v>557</v>
      </c>
      <c r="M190" s="1" t="s">
        <v>1529</v>
      </c>
      <c r="N190" s="1" t="s">
        <v>1488</v>
      </c>
      <c r="P190" s="1" t="s">
        <v>560</v>
      </c>
      <c r="Q190" s="1" t="s">
        <v>1504</v>
      </c>
      <c r="R190" s="14" t="s">
        <v>554</v>
      </c>
      <c r="X190" s="1" t="s">
        <v>561</v>
      </c>
      <c r="AB190" s="1" t="s">
        <v>562</v>
      </c>
      <c r="AC190" s="1" t="s">
        <v>1530</v>
      </c>
      <c r="AD190" s="1" t="s">
        <v>1330</v>
      </c>
    </row>
    <row r="191" customFormat="false" ht="15" hidden="false" customHeight="true" outlineLevel="0" collapsed="false">
      <c r="A191" s="1" t="s">
        <v>526</v>
      </c>
      <c r="B191" s="1" t="s">
        <v>1531</v>
      </c>
      <c r="C191" s="1" t="s">
        <v>31</v>
      </c>
      <c r="D191" s="14" t="s">
        <v>1330</v>
      </c>
      <c r="E191" s="1" t="s">
        <v>551</v>
      </c>
      <c r="F191" s="1" t="s">
        <v>1484</v>
      </c>
      <c r="G191" s="1" t="s">
        <v>553</v>
      </c>
      <c r="H191" s="14" t="s">
        <v>1330</v>
      </c>
      <c r="I191" s="1" t="s">
        <v>554</v>
      </c>
      <c r="J191" s="1" t="s">
        <v>1532</v>
      </c>
      <c r="K191" s="14" t="n">
        <v>2014</v>
      </c>
      <c r="L191" s="1" t="s">
        <v>557</v>
      </c>
      <c r="M191" s="1" t="s">
        <v>1533</v>
      </c>
      <c r="N191" s="1" t="s">
        <v>1488</v>
      </c>
      <c r="P191" s="1" t="s">
        <v>560</v>
      </c>
      <c r="Q191" s="1" t="s">
        <v>1534</v>
      </c>
      <c r="R191" s="14" t="s">
        <v>554</v>
      </c>
      <c r="X191" s="1" t="s">
        <v>561</v>
      </c>
      <c r="AB191" s="1" t="s">
        <v>562</v>
      </c>
      <c r="AC191" s="1" t="s">
        <v>1535</v>
      </c>
      <c r="AD191" s="1" t="s">
        <v>1330</v>
      </c>
    </row>
    <row r="192" customFormat="false" ht="15" hidden="false" customHeight="true" outlineLevel="0" collapsed="false">
      <c r="A192" s="1" t="s">
        <v>528</v>
      </c>
      <c r="B192" s="1" t="s">
        <v>1536</v>
      </c>
      <c r="C192" s="1" t="s">
        <v>31</v>
      </c>
      <c r="D192" s="14" t="s">
        <v>1330</v>
      </c>
      <c r="E192" s="1" t="s">
        <v>551</v>
      </c>
      <c r="F192" s="1" t="s">
        <v>1484</v>
      </c>
      <c r="G192" s="1" t="s">
        <v>553</v>
      </c>
      <c r="H192" s="14" t="s">
        <v>1330</v>
      </c>
      <c r="I192" s="1" t="s">
        <v>554</v>
      </c>
      <c r="J192" s="1" t="s">
        <v>1537</v>
      </c>
      <c r="K192" s="14" t="n">
        <v>2013</v>
      </c>
      <c r="L192" s="1" t="s">
        <v>1538</v>
      </c>
      <c r="M192" s="1" t="s">
        <v>1539</v>
      </c>
      <c r="N192" s="1" t="s">
        <v>1488</v>
      </c>
      <c r="P192" s="1" t="s">
        <v>560</v>
      </c>
      <c r="Q192" s="1" t="s">
        <v>1540</v>
      </c>
      <c r="R192" s="14" t="s">
        <v>554</v>
      </c>
      <c r="X192" s="1" t="s">
        <v>561</v>
      </c>
      <c r="AB192" s="1" t="s">
        <v>562</v>
      </c>
      <c r="AC192" s="1" t="s">
        <v>1541</v>
      </c>
      <c r="AD192" s="1" t="s">
        <v>1330</v>
      </c>
    </row>
    <row r="193" customFormat="false" ht="15" hidden="false" customHeight="true" outlineLevel="0" collapsed="false">
      <c r="A193" s="1" t="s">
        <v>530</v>
      </c>
      <c r="B193" s="1" t="s">
        <v>1542</v>
      </c>
      <c r="C193" s="1" t="s">
        <v>31</v>
      </c>
      <c r="D193" s="14" t="s">
        <v>1330</v>
      </c>
      <c r="E193" s="1" t="s">
        <v>551</v>
      </c>
      <c r="F193" s="1" t="s">
        <v>1484</v>
      </c>
      <c r="G193" s="1" t="s">
        <v>553</v>
      </c>
      <c r="H193" s="14" t="s">
        <v>1330</v>
      </c>
      <c r="I193" s="1" t="s">
        <v>554</v>
      </c>
      <c r="J193" s="1" t="s">
        <v>1543</v>
      </c>
      <c r="K193" s="14" t="n">
        <v>2013</v>
      </c>
      <c r="L193" s="1" t="s">
        <v>1544</v>
      </c>
      <c r="M193" s="1" t="s">
        <v>1545</v>
      </c>
      <c r="N193" s="1" t="s">
        <v>1488</v>
      </c>
      <c r="P193" s="1" t="s">
        <v>560</v>
      </c>
      <c r="Q193" s="1" t="s">
        <v>1504</v>
      </c>
      <c r="R193" s="14" t="s">
        <v>554</v>
      </c>
      <c r="X193" s="1" t="s">
        <v>561</v>
      </c>
      <c r="AB193" s="1" t="s">
        <v>562</v>
      </c>
      <c r="AC193" s="1" t="s">
        <v>1546</v>
      </c>
      <c r="AD193" s="1" t="s">
        <v>1330</v>
      </c>
    </row>
    <row r="194" customFormat="false" ht="15" hidden="false" customHeight="true" outlineLevel="0" collapsed="false">
      <c r="A194" s="1" t="s">
        <v>519</v>
      </c>
      <c r="B194" s="1" t="s">
        <v>1547</v>
      </c>
      <c r="C194" s="1" t="s">
        <v>31</v>
      </c>
      <c r="D194" s="14" t="s">
        <v>1330</v>
      </c>
      <c r="E194" s="1" t="s">
        <v>551</v>
      </c>
      <c r="F194" s="1" t="s">
        <v>1484</v>
      </c>
      <c r="G194" s="1" t="s">
        <v>553</v>
      </c>
      <c r="H194" s="14" t="s">
        <v>1330</v>
      </c>
      <c r="I194" s="1" t="s">
        <v>554</v>
      </c>
      <c r="J194" s="1" t="s">
        <v>1548</v>
      </c>
      <c r="K194" s="14" t="n">
        <v>2014</v>
      </c>
      <c r="L194" s="1" t="s">
        <v>557</v>
      </c>
      <c r="M194" s="1" t="s">
        <v>1549</v>
      </c>
      <c r="N194" s="1" t="s">
        <v>1488</v>
      </c>
      <c r="P194" s="1" t="s">
        <v>560</v>
      </c>
      <c r="Q194" s="1" t="s">
        <v>1540</v>
      </c>
      <c r="R194" s="14" t="s">
        <v>554</v>
      </c>
      <c r="X194" s="1" t="s">
        <v>561</v>
      </c>
      <c r="AB194" s="1" t="s">
        <v>562</v>
      </c>
      <c r="AC194" s="1" t="s">
        <v>1550</v>
      </c>
      <c r="AD194" s="1" t="s">
        <v>1330</v>
      </c>
    </row>
    <row r="195" customFormat="false" ht="15" hidden="false" customHeight="true" outlineLevel="0" collapsed="false">
      <c r="A195" s="1" t="s">
        <v>522</v>
      </c>
      <c r="B195" s="1" t="s">
        <v>1551</v>
      </c>
      <c r="C195" s="1" t="s">
        <v>31</v>
      </c>
      <c r="D195" s="14" t="s">
        <v>1330</v>
      </c>
      <c r="E195" s="1" t="s">
        <v>551</v>
      </c>
      <c r="F195" s="1" t="s">
        <v>1484</v>
      </c>
      <c r="G195" s="1" t="s">
        <v>553</v>
      </c>
      <c r="H195" s="14" t="s">
        <v>1330</v>
      </c>
      <c r="I195" s="1" t="s">
        <v>554</v>
      </c>
      <c r="J195" s="1" t="s">
        <v>1552</v>
      </c>
      <c r="K195" s="14" t="n">
        <v>2013</v>
      </c>
      <c r="L195" s="1" t="s">
        <v>1553</v>
      </c>
      <c r="M195" s="1" t="s">
        <v>1554</v>
      </c>
      <c r="N195" s="1" t="s">
        <v>1488</v>
      </c>
      <c r="P195" s="1" t="s">
        <v>689</v>
      </c>
      <c r="Q195" s="1" t="s">
        <v>1555</v>
      </c>
      <c r="R195" s="14" t="s">
        <v>554</v>
      </c>
      <c r="X195" s="1" t="s">
        <v>561</v>
      </c>
      <c r="AB195" s="1" t="s">
        <v>562</v>
      </c>
      <c r="AC195" s="1" t="s">
        <v>1556</v>
      </c>
      <c r="AD195" s="1" t="s">
        <v>1330</v>
      </c>
    </row>
    <row r="196" customFormat="false" ht="15" hidden="false" customHeight="true" outlineLevel="0" collapsed="false">
      <c r="A196" s="1" t="s">
        <v>524</v>
      </c>
      <c r="B196" s="1" t="s">
        <v>1557</v>
      </c>
      <c r="C196" s="1" t="s">
        <v>31</v>
      </c>
      <c r="D196" s="14" t="s">
        <v>1330</v>
      </c>
      <c r="E196" s="1" t="s">
        <v>551</v>
      </c>
      <c r="F196" s="1" t="s">
        <v>1484</v>
      </c>
      <c r="G196" s="1" t="s">
        <v>553</v>
      </c>
      <c r="H196" s="14" t="s">
        <v>1330</v>
      </c>
      <c r="I196" s="1" t="s">
        <v>554</v>
      </c>
      <c r="J196" s="1" t="s">
        <v>1558</v>
      </c>
      <c r="K196" s="14" t="n">
        <v>2017</v>
      </c>
      <c r="L196" s="1" t="s">
        <v>1112</v>
      </c>
      <c r="M196" s="1" t="s">
        <v>1559</v>
      </c>
      <c r="N196" s="1" t="s">
        <v>1488</v>
      </c>
      <c r="P196" s="1" t="s">
        <v>560</v>
      </c>
      <c r="Q196" s="1" t="s">
        <v>1504</v>
      </c>
      <c r="R196" s="14" t="s">
        <v>554</v>
      </c>
      <c r="X196" s="1" t="s">
        <v>561</v>
      </c>
      <c r="AB196" s="1" t="s">
        <v>562</v>
      </c>
      <c r="AC196" s="1" t="s">
        <v>1560</v>
      </c>
      <c r="AD196" s="1" t="s">
        <v>1330</v>
      </c>
    </row>
    <row r="197" customFormat="false" ht="15" hidden="false" customHeight="true" outlineLevel="0" collapsed="false">
      <c r="D197" s="14"/>
      <c r="H197" s="14"/>
      <c r="K197" s="14"/>
      <c r="R197" s="14"/>
    </row>
    <row r="198" customFormat="false" ht="15" hidden="false" customHeight="true" outlineLevel="0" collapsed="false">
      <c r="D198" s="14"/>
      <c r="H198" s="14"/>
      <c r="K198" s="14"/>
      <c r="R198" s="14"/>
    </row>
    <row r="199" customFormat="false" ht="15" hidden="false" customHeight="true" outlineLevel="0" collapsed="false">
      <c r="D199" s="14"/>
      <c r="H199" s="14"/>
      <c r="K199" s="14"/>
      <c r="R199" s="14"/>
    </row>
    <row r="200" customFormat="false" ht="15" hidden="false" customHeight="true" outlineLevel="0" collapsed="false">
      <c r="D200" s="14"/>
      <c r="H200" s="14"/>
      <c r="K200" s="14"/>
      <c r="R200" s="14"/>
    </row>
    <row r="201" customFormat="false" ht="15" hidden="false" customHeight="true" outlineLevel="0" collapsed="false">
      <c r="D201" s="14"/>
      <c r="H201" s="14"/>
      <c r="K201" s="14"/>
      <c r="R201" s="14"/>
    </row>
    <row r="202" customFormat="false" ht="15" hidden="false" customHeight="true" outlineLevel="0" collapsed="false">
      <c r="D202" s="14"/>
      <c r="H202" s="14"/>
      <c r="K202" s="14"/>
      <c r="R202" s="14"/>
    </row>
    <row r="203" customFormat="false" ht="15" hidden="false" customHeight="true" outlineLevel="0" collapsed="false">
      <c r="D203" s="14"/>
      <c r="H203" s="14"/>
      <c r="K203" s="14"/>
      <c r="R203" s="14"/>
    </row>
    <row r="204" customFormat="false" ht="15" hidden="false" customHeight="true" outlineLevel="0" collapsed="false">
      <c r="D204" s="14"/>
      <c r="H204" s="14"/>
      <c r="K204" s="14"/>
      <c r="R204" s="14"/>
    </row>
    <row r="205" customFormat="false" ht="15" hidden="false" customHeight="true" outlineLevel="0" collapsed="false">
      <c r="D205" s="14"/>
      <c r="H205" s="14"/>
      <c r="K205" s="14"/>
      <c r="R205" s="14"/>
    </row>
    <row r="206" customFormat="false" ht="15" hidden="false" customHeight="true" outlineLevel="0" collapsed="false">
      <c r="D206" s="14"/>
      <c r="H206" s="14"/>
      <c r="K206" s="14"/>
      <c r="R206" s="14"/>
    </row>
    <row r="207" customFormat="false" ht="15" hidden="false" customHeight="true" outlineLevel="0" collapsed="false">
      <c r="D207" s="14"/>
      <c r="H207" s="14"/>
      <c r="K207" s="14"/>
      <c r="R207" s="14"/>
    </row>
    <row r="208" customFormat="false" ht="15" hidden="false" customHeight="true" outlineLevel="0" collapsed="false">
      <c r="D208" s="14"/>
      <c r="H208" s="14"/>
      <c r="K208" s="14"/>
      <c r="R208" s="14"/>
    </row>
    <row r="209" customFormat="false" ht="15" hidden="false" customHeight="true" outlineLevel="0" collapsed="false">
      <c r="D209" s="14"/>
      <c r="H209" s="14"/>
      <c r="K209" s="14"/>
      <c r="R209" s="14"/>
    </row>
    <row r="210" customFormat="false" ht="15" hidden="false" customHeight="true" outlineLevel="0" collapsed="false">
      <c r="D210" s="14"/>
      <c r="H210" s="14"/>
      <c r="K210" s="14"/>
      <c r="R210" s="14"/>
    </row>
    <row r="211" customFormat="false" ht="15" hidden="false" customHeight="true" outlineLevel="0" collapsed="false">
      <c r="D211" s="14"/>
      <c r="H211" s="14"/>
      <c r="K211" s="14"/>
      <c r="R211" s="14"/>
    </row>
    <row r="212" customFormat="false" ht="15" hidden="false" customHeight="true" outlineLevel="0" collapsed="false">
      <c r="D212" s="14"/>
      <c r="H212" s="14"/>
      <c r="K212" s="14"/>
      <c r="R212" s="14"/>
    </row>
    <row r="213" customFormat="false" ht="15" hidden="false" customHeight="true" outlineLevel="0" collapsed="false">
      <c r="D213" s="14"/>
      <c r="H213" s="14"/>
      <c r="K213" s="14"/>
      <c r="R213" s="14"/>
    </row>
    <row r="214" customFormat="false" ht="15" hidden="false" customHeight="true" outlineLevel="0" collapsed="false">
      <c r="D214" s="14"/>
      <c r="H214" s="14"/>
      <c r="K214" s="14"/>
      <c r="R214" s="14"/>
    </row>
    <row r="215" customFormat="false" ht="15" hidden="false" customHeight="true" outlineLevel="0" collapsed="false">
      <c r="D215" s="14"/>
      <c r="H215" s="14"/>
      <c r="K215" s="14"/>
      <c r="R215" s="14"/>
    </row>
    <row r="216" customFormat="false" ht="15" hidden="false" customHeight="true" outlineLevel="0" collapsed="false">
      <c r="D216" s="14"/>
      <c r="H216" s="14"/>
      <c r="K216" s="14"/>
      <c r="R216" s="14"/>
    </row>
    <row r="217" customFormat="false" ht="15" hidden="false" customHeight="true" outlineLevel="0" collapsed="false">
      <c r="D217" s="14"/>
      <c r="H217" s="14"/>
      <c r="K217" s="14"/>
      <c r="R217" s="14"/>
    </row>
    <row r="218" customFormat="false" ht="15" hidden="false" customHeight="true" outlineLevel="0" collapsed="false">
      <c r="D218" s="14"/>
      <c r="H218" s="14"/>
      <c r="K218" s="14"/>
      <c r="R218" s="14"/>
    </row>
    <row r="219" customFormat="false" ht="15" hidden="false" customHeight="true" outlineLevel="0" collapsed="false">
      <c r="D219" s="14"/>
      <c r="H219" s="14"/>
      <c r="K219" s="14"/>
      <c r="R219" s="14"/>
    </row>
    <row r="220" customFormat="false" ht="15" hidden="false" customHeight="true" outlineLevel="0" collapsed="false">
      <c r="D220" s="14"/>
      <c r="H220" s="14"/>
      <c r="K220" s="14"/>
      <c r="R220" s="14"/>
    </row>
    <row r="221" customFormat="false" ht="15" hidden="false" customHeight="true" outlineLevel="0" collapsed="false">
      <c r="D221" s="14"/>
      <c r="H221" s="14"/>
      <c r="K221" s="14"/>
      <c r="R221" s="14"/>
    </row>
    <row r="222" customFormat="false" ht="15" hidden="false" customHeight="true" outlineLevel="0" collapsed="false">
      <c r="D222" s="14"/>
      <c r="H222" s="14"/>
      <c r="K222" s="14"/>
      <c r="R222" s="14"/>
    </row>
    <row r="223" customFormat="false" ht="15" hidden="false" customHeight="true" outlineLevel="0" collapsed="false">
      <c r="D223" s="14"/>
      <c r="H223" s="14"/>
      <c r="K223" s="14"/>
      <c r="R223" s="14"/>
    </row>
    <row r="224" customFormat="false" ht="15" hidden="false" customHeight="true" outlineLevel="0" collapsed="false">
      <c r="D224" s="14"/>
      <c r="H224" s="14"/>
      <c r="K224" s="14"/>
      <c r="R224" s="14"/>
    </row>
    <row r="225" customFormat="false" ht="15" hidden="false" customHeight="true" outlineLevel="0" collapsed="false">
      <c r="D225" s="14"/>
      <c r="H225" s="14"/>
      <c r="K225" s="14"/>
      <c r="R225" s="14"/>
    </row>
    <row r="226" customFormat="false" ht="15" hidden="false" customHeight="true" outlineLevel="0" collapsed="false">
      <c r="D226" s="14"/>
      <c r="H226" s="14"/>
      <c r="K226" s="14"/>
      <c r="R226" s="14"/>
    </row>
    <row r="227" customFormat="false" ht="15" hidden="false" customHeight="true" outlineLevel="0" collapsed="false">
      <c r="D227" s="14"/>
      <c r="H227" s="14"/>
      <c r="K227" s="14"/>
      <c r="R227" s="14"/>
    </row>
    <row r="228" customFormat="false" ht="15" hidden="false" customHeight="true" outlineLevel="0" collapsed="false">
      <c r="D228" s="14"/>
      <c r="H228" s="14"/>
      <c r="K228" s="14"/>
      <c r="R228" s="14"/>
    </row>
    <row r="229" customFormat="false" ht="15" hidden="false" customHeight="true" outlineLevel="0" collapsed="false">
      <c r="D229" s="14"/>
      <c r="H229" s="14"/>
      <c r="K229" s="14"/>
      <c r="R229" s="14"/>
    </row>
    <row r="230" customFormat="false" ht="15" hidden="false" customHeight="true" outlineLevel="0" collapsed="false">
      <c r="D230" s="14"/>
      <c r="H230" s="14"/>
      <c r="K230" s="14"/>
      <c r="R230" s="14"/>
    </row>
    <row r="231" customFormat="false" ht="15" hidden="false" customHeight="true" outlineLevel="0" collapsed="false">
      <c r="D231" s="14"/>
      <c r="H231" s="14"/>
      <c r="K231" s="14"/>
      <c r="R231" s="14"/>
    </row>
    <row r="232" customFormat="false" ht="15" hidden="false" customHeight="true" outlineLevel="0" collapsed="false">
      <c r="D232" s="14"/>
      <c r="H232" s="14"/>
      <c r="K232" s="14"/>
      <c r="R232" s="14"/>
    </row>
    <row r="233" customFormat="false" ht="15" hidden="false" customHeight="true" outlineLevel="0" collapsed="false">
      <c r="D233" s="14"/>
      <c r="H233" s="14"/>
      <c r="K233" s="14"/>
      <c r="R233" s="14"/>
    </row>
    <row r="234" customFormat="false" ht="15" hidden="false" customHeight="true" outlineLevel="0" collapsed="false">
      <c r="D234" s="14"/>
      <c r="H234" s="14"/>
      <c r="K234" s="14"/>
      <c r="R234" s="14"/>
    </row>
    <row r="235" customFormat="false" ht="15" hidden="false" customHeight="true" outlineLevel="0" collapsed="false">
      <c r="D235" s="14"/>
      <c r="H235" s="14"/>
      <c r="K235" s="14"/>
      <c r="R235" s="14"/>
    </row>
    <row r="236" customFormat="false" ht="15" hidden="false" customHeight="true" outlineLevel="0" collapsed="false">
      <c r="D236" s="14"/>
      <c r="H236" s="14"/>
      <c r="K236" s="14"/>
      <c r="R236" s="14"/>
    </row>
    <row r="237" customFormat="false" ht="15" hidden="false" customHeight="true" outlineLevel="0" collapsed="false">
      <c r="D237" s="14"/>
      <c r="H237" s="14"/>
      <c r="K237" s="14"/>
      <c r="R237" s="14"/>
    </row>
    <row r="238" customFormat="false" ht="15" hidden="false" customHeight="true" outlineLevel="0" collapsed="false">
      <c r="D238" s="14"/>
      <c r="H238" s="14"/>
      <c r="K238" s="14"/>
      <c r="R238" s="14"/>
    </row>
    <row r="239" customFormat="false" ht="15" hidden="false" customHeight="true" outlineLevel="0" collapsed="false">
      <c r="D239" s="14"/>
      <c r="H239" s="14"/>
      <c r="K239" s="14"/>
      <c r="R239" s="14"/>
    </row>
    <row r="240" customFormat="false" ht="15" hidden="false" customHeight="true" outlineLevel="0" collapsed="false">
      <c r="D240" s="14"/>
      <c r="H240" s="14"/>
      <c r="K240" s="14"/>
      <c r="R240" s="14"/>
    </row>
    <row r="241" customFormat="false" ht="15" hidden="false" customHeight="true" outlineLevel="0" collapsed="false">
      <c r="D241" s="14"/>
      <c r="H241" s="14"/>
      <c r="K241" s="14"/>
      <c r="R241" s="14"/>
    </row>
    <row r="242" customFormat="false" ht="15" hidden="false" customHeight="true" outlineLevel="0" collapsed="false">
      <c r="D242" s="14"/>
      <c r="H242" s="14"/>
      <c r="K242" s="14"/>
      <c r="R242" s="14"/>
    </row>
    <row r="243" customFormat="false" ht="15" hidden="false" customHeight="true" outlineLevel="0" collapsed="false">
      <c r="D243" s="14"/>
      <c r="H243" s="14"/>
      <c r="K243" s="14"/>
      <c r="R243" s="14"/>
    </row>
    <row r="244" customFormat="false" ht="15" hidden="false" customHeight="true" outlineLevel="0" collapsed="false">
      <c r="D244" s="14"/>
      <c r="H244" s="14"/>
      <c r="K244" s="14"/>
      <c r="R244" s="14"/>
    </row>
    <row r="245" customFormat="false" ht="15" hidden="false" customHeight="true" outlineLevel="0" collapsed="false">
      <c r="D245" s="14"/>
      <c r="H245" s="14"/>
      <c r="K245" s="14"/>
      <c r="R245" s="14"/>
    </row>
    <row r="246" customFormat="false" ht="15" hidden="false" customHeight="true" outlineLevel="0" collapsed="false">
      <c r="D246" s="14"/>
      <c r="H246" s="14"/>
      <c r="K246" s="14"/>
      <c r="R246" s="14"/>
    </row>
    <row r="247" customFormat="false" ht="15" hidden="false" customHeight="true" outlineLevel="0" collapsed="false">
      <c r="D247" s="14"/>
      <c r="H247" s="14"/>
      <c r="K247" s="14"/>
      <c r="R247" s="14"/>
    </row>
    <row r="248" customFormat="false" ht="15" hidden="false" customHeight="true" outlineLevel="0" collapsed="false">
      <c r="D248" s="14"/>
      <c r="H248" s="14"/>
      <c r="K248" s="14"/>
      <c r="R248" s="14"/>
    </row>
    <row r="249" customFormat="false" ht="15" hidden="false" customHeight="true" outlineLevel="0" collapsed="false">
      <c r="D249" s="14"/>
      <c r="H249" s="14"/>
      <c r="K249" s="14"/>
      <c r="R249" s="14"/>
    </row>
    <row r="250" customFormat="false" ht="15" hidden="false" customHeight="true" outlineLevel="0" collapsed="false">
      <c r="D250" s="14"/>
      <c r="H250" s="14"/>
      <c r="K250" s="14"/>
      <c r="R250" s="14"/>
    </row>
    <row r="251" customFormat="false" ht="15" hidden="false" customHeight="true" outlineLevel="0" collapsed="false">
      <c r="D251" s="14"/>
      <c r="H251" s="14"/>
      <c r="K251" s="14"/>
      <c r="R251" s="14"/>
    </row>
    <row r="252" customFormat="false" ht="15" hidden="false" customHeight="true" outlineLevel="0" collapsed="false">
      <c r="D252" s="14"/>
      <c r="H252" s="14"/>
      <c r="K252" s="14"/>
      <c r="R252" s="14"/>
    </row>
    <row r="253" customFormat="false" ht="15" hidden="false" customHeight="true" outlineLevel="0" collapsed="false">
      <c r="D253" s="14"/>
      <c r="H253" s="14"/>
      <c r="K253" s="14"/>
      <c r="R253" s="14"/>
    </row>
    <row r="254" customFormat="false" ht="15" hidden="false" customHeight="true" outlineLevel="0" collapsed="false">
      <c r="D254" s="14"/>
      <c r="H254" s="14"/>
      <c r="K254" s="14"/>
      <c r="R254" s="14"/>
    </row>
    <row r="255" customFormat="false" ht="15" hidden="false" customHeight="true" outlineLevel="0" collapsed="false">
      <c r="D255" s="14"/>
      <c r="H255" s="14"/>
      <c r="K255" s="14"/>
      <c r="R255" s="14"/>
    </row>
    <row r="256" customFormat="false" ht="15" hidden="false" customHeight="true" outlineLevel="0" collapsed="false">
      <c r="D256" s="14"/>
      <c r="H256" s="14"/>
      <c r="K256" s="14"/>
      <c r="R256" s="14"/>
    </row>
    <row r="257" customFormat="false" ht="15" hidden="false" customHeight="true" outlineLevel="0" collapsed="false">
      <c r="D257" s="14"/>
      <c r="H257" s="14"/>
      <c r="K257" s="14"/>
      <c r="R257" s="14"/>
    </row>
    <row r="258" customFormat="false" ht="15" hidden="false" customHeight="true" outlineLevel="0" collapsed="false">
      <c r="D258" s="14"/>
      <c r="H258" s="14"/>
      <c r="K258" s="14"/>
      <c r="R258" s="14"/>
    </row>
    <row r="259" customFormat="false" ht="15" hidden="false" customHeight="true" outlineLevel="0" collapsed="false">
      <c r="D259" s="14"/>
      <c r="H259" s="14"/>
      <c r="K259" s="14"/>
      <c r="R259" s="14"/>
    </row>
    <row r="260" customFormat="false" ht="15" hidden="false" customHeight="true" outlineLevel="0" collapsed="false">
      <c r="D260" s="14"/>
      <c r="H260" s="14"/>
      <c r="K260" s="14"/>
      <c r="R260" s="14"/>
    </row>
    <row r="261" customFormat="false" ht="15" hidden="false" customHeight="true" outlineLevel="0" collapsed="false">
      <c r="D261" s="14"/>
      <c r="H261" s="14"/>
      <c r="K261" s="14"/>
      <c r="R261" s="14"/>
    </row>
    <row r="262" customFormat="false" ht="15" hidden="false" customHeight="true" outlineLevel="0" collapsed="false">
      <c r="D262" s="14"/>
      <c r="H262" s="14"/>
      <c r="K262" s="14"/>
      <c r="R262" s="14"/>
    </row>
    <row r="263" customFormat="false" ht="15" hidden="false" customHeight="true" outlineLevel="0" collapsed="false">
      <c r="D263" s="14"/>
      <c r="H263" s="14"/>
      <c r="K263" s="14"/>
      <c r="R263" s="14"/>
    </row>
    <row r="264" customFormat="false" ht="15" hidden="false" customHeight="true" outlineLevel="0" collapsed="false">
      <c r="D264" s="14"/>
      <c r="H264" s="14"/>
      <c r="K264" s="14"/>
      <c r="R264" s="14"/>
    </row>
    <row r="265" customFormat="false" ht="15" hidden="false" customHeight="true" outlineLevel="0" collapsed="false">
      <c r="D265" s="14"/>
      <c r="H265" s="14"/>
      <c r="K265" s="14"/>
      <c r="R265" s="14"/>
    </row>
    <row r="266" customFormat="false" ht="15" hidden="false" customHeight="true" outlineLevel="0" collapsed="false">
      <c r="D266" s="14"/>
      <c r="H266" s="14"/>
      <c r="K266" s="14"/>
      <c r="R266" s="14"/>
    </row>
    <row r="267" customFormat="false" ht="15" hidden="false" customHeight="true" outlineLevel="0" collapsed="false">
      <c r="D267" s="14"/>
      <c r="H267" s="14"/>
      <c r="K267" s="14"/>
      <c r="R267" s="14"/>
    </row>
    <row r="268" customFormat="false" ht="15" hidden="false" customHeight="true" outlineLevel="0" collapsed="false">
      <c r="D268" s="14"/>
      <c r="H268" s="14"/>
      <c r="K268" s="14"/>
      <c r="R268" s="14"/>
    </row>
    <row r="269" customFormat="false" ht="15" hidden="false" customHeight="true" outlineLevel="0" collapsed="false">
      <c r="D269" s="14"/>
      <c r="H269" s="14"/>
      <c r="K269" s="14"/>
      <c r="R269" s="14"/>
    </row>
    <row r="270" customFormat="false" ht="15" hidden="false" customHeight="true" outlineLevel="0" collapsed="false">
      <c r="D270" s="14"/>
      <c r="H270" s="14"/>
      <c r="K270" s="14"/>
      <c r="R270" s="14"/>
    </row>
    <row r="271" customFormat="false" ht="15" hidden="false" customHeight="true" outlineLevel="0" collapsed="false">
      <c r="D271" s="14"/>
      <c r="H271" s="14"/>
      <c r="K271" s="14"/>
      <c r="R271" s="14"/>
    </row>
    <row r="272" customFormat="false" ht="15" hidden="false" customHeight="true" outlineLevel="0" collapsed="false">
      <c r="D272" s="14"/>
      <c r="H272" s="14"/>
      <c r="K272" s="14"/>
      <c r="R272" s="14"/>
    </row>
    <row r="273" customFormat="false" ht="15" hidden="false" customHeight="true" outlineLevel="0" collapsed="false">
      <c r="D273" s="14"/>
      <c r="H273" s="14"/>
      <c r="K273" s="14"/>
      <c r="R273" s="14"/>
    </row>
    <row r="274" customFormat="false" ht="15" hidden="false" customHeight="true" outlineLevel="0" collapsed="false">
      <c r="D274" s="14"/>
      <c r="H274" s="14"/>
      <c r="K274" s="14"/>
      <c r="R274" s="14"/>
    </row>
    <row r="275" customFormat="false" ht="15" hidden="false" customHeight="true" outlineLevel="0" collapsed="false">
      <c r="D275" s="14"/>
      <c r="H275" s="14"/>
      <c r="K275" s="14"/>
      <c r="R275" s="14"/>
    </row>
    <row r="276" customFormat="false" ht="15" hidden="false" customHeight="true" outlineLevel="0" collapsed="false">
      <c r="D276" s="14"/>
      <c r="H276" s="14"/>
      <c r="K276" s="14"/>
      <c r="R276" s="14"/>
    </row>
    <row r="277" customFormat="false" ht="15" hidden="false" customHeight="true" outlineLevel="0" collapsed="false">
      <c r="D277" s="14"/>
      <c r="H277" s="14"/>
      <c r="K277" s="14"/>
      <c r="R277" s="14"/>
    </row>
    <row r="278" customFormat="false" ht="15" hidden="false" customHeight="true" outlineLevel="0" collapsed="false">
      <c r="D278" s="14"/>
      <c r="H278" s="14"/>
      <c r="K278" s="14"/>
      <c r="R278" s="14"/>
    </row>
    <row r="279" customFormat="false" ht="15" hidden="false" customHeight="true" outlineLevel="0" collapsed="false">
      <c r="D279" s="14"/>
      <c r="H279" s="14"/>
      <c r="K279" s="14"/>
      <c r="R279" s="14"/>
    </row>
    <row r="280" customFormat="false" ht="15" hidden="false" customHeight="true" outlineLevel="0" collapsed="false">
      <c r="D280" s="14"/>
      <c r="H280" s="14"/>
      <c r="K280" s="14"/>
      <c r="R280" s="14"/>
    </row>
    <row r="281" customFormat="false" ht="15" hidden="false" customHeight="true" outlineLevel="0" collapsed="false">
      <c r="D281" s="14"/>
      <c r="H281" s="14"/>
      <c r="K281" s="14"/>
      <c r="R281" s="14"/>
    </row>
    <row r="282" customFormat="false" ht="15" hidden="false" customHeight="true" outlineLevel="0" collapsed="false">
      <c r="D282" s="14"/>
      <c r="H282" s="14"/>
      <c r="K282" s="14"/>
      <c r="R282" s="14"/>
    </row>
    <row r="283" customFormat="false" ht="15" hidden="false" customHeight="true" outlineLevel="0" collapsed="false">
      <c r="D283" s="14"/>
      <c r="H283" s="14"/>
      <c r="K283" s="14"/>
      <c r="R283" s="14"/>
    </row>
    <row r="284" customFormat="false" ht="15" hidden="false" customHeight="true" outlineLevel="0" collapsed="false">
      <c r="D284" s="14"/>
      <c r="H284" s="14"/>
      <c r="K284" s="14"/>
      <c r="R284" s="14"/>
    </row>
    <row r="285" customFormat="false" ht="15" hidden="false" customHeight="true" outlineLevel="0" collapsed="false">
      <c r="D285" s="14"/>
      <c r="H285" s="14"/>
      <c r="K285" s="14"/>
      <c r="R285" s="14"/>
    </row>
    <row r="286" customFormat="false" ht="15" hidden="false" customHeight="true" outlineLevel="0" collapsed="false">
      <c r="D286" s="14"/>
      <c r="H286" s="14"/>
      <c r="K286" s="14"/>
      <c r="R286" s="14"/>
    </row>
    <row r="287" customFormat="false" ht="15" hidden="false" customHeight="true" outlineLevel="0" collapsed="false">
      <c r="D287" s="14"/>
      <c r="H287" s="14"/>
      <c r="K287" s="14"/>
      <c r="R287" s="14"/>
    </row>
    <row r="288" customFormat="false" ht="15" hidden="false" customHeight="true" outlineLevel="0" collapsed="false">
      <c r="D288" s="14"/>
      <c r="H288" s="14"/>
      <c r="K288" s="14"/>
      <c r="R288" s="14"/>
    </row>
    <row r="289" customFormat="false" ht="15" hidden="false" customHeight="true" outlineLevel="0" collapsed="false">
      <c r="D289" s="14"/>
      <c r="H289" s="14"/>
      <c r="K289" s="14"/>
      <c r="R289" s="14"/>
    </row>
    <row r="290" customFormat="false" ht="15" hidden="false" customHeight="true" outlineLevel="0" collapsed="false">
      <c r="D290" s="14"/>
      <c r="H290" s="14"/>
      <c r="K290" s="14"/>
      <c r="R290" s="14"/>
    </row>
    <row r="291" customFormat="false" ht="15" hidden="false" customHeight="true" outlineLevel="0" collapsed="false">
      <c r="D291" s="14"/>
      <c r="H291" s="14"/>
      <c r="K291" s="14"/>
      <c r="R291" s="14"/>
    </row>
    <row r="292" customFormat="false" ht="15" hidden="false" customHeight="true" outlineLevel="0" collapsed="false">
      <c r="D292" s="14"/>
      <c r="H292" s="14"/>
      <c r="K292" s="14"/>
      <c r="R292" s="14"/>
    </row>
    <row r="293" customFormat="false" ht="15" hidden="false" customHeight="true" outlineLevel="0" collapsed="false">
      <c r="D293" s="14"/>
      <c r="H293" s="14"/>
      <c r="K293" s="14"/>
      <c r="R293" s="14"/>
    </row>
    <row r="294" customFormat="false" ht="15" hidden="false" customHeight="true" outlineLevel="0" collapsed="false">
      <c r="D294" s="14"/>
      <c r="H294" s="14"/>
      <c r="K294" s="14"/>
      <c r="R294" s="14"/>
    </row>
    <row r="295" customFormat="false" ht="15" hidden="false" customHeight="true" outlineLevel="0" collapsed="false">
      <c r="D295" s="14"/>
      <c r="H295" s="14"/>
      <c r="K295" s="14"/>
      <c r="R295" s="14"/>
    </row>
    <row r="296" customFormat="false" ht="15" hidden="false" customHeight="true" outlineLevel="0" collapsed="false">
      <c r="D296" s="14"/>
      <c r="H296" s="14"/>
      <c r="K296" s="14"/>
      <c r="R296" s="14"/>
    </row>
    <row r="297" customFormat="false" ht="15" hidden="false" customHeight="true" outlineLevel="0" collapsed="false">
      <c r="D297" s="14"/>
      <c r="H297" s="14"/>
      <c r="K297" s="14"/>
      <c r="R297" s="14"/>
    </row>
    <row r="298" customFormat="false" ht="15" hidden="false" customHeight="true" outlineLevel="0" collapsed="false">
      <c r="D298" s="14"/>
      <c r="H298" s="14"/>
      <c r="K298" s="14"/>
      <c r="R298" s="14"/>
    </row>
    <row r="299" customFormat="false" ht="15" hidden="false" customHeight="true" outlineLevel="0" collapsed="false">
      <c r="D299" s="14"/>
      <c r="H299" s="14"/>
      <c r="K299" s="14"/>
      <c r="R299" s="14"/>
    </row>
    <row r="300" customFormat="false" ht="15" hidden="false" customHeight="true" outlineLevel="0" collapsed="false">
      <c r="D300" s="14"/>
      <c r="H300" s="14"/>
      <c r="K300" s="14"/>
      <c r="R300" s="14"/>
    </row>
    <row r="301" customFormat="false" ht="15" hidden="false" customHeight="true" outlineLevel="0" collapsed="false">
      <c r="D301" s="14"/>
      <c r="H301" s="14"/>
      <c r="K301" s="14"/>
      <c r="R301" s="14"/>
    </row>
    <row r="302" customFormat="false" ht="15" hidden="false" customHeight="true" outlineLevel="0" collapsed="false">
      <c r="D302" s="14"/>
      <c r="H302" s="14"/>
      <c r="K302" s="14"/>
      <c r="R302" s="14"/>
    </row>
    <row r="303" customFormat="false" ht="15" hidden="false" customHeight="true" outlineLevel="0" collapsed="false">
      <c r="D303" s="14"/>
      <c r="H303" s="14"/>
      <c r="K303" s="14"/>
      <c r="R303" s="14"/>
    </row>
    <row r="304" customFormat="false" ht="15" hidden="false" customHeight="true" outlineLevel="0" collapsed="false">
      <c r="D304" s="14"/>
      <c r="H304" s="14"/>
      <c r="K304" s="14"/>
      <c r="R304" s="14"/>
    </row>
    <row r="305" customFormat="false" ht="15" hidden="false" customHeight="true" outlineLevel="0" collapsed="false">
      <c r="D305" s="14"/>
      <c r="H305" s="14"/>
      <c r="K305" s="14"/>
      <c r="R305" s="14"/>
    </row>
    <row r="306" customFormat="false" ht="15" hidden="false" customHeight="true" outlineLevel="0" collapsed="false">
      <c r="D306" s="14"/>
      <c r="H306" s="14"/>
      <c r="K306" s="14"/>
      <c r="R306" s="14"/>
    </row>
    <row r="307" customFormat="false" ht="15" hidden="false" customHeight="true" outlineLevel="0" collapsed="false">
      <c r="D307" s="14"/>
      <c r="H307" s="14"/>
      <c r="K307" s="14"/>
      <c r="R307" s="14"/>
    </row>
    <row r="308" customFormat="false" ht="15" hidden="false" customHeight="true" outlineLevel="0" collapsed="false">
      <c r="D308" s="14"/>
      <c r="H308" s="14"/>
      <c r="K308" s="14"/>
      <c r="R308" s="14"/>
    </row>
    <row r="309" customFormat="false" ht="15" hidden="false" customHeight="true" outlineLevel="0" collapsed="false">
      <c r="D309" s="14"/>
      <c r="H309" s="14"/>
      <c r="K309" s="14"/>
      <c r="R309" s="14"/>
    </row>
    <row r="310" customFormat="false" ht="15" hidden="false" customHeight="true" outlineLevel="0" collapsed="false">
      <c r="D310" s="14"/>
      <c r="H310" s="14"/>
      <c r="K310" s="14"/>
      <c r="R310" s="14"/>
    </row>
    <row r="311" customFormat="false" ht="15" hidden="false" customHeight="true" outlineLevel="0" collapsed="false">
      <c r="D311" s="14"/>
      <c r="H311" s="14"/>
      <c r="K311" s="14"/>
      <c r="R311" s="14"/>
    </row>
    <row r="312" customFormat="false" ht="15" hidden="false" customHeight="true" outlineLevel="0" collapsed="false">
      <c r="D312" s="14"/>
      <c r="H312" s="14"/>
      <c r="K312" s="14"/>
      <c r="R312" s="14"/>
    </row>
    <row r="313" customFormat="false" ht="15" hidden="false" customHeight="true" outlineLevel="0" collapsed="false">
      <c r="D313" s="14"/>
      <c r="H313" s="14"/>
      <c r="K313" s="14"/>
      <c r="R313" s="14"/>
    </row>
    <row r="314" customFormat="false" ht="15" hidden="false" customHeight="true" outlineLevel="0" collapsed="false">
      <c r="D314" s="14"/>
      <c r="H314" s="14"/>
      <c r="K314" s="14"/>
      <c r="R314" s="14"/>
    </row>
    <row r="315" customFormat="false" ht="15" hidden="false" customHeight="true" outlineLevel="0" collapsed="false">
      <c r="D315" s="14"/>
      <c r="H315" s="14"/>
      <c r="K315" s="14"/>
      <c r="R315" s="14"/>
    </row>
    <row r="316" customFormat="false" ht="15" hidden="false" customHeight="true" outlineLevel="0" collapsed="false">
      <c r="D316" s="14"/>
      <c r="H316" s="14"/>
      <c r="K316" s="14"/>
      <c r="R316" s="14"/>
    </row>
    <row r="317" customFormat="false" ht="15" hidden="false" customHeight="true" outlineLevel="0" collapsed="false">
      <c r="D317" s="14"/>
      <c r="H317" s="14"/>
      <c r="K317" s="14"/>
      <c r="R317" s="14"/>
    </row>
    <row r="318" customFormat="false" ht="15" hidden="false" customHeight="true" outlineLevel="0" collapsed="false">
      <c r="D318" s="14"/>
      <c r="H318" s="14"/>
      <c r="K318" s="14"/>
      <c r="R318" s="14"/>
    </row>
    <row r="319" customFormat="false" ht="15" hidden="false" customHeight="true" outlineLevel="0" collapsed="false">
      <c r="D319" s="14"/>
      <c r="H319" s="14"/>
      <c r="K319" s="14"/>
      <c r="R319" s="14"/>
    </row>
    <row r="320" customFormat="false" ht="15" hidden="false" customHeight="true" outlineLevel="0" collapsed="false">
      <c r="D320" s="14"/>
      <c r="H320" s="14"/>
      <c r="K320" s="14"/>
      <c r="R320" s="14"/>
    </row>
    <row r="321" customFormat="false" ht="15" hidden="false" customHeight="true" outlineLevel="0" collapsed="false">
      <c r="D321" s="14"/>
      <c r="H321" s="14"/>
      <c r="K321" s="14"/>
      <c r="R321" s="14"/>
    </row>
    <row r="322" customFormat="false" ht="15" hidden="false" customHeight="true" outlineLevel="0" collapsed="false">
      <c r="D322" s="14"/>
      <c r="H322" s="14"/>
      <c r="K322" s="14"/>
      <c r="R322" s="14"/>
    </row>
    <row r="323" customFormat="false" ht="15" hidden="false" customHeight="true" outlineLevel="0" collapsed="false">
      <c r="D323" s="14"/>
      <c r="H323" s="14"/>
      <c r="K323" s="14"/>
      <c r="R323" s="14"/>
    </row>
    <row r="324" customFormat="false" ht="15" hidden="false" customHeight="true" outlineLevel="0" collapsed="false">
      <c r="D324" s="14"/>
      <c r="H324" s="14"/>
      <c r="K324" s="14"/>
      <c r="R324" s="14"/>
    </row>
    <row r="325" customFormat="false" ht="15" hidden="false" customHeight="true" outlineLevel="0" collapsed="false">
      <c r="D325" s="14"/>
      <c r="H325" s="14"/>
      <c r="K325" s="14"/>
      <c r="R325" s="14"/>
    </row>
    <row r="326" customFormat="false" ht="15" hidden="false" customHeight="true" outlineLevel="0" collapsed="false">
      <c r="D326" s="14"/>
      <c r="H326" s="14"/>
      <c r="K326" s="14"/>
      <c r="R326" s="14"/>
    </row>
    <row r="327" customFormat="false" ht="15" hidden="false" customHeight="true" outlineLevel="0" collapsed="false">
      <c r="D327" s="14"/>
      <c r="H327" s="14"/>
      <c r="K327" s="14"/>
      <c r="R327" s="14"/>
    </row>
    <row r="328" customFormat="false" ht="15" hidden="false" customHeight="true" outlineLevel="0" collapsed="false">
      <c r="D328" s="14"/>
      <c r="H328" s="14"/>
      <c r="K328" s="14"/>
      <c r="R328" s="14"/>
    </row>
    <row r="329" customFormat="false" ht="15" hidden="false" customHeight="true" outlineLevel="0" collapsed="false">
      <c r="D329" s="14"/>
      <c r="H329" s="14"/>
      <c r="K329" s="14"/>
      <c r="R329" s="14"/>
    </row>
    <row r="330" customFormat="false" ht="15" hidden="false" customHeight="true" outlineLevel="0" collapsed="false">
      <c r="D330" s="14"/>
      <c r="H330" s="14"/>
      <c r="K330" s="14"/>
      <c r="R330" s="14"/>
    </row>
    <row r="331" customFormat="false" ht="15" hidden="false" customHeight="true" outlineLevel="0" collapsed="false">
      <c r="D331" s="14"/>
      <c r="H331" s="14"/>
      <c r="K331" s="14"/>
      <c r="R331" s="14"/>
    </row>
    <row r="332" customFormat="false" ht="15" hidden="false" customHeight="true" outlineLevel="0" collapsed="false">
      <c r="D332" s="14"/>
      <c r="H332" s="14"/>
      <c r="K332" s="14"/>
      <c r="R332" s="14"/>
    </row>
    <row r="333" customFormat="false" ht="15" hidden="false" customHeight="true" outlineLevel="0" collapsed="false">
      <c r="D333" s="14"/>
      <c r="H333" s="14"/>
      <c r="K333" s="14"/>
      <c r="R333" s="14"/>
    </row>
    <row r="334" customFormat="false" ht="15" hidden="false" customHeight="true" outlineLevel="0" collapsed="false">
      <c r="D334" s="14"/>
      <c r="H334" s="14"/>
      <c r="K334" s="14"/>
      <c r="R334" s="14"/>
    </row>
    <row r="335" customFormat="false" ht="15" hidden="false" customHeight="true" outlineLevel="0" collapsed="false">
      <c r="D335" s="14"/>
      <c r="H335" s="14"/>
      <c r="K335" s="14"/>
      <c r="R335" s="14"/>
    </row>
    <row r="336" customFormat="false" ht="15" hidden="false" customHeight="true" outlineLevel="0" collapsed="false">
      <c r="D336" s="14"/>
      <c r="H336" s="14"/>
      <c r="K336" s="14"/>
      <c r="R336" s="14"/>
    </row>
    <row r="337" customFormat="false" ht="15" hidden="false" customHeight="true" outlineLevel="0" collapsed="false">
      <c r="D337" s="14"/>
      <c r="H337" s="14"/>
      <c r="K337" s="14"/>
      <c r="R337" s="14"/>
    </row>
    <row r="338" customFormat="false" ht="15" hidden="false" customHeight="true" outlineLevel="0" collapsed="false">
      <c r="D338" s="14"/>
      <c r="H338" s="14"/>
      <c r="K338" s="14"/>
      <c r="R338" s="14"/>
    </row>
    <row r="339" customFormat="false" ht="15" hidden="false" customHeight="true" outlineLevel="0" collapsed="false">
      <c r="D339" s="14"/>
      <c r="H339" s="14"/>
      <c r="K339" s="14"/>
      <c r="R339" s="14"/>
    </row>
    <row r="340" customFormat="false" ht="15" hidden="false" customHeight="true" outlineLevel="0" collapsed="false">
      <c r="D340" s="14"/>
      <c r="H340" s="14"/>
      <c r="K340" s="14"/>
      <c r="R340" s="14"/>
    </row>
    <row r="341" customFormat="false" ht="15" hidden="false" customHeight="true" outlineLevel="0" collapsed="false">
      <c r="D341" s="14"/>
      <c r="H341" s="14"/>
      <c r="K341" s="14"/>
      <c r="R341" s="14"/>
    </row>
    <row r="342" customFormat="false" ht="15" hidden="false" customHeight="true" outlineLevel="0" collapsed="false">
      <c r="D342" s="14"/>
      <c r="H342" s="14"/>
      <c r="K342" s="14"/>
      <c r="R342" s="14"/>
    </row>
    <row r="343" customFormat="false" ht="15" hidden="false" customHeight="true" outlineLevel="0" collapsed="false">
      <c r="D343" s="14"/>
      <c r="H343" s="14"/>
      <c r="K343" s="14"/>
      <c r="R343" s="14"/>
    </row>
    <row r="344" customFormat="false" ht="15" hidden="false" customHeight="true" outlineLevel="0" collapsed="false">
      <c r="D344" s="14"/>
      <c r="H344" s="14"/>
      <c r="K344" s="14"/>
      <c r="R344" s="14"/>
    </row>
    <row r="345" customFormat="false" ht="15" hidden="false" customHeight="true" outlineLevel="0" collapsed="false">
      <c r="D345" s="14"/>
      <c r="H345" s="14"/>
      <c r="K345" s="14"/>
      <c r="R345" s="14"/>
    </row>
    <row r="346" customFormat="false" ht="15" hidden="false" customHeight="true" outlineLevel="0" collapsed="false">
      <c r="D346" s="14"/>
      <c r="H346" s="14"/>
      <c r="K346" s="14"/>
      <c r="R346" s="14"/>
    </row>
    <row r="347" customFormat="false" ht="15" hidden="false" customHeight="true" outlineLevel="0" collapsed="false">
      <c r="D347" s="14"/>
      <c r="H347" s="14"/>
      <c r="K347" s="14"/>
      <c r="R347" s="14"/>
    </row>
    <row r="348" customFormat="false" ht="15" hidden="false" customHeight="true" outlineLevel="0" collapsed="false">
      <c r="D348" s="14"/>
      <c r="H348" s="14"/>
      <c r="K348" s="14"/>
      <c r="R348" s="14"/>
    </row>
    <row r="349" customFormat="false" ht="15" hidden="false" customHeight="true" outlineLevel="0" collapsed="false">
      <c r="D349" s="14"/>
      <c r="H349" s="14"/>
      <c r="K349" s="14"/>
      <c r="R349" s="14"/>
    </row>
    <row r="350" customFormat="false" ht="15" hidden="false" customHeight="true" outlineLevel="0" collapsed="false">
      <c r="D350" s="14"/>
      <c r="H350" s="14"/>
      <c r="K350" s="14"/>
      <c r="R350" s="14"/>
    </row>
    <row r="351" customFormat="false" ht="15" hidden="false" customHeight="true" outlineLevel="0" collapsed="false">
      <c r="D351" s="14"/>
      <c r="H351" s="14"/>
      <c r="K351" s="14"/>
      <c r="R351" s="14"/>
    </row>
    <row r="352" customFormat="false" ht="15" hidden="false" customHeight="true" outlineLevel="0" collapsed="false">
      <c r="D352" s="14"/>
      <c r="H352" s="14"/>
      <c r="K352" s="14"/>
      <c r="R352" s="14"/>
    </row>
    <row r="353" customFormat="false" ht="15" hidden="false" customHeight="true" outlineLevel="0" collapsed="false">
      <c r="D353" s="14"/>
      <c r="H353" s="14"/>
      <c r="K353" s="14"/>
      <c r="R353" s="14"/>
    </row>
    <row r="354" customFormat="false" ht="15" hidden="false" customHeight="true" outlineLevel="0" collapsed="false">
      <c r="D354" s="14"/>
      <c r="H354" s="14"/>
      <c r="K354" s="14"/>
      <c r="R354" s="14"/>
    </row>
    <row r="355" customFormat="false" ht="15" hidden="false" customHeight="true" outlineLevel="0" collapsed="false">
      <c r="D355" s="14"/>
      <c r="H355" s="14"/>
      <c r="K355" s="14"/>
      <c r="R355" s="14"/>
    </row>
    <row r="356" customFormat="false" ht="15" hidden="false" customHeight="true" outlineLevel="0" collapsed="false">
      <c r="D356" s="14"/>
      <c r="H356" s="14"/>
      <c r="K356" s="14"/>
      <c r="R356" s="14"/>
    </row>
    <row r="357" customFormat="false" ht="15" hidden="false" customHeight="true" outlineLevel="0" collapsed="false">
      <c r="D357" s="14"/>
      <c r="H357" s="14"/>
      <c r="K357" s="14"/>
      <c r="R357" s="14"/>
    </row>
    <row r="358" customFormat="false" ht="15" hidden="false" customHeight="true" outlineLevel="0" collapsed="false">
      <c r="D358" s="14"/>
      <c r="H358" s="14"/>
      <c r="K358" s="14"/>
      <c r="R358" s="14"/>
    </row>
    <row r="359" customFormat="false" ht="15" hidden="false" customHeight="true" outlineLevel="0" collapsed="false">
      <c r="D359" s="14"/>
      <c r="H359" s="14"/>
      <c r="K359" s="14"/>
      <c r="R359" s="14"/>
    </row>
    <row r="360" customFormat="false" ht="15" hidden="false" customHeight="true" outlineLevel="0" collapsed="false">
      <c r="D360" s="14"/>
      <c r="H360" s="14"/>
      <c r="K360" s="14"/>
      <c r="R360" s="14"/>
    </row>
    <row r="361" customFormat="false" ht="15" hidden="false" customHeight="true" outlineLevel="0" collapsed="false">
      <c r="D361" s="14"/>
      <c r="H361" s="14"/>
      <c r="K361" s="14"/>
      <c r="R361" s="14"/>
    </row>
    <row r="362" customFormat="false" ht="15" hidden="false" customHeight="true" outlineLevel="0" collapsed="false">
      <c r="D362" s="14"/>
      <c r="H362" s="14"/>
      <c r="K362" s="14"/>
      <c r="R362" s="14"/>
    </row>
    <row r="363" customFormat="false" ht="15" hidden="false" customHeight="true" outlineLevel="0" collapsed="false">
      <c r="D363" s="14"/>
      <c r="H363" s="14"/>
      <c r="K363" s="14"/>
      <c r="R363" s="14"/>
    </row>
    <row r="364" customFormat="false" ht="15" hidden="false" customHeight="true" outlineLevel="0" collapsed="false">
      <c r="D364" s="14"/>
      <c r="H364" s="14"/>
      <c r="K364" s="14"/>
      <c r="R364" s="14"/>
    </row>
    <row r="365" customFormat="false" ht="15" hidden="false" customHeight="true" outlineLevel="0" collapsed="false">
      <c r="D365" s="14"/>
      <c r="H365" s="14"/>
      <c r="K365" s="14"/>
      <c r="R365" s="14"/>
    </row>
    <row r="366" customFormat="false" ht="15" hidden="false" customHeight="true" outlineLevel="0" collapsed="false">
      <c r="D366" s="14"/>
      <c r="H366" s="14"/>
      <c r="K366" s="14"/>
      <c r="R366" s="14"/>
    </row>
    <row r="367" customFormat="false" ht="15" hidden="false" customHeight="true" outlineLevel="0" collapsed="false">
      <c r="D367" s="14"/>
      <c r="H367" s="14"/>
      <c r="K367" s="14"/>
      <c r="R367" s="14"/>
    </row>
    <row r="368" customFormat="false" ht="15" hidden="false" customHeight="true" outlineLevel="0" collapsed="false">
      <c r="D368" s="14"/>
      <c r="H368" s="14"/>
      <c r="K368" s="14"/>
      <c r="R368" s="14"/>
    </row>
    <row r="369" customFormat="false" ht="15" hidden="false" customHeight="true" outlineLevel="0" collapsed="false">
      <c r="D369" s="14"/>
      <c r="H369" s="14"/>
      <c r="K369" s="14"/>
      <c r="R369" s="14"/>
    </row>
    <row r="370" customFormat="false" ht="15" hidden="false" customHeight="true" outlineLevel="0" collapsed="false">
      <c r="D370" s="14"/>
      <c r="H370" s="14"/>
      <c r="K370" s="14"/>
      <c r="R370" s="14"/>
    </row>
    <row r="371" customFormat="false" ht="15" hidden="false" customHeight="true" outlineLevel="0" collapsed="false">
      <c r="D371" s="14"/>
      <c r="H371" s="14"/>
      <c r="K371" s="14"/>
      <c r="R371" s="14"/>
    </row>
    <row r="372" customFormat="false" ht="15" hidden="false" customHeight="true" outlineLevel="0" collapsed="false">
      <c r="D372" s="14"/>
      <c r="H372" s="14"/>
      <c r="K372" s="14"/>
      <c r="R372" s="14"/>
    </row>
    <row r="373" customFormat="false" ht="15" hidden="false" customHeight="true" outlineLevel="0" collapsed="false">
      <c r="D373" s="14"/>
      <c r="H373" s="14"/>
      <c r="K373" s="14"/>
      <c r="R373" s="14"/>
    </row>
    <row r="374" customFormat="false" ht="15" hidden="false" customHeight="true" outlineLevel="0" collapsed="false">
      <c r="D374" s="14"/>
      <c r="H374" s="14"/>
      <c r="K374" s="14"/>
      <c r="R374" s="14"/>
    </row>
    <row r="375" customFormat="false" ht="15" hidden="false" customHeight="true" outlineLevel="0" collapsed="false">
      <c r="D375" s="14"/>
      <c r="H375" s="14"/>
      <c r="K375" s="14"/>
      <c r="R375" s="14"/>
    </row>
    <row r="376" customFormat="false" ht="15" hidden="false" customHeight="true" outlineLevel="0" collapsed="false">
      <c r="D376" s="14"/>
      <c r="H376" s="14"/>
      <c r="K376" s="14"/>
      <c r="R376" s="14"/>
    </row>
    <row r="377" customFormat="false" ht="15" hidden="false" customHeight="true" outlineLevel="0" collapsed="false">
      <c r="D377" s="14"/>
      <c r="H377" s="14"/>
      <c r="K377" s="14"/>
      <c r="R377" s="14"/>
    </row>
    <row r="378" customFormat="false" ht="15" hidden="false" customHeight="true" outlineLevel="0" collapsed="false">
      <c r="D378" s="14"/>
      <c r="H378" s="14"/>
      <c r="K378" s="14"/>
      <c r="R378" s="14"/>
    </row>
    <row r="379" customFormat="false" ht="15" hidden="false" customHeight="true" outlineLevel="0" collapsed="false">
      <c r="D379" s="14"/>
      <c r="H379" s="14"/>
      <c r="K379" s="14"/>
      <c r="R379" s="14"/>
    </row>
    <row r="380" customFormat="false" ht="15" hidden="false" customHeight="true" outlineLevel="0" collapsed="false">
      <c r="D380" s="14"/>
      <c r="H380" s="14"/>
      <c r="K380" s="14"/>
      <c r="R380" s="14"/>
    </row>
    <row r="381" customFormat="false" ht="15" hidden="false" customHeight="true" outlineLevel="0" collapsed="false">
      <c r="D381" s="14"/>
      <c r="H381" s="14"/>
      <c r="K381" s="14"/>
      <c r="R381" s="14"/>
    </row>
    <row r="382" customFormat="false" ht="15" hidden="false" customHeight="true" outlineLevel="0" collapsed="false">
      <c r="D382" s="14"/>
      <c r="H382" s="14"/>
      <c r="K382" s="14"/>
      <c r="R382" s="14"/>
    </row>
    <row r="383" customFormat="false" ht="15" hidden="false" customHeight="true" outlineLevel="0" collapsed="false">
      <c r="D383" s="14"/>
      <c r="H383" s="14"/>
      <c r="K383" s="14"/>
      <c r="R383" s="14"/>
    </row>
    <row r="384" customFormat="false" ht="15" hidden="false" customHeight="true" outlineLevel="0" collapsed="false">
      <c r="D384" s="14"/>
      <c r="H384" s="14"/>
      <c r="K384" s="14"/>
      <c r="R384" s="14"/>
    </row>
    <row r="385" customFormat="false" ht="15" hidden="false" customHeight="true" outlineLevel="0" collapsed="false">
      <c r="D385" s="14"/>
      <c r="H385" s="14"/>
      <c r="K385" s="14"/>
      <c r="R385" s="14"/>
    </row>
    <row r="386" customFormat="false" ht="15" hidden="false" customHeight="true" outlineLevel="0" collapsed="false">
      <c r="D386" s="14"/>
      <c r="H386" s="14"/>
      <c r="K386" s="14"/>
      <c r="R386" s="14"/>
    </row>
    <row r="387" customFormat="false" ht="15" hidden="false" customHeight="true" outlineLevel="0" collapsed="false">
      <c r="D387" s="14"/>
      <c r="H387" s="14"/>
      <c r="K387" s="14"/>
      <c r="R387" s="14"/>
    </row>
    <row r="388" customFormat="false" ht="15" hidden="false" customHeight="true" outlineLevel="0" collapsed="false">
      <c r="D388" s="14"/>
      <c r="H388" s="14"/>
      <c r="K388" s="14"/>
      <c r="R388" s="14"/>
    </row>
    <row r="389" customFormat="false" ht="15" hidden="false" customHeight="true" outlineLevel="0" collapsed="false">
      <c r="D389" s="14"/>
      <c r="H389" s="14"/>
      <c r="K389" s="14"/>
      <c r="R389" s="14"/>
    </row>
    <row r="390" customFormat="false" ht="15" hidden="false" customHeight="true" outlineLevel="0" collapsed="false">
      <c r="D390" s="14"/>
      <c r="H390" s="14"/>
      <c r="K390" s="14"/>
      <c r="R390" s="14"/>
    </row>
    <row r="391" customFormat="false" ht="15" hidden="false" customHeight="true" outlineLevel="0" collapsed="false">
      <c r="D391" s="14"/>
      <c r="H391" s="14"/>
      <c r="K391" s="14"/>
      <c r="R391" s="14"/>
    </row>
    <row r="392" customFormat="false" ht="15" hidden="false" customHeight="true" outlineLevel="0" collapsed="false">
      <c r="D392" s="14"/>
      <c r="H392" s="14"/>
      <c r="K392" s="14"/>
      <c r="R392" s="14"/>
    </row>
    <row r="393" customFormat="false" ht="15" hidden="false" customHeight="true" outlineLevel="0" collapsed="false">
      <c r="D393" s="14"/>
      <c r="H393" s="14"/>
      <c r="K393" s="14"/>
      <c r="R393" s="14"/>
    </row>
    <row r="394" customFormat="false" ht="15" hidden="false" customHeight="true" outlineLevel="0" collapsed="false">
      <c r="D394" s="14"/>
      <c r="H394" s="14"/>
      <c r="K394" s="14"/>
      <c r="R394" s="14"/>
    </row>
    <row r="395" customFormat="false" ht="15" hidden="false" customHeight="true" outlineLevel="0" collapsed="false">
      <c r="D395" s="14"/>
      <c r="H395" s="14"/>
      <c r="K395" s="14"/>
      <c r="R395" s="14"/>
    </row>
    <row r="396" customFormat="false" ht="15" hidden="false" customHeight="true" outlineLevel="0" collapsed="false">
      <c r="D396" s="14"/>
      <c r="H396" s="14"/>
      <c r="K396" s="14"/>
      <c r="R396" s="14"/>
    </row>
    <row r="397" customFormat="false" ht="15" hidden="false" customHeight="true" outlineLevel="0" collapsed="false">
      <c r="D397" s="14"/>
      <c r="H397" s="14"/>
      <c r="K397" s="14"/>
      <c r="R397" s="14"/>
    </row>
    <row r="398" customFormat="false" ht="15" hidden="false" customHeight="true" outlineLevel="0" collapsed="false">
      <c r="D398" s="14"/>
      <c r="H398" s="14"/>
      <c r="K398" s="14"/>
      <c r="R398" s="14"/>
    </row>
    <row r="399" customFormat="false" ht="15" hidden="false" customHeight="true" outlineLevel="0" collapsed="false">
      <c r="D399" s="14"/>
      <c r="H399" s="14"/>
      <c r="K399" s="14"/>
      <c r="R399" s="14"/>
    </row>
    <row r="400" customFormat="false" ht="15" hidden="false" customHeight="true" outlineLevel="0" collapsed="false">
      <c r="D400" s="14"/>
      <c r="H400" s="14"/>
      <c r="K400" s="14"/>
      <c r="R400" s="14"/>
    </row>
    <row r="401" customFormat="false" ht="15" hidden="false" customHeight="true" outlineLevel="0" collapsed="false">
      <c r="D401" s="14"/>
      <c r="H401" s="14"/>
      <c r="K401" s="14"/>
      <c r="R401" s="14"/>
    </row>
    <row r="402" customFormat="false" ht="15" hidden="false" customHeight="true" outlineLevel="0" collapsed="false">
      <c r="D402" s="14"/>
      <c r="H402" s="14"/>
      <c r="K402" s="14"/>
      <c r="R402" s="14"/>
    </row>
    <row r="403" customFormat="false" ht="15" hidden="false" customHeight="true" outlineLevel="0" collapsed="false">
      <c r="D403" s="14"/>
      <c r="H403" s="14"/>
      <c r="K403" s="14"/>
      <c r="R403" s="14"/>
    </row>
    <row r="404" customFormat="false" ht="15" hidden="false" customHeight="true" outlineLevel="0" collapsed="false">
      <c r="D404" s="14"/>
      <c r="H404" s="14"/>
      <c r="K404" s="14"/>
      <c r="R404" s="14"/>
    </row>
    <row r="405" customFormat="false" ht="15" hidden="false" customHeight="true" outlineLevel="0" collapsed="false">
      <c r="D405" s="14"/>
      <c r="H405" s="14"/>
      <c r="K405" s="14"/>
      <c r="R405" s="14"/>
    </row>
    <row r="406" customFormat="false" ht="15" hidden="false" customHeight="true" outlineLevel="0" collapsed="false">
      <c r="D406" s="14"/>
      <c r="H406" s="14"/>
      <c r="K406" s="14"/>
      <c r="R406" s="14"/>
    </row>
    <row r="407" customFormat="false" ht="15" hidden="false" customHeight="true" outlineLevel="0" collapsed="false">
      <c r="D407" s="14"/>
      <c r="H407" s="14"/>
      <c r="K407" s="14"/>
      <c r="R407" s="14"/>
    </row>
    <row r="408" customFormat="false" ht="15" hidden="false" customHeight="true" outlineLevel="0" collapsed="false">
      <c r="D408" s="14"/>
      <c r="H408" s="14"/>
      <c r="K408" s="14"/>
      <c r="R408" s="14"/>
    </row>
    <row r="409" customFormat="false" ht="15" hidden="false" customHeight="true" outlineLevel="0" collapsed="false">
      <c r="D409" s="14"/>
      <c r="H409" s="14"/>
      <c r="K409" s="14"/>
      <c r="R409" s="14"/>
    </row>
    <row r="410" customFormat="false" ht="15" hidden="false" customHeight="true" outlineLevel="0" collapsed="false">
      <c r="D410" s="14"/>
      <c r="H410" s="14"/>
      <c r="K410" s="14"/>
      <c r="R410" s="14"/>
    </row>
    <row r="411" customFormat="false" ht="15" hidden="false" customHeight="true" outlineLevel="0" collapsed="false">
      <c r="D411" s="14"/>
      <c r="H411" s="14"/>
      <c r="K411" s="14"/>
      <c r="R411" s="14"/>
    </row>
    <row r="412" customFormat="false" ht="15" hidden="false" customHeight="true" outlineLevel="0" collapsed="false">
      <c r="D412" s="14"/>
      <c r="H412" s="14"/>
      <c r="K412" s="14"/>
      <c r="R412" s="14"/>
    </row>
    <row r="413" customFormat="false" ht="15" hidden="false" customHeight="true" outlineLevel="0" collapsed="false">
      <c r="D413" s="14"/>
      <c r="H413" s="14"/>
      <c r="K413" s="14"/>
      <c r="R413" s="14"/>
    </row>
    <row r="414" customFormat="false" ht="15" hidden="false" customHeight="true" outlineLevel="0" collapsed="false">
      <c r="D414" s="14"/>
      <c r="H414" s="14"/>
      <c r="K414" s="14"/>
      <c r="R414" s="14"/>
    </row>
    <row r="415" customFormat="false" ht="15" hidden="false" customHeight="true" outlineLevel="0" collapsed="false">
      <c r="D415" s="14"/>
      <c r="H415" s="14"/>
      <c r="K415" s="14"/>
      <c r="R415" s="14"/>
    </row>
    <row r="416" customFormat="false" ht="15" hidden="false" customHeight="true" outlineLevel="0" collapsed="false">
      <c r="D416" s="14"/>
      <c r="H416" s="14"/>
      <c r="K416" s="14"/>
      <c r="R416" s="14"/>
    </row>
    <row r="417" customFormat="false" ht="15" hidden="false" customHeight="true" outlineLevel="0" collapsed="false">
      <c r="D417" s="14"/>
      <c r="H417" s="14"/>
      <c r="K417" s="14"/>
      <c r="R417" s="14"/>
    </row>
    <row r="418" customFormat="false" ht="15" hidden="false" customHeight="true" outlineLevel="0" collapsed="false">
      <c r="D418" s="14"/>
      <c r="H418" s="14"/>
      <c r="K418" s="14"/>
      <c r="R418" s="14"/>
    </row>
    <row r="419" customFormat="false" ht="15" hidden="false" customHeight="true" outlineLevel="0" collapsed="false">
      <c r="D419" s="14"/>
      <c r="H419" s="14"/>
      <c r="K419" s="14"/>
      <c r="R419" s="14"/>
    </row>
    <row r="420" customFormat="false" ht="15" hidden="false" customHeight="true" outlineLevel="0" collapsed="false">
      <c r="D420" s="14"/>
      <c r="H420" s="14"/>
      <c r="K420" s="14"/>
      <c r="R420" s="14"/>
    </row>
    <row r="421" customFormat="false" ht="15" hidden="false" customHeight="true" outlineLevel="0" collapsed="false">
      <c r="D421" s="14"/>
      <c r="H421" s="14"/>
      <c r="K421" s="14"/>
      <c r="R421" s="14"/>
    </row>
    <row r="422" customFormat="false" ht="15" hidden="false" customHeight="true" outlineLevel="0" collapsed="false">
      <c r="D422" s="14"/>
      <c r="H422" s="14"/>
      <c r="K422" s="14"/>
      <c r="R422" s="14"/>
    </row>
    <row r="423" customFormat="false" ht="15" hidden="false" customHeight="true" outlineLevel="0" collapsed="false">
      <c r="D423" s="14"/>
      <c r="H423" s="14"/>
      <c r="K423" s="14"/>
      <c r="R423" s="14"/>
    </row>
    <row r="424" customFormat="false" ht="15" hidden="false" customHeight="true" outlineLevel="0" collapsed="false">
      <c r="D424" s="14"/>
      <c r="H424" s="14"/>
      <c r="K424" s="14"/>
      <c r="R424" s="14"/>
    </row>
    <row r="425" customFormat="false" ht="15" hidden="false" customHeight="true" outlineLevel="0" collapsed="false">
      <c r="D425" s="14"/>
      <c r="H425" s="14"/>
      <c r="K425" s="14"/>
      <c r="R425" s="14"/>
    </row>
    <row r="426" customFormat="false" ht="15" hidden="false" customHeight="true" outlineLevel="0" collapsed="false">
      <c r="D426" s="14"/>
      <c r="H426" s="14"/>
      <c r="K426" s="14"/>
      <c r="R426" s="14"/>
    </row>
    <row r="427" customFormat="false" ht="15" hidden="false" customHeight="true" outlineLevel="0" collapsed="false">
      <c r="D427" s="14"/>
      <c r="H427" s="14"/>
      <c r="K427" s="14"/>
      <c r="R427" s="14"/>
    </row>
    <row r="428" customFormat="false" ht="15" hidden="false" customHeight="true" outlineLevel="0" collapsed="false">
      <c r="D428" s="14"/>
      <c r="H428" s="14"/>
      <c r="K428" s="14"/>
      <c r="R428" s="14"/>
    </row>
    <row r="429" customFormat="false" ht="15" hidden="false" customHeight="true" outlineLevel="0" collapsed="false">
      <c r="D429" s="14"/>
      <c r="H429" s="14"/>
      <c r="K429" s="14"/>
      <c r="R429" s="14"/>
    </row>
    <row r="430" customFormat="false" ht="15" hidden="false" customHeight="true" outlineLevel="0" collapsed="false">
      <c r="D430" s="14"/>
      <c r="H430" s="14"/>
      <c r="K430" s="14"/>
      <c r="R430" s="14"/>
    </row>
    <row r="431" customFormat="false" ht="15" hidden="false" customHeight="true" outlineLevel="0" collapsed="false">
      <c r="D431" s="14"/>
      <c r="H431" s="14"/>
      <c r="K431" s="14"/>
      <c r="R431" s="14"/>
    </row>
    <row r="432" customFormat="false" ht="15" hidden="false" customHeight="true" outlineLevel="0" collapsed="false">
      <c r="D432" s="14"/>
      <c r="H432" s="14"/>
      <c r="K432" s="14"/>
      <c r="R432" s="14"/>
    </row>
    <row r="433" customFormat="false" ht="15" hidden="false" customHeight="true" outlineLevel="0" collapsed="false">
      <c r="D433" s="14"/>
      <c r="H433" s="14"/>
      <c r="K433" s="14"/>
      <c r="R433" s="14"/>
    </row>
    <row r="434" customFormat="false" ht="15" hidden="false" customHeight="true" outlineLevel="0" collapsed="false">
      <c r="D434" s="14"/>
      <c r="H434" s="14"/>
      <c r="K434" s="14"/>
      <c r="R434" s="14"/>
    </row>
    <row r="435" customFormat="false" ht="15" hidden="false" customHeight="true" outlineLevel="0" collapsed="false">
      <c r="D435" s="14"/>
      <c r="H435" s="14"/>
      <c r="K435" s="14"/>
      <c r="R435" s="14"/>
    </row>
    <row r="436" customFormat="false" ht="15" hidden="false" customHeight="true" outlineLevel="0" collapsed="false">
      <c r="D436" s="14"/>
      <c r="H436" s="14"/>
      <c r="K436" s="14"/>
      <c r="R436" s="14"/>
    </row>
    <row r="437" customFormat="false" ht="15" hidden="false" customHeight="true" outlineLevel="0" collapsed="false">
      <c r="D437" s="14"/>
      <c r="H437" s="14"/>
      <c r="K437" s="14"/>
      <c r="R437" s="14"/>
    </row>
    <row r="438" customFormat="false" ht="15" hidden="false" customHeight="true" outlineLevel="0" collapsed="false">
      <c r="D438" s="14"/>
      <c r="H438" s="14"/>
      <c r="K438" s="14"/>
      <c r="R438" s="14"/>
    </row>
    <row r="439" customFormat="false" ht="15" hidden="false" customHeight="true" outlineLevel="0" collapsed="false">
      <c r="D439" s="14"/>
      <c r="H439" s="14"/>
      <c r="K439" s="14"/>
      <c r="R439" s="14"/>
    </row>
    <row r="440" customFormat="false" ht="15" hidden="false" customHeight="true" outlineLevel="0" collapsed="false">
      <c r="D440" s="14"/>
      <c r="H440" s="14"/>
      <c r="K440" s="14"/>
      <c r="R440" s="14"/>
    </row>
    <row r="441" customFormat="false" ht="15" hidden="false" customHeight="true" outlineLevel="0" collapsed="false">
      <c r="D441" s="14"/>
      <c r="H441" s="14"/>
      <c r="K441" s="14"/>
      <c r="R441" s="14"/>
    </row>
    <row r="442" customFormat="false" ht="15" hidden="false" customHeight="true" outlineLevel="0" collapsed="false">
      <c r="D442" s="14"/>
      <c r="H442" s="14"/>
      <c r="K442" s="14"/>
      <c r="R442" s="14"/>
    </row>
    <row r="443" customFormat="false" ht="15" hidden="false" customHeight="true" outlineLevel="0" collapsed="false">
      <c r="D443" s="14"/>
      <c r="H443" s="14"/>
      <c r="K443" s="14"/>
      <c r="R443" s="14"/>
    </row>
    <row r="444" customFormat="false" ht="15" hidden="false" customHeight="true" outlineLevel="0" collapsed="false">
      <c r="D444" s="14"/>
      <c r="H444" s="14"/>
      <c r="K444" s="14"/>
      <c r="R444" s="14"/>
    </row>
    <row r="445" customFormat="false" ht="15" hidden="false" customHeight="true" outlineLevel="0" collapsed="false">
      <c r="D445" s="14"/>
      <c r="H445" s="14"/>
      <c r="K445" s="14"/>
      <c r="R445" s="14"/>
    </row>
    <row r="446" customFormat="false" ht="15" hidden="false" customHeight="true" outlineLevel="0" collapsed="false">
      <c r="D446" s="14"/>
      <c r="H446" s="14"/>
      <c r="K446" s="14"/>
      <c r="R446" s="14"/>
    </row>
    <row r="447" customFormat="false" ht="15" hidden="false" customHeight="true" outlineLevel="0" collapsed="false">
      <c r="D447" s="14"/>
      <c r="H447" s="14"/>
      <c r="K447" s="14"/>
      <c r="R447" s="14"/>
    </row>
    <row r="448" customFormat="false" ht="15" hidden="false" customHeight="true" outlineLevel="0" collapsed="false">
      <c r="D448" s="14"/>
      <c r="H448" s="14"/>
      <c r="K448" s="14"/>
      <c r="R448" s="14"/>
    </row>
    <row r="449" customFormat="false" ht="15" hidden="false" customHeight="true" outlineLevel="0" collapsed="false">
      <c r="D449" s="14"/>
      <c r="H449" s="14"/>
      <c r="K449" s="14"/>
      <c r="R449" s="14"/>
    </row>
    <row r="450" customFormat="false" ht="15" hidden="false" customHeight="true" outlineLevel="0" collapsed="false">
      <c r="D450" s="14"/>
      <c r="H450" s="14"/>
      <c r="K450" s="14"/>
      <c r="R450" s="14"/>
    </row>
    <row r="451" customFormat="false" ht="15" hidden="false" customHeight="true" outlineLevel="0" collapsed="false">
      <c r="D451" s="14"/>
      <c r="H451" s="14"/>
      <c r="K451" s="14"/>
      <c r="R451" s="14"/>
    </row>
    <row r="452" customFormat="false" ht="15" hidden="false" customHeight="true" outlineLevel="0" collapsed="false">
      <c r="D452" s="14"/>
      <c r="H452" s="14"/>
      <c r="K452" s="14"/>
      <c r="R452" s="14"/>
    </row>
    <row r="453" customFormat="false" ht="15" hidden="false" customHeight="true" outlineLevel="0" collapsed="false">
      <c r="D453" s="14"/>
      <c r="H453" s="14"/>
      <c r="K453" s="14"/>
      <c r="R453" s="14"/>
    </row>
    <row r="454" customFormat="false" ht="15" hidden="false" customHeight="true" outlineLevel="0" collapsed="false">
      <c r="D454" s="14"/>
      <c r="H454" s="14"/>
      <c r="K454" s="14"/>
      <c r="R454" s="14"/>
    </row>
    <row r="455" customFormat="false" ht="15" hidden="false" customHeight="true" outlineLevel="0" collapsed="false">
      <c r="D455" s="14"/>
      <c r="H455" s="14"/>
      <c r="K455" s="14"/>
      <c r="R455" s="14"/>
    </row>
    <row r="456" customFormat="false" ht="15" hidden="false" customHeight="true" outlineLevel="0" collapsed="false">
      <c r="D456" s="14"/>
      <c r="H456" s="14"/>
      <c r="K456" s="14"/>
      <c r="R456" s="14"/>
    </row>
    <row r="457" customFormat="false" ht="15" hidden="false" customHeight="true" outlineLevel="0" collapsed="false">
      <c r="D457" s="14"/>
      <c r="H457" s="14"/>
      <c r="K457" s="14"/>
      <c r="R457" s="14"/>
    </row>
    <row r="458" customFormat="false" ht="15" hidden="false" customHeight="true" outlineLevel="0" collapsed="false">
      <c r="D458" s="14"/>
      <c r="H458" s="14"/>
      <c r="K458" s="14"/>
      <c r="R458" s="14"/>
    </row>
    <row r="459" customFormat="false" ht="15" hidden="false" customHeight="true" outlineLevel="0" collapsed="false">
      <c r="D459" s="14"/>
      <c r="H459" s="14"/>
      <c r="K459" s="14"/>
      <c r="R459" s="14"/>
    </row>
    <row r="460" customFormat="false" ht="15" hidden="false" customHeight="true" outlineLevel="0" collapsed="false">
      <c r="D460" s="14"/>
      <c r="H460" s="14"/>
      <c r="K460" s="14"/>
      <c r="R460" s="14"/>
    </row>
    <row r="461" customFormat="false" ht="15" hidden="false" customHeight="true" outlineLevel="0" collapsed="false">
      <c r="D461" s="14"/>
      <c r="H461" s="14"/>
      <c r="K461" s="14"/>
      <c r="R461" s="14"/>
    </row>
    <row r="462" customFormat="false" ht="15" hidden="false" customHeight="true" outlineLevel="0" collapsed="false">
      <c r="D462" s="14"/>
      <c r="H462" s="14"/>
      <c r="K462" s="14"/>
      <c r="R462" s="14"/>
    </row>
    <row r="463" customFormat="false" ht="15" hidden="false" customHeight="true" outlineLevel="0" collapsed="false">
      <c r="D463" s="14"/>
      <c r="H463" s="14"/>
      <c r="K463" s="14"/>
      <c r="R463" s="14"/>
    </row>
    <row r="464" customFormat="false" ht="15" hidden="false" customHeight="true" outlineLevel="0" collapsed="false">
      <c r="D464" s="14"/>
      <c r="H464" s="14"/>
      <c r="K464" s="14"/>
      <c r="R464" s="14"/>
    </row>
    <row r="465" customFormat="false" ht="15" hidden="false" customHeight="true" outlineLevel="0" collapsed="false">
      <c r="D465" s="14"/>
      <c r="H465" s="14"/>
      <c r="K465" s="14"/>
      <c r="R465" s="14"/>
    </row>
    <row r="466" customFormat="false" ht="15" hidden="false" customHeight="true" outlineLevel="0" collapsed="false">
      <c r="D466" s="14"/>
      <c r="H466" s="14"/>
      <c r="K466" s="14"/>
      <c r="R466" s="14"/>
    </row>
    <row r="467" customFormat="false" ht="15" hidden="false" customHeight="true" outlineLevel="0" collapsed="false">
      <c r="D467" s="14"/>
      <c r="H467" s="14"/>
      <c r="K467" s="14"/>
      <c r="R467" s="14"/>
    </row>
    <row r="468" customFormat="false" ht="15" hidden="false" customHeight="true" outlineLevel="0" collapsed="false">
      <c r="D468" s="14"/>
      <c r="H468" s="14"/>
      <c r="K468" s="14"/>
      <c r="R468" s="14"/>
    </row>
    <row r="469" customFormat="false" ht="15" hidden="false" customHeight="true" outlineLevel="0" collapsed="false">
      <c r="D469" s="14"/>
      <c r="H469" s="14"/>
      <c r="K469" s="14"/>
      <c r="R469" s="14"/>
    </row>
    <row r="470" customFormat="false" ht="15" hidden="false" customHeight="true" outlineLevel="0" collapsed="false">
      <c r="D470" s="14"/>
      <c r="H470" s="14"/>
      <c r="K470" s="14"/>
      <c r="R470" s="14"/>
    </row>
    <row r="471" customFormat="false" ht="15" hidden="false" customHeight="true" outlineLevel="0" collapsed="false">
      <c r="D471" s="14"/>
      <c r="H471" s="14"/>
      <c r="K471" s="14"/>
      <c r="R471" s="14"/>
    </row>
    <row r="472" customFormat="false" ht="15" hidden="false" customHeight="true" outlineLevel="0" collapsed="false">
      <c r="D472" s="14"/>
      <c r="H472" s="14"/>
      <c r="K472" s="14"/>
      <c r="R472" s="14"/>
    </row>
    <row r="473" customFormat="false" ht="15" hidden="false" customHeight="true" outlineLevel="0" collapsed="false">
      <c r="D473" s="14"/>
      <c r="H473" s="14"/>
      <c r="K473" s="14"/>
      <c r="R473" s="14"/>
    </row>
    <row r="474" customFormat="false" ht="15" hidden="false" customHeight="true" outlineLevel="0" collapsed="false">
      <c r="D474" s="14"/>
      <c r="H474" s="14"/>
      <c r="K474" s="14"/>
      <c r="R474" s="14"/>
    </row>
    <row r="475" customFormat="false" ht="15" hidden="false" customHeight="true" outlineLevel="0" collapsed="false">
      <c r="D475" s="14"/>
      <c r="H475" s="14"/>
      <c r="K475" s="14"/>
      <c r="R475" s="14"/>
    </row>
    <row r="476" customFormat="false" ht="15" hidden="false" customHeight="true" outlineLevel="0" collapsed="false">
      <c r="D476" s="14"/>
      <c r="H476" s="14"/>
      <c r="K476" s="14"/>
      <c r="R476" s="14"/>
    </row>
    <row r="477" customFormat="false" ht="15" hidden="false" customHeight="true" outlineLevel="0" collapsed="false">
      <c r="D477" s="14"/>
      <c r="H477" s="14"/>
      <c r="K477" s="14"/>
      <c r="R477" s="14"/>
    </row>
    <row r="478" customFormat="false" ht="15" hidden="false" customHeight="true" outlineLevel="0" collapsed="false">
      <c r="D478" s="14"/>
      <c r="H478" s="14"/>
      <c r="K478" s="14"/>
      <c r="R478" s="14"/>
    </row>
    <row r="479" customFormat="false" ht="15" hidden="false" customHeight="true" outlineLevel="0" collapsed="false">
      <c r="D479" s="14"/>
      <c r="H479" s="14"/>
      <c r="K479" s="14"/>
      <c r="R479" s="14"/>
    </row>
    <row r="480" customFormat="false" ht="15" hidden="false" customHeight="true" outlineLevel="0" collapsed="false">
      <c r="D480" s="14"/>
      <c r="H480" s="14"/>
      <c r="K480" s="14"/>
      <c r="R480" s="14"/>
    </row>
    <row r="481" customFormat="false" ht="15" hidden="false" customHeight="true" outlineLevel="0" collapsed="false">
      <c r="D481" s="14"/>
      <c r="H481" s="14"/>
      <c r="K481" s="14"/>
      <c r="R481" s="14"/>
    </row>
    <row r="482" customFormat="false" ht="15" hidden="false" customHeight="true" outlineLevel="0" collapsed="false">
      <c r="D482" s="14"/>
      <c r="H482" s="14"/>
      <c r="K482" s="14"/>
      <c r="R482" s="14"/>
    </row>
    <row r="483" customFormat="false" ht="15" hidden="false" customHeight="true" outlineLevel="0" collapsed="false">
      <c r="D483" s="14"/>
      <c r="H483" s="14"/>
      <c r="K483" s="14"/>
      <c r="R483" s="14"/>
    </row>
    <row r="484" customFormat="false" ht="15" hidden="false" customHeight="true" outlineLevel="0" collapsed="false">
      <c r="D484" s="14"/>
      <c r="H484" s="14"/>
      <c r="K484" s="14"/>
      <c r="R484" s="14"/>
    </row>
    <row r="485" customFormat="false" ht="15" hidden="false" customHeight="true" outlineLevel="0" collapsed="false">
      <c r="D485" s="14"/>
      <c r="H485" s="14"/>
      <c r="K485" s="14"/>
      <c r="R485" s="14"/>
    </row>
    <row r="486" customFormat="false" ht="15" hidden="false" customHeight="true" outlineLevel="0" collapsed="false">
      <c r="D486" s="14"/>
      <c r="H486" s="14"/>
      <c r="K486" s="14"/>
      <c r="R486" s="14"/>
    </row>
    <row r="487" customFormat="false" ht="15" hidden="false" customHeight="true" outlineLevel="0" collapsed="false">
      <c r="D487" s="14"/>
      <c r="H487" s="14"/>
      <c r="K487" s="14"/>
      <c r="R487" s="14"/>
    </row>
    <row r="488" customFormat="false" ht="15" hidden="false" customHeight="true" outlineLevel="0" collapsed="false">
      <c r="D488" s="14"/>
      <c r="H488" s="14"/>
      <c r="K488" s="14"/>
      <c r="R488" s="14"/>
    </row>
    <row r="489" customFormat="false" ht="15" hidden="false" customHeight="true" outlineLevel="0" collapsed="false">
      <c r="D489" s="14"/>
      <c r="H489" s="14"/>
      <c r="K489" s="14"/>
      <c r="R489" s="14"/>
    </row>
    <row r="490" customFormat="false" ht="15" hidden="false" customHeight="true" outlineLevel="0" collapsed="false">
      <c r="D490" s="14"/>
      <c r="H490" s="14"/>
      <c r="K490" s="14"/>
      <c r="R490" s="14"/>
    </row>
    <row r="491" customFormat="false" ht="15" hidden="false" customHeight="true" outlineLevel="0" collapsed="false">
      <c r="D491" s="14"/>
      <c r="H491" s="14"/>
      <c r="K491" s="14"/>
      <c r="R491" s="14"/>
    </row>
    <row r="492" customFormat="false" ht="15" hidden="false" customHeight="true" outlineLevel="0" collapsed="false">
      <c r="D492" s="14"/>
      <c r="H492" s="14"/>
      <c r="K492" s="14"/>
      <c r="R492" s="14"/>
    </row>
    <row r="493" customFormat="false" ht="15" hidden="false" customHeight="true" outlineLevel="0" collapsed="false">
      <c r="D493" s="14"/>
      <c r="H493" s="14"/>
      <c r="K493" s="14"/>
      <c r="R493" s="14"/>
    </row>
    <row r="494" customFormat="false" ht="15" hidden="false" customHeight="true" outlineLevel="0" collapsed="false">
      <c r="D494" s="14"/>
      <c r="H494" s="14"/>
      <c r="K494" s="14"/>
      <c r="R494" s="14"/>
    </row>
    <row r="495" customFormat="false" ht="15" hidden="false" customHeight="true" outlineLevel="0" collapsed="false">
      <c r="D495" s="14"/>
      <c r="H495" s="14"/>
      <c r="K495" s="14"/>
      <c r="R495" s="14"/>
    </row>
    <row r="496" customFormat="false" ht="15" hidden="false" customHeight="true" outlineLevel="0" collapsed="false">
      <c r="D496" s="14"/>
      <c r="H496" s="14"/>
      <c r="K496" s="14"/>
      <c r="R496" s="14"/>
    </row>
    <row r="497" customFormat="false" ht="15" hidden="false" customHeight="true" outlineLevel="0" collapsed="false">
      <c r="D497" s="14"/>
      <c r="H497" s="14"/>
      <c r="K497" s="14"/>
      <c r="R497" s="14"/>
    </row>
    <row r="498" customFormat="false" ht="15" hidden="false" customHeight="true" outlineLevel="0" collapsed="false">
      <c r="D498" s="14"/>
      <c r="H498" s="14"/>
      <c r="K498" s="14"/>
      <c r="R498" s="14"/>
    </row>
    <row r="499" customFormat="false" ht="15" hidden="false" customHeight="true" outlineLevel="0" collapsed="false">
      <c r="D499" s="14"/>
      <c r="H499" s="14"/>
      <c r="K499" s="14"/>
      <c r="R499" s="14"/>
    </row>
    <row r="500" customFormat="false" ht="15" hidden="false" customHeight="true" outlineLevel="0" collapsed="false">
      <c r="D500" s="14"/>
      <c r="H500" s="14"/>
      <c r="K500" s="14"/>
      <c r="R500" s="14"/>
    </row>
    <row r="501" customFormat="false" ht="15" hidden="false" customHeight="true" outlineLevel="0" collapsed="false">
      <c r="D501" s="14"/>
      <c r="H501" s="14"/>
      <c r="K501" s="14"/>
      <c r="R501" s="14"/>
    </row>
  </sheetData>
  <dataValidations count="13">
    <dataValidation allowBlank="true" errorStyle="stop" operator="between" showDropDown="false" showErrorMessage="false" showInputMessage="false" sqref="D2:D501" type="list">
      <formula1>"G2,Crozdesk,GetApp,Capterra,Other"</formula1>
      <formula2>0</formula2>
    </dataValidation>
    <dataValidation allowBlank="true" errorStyle="stop" operator="between" showDropDown="false" showErrorMessage="false" showInputMessage="false" sqref="H2:H501" type="list">
      <formula1>"Yes,No"</formula1>
      <formula2>0</formula2>
    </dataValidation>
    <dataValidation allowBlank="true" errorStyle="stop" operator="between" showDropDown="false" showErrorMessage="false" showInputMessage="false" sqref="K2:K501" type="list">
      <formula1>"Public,Private"</formula1>
      <formula2>0</formula2>
    </dataValidation>
    <dataValidation allowBlank="true" errorStyle="stop" operator="between" showDropDown="false" showErrorMessage="false" showInputMessage="false" sqref="O2:O501" type="list">
      <formula1>"Independent,Acquired,Merged,Rebranded"</formula1>
      <formula2>0</formula2>
    </dataValidation>
    <dataValidation allowBlank="true" errorStyle="stop" operator="between" showDropDown="false" showErrorMessage="false" showInputMessage="false" sqref="Q2:Q501" type="list">
      <formula1>"Yes,No"</formula1>
      <formula2>0</formula2>
    </dataValidation>
    <dataValidation allowBlank="true" errorStyle="stop" operator="between" showDropDown="false" showErrorMessage="false" showInputMessage="false" sqref="R2:R501" type="list">
      <formula1>"SMB,Mid-Market,Enterprise"</formula1>
      <formula2>0</formula2>
    </dataValidation>
    <dataValidation allowBlank="true" errorStyle="stop" operator="between" showDropDown="false" showErrorMessage="false" showInputMessage="false" sqref="S2:S501" type="list">
      <formula1>"PLG,Sales-led,Hybrid"</formula1>
      <formula2>0</formula2>
    </dataValidation>
    <dataValidation allowBlank="true" errorStyle="stop" operator="between" showDropDown="false" showErrorMessage="false" showInputMessage="false" sqref="T2:T501" type="list">
      <formula1>"Technical,Non-technical"</formula1>
      <formula2>0</formula2>
    </dataValidation>
    <dataValidation allowBlank="true" errorStyle="stop" operator="between" showDropDown="false" showErrorMessage="false" showInputMessage="false" sqref="U2:U501" type="list">
      <formula1>"Yes,No"</formula1>
      <formula2>0</formula2>
    </dataValidation>
    <dataValidation allowBlank="true" errorStyle="stop" operator="between" showDropDown="false" showErrorMessage="false" showInputMessage="false" sqref="W2:W501" type="list">
      <formula1>"Include,Exclude,Pending"</formula1>
      <formula2>0</formula2>
    </dataValidation>
    <dataValidation allowBlank="true" errorStyle="stop" operator="between" showDropDown="false" showErrorMessage="false" showInputMessage="false" sqref="Y2:Y501" type="list">
      <formula1>"Yes,No"</formula1>
      <formula2>0</formula2>
    </dataValidation>
    <dataValidation allowBlank="true" errorStyle="stop" operator="between" showDropDown="false" showErrorMessage="false" showInputMessage="false" sqref="Z2:Z501" type="list">
      <formula1>"Yes,No"</formula1>
      <formula2>0</formula2>
    </dataValidation>
    <dataValidation allowBlank="true" errorStyle="stop" operator="between" showDropDown="false" showErrorMessage="false" showInputMessage="false" sqref="AA2:AA501" type="list">
      <formula1>"Not Started,In Progress,Complete"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5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3" min="2" style="1" width="22"/>
    <col collapsed="false" customWidth="true" hidden="false" outlineLevel="0" max="12" min="4" style="1" width="14"/>
    <col collapsed="false" customWidth="true" hidden="false" outlineLevel="0" max="13" min="13" style="1" width="20"/>
    <col collapsed="false" customWidth="true" hidden="false" outlineLevel="0" max="14" min="14" style="1" width="14"/>
    <col collapsed="false" customWidth="true" hidden="false" outlineLevel="0" max="15" min="15" style="1" width="28"/>
    <col collapsed="false" customWidth="true" hidden="false" outlineLevel="0" max="16" min="16" style="1" width="20"/>
    <col collapsed="false" customWidth="true" hidden="false" outlineLevel="0" max="17" min="17" style="1" width="14"/>
    <col collapsed="false" customWidth="true" hidden="false" outlineLevel="0" max="18" min="18" style="1" width="28"/>
    <col collapsed="false" customWidth="true" hidden="false" outlineLevel="0" max="19" min="19" style="1" width="20"/>
    <col collapsed="false" customWidth="true" hidden="false" outlineLevel="0" max="20" min="20" style="1" width="14"/>
    <col collapsed="false" customWidth="true" hidden="false" outlineLevel="0" max="21" min="21" style="1" width="28"/>
    <col collapsed="false" customWidth="true" hidden="false" outlineLevel="0" max="22" min="22" style="1" width="20"/>
    <col collapsed="false" customWidth="true" hidden="false" outlineLevel="0" max="23" min="23" style="1" width="14"/>
    <col collapsed="false" customWidth="true" hidden="false" outlineLevel="0" max="24" min="24" style="1" width="28"/>
    <col collapsed="false" customWidth="true" hidden="false" outlineLevel="0" max="25" min="25" style="1" width="20"/>
    <col collapsed="false" customWidth="true" hidden="false" outlineLevel="0" max="26" min="26" style="1" width="14"/>
    <col collapsed="false" customWidth="true" hidden="false" outlineLevel="0" max="27" min="27" style="1" width="12"/>
    <col collapsed="false" customWidth="true" hidden="false" outlineLevel="0" max="28" min="28" style="1" width="16"/>
    <col collapsed="false" customWidth="true" hidden="false" outlineLevel="0" max="30" min="29" style="1" width="14"/>
    <col collapsed="false" customWidth="true" hidden="false" outlineLevel="0" max="36" min="31" style="1" width="30"/>
    <col collapsed="false" customWidth="true" hidden="false" outlineLevel="0" max="37" min="37" style="1" width="22"/>
    <col collapsed="false" customWidth="true" hidden="false" outlineLevel="0" max="38" min="38" style="1" width="14"/>
    <col collapsed="false" customWidth="true" hidden="false" outlineLevel="0" max="39" min="39" style="1" width="26"/>
    <col collapsed="false" customWidth="true" hidden="false" outlineLevel="0" max="48" min="40" style="1" width="30"/>
  </cols>
  <sheetData>
    <row r="1" customFormat="false" ht="33.75" hidden="false" customHeight="true" outlineLevel="0" collapsed="false">
      <c r="A1" s="13" t="s">
        <v>52</v>
      </c>
      <c r="B1" s="13" t="s">
        <v>19</v>
      </c>
      <c r="C1" s="13" t="s">
        <v>166</v>
      </c>
      <c r="D1" s="13" t="s">
        <v>1561</v>
      </c>
      <c r="E1" s="13" t="s">
        <v>1562</v>
      </c>
      <c r="F1" s="13" t="s">
        <v>1563</v>
      </c>
      <c r="G1" s="13" t="s">
        <v>1564</v>
      </c>
      <c r="H1" s="13" t="s">
        <v>1565</v>
      </c>
      <c r="I1" s="13" t="s">
        <v>168</v>
      </c>
      <c r="J1" s="13" t="s">
        <v>170</v>
      </c>
      <c r="K1" s="13" t="s">
        <v>172</v>
      </c>
      <c r="L1" s="13" t="s">
        <v>1566</v>
      </c>
      <c r="M1" s="13" t="s">
        <v>1567</v>
      </c>
      <c r="N1" s="13" t="s">
        <v>1568</v>
      </c>
      <c r="O1" s="13" t="s">
        <v>1569</v>
      </c>
      <c r="P1" s="13" t="s">
        <v>1570</v>
      </c>
      <c r="Q1" s="13" t="s">
        <v>1571</v>
      </c>
      <c r="R1" s="13" t="s">
        <v>1572</v>
      </c>
      <c r="S1" s="13" t="s">
        <v>1573</v>
      </c>
      <c r="T1" s="13" t="s">
        <v>1574</v>
      </c>
      <c r="U1" s="13" t="s">
        <v>1575</v>
      </c>
      <c r="V1" s="13" t="s">
        <v>1576</v>
      </c>
      <c r="W1" s="13" t="s">
        <v>1577</v>
      </c>
      <c r="X1" s="13" t="s">
        <v>1578</v>
      </c>
      <c r="Y1" s="13" t="s">
        <v>1579</v>
      </c>
      <c r="Z1" s="13" t="s">
        <v>1580</v>
      </c>
      <c r="AA1" s="13" t="s">
        <v>178</v>
      </c>
      <c r="AB1" s="13" t="s">
        <v>181</v>
      </c>
      <c r="AC1" s="13" t="s">
        <v>184</v>
      </c>
      <c r="AD1" s="13" t="s">
        <v>187</v>
      </c>
      <c r="AE1" s="13" t="s">
        <v>189</v>
      </c>
      <c r="AF1" s="13" t="s">
        <v>191</v>
      </c>
      <c r="AG1" s="13" t="s">
        <v>193</v>
      </c>
      <c r="AH1" s="13" t="s">
        <v>195</v>
      </c>
      <c r="AI1" s="13" t="s">
        <v>197</v>
      </c>
      <c r="AJ1" s="13" t="s">
        <v>199</v>
      </c>
      <c r="AK1" s="13" t="s">
        <v>202</v>
      </c>
      <c r="AL1" s="13" t="s">
        <v>203</v>
      </c>
      <c r="AM1" s="13" t="s">
        <v>204</v>
      </c>
      <c r="AN1" s="13" t="s">
        <v>206</v>
      </c>
      <c r="AO1" s="13" t="s">
        <v>208</v>
      </c>
      <c r="AP1" s="13" t="s">
        <v>210</v>
      </c>
      <c r="AQ1" s="13" t="s">
        <v>212</v>
      </c>
      <c r="AR1" s="13" t="s">
        <v>214</v>
      </c>
      <c r="AS1" s="13" t="s">
        <v>216</v>
      </c>
    </row>
    <row r="2" customFormat="false" ht="15" hidden="false" customHeight="true" outlineLevel="0" collapsed="false">
      <c r="B2" s="1" t="str">
        <f aca="false">IFERROR(VLOOKUP(A2,'Pass 2'!$A:$S,MATCH("Category",'Pass 2'!$1:$1,0),FALSE()),"")</f>
        <v/>
      </c>
      <c r="C2" s="1" t="str">
        <f aca="false">IFERROR(VLOOKUP(A2,'Pass 1 Archive'!$A:$AD,MATCH("LinkedIn Employee Count",'Pass 1 Archive'!$1:$1,0),FALSE()),"")</f>
        <v/>
      </c>
      <c r="D2" s="1" t="str">
        <f aca="false">IFERROR(VLOOKUP(A2,'Pass 2'!$A:$S,MATCH("Jan 2025 Traffic",'Pass 2'!$1:$1,0),FALSE()),"")</f>
        <v/>
      </c>
      <c r="E2" s="1" t="str">
        <f aca="false">IFERROR(VLOOKUP(A2,'Pass 2'!$A:$S,MATCH("Jun 2026 Traffic",'Pass 2'!$1:$1,0),FALSE()),"")</f>
        <v/>
      </c>
      <c r="F2" s="1" t="str">
        <f aca="false">IFERROR(VLOOKUP(A2,'Pass 2'!$A:$S,MATCH("Traffic % Change",'Pass 2'!$1:$1,0),FALSE()),"")</f>
        <v/>
      </c>
      <c r="G2" s="1" t="str">
        <f aca="false">IFERROR(VLOOKUP(A2,'Pass 2'!$A:$S,MATCH("Jan 2025 Referring Domains",'Pass 2'!$1:$1,0),FALSE()),"")</f>
        <v/>
      </c>
      <c r="H2" s="1" t="str">
        <f aca="false">IFERROR(VLOOKUP(A2,'Pass 2'!$A:$S,MATCH("Jun 2026 Referring Domains",'Pass 2'!$1:$1,0),FALSE()),"")</f>
        <v/>
      </c>
    </row>
    <row r="3" customFormat="false" ht="15" hidden="false" customHeight="true" outlineLevel="0" collapsed="false">
      <c r="B3" s="1" t="str">
        <f aca="false">IFERROR(VLOOKUP(A3,'Pass 2'!$A:$S,MATCH("Category",'Pass 2'!$1:$1,0),FALSE()),"")</f>
        <v/>
      </c>
      <c r="C3" s="1" t="str">
        <f aca="false">IFERROR(VLOOKUP(A3,'Pass 1 Archive'!$A:$AD,MATCH("LinkedIn Employee Count",'Pass 1 Archive'!$1:$1,0),FALSE()),"")</f>
        <v/>
      </c>
      <c r="D3" s="1" t="str">
        <f aca="false">IFERROR(VLOOKUP(A3,'Pass 2'!$A:$S,MATCH("Jan 2025 Traffic",'Pass 2'!$1:$1,0),FALSE()),"")</f>
        <v/>
      </c>
      <c r="E3" s="1" t="str">
        <f aca="false">IFERROR(VLOOKUP(A3,'Pass 2'!$A:$S,MATCH("Jun 2026 Traffic",'Pass 2'!$1:$1,0),FALSE()),"")</f>
        <v/>
      </c>
      <c r="F3" s="1" t="str">
        <f aca="false">IFERROR(VLOOKUP(A3,'Pass 2'!$A:$S,MATCH("Traffic % Change",'Pass 2'!$1:$1,0),FALSE()),"")</f>
        <v/>
      </c>
      <c r="G3" s="1" t="str">
        <f aca="false">IFERROR(VLOOKUP(A3,'Pass 2'!$A:$S,MATCH("Jan 2025 Referring Domains",'Pass 2'!$1:$1,0),FALSE()),"")</f>
        <v/>
      </c>
      <c r="H3" s="1" t="str">
        <f aca="false">IFERROR(VLOOKUP(A3,'Pass 2'!$A:$S,MATCH("Jun 2026 Referring Domains",'Pass 2'!$1:$1,0),FALSE()),"")</f>
        <v/>
      </c>
    </row>
    <row r="4" customFormat="false" ht="15" hidden="false" customHeight="true" outlineLevel="0" collapsed="false">
      <c r="B4" s="1" t="str">
        <f aca="false">IFERROR(VLOOKUP(A4,'Pass 2'!$A:$S,MATCH("Category",'Pass 2'!$1:$1,0),FALSE()),"")</f>
        <v/>
      </c>
      <c r="C4" s="1" t="str">
        <f aca="false">IFERROR(VLOOKUP(A4,'Pass 1 Archive'!$A:$AD,MATCH("LinkedIn Employee Count",'Pass 1 Archive'!$1:$1,0),FALSE()),"")</f>
        <v/>
      </c>
      <c r="D4" s="1" t="str">
        <f aca="false">IFERROR(VLOOKUP(A4,'Pass 2'!$A:$S,MATCH("Jan 2025 Traffic",'Pass 2'!$1:$1,0),FALSE()),"")</f>
        <v/>
      </c>
      <c r="E4" s="1" t="str">
        <f aca="false">IFERROR(VLOOKUP(A4,'Pass 2'!$A:$S,MATCH("Jun 2026 Traffic",'Pass 2'!$1:$1,0),FALSE()),"")</f>
        <v/>
      </c>
      <c r="F4" s="1" t="str">
        <f aca="false">IFERROR(VLOOKUP(A4,'Pass 2'!$A:$S,MATCH("Traffic % Change",'Pass 2'!$1:$1,0),FALSE()),"")</f>
        <v/>
      </c>
      <c r="G4" s="1" t="str">
        <f aca="false">IFERROR(VLOOKUP(A4,'Pass 2'!$A:$S,MATCH("Jan 2025 Referring Domains",'Pass 2'!$1:$1,0),FALSE()),"")</f>
        <v/>
      </c>
      <c r="H4" s="1" t="str">
        <f aca="false">IFERROR(VLOOKUP(A4,'Pass 2'!$A:$S,MATCH("Jun 2026 Referring Domains",'Pass 2'!$1:$1,0),FALSE()),"")</f>
        <v/>
      </c>
    </row>
    <row r="5" customFormat="false" ht="15" hidden="false" customHeight="true" outlineLevel="0" collapsed="false">
      <c r="B5" s="1" t="str">
        <f aca="false">IFERROR(VLOOKUP(A5,'Pass 2'!$A:$S,MATCH("Category",'Pass 2'!$1:$1,0),FALSE()),"")</f>
        <v/>
      </c>
      <c r="C5" s="1" t="str">
        <f aca="false">IFERROR(VLOOKUP(A5,'Pass 1 Archive'!$A:$AD,MATCH("LinkedIn Employee Count",'Pass 1 Archive'!$1:$1,0),FALSE()),"")</f>
        <v/>
      </c>
      <c r="D5" s="1" t="str">
        <f aca="false">IFERROR(VLOOKUP(A5,'Pass 2'!$A:$S,MATCH("Jan 2025 Traffic",'Pass 2'!$1:$1,0),FALSE()),"")</f>
        <v/>
      </c>
      <c r="E5" s="1" t="str">
        <f aca="false">IFERROR(VLOOKUP(A5,'Pass 2'!$A:$S,MATCH("Jun 2026 Traffic",'Pass 2'!$1:$1,0),FALSE()),"")</f>
        <v/>
      </c>
      <c r="F5" s="1" t="str">
        <f aca="false">IFERROR(VLOOKUP(A5,'Pass 2'!$A:$S,MATCH("Traffic % Change",'Pass 2'!$1:$1,0),FALSE()),"")</f>
        <v/>
      </c>
      <c r="G5" s="1" t="str">
        <f aca="false">IFERROR(VLOOKUP(A5,'Pass 2'!$A:$S,MATCH("Jan 2025 Referring Domains",'Pass 2'!$1:$1,0),FALSE()),"")</f>
        <v/>
      </c>
      <c r="H5" s="1" t="str">
        <f aca="false">IFERROR(VLOOKUP(A5,'Pass 2'!$A:$S,MATCH("Jun 2026 Referring Domains",'Pass 2'!$1:$1,0),FALSE()),"")</f>
        <v/>
      </c>
    </row>
    <row r="6" customFormat="false" ht="15" hidden="false" customHeight="true" outlineLevel="0" collapsed="false">
      <c r="B6" s="1" t="str">
        <f aca="false">IFERROR(VLOOKUP(A6,'Pass 2'!$A:$S,MATCH("Category",'Pass 2'!$1:$1,0),FALSE()),"")</f>
        <v/>
      </c>
      <c r="C6" s="1" t="str">
        <f aca="false">IFERROR(VLOOKUP(A6,'Pass 1 Archive'!$A:$AD,MATCH("LinkedIn Employee Count",'Pass 1 Archive'!$1:$1,0),FALSE()),"")</f>
        <v/>
      </c>
      <c r="D6" s="1" t="str">
        <f aca="false">IFERROR(VLOOKUP(A6,'Pass 2'!$A:$S,MATCH("Jan 2025 Traffic",'Pass 2'!$1:$1,0),FALSE()),"")</f>
        <v/>
      </c>
      <c r="E6" s="1" t="str">
        <f aca="false">IFERROR(VLOOKUP(A6,'Pass 2'!$A:$S,MATCH("Jun 2026 Traffic",'Pass 2'!$1:$1,0),FALSE()),"")</f>
        <v/>
      </c>
      <c r="F6" s="1" t="str">
        <f aca="false">IFERROR(VLOOKUP(A6,'Pass 2'!$A:$S,MATCH("Traffic % Change",'Pass 2'!$1:$1,0),FALSE()),"")</f>
        <v/>
      </c>
      <c r="G6" s="1" t="str">
        <f aca="false">IFERROR(VLOOKUP(A6,'Pass 2'!$A:$S,MATCH("Jan 2025 Referring Domains",'Pass 2'!$1:$1,0),FALSE()),"")</f>
        <v/>
      </c>
      <c r="H6" s="1" t="str">
        <f aca="false">IFERROR(VLOOKUP(A6,'Pass 2'!$A:$S,MATCH("Jun 2026 Referring Domains",'Pass 2'!$1:$1,0),FALSE()),"")</f>
        <v/>
      </c>
    </row>
    <row r="7" customFormat="false" ht="15" hidden="false" customHeight="true" outlineLevel="0" collapsed="false">
      <c r="B7" s="1" t="str">
        <f aca="false">IFERROR(VLOOKUP(A7,'Pass 2'!$A:$S,MATCH("Category",'Pass 2'!$1:$1,0),FALSE()),"")</f>
        <v/>
      </c>
      <c r="C7" s="1" t="str">
        <f aca="false">IFERROR(VLOOKUP(A7,'Pass 1 Archive'!$A:$AD,MATCH("LinkedIn Employee Count",'Pass 1 Archive'!$1:$1,0),FALSE()),"")</f>
        <v/>
      </c>
      <c r="D7" s="1" t="str">
        <f aca="false">IFERROR(VLOOKUP(A7,'Pass 2'!$A:$S,MATCH("Jan 2025 Traffic",'Pass 2'!$1:$1,0),FALSE()),"")</f>
        <v/>
      </c>
      <c r="E7" s="1" t="str">
        <f aca="false">IFERROR(VLOOKUP(A7,'Pass 2'!$A:$S,MATCH("Jun 2026 Traffic",'Pass 2'!$1:$1,0),FALSE()),"")</f>
        <v/>
      </c>
      <c r="F7" s="1" t="str">
        <f aca="false">IFERROR(VLOOKUP(A7,'Pass 2'!$A:$S,MATCH("Traffic % Change",'Pass 2'!$1:$1,0),FALSE()),"")</f>
        <v/>
      </c>
      <c r="G7" s="1" t="str">
        <f aca="false">IFERROR(VLOOKUP(A7,'Pass 2'!$A:$S,MATCH("Jan 2025 Referring Domains",'Pass 2'!$1:$1,0),FALSE()),"")</f>
        <v/>
      </c>
      <c r="H7" s="1" t="str">
        <f aca="false">IFERROR(VLOOKUP(A7,'Pass 2'!$A:$S,MATCH("Jun 2026 Referring Domains",'Pass 2'!$1:$1,0),FALSE()),"")</f>
        <v/>
      </c>
    </row>
    <row r="8" customFormat="false" ht="15" hidden="false" customHeight="true" outlineLevel="0" collapsed="false">
      <c r="B8" s="1" t="str">
        <f aca="false">IFERROR(VLOOKUP(A8,'Pass 2'!$A:$S,MATCH("Category",'Pass 2'!$1:$1,0),FALSE()),"")</f>
        <v/>
      </c>
      <c r="C8" s="1" t="str">
        <f aca="false">IFERROR(VLOOKUP(A8,'Pass 1 Archive'!$A:$AD,MATCH("LinkedIn Employee Count",'Pass 1 Archive'!$1:$1,0),FALSE()),"")</f>
        <v/>
      </c>
      <c r="D8" s="1" t="str">
        <f aca="false">IFERROR(VLOOKUP(A8,'Pass 2'!$A:$S,MATCH("Jan 2025 Traffic",'Pass 2'!$1:$1,0),FALSE()),"")</f>
        <v/>
      </c>
      <c r="E8" s="1" t="str">
        <f aca="false">IFERROR(VLOOKUP(A8,'Pass 2'!$A:$S,MATCH("Jun 2026 Traffic",'Pass 2'!$1:$1,0),FALSE()),"")</f>
        <v/>
      </c>
      <c r="F8" s="1" t="str">
        <f aca="false">IFERROR(VLOOKUP(A8,'Pass 2'!$A:$S,MATCH("Traffic % Change",'Pass 2'!$1:$1,0),FALSE()),"")</f>
        <v/>
      </c>
      <c r="G8" s="1" t="str">
        <f aca="false">IFERROR(VLOOKUP(A8,'Pass 2'!$A:$S,MATCH("Jan 2025 Referring Domains",'Pass 2'!$1:$1,0),FALSE()),"")</f>
        <v/>
      </c>
      <c r="H8" s="1" t="str">
        <f aca="false">IFERROR(VLOOKUP(A8,'Pass 2'!$A:$S,MATCH("Jun 2026 Referring Domains",'Pass 2'!$1:$1,0),FALSE()),"")</f>
        <v/>
      </c>
    </row>
    <row r="9" customFormat="false" ht="15" hidden="false" customHeight="true" outlineLevel="0" collapsed="false">
      <c r="B9" s="1" t="str">
        <f aca="false">IFERROR(VLOOKUP(A9,'Pass 2'!$A:$S,MATCH("Category",'Pass 2'!$1:$1,0),FALSE()),"")</f>
        <v/>
      </c>
      <c r="C9" s="1" t="str">
        <f aca="false">IFERROR(VLOOKUP(A9,'Pass 1 Archive'!$A:$AD,MATCH("LinkedIn Employee Count",'Pass 1 Archive'!$1:$1,0),FALSE()),"")</f>
        <v/>
      </c>
      <c r="D9" s="1" t="str">
        <f aca="false">IFERROR(VLOOKUP(A9,'Pass 2'!$A:$S,MATCH("Jan 2025 Traffic",'Pass 2'!$1:$1,0),FALSE()),"")</f>
        <v/>
      </c>
      <c r="E9" s="1" t="str">
        <f aca="false">IFERROR(VLOOKUP(A9,'Pass 2'!$A:$S,MATCH("Jun 2026 Traffic",'Pass 2'!$1:$1,0),FALSE()),"")</f>
        <v/>
      </c>
      <c r="F9" s="1" t="str">
        <f aca="false">IFERROR(VLOOKUP(A9,'Pass 2'!$A:$S,MATCH("Traffic % Change",'Pass 2'!$1:$1,0),FALSE()),"")</f>
        <v/>
      </c>
      <c r="G9" s="1" t="str">
        <f aca="false">IFERROR(VLOOKUP(A9,'Pass 2'!$A:$S,MATCH("Jan 2025 Referring Domains",'Pass 2'!$1:$1,0),FALSE()),"")</f>
        <v/>
      </c>
      <c r="H9" s="1" t="str">
        <f aca="false">IFERROR(VLOOKUP(A9,'Pass 2'!$A:$S,MATCH("Jun 2026 Referring Domains",'Pass 2'!$1:$1,0),FALSE()),"")</f>
        <v/>
      </c>
    </row>
    <row r="10" customFormat="false" ht="15" hidden="false" customHeight="true" outlineLevel="0" collapsed="false">
      <c r="B10" s="1" t="str">
        <f aca="false">IFERROR(VLOOKUP(A10,'Pass 2'!$A:$S,MATCH("Category",'Pass 2'!$1:$1,0),FALSE()),"")</f>
        <v/>
      </c>
      <c r="C10" s="1" t="str">
        <f aca="false">IFERROR(VLOOKUP(A10,'Pass 1 Archive'!$A:$AD,MATCH("LinkedIn Employee Count",'Pass 1 Archive'!$1:$1,0),FALSE()),"")</f>
        <v/>
      </c>
      <c r="D10" s="1" t="str">
        <f aca="false">IFERROR(VLOOKUP(A10,'Pass 2'!$A:$S,MATCH("Jan 2025 Traffic",'Pass 2'!$1:$1,0),FALSE()),"")</f>
        <v/>
      </c>
      <c r="E10" s="1" t="str">
        <f aca="false">IFERROR(VLOOKUP(A10,'Pass 2'!$A:$S,MATCH("Jun 2026 Traffic",'Pass 2'!$1:$1,0),FALSE()),"")</f>
        <v/>
      </c>
      <c r="F10" s="1" t="str">
        <f aca="false">IFERROR(VLOOKUP(A10,'Pass 2'!$A:$S,MATCH("Traffic % Change",'Pass 2'!$1:$1,0),FALSE()),"")</f>
        <v/>
      </c>
      <c r="G10" s="1" t="str">
        <f aca="false">IFERROR(VLOOKUP(A10,'Pass 2'!$A:$S,MATCH("Jan 2025 Referring Domains",'Pass 2'!$1:$1,0),FALSE()),"")</f>
        <v/>
      </c>
      <c r="H10" s="1" t="str">
        <f aca="false">IFERROR(VLOOKUP(A10,'Pass 2'!$A:$S,MATCH("Jun 2026 Referring Domains",'Pass 2'!$1:$1,0),FALSE()),"")</f>
        <v/>
      </c>
    </row>
    <row r="11" customFormat="false" ht="15" hidden="false" customHeight="true" outlineLevel="0" collapsed="false">
      <c r="B11" s="1" t="str">
        <f aca="false">IFERROR(VLOOKUP(A11,'Pass 2'!$A:$S,MATCH("Category",'Pass 2'!$1:$1,0),FALSE()),"")</f>
        <v/>
      </c>
      <c r="C11" s="1" t="str">
        <f aca="false">IFERROR(VLOOKUP(A11,'Pass 1 Archive'!$A:$AD,MATCH("LinkedIn Employee Count",'Pass 1 Archive'!$1:$1,0),FALSE()),"")</f>
        <v/>
      </c>
      <c r="D11" s="1" t="str">
        <f aca="false">IFERROR(VLOOKUP(A11,'Pass 2'!$A:$S,MATCH("Jan 2025 Traffic",'Pass 2'!$1:$1,0),FALSE()),"")</f>
        <v/>
      </c>
      <c r="E11" s="1" t="str">
        <f aca="false">IFERROR(VLOOKUP(A11,'Pass 2'!$A:$S,MATCH("Jun 2026 Traffic",'Pass 2'!$1:$1,0),FALSE()),"")</f>
        <v/>
      </c>
      <c r="F11" s="1" t="str">
        <f aca="false">IFERROR(VLOOKUP(A11,'Pass 2'!$A:$S,MATCH("Traffic % Change",'Pass 2'!$1:$1,0),FALSE()),"")</f>
        <v/>
      </c>
      <c r="G11" s="1" t="str">
        <f aca="false">IFERROR(VLOOKUP(A11,'Pass 2'!$A:$S,MATCH("Jan 2025 Referring Domains",'Pass 2'!$1:$1,0),FALSE()),"")</f>
        <v/>
      </c>
      <c r="H11" s="1" t="str">
        <f aca="false">IFERROR(VLOOKUP(A11,'Pass 2'!$A:$S,MATCH("Jun 2026 Referring Domains",'Pass 2'!$1:$1,0),FALSE()),"")</f>
        <v/>
      </c>
    </row>
    <row r="12" customFormat="false" ht="15" hidden="false" customHeight="true" outlineLevel="0" collapsed="false">
      <c r="B12" s="1" t="str">
        <f aca="false">IFERROR(VLOOKUP(A12,'Pass 2'!$A:$S,MATCH("Category",'Pass 2'!$1:$1,0),FALSE()),"")</f>
        <v/>
      </c>
      <c r="C12" s="1" t="str">
        <f aca="false">IFERROR(VLOOKUP(A12,'Pass 1 Archive'!$A:$AD,MATCH("LinkedIn Employee Count",'Pass 1 Archive'!$1:$1,0),FALSE()),"")</f>
        <v/>
      </c>
      <c r="D12" s="1" t="str">
        <f aca="false">IFERROR(VLOOKUP(A12,'Pass 2'!$A:$S,MATCH("Jan 2025 Traffic",'Pass 2'!$1:$1,0),FALSE()),"")</f>
        <v/>
      </c>
      <c r="E12" s="1" t="str">
        <f aca="false">IFERROR(VLOOKUP(A12,'Pass 2'!$A:$S,MATCH("Jun 2026 Traffic",'Pass 2'!$1:$1,0),FALSE()),"")</f>
        <v/>
      </c>
      <c r="F12" s="1" t="str">
        <f aca="false">IFERROR(VLOOKUP(A12,'Pass 2'!$A:$S,MATCH("Traffic % Change",'Pass 2'!$1:$1,0),FALSE()),"")</f>
        <v/>
      </c>
      <c r="G12" s="1" t="str">
        <f aca="false">IFERROR(VLOOKUP(A12,'Pass 2'!$A:$S,MATCH("Jan 2025 Referring Domains",'Pass 2'!$1:$1,0),FALSE()),"")</f>
        <v/>
      </c>
      <c r="H12" s="1" t="str">
        <f aca="false">IFERROR(VLOOKUP(A12,'Pass 2'!$A:$S,MATCH("Jun 2026 Referring Domains",'Pass 2'!$1:$1,0),FALSE()),"")</f>
        <v/>
      </c>
    </row>
    <row r="13" customFormat="false" ht="15" hidden="false" customHeight="true" outlineLevel="0" collapsed="false">
      <c r="B13" s="1" t="str">
        <f aca="false">IFERROR(VLOOKUP(A13,'Pass 2'!$A:$S,MATCH("Category",'Pass 2'!$1:$1,0),FALSE()),"")</f>
        <v/>
      </c>
      <c r="C13" s="1" t="str">
        <f aca="false">IFERROR(VLOOKUP(A13,'Pass 1 Archive'!$A:$AD,MATCH("LinkedIn Employee Count",'Pass 1 Archive'!$1:$1,0),FALSE()),"")</f>
        <v/>
      </c>
      <c r="D13" s="1" t="str">
        <f aca="false">IFERROR(VLOOKUP(A13,'Pass 2'!$A:$S,MATCH("Jan 2025 Traffic",'Pass 2'!$1:$1,0),FALSE()),"")</f>
        <v/>
      </c>
      <c r="E13" s="1" t="str">
        <f aca="false">IFERROR(VLOOKUP(A13,'Pass 2'!$A:$S,MATCH("Jun 2026 Traffic",'Pass 2'!$1:$1,0),FALSE()),"")</f>
        <v/>
      </c>
      <c r="F13" s="1" t="str">
        <f aca="false">IFERROR(VLOOKUP(A13,'Pass 2'!$A:$S,MATCH("Traffic % Change",'Pass 2'!$1:$1,0),FALSE()),"")</f>
        <v/>
      </c>
      <c r="G13" s="1" t="str">
        <f aca="false">IFERROR(VLOOKUP(A13,'Pass 2'!$A:$S,MATCH("Jan 2025 Referring Domains",'Pass 2'!$1:$1,0),FALSE()),"")</f>
        <v/>
      </c>
      <c r="H13" s="1" t="str">
        <f aca="false">IFERROR(VLOOKUP(A13,'Pass 2'!$A:$S,MATCH("Jun 2026 Referring Domains",'Pass 2'!$1:$1,0),FALSE()),"")</f>
        <v/>
      </c>
    </row>
    <row r="14" customFormat="false" ht="15" hidden="false" customHeight="true" outlineLevel="0" collapsed="false">
      <c r="B14" s="1" t="str">
        <f aca="false">IFERROR(VLOOKUP(A14,'Pass 2'!$A:$S,MATCH("Category",'Pass 2'!$1:$1,0),FALSE()),"")</f>
        <v/>
      </c>
      <c r="C14" s="1" t="str">
        <f aca="false">IFERROR(VLOOKUP(A14,'Pass 1 Archive'!$A:$AD,MATCH("LinkedIn Employee Count",'Pass 1 Archive'!$1:$1,0),FALSE()),"")</f>
        <v/>
      </c>
      <c r="D14" s="1" t="str">
        <f aca="false">IFERROR(VLOOKUP(A14,'Pass 2'!$A:$S,MATCH("Jan 2025 Traffic",'Pass 2'!$1:$1,0),FALSE()),"")</f>
        <v/>
      </c>
      <c r="E14" s="1" t="str">
        <f aca="false">IFERROR(VLOOKUP(A14,'Pass 2'!$A:$S,MATCH("Jun 2026 Traffic",'Pass 2'!$1:$1,0),FALSE()),"")</f>
        <v/>
      </c>
      <c r="F14" s="1" t="str">
        <f aca="false">IFERROR(VLOOKUP(A14,'Pass 2'!$A:$S,MATCH("Traffic % Change",'Pass 2'!$1:$1,0),FALSE()),"")</f>
        <v/>
      </c>
      <c r="G14" s="1" t="str">
        <f aca="false">IFERROR(VLOOKUP(A14,'Pass 2'!$A:$S,MATCH("Jan 2025 Referring Domains",'Pass 2'!$1:$1,0),FALSE()),"")</f>
        <v/>
      </c>
      <c r="H14" s="1" t="str">
        <f aca="false">IFERROR(VLOOKUP(A14,'Pass 2'!$A:$S,MATCH("Jun 2026 Referring Domains",'Pass 2'!$1:$1,0),FALSE()),"")</f>
        <v/>
      </c>
    </row>
    <row r="15" customFormat="false" ht="15" hidden="false" customHeight="true" outlineLevel="0" collapsed="false">
      <c r="B15" s="1" t="str">
        <f aca="false">IFERROR(VLOOKUP(A15,'Pass 2'!$A:$S,MATCH("Category",'Pass 2'!$1:$1,0),FALSE()),"")</f>
        <v/>
      </c>
      <c r="C15" s="1" t="str">
        <f aca="false">IFERROR(VLOOKUP(A15,'Pass 1 Archive'!$A:$AD,MATCH("LinkedIn Employee Count",'Pass 1 Archive'!$1:$1,0),FALSE()),"")</f>
        <v/>
      </c>
      <c r="D15" s="1" t="str">
        <f aca="false">IFERROR(VLOOKUP(A15,'Pass 2'!$A:$S,MATCH("Jan 2025 Traffic",'Pass 2'!$1:$1,0),FALSE()),"")</f>
        <v/>
      </c>
      <c r="E15" s="1" t="str">
        <f aca="false">IFERROR(VLOOKUP(A15,'Pass 2'!$A:$S,MATCH("Jun 2026 Traffic",'Pass 2'!$1:$1,0),FALSE()),"")</f>
        <v/>
      </c>
      <c r="F15" s="1" t="str">
        <f aca="false">IFERROR(VLOOKUP(A15,'Pass 2'!$A:$S,MATCH("Traffic % Change",'Pass 2'!$1:$1,0),FALSE()),"")</f>
        <v/>
      </c>
      <c r="G15" s="1" t="str">
        <f aca="false">IFERROR(VLOOKUP(A15,'Pass 2'!$A:$S,MATCH("Jan 2025 Referring Domains",'Pass 2'!$1:$1,0),FALSE()),"")</f>
        <v/>
      </c>
      <c r="H15" s="1" t="str">
        <f aca="false">IFERROR(VLOOKUP(A15,'Pass 2'!$A:$S,MATCH("Jun 2026 Referring Domains",'Pass 2'!$1:$1,0),FALSE()),"")</f>
        <v/>
      </c>
    </row>
    <row r="16" customFormat="false" ht="15" hidden="false" customHeight="true" outlineLevel="0" collapsed="false">
      <c r="B16" s="1" t="str">
        <f aca="false">IFERROR(VLOOKUP(A16,'Pass 2'!$A:$S,MATCH("Category",'Pass 2'!$1:$1,0),FALSE()),"")</f>
        <v/>
      </c>
      <c r="C16" s="1" t="str">
        <f aca="false">IFERROR(VLOOKUP(A16,'Pass 1 Archive'!$A:$AD,MATCH("LinkedIn Employee Count",'Pass 1 Archive'!$1:$1,0),FALSE()),"")</f>
        <v/>
      </c>
      <c r="D16" s="1" t="str">
        <f aca="false">IFERROR(VLOOKUP(A16,'Pass 2'!$A:$S,MATCH("Jan 2025 Traffic",'Pass 2'!$1:$1,0),FALSE()),"")</f>
        <v/>
      </c>
      <c r="E16" s="1" t="str">
        <f aca="false">IFERROR(VLOOKUP(A16,'Pass 2'!$A:$S,MATCH("Jun 2026 Traffic",'Pass 2'!$1:$1,0),FALSE()),"")</f>
        <v/>
      </c>
      <c r="F16" s="1" t="str">
        <f aca="false">IFERROR(VLOOKUP(A16,'Pass 2'!$A:$S,MATCH("Traffic % Change",'Pass 2'!$1:$1,0),FALSE()),"")</f>
        <v/>
      </c>
      <c r="G16" s="1" t="str">
        <f aca="false">IFERROR(VLOOKUP(A16,'Pass 2'!$A:$S,MATCH("Jan 2025 Referring Domains",'Pass 2'!$1:$1,0),FALSE()),"")</f>
        <v/>
      </c>
      <c r="H16" s="1" t="str">
        <f aca="false">IFERROR(VLOOKUP(A16,'Pass 2'!$A:$S,MATCH("Jun 2026 Referring Domains",'Pass 2'!$1:$1,0),FALSE()),"")</f>
        <v/>
      </c>
    </row>
    <row r="17" customFormat="false" ht="15" hidden="false" customHeight="true" outlineLevel="0" collapsed="false">
      <c r="B17" s="1" t="str">
        <f aca="false">IFERROR(VLOOKUP(A17,'Pass 2'!$A:$S,MATCH("Category",'Pass 2'!$1:$1,0),FALSE()),"")</f>
        <v/>
      </c>
      <c r="C17" s="1" t="str">
        <f aca="false">IFERROR(VLOOKUP(A17,'Pass 1 Archive'!$A:$AD,MATCH("LinkedIn Employee Count",'Pass 1 Archive'!$1:$1,0),FALSE()),"")</f>
        <v/>
      </c>
      <c r="D17" s="1" t="str">
        <f aca="false">IFERROR(VLOOKUP(A17,'Pass 2'!$A:$S,MATCH("Jan 2025 Traffic",'Pass 2'!$1:$1,0),FALSE()),"")</f>
        <v/>
      </c>
      <c r="E17" s="1" t="str">
        <f aca="false">IFERROR(VLOOKUP(A17,'Pass 2'!$A:$S,MATCH("Jun 2026 Traffic",'Pass 2'!$1:$1,0),FALSE()),"")</f>
        <v/>
      </c>
      <c r="F17" s="1" t="str">
        <f aca="false">IFERROR(VLOOKUP(A17,'Pass 2'!$A:$S,MATCH("Traffic % Change",'Pass 2'!$1:$1,0),FALSE()),"")</f>
        <v/>
      </c>
      <c r="G17" s="1" t="str">
        <f aca="false">IFERROR(VLOOKUP(A17,'Pass 2'!$A:$S,MATCH("Jan 2025 Referring Domains",'Pass 2'!$1:$1,0),FALSE()),"")</f>
        <v/>
      </c>
      <c r="H17" s="1" t="str">
        <f aca="false">IFERROR(VLOOKUP(A17,'Pass 2'!$A:$S,MATCH("Jun 2026 Referring Domains",'Pass 2'!$1:$1,0),FALSE()),"")</f>
        <v/>
      </c>
    </row>
    <row r="18" customFormat="false" ht="15" hidden="false" customHeight="true" outlineLevel="0" collapsed="false">
      <c r="B18" s="1" t="str">
        <f aca="false">IFERROR(VLOOKUP(A18,'Pass 2'!$A:$S,MATCH("Category",'Pass 2'!$1:$1,0),FALSE()),"")</f>
        <v/>
      </c>
      <c r="C18" s="1" t="str">
        <f aca="false">IFERROR(VLOOKUP(A18,'Pass 1 Archive'!$A:$AD,MATCH("LinkedIn Employee Count",'Pass 1 Archive'!$1:$1,0),FALSE()),"")</f>
        <v/>
      </c>
      <c r="D18" s="1" t="str">
        <f aca="false">IFERROR(VLOOKUP(A18,'Pass 2'!$A:$S,MATCH("Jan 2025 Traffic",'Pass 2'!$1:$1,0),FALSE()),"")</f>
        <v/>
      </c>
      <c r="E18" s="1" t="str">
        <f aca="false">IFERROR(VLOOKUP(A18,'Pass 2'!$A:$S,MATCH("Jun 2026 Traffic",'Pass 2'!$1:$1,0),FALSE()),"")</f>
        <v/>
      </c>
      <c r="F18" s="1" t="str">
        <f aca="false">IFERROR(VLOOKUP(A18,'Pass 2'!$A:$S,MATCH("Traffic % Change",'Pass 2'!$1:$1,0),FALSE()),"")</f>
        <v/>
      </c>
      <c r="G18" s="1" t="str">
        <f aca="false">IFERROR(VLOOKUP(A18,'Pass 2'!$A:$S,MATCH("Jan 2025 Referring Domains",'Pass 2'!$1:$1,0),FALSE()),"")</f>
        <v/>
      </c>
      <c r="H18" s="1" t="str">
        <f aca="false">IFERROR(VLOOKUP(A18,'Pass 2'!$A:$S,MATCH("Jun 2026 Referring Domains",'Pass 2'!$1:$1,0),FALSE()),"")</f>
        <v/>
      </c>
    </row>
    <row r="19" customFormat="false" ht="15" hidden="false" customHeight="true" outlineLevel="0" collapsed="false">
      <c r="B19" s="1" t="str">
        <f aca="false">IFERROR(VLOOKUP(A19,'Pass 2'!$A:$S,MATCH("Category",'Pass 2'!$1:$1,0),FALSE()),"")</f>
        <v/>
      </c>
      <c r="C19" s="1" t="str">
        <f aca="false">IFERROR(VLOOKUP(A19,'Pass 1 Archive'!$A:$AD,MATCH("LinkedIn Employee Count",'Pass 1 Archive'!$1:$1,0),FALSE()),"")</f>
        <v/>
      </c>
      <c r="D19" s="1" t="str">
        <f aca="false">IFERROR(VLOOKUP(A19,'Pass 2'!$A:$S,MATCH("Jan 2025 Traffic",'Pass 2'!$1:$1,0),FALSE()),"")</f>
        <v/>
      </c>
      <c r="E19" s="1" t="str">
        <f aca="false">IFERROR(VLOOKUP(A19,'Pass 2'!$A:$S,MATCH("Jun 2026 Traffic",'Pass 2'!$1:$1,0),FALSE()),"")</f>
        <v/>
      </c>
      <c r="F19" s="1" t="str">
        <f aca="false">IFERROR(VLOOKUP(A19,'Pass 2'!$A:$S,MATCH("Traffic % Change",'Pass 2'!$1:$1,0),FALSE()),"")</f>
        <v/>
      </c>
      <c r="G19" s="1" t="str">
        <f aca="false">IFERROR(VLOOKUP(A19,'Pass 2'!$A:$S,MATCH("Jan 2025 Referring Domains",'Pass 2'!$1:$1,0),FALSE()),"")</f>
        <v/>
      </c>
      <c r="H19" s="1" t="str">
        <f aca="false">IFERROR(VLOOKUP(A19,'Pass 2'!$A:$S,MATCH("Jun 2026 Referring Domains",'Pass 2'!$1:$1,0),FALSE()),"")</f>
        <v/>
      </c>
    </row>
    <row r="20" customFormat="false" ht="15" hidden="false" customHeight="true" outlineLevel="0" collapsed="false">
      <c r="B20" s="1" t="str">
        <f aca="false">IFERROR(VLOOKUP(A20,'Pass 2'!$A:$S,MATCH("Category",'Pass 2'!$1:$1,0),FALSE()),"")</f>
        <v/>
      </c>
      <c r="C20" s="1" t="str">
        <f aca="false">IFERROR(VLOOKUP(A20,'Pass 1 Archive'!$A:$AD,MATCH("LinkedIn Employee Count",'Pass 1 Archive'!$1:$1,0),FALSE()),"")</f>
        <v/>
      </c>
      <c r="D20" s="1" t="str">
        <f aca="false">IFERROR(VLOOKUP(A20,'Pass 2'!$A:$S,MATCH("Jan 2025 Traffic",'Pass 2'!$1:$1,0),FALSE()),"")</f>
        <v/>
      </c>
      <c r="E20" s="1" t="str">
        <f aca="false">IFERROR(VLOOKUP(A20,'Pass 2'!$A:$S,MATCH("Jun 2026 Traffic",'Pass 2'!$1:$1,0),FALSE()),"")</f>
        <v/>
      </c>
      <c r="F20" s="1" t="str">
        <f aca="false">IFERROR(VLOOKUP(A20,'Pass 2'!$A:$S,MATCH("Traffic % Change",'Pass 2'!$1:$1,0),FALSE()),"")</f>
        <v/>
      </c>
      <c r="G20" s="1" t="str">
        <f aca="false">IFERROR(VLOOKUP(A20,'Pass 2'!$A:$S,MATCH("Jan 2025 Referring Domains",'Pass 2'!$1:$1,0),FALSE()),"")</f>
        <v/>
      </c>
      <c r="H20" s="1" t="str">
        <f aca="false">IFERROR(VLOOKUP(A20,'Pass 2'!$A:$S,MATCH("Jun 2026 Referring Domains",'Pass 2'!$1:$1,0),FALSE()),"")</f>
        <v/>
      </c>
    </row>
    <row r="21" customFormat="false" ht="15" hidden="false" customHeight="true" outlineLevel="0" collapsed="false">
      <c r="B21" s="1" t="str">
        <f aca="false">IFERROR(VLOOKUP(A21,'Pass 2'!$A:$S,MATCH("Category",'Pass 2'!$1:$1,0),FALSE()),"")</f>
        <v/>
      </c>
      <c r="C21" s="1" t="str">
        <f aca="false">IFERROR(VLOOKUP(A21,'Pass 1 Archive'!$A:$AD,MATCH("LinkedIn Employee Count",'Pass 1 Archive'!$1:$1,0),FALSE()),"")</f>
        <v/>
      </c>
      <c r="D21" s="1" t="str">
        <f aca="false">IFERROR(VLOOKUP(A21,'Pass 2'!$A:$S,MATCH("Jan 2025 Traffic",'Pass 2'!$1:$1,0),FALSE()),"")</f>
        <v/>
      </c>
      <c r="E21" s="1" t="str">
        <f aca="false">IFERROR(VLOOKUP(A21,'Pass 2'!$A:$S,MATCH("Jun 2026 Traffic",'Pass 2'!$1:$1,0),FALSE()),"")</f>
        <v/>
      </c>
      <c r="F21" s="1" t="str">
        <f aca="false">IFERROR(VLOOKUP(A21,'Pass 2'!$A:$S,MATCH("Traffic % Change",'Pass 2'!$1:$1,0),FALSE()),"")</f>
        <v/>
      </c>
      <c r="G21" s="1" t="str">
        <f aca="false">IFERROR(VLOOKUP(A21,'Pass 2'!$A:$S,MATCH("Jan 2025 Referring Domains",'Pass 2'!$1:$1,0),FALSE()),"")</f>
        <v/>
      </c>
      <c r="H21" s="1" t="str">
        <f aca="false">IFERROR(VLOOKUP(A21,'Pass 2'!$A:$S,MATCH("Jun 2026 Referring Domains",'Pass 2'!$1:$1,0),FALSE()),"")</f>
        <v/>
      </c>
    </row>
    <row r="22" customFormat="false" ht="15" hidden="false" customHeight="true" outlineLevel="0" collapsed="false">
      <c r="B22" s="1" t="str">
        <f aca="false">IFERROR(VLOOKUP(A22,'Pass 2'!$A:$S,MATCH("Category",'Pass 2'!$1:$1,0),FALSE()),"")</f>
        <v/>
      </c>
      <c r="C22" s="1" t="str">
        <f aca="false">IFERROR(VLOOKUP(A22,'Pass 1 Archive'!$A:$AD,MATCH("LinkedIn Employee Count",'Pass 1 Archive'!$1:$1,0),FALSE()),"")</f>
        <v/>
      </c>
      <c r="D22" s="1" t="str">
        <f aca="false">IFERROR(VLOOKUP(A22,'Pass 2'!$A:$S,MATCH("Jan 2025 Traffic",'Pass 2'!$1:$1,0),FALSE()),"")</f>
        <v/>
      </c>
      <c r="E22" s="1" t="str">
        <f aca="false">IFERROR(VLOOKUP(A22,'Pass 2'!$A:$S,MATCH("Jun 2026 Traffic",'Pass 2'!$1:$1,0),FALSE()),"")</f>
        <v/>
      </c>
      <c r="F22" s="1" t="str">
        <f aca="false">IFERROR(VLOOKUP(A22,'Pass 2'!$A:$S,MATCH("Traffic % Change",'Pass 2'!$1:$1,0),FALSE()),"")</f>
        <v/>
      </c>
      <c r="G22" s="1" t="str">
        <f aca="false">IFERROR(VLOOKUP(A22,'Pass 2'!$A:$S,MATCH("Jan 2025 Referring Domains",'Pass 2'!$1:$1,0),FALSE()),"")</f>
        <v/>
      </c>
      <c r="H22" s="1" t="str">
        <f aca="false">IFERROR(VLOOKUP(A22,'Pass 2'!$A:$S,MATCH("Jun 2026 Referring Domains",'Pass 2'!$1:$1,0),FALSE()),"")</f>
        <v/>
      </c>
    </row>
    <row r="23" customFormat="false" ht="15" hidden="false" customHeight="true" outlineLevel="0" collapsed="false">
      <c r="B23" s="1" t="str">
        <f aca="false">IFERROR(VLOOKUP(A23,'Pass 2'!$A:$S,MATCH("Category",'Pass 2'!$1:$1,0),FALSE()),"")</f>
        <v/>
      </c>
      <c r="C23" s="1" t="str">
        <f aca="false">IFERROR(VLOOKUP(A23,'Pass 1 Archive'!$A:$AD,MATCH("LinkedIn Employee Count",'Pass 1 Archive'!$1:$1,0),FALSE()),"")</f>
        <v/>
      </c>
      <c r="D23" s="1" t="str">
        <f aca="false">IFERROR(VLOOKUP(A23,'Pass 2'!$A:$S,MATCH("Jan 2025 Traffic",'Pass 2'!$1:$1,0),FALSE()),"")</f>
        <v/>
      </c>
      <c r="E23" s="1" t="str">
        <f aca="false">IFERROR(VLOOKUP(A23,'Pass 2'!$A:$S,MATCH("Jun 2026 Traffic",'Pass 2'!$1:$1,0),FALSE()),"")</f>
        <v/>
      </c>
      <c r="F23" s="1" t="str">
        <f aca="false">IFERROR(VLOOKUP(A23,'Pass 2'!$A:$S,MATCH("Traffic % Change",'Pass 2'!$1:$1,0),FALSE()),"")</f>
        <v/>
      </c>
      <c r="G23" s="1" t="str">
        <f aca="false">IFERROR(VLOOKUP(A23,'Pass 2'!$A:$S,MATCH("Jan 2025 Referring Domains",'Pass 2'!$1:$1,0),FALSE()),"")</f>
        <v/>
      </c>
      <c r="H23" s="1" t="str">
        <f aca="false">IFERROR(VLOOKUP(A23,'Pass 2'!$A:$S,MATCH("Jun 2026 Referring Domains",'Pass 2'!$1:$1,0),FALSE()),"")</f>
        <v/>
      </c>
    </row>
    <row r="24" customFormat="false" ht="15" hidden="false" customHeight="true" outlineLevel="0" collapsed="false">
      <c r="B24" s="1" t="str">
        <f aca="false">IFERROR(VLOOKUP(A24,'Pass 2'!$A:$S,MATCH("Category",'Pass 2'!$1:$1,0),FALSE()),"")</f>
        <v/>
      </c>
      <c r="C24" s="1" t="str">
        <f aca="false">IFERROR(VLOOKUP(A24,'Pass 1 Archive'!$A:$AD,MATCH("LinkedIn Employee Count",'Pass 1 Archive'!$1:$1,0),FALSE()),"")</f>
        <v/>
      </c>
      <c r="D24" s="1" t="str">
        <f aca="false">IFERROR(VLOOKUP(A24,'Pass 2'!$A:$S,MATCH("Jan 2025 Traffic",'Pass 2'!$1:$1,0),FALSE()),"")</f>
        <v/>
      </c>
      <c r="E24" s="1" t="str">
        <f aca="false">IFERROR(VLOOKUP(A24,'Pass 2'!$A:$S,MATCH("Jun 2026 Traffic",'Pass 2'!$1:$1,0),FALSE()),"")</f>
        <v/>
      </c>
      <c r="F24" s="1" t="str">
        <f aca="false">IFERROR(VLOOKUP(A24,'Pass 2'!$A:$S,MATCH("Traffic % Change",'Pass 2'!$1:$1,0),FALSE()),"")</f>
        <v/>
      </c>
      <c r="G24" s="1" t="str">
        <f aca="false">IFERROR(VLOOKUP(A24,'Pass 2'!$A:$S,MATCH("Jan 2025 Referring Domains",'Pass 2'!$1:$1,0),FALSE()),"")</f>
        <v/>
      </c>
      <c r="H24" s="1" t="str">
        <f aca="false">IFERROR(VLOOKUP(A24,'Pass 2'!$A:$S,MATCH("Jun 2026 Referring Domains",'Pass 2'!$1:$1,0),FALSE()),"")</f>
        <v/>
      </c>
    </row>
    <row r="25" customFormat="false" ht="15" hidden="false" customHeight="true" outlineLevel="0" collapsed="false">
      <c r="B25" s="1" t="str">
        <f aca="false">IFERROR(VLOOKUP(A25,'Pass 2'!$A:$S,MATCH("Category",'Pass 2'!$1:$1,0),FALSE()),"")</f>
        <v/>
      </c>
      <c r="C25" s="1" t="str">
        <f aca="false">IFERROR(VLOOKUP(A25,'Pass 1 Archive'!$A:$AD,MATCH("LinkedIn Employee Count",'Pass 1 Archive'!$1:$1,0),FALSE()),"")</f>
        <v/>
      </c>
      <c r="D25" s="1" t="str">
        <f aca="false">IFERROR(VLOOKUP(A25,'Pass 2'!$A:$S,MATCH("Jan 2025 Traffic",'Pass 2'!$1:$1,0),FALSE()),"")</f>
        <v/>
      </c>
      <c r="E25" s="1" t="str">
        <f aca="false">IFERROR(VLOOKUP(A25,'Pass 2'!$A:$S,MATCH("Jun 2026 Traffic",'Pass 2'!$1:$1,0),FALSE()),"")</f>
        <v/>
      </c>
      <c r="F25" s="1" t="str">
        <f aca="false">IFERROR(VLOOKUP(A25,'Pass 2'!$A:$S,MATCH("Traffic % Change",'Pass 2'!$1:$1,0),FALSE()),"")</f>
        <v/>
      </c>
      <c r="G25" s="1" t="str">
        <f aca="false">IFERROR(VLOOKUP(A25,'Pass 2'!$A:$S,MATCH("Jan 2025 Referring Domains",'Pass 2'!$1:$1,0),FALSE()),"")</f>
        <v/>
      </c>
      <c r="H25" s="1" t="str">
        <f aca="false">IFERROR(VLOOKUP(A25,'Pass 2'!$A:$S,MATCH("Jun 2026 Referring Domains",'Pass 2'!$1:$1,0),FALSE()),"")</f>
        <v/>
      </c>
    </row>
    <row r="26" customFormat="false" ht="15" hidden="false" customHeight="true" outlineLevel="0" collapsed="false">
      <c r="B26" s="1" t="str">
        <f aca="false">IFERROR(VLOOKUP(A26,'Pass 2'!$A:$S,MATCH("Category",'Pass 2'!$1:$1,0),FALSE()),"")</f>
        <v/>
      </c>
      <c r="C26" s="1" t="str">
        <f aca="false">IFERROR(VLOOKUP(A26,'Pass 1 Archive'!$A:$AD,MATCH("LinkedIn Employee Count",'Pass 1 Archive'!$1:$1,0),FALSE()),"")</f>
        <v/>
      </c>
      <c r="D26" s="1" t="str">
        <f aca="false">IFERROR(VLOOKUP(A26,'Pass 2'!$A:$S,MATCH("Jan 2025 Traffic",'Pass 2'!$1:$1,0),FALSE()),"")</f>
        <v/>
      </c>
      <c r="E26" s="1" t="str">
        <f aca="false">IFERROR(VLOOKUP(A26,'Pass 2'!$A:$S,MATCH("Jun 2026 Traffic",'Pass 2'!$1:$1,0),FALSE()),"")</f>
        <v/>
      </c>
      <c r="F26" s="1" t="str">
        <f aca="false">IFERROR(VLOOKUP(A26,'Pass 2'!$A:$S,MATCH("Traffic % Change",'Pass 2'!$1:$1,0),FALSE()),"")</f>
        <v/>
      </c>
      <c r="G26" s="1" t="str">
        <f aca="false">IFERROR(VLOOKUP(A26,'Pass 2'!$A:$S,MATCH("Jan 2025 Referring Domains",'Pass 2'!$1:$1,0),FALSE()),"")</f>
        <v/>
      </c>
      <c r="H26" s="1" t="str">
        <f aca="false">IFERROR(VLOOKUP(A26,'Pass 2'!$A:$S,MATCH("Jun 2026 Referring Domains",'Pass 2'!$1:$1,0),FALSE()),"")</f>
        <v/>
      </c>
    </row>
    <row r="27" customFormat="false" ht="15" hidden="false" customHeight="true" outlineLevel="0" collapsed="false">
      <c r="B27" s="1" t="str">
        <f aca="false">IFERROR(VLOOKUP(A27,'Pass 2'!$A:$S,MATCH("Category",'Pass 2'!$1:$1,0),FALSE()),"")</f>
        <v/>
      </c>
      <c r="C27" s="1" t="str">
        <f aca="false">IFERROR(VLOOKUP(A27,'Pass 1 Archive'!$A:$AD,MATCH("LinkedIn Employee Count",'Pass 1 Archive'!$1:$1,0),FALSE()),"")</f>
        <v/>
      </c>
      <c r="D27" s="1" t="str">
        <f aca="false">IFERROR(VLOOKUP(A27,'Pass 2'!$A:$S,MATCH("Jan 2025 Traffic",'Pass 2'!$1:$1,0),FALSE()),"")</f>
        <v/>
      </c>
      <c r="E27" s="1" t="str">
        <f aca="false">IFERROR(VLOOKUP(A27,'Pass 2'!$A:$S,MATCH("Jun 2026 Traffic",'Pass 2'!$1:$1,0),FALSE()),"")</f>
        <v/>
      </c>
      <c r="F27" s="1" t="str">
        <f aca="false">IFERROR(VLOOKUP(A27,'Pass 2'!$A:$S,MATCH("Traffic % Change",'Pass 2'!$1:$1,0),FALSE()),"")</f>
        <v/>
      </c>
      <c r="G27" s="1" t="str">
        <f aca="false">IFERROR(VLOOKUP(A27,'Pass 2'!$A:$S,MATCH("Jan 2025 Referring Domains",'Pass 2'!$1:$1,0),FALSE()),"")</f>
        <v/>
      </c>
      <c r="H27" s="1" t="str">
        <f aca="false">IFERROR(VLOOKUP(A27,'Pass 2'!$A:$S,MATCH("Jun 2026 Referring Domains",'Pass 2'!$1:$1,0),FALSE()),"")</f>
        <v/>
      </c>
    </row>
    <row r="28" customFormat="false" ht="15" hidden="false" customHeight="true" outlineLevel="0" collapsed="false">
      <c r="B28" s="1" t="str">
        <f aca="false">IFERROR(VLOOKUP(A28,'Pass 2'!$A:$S,MATCH("Category",'Pass 2'!$1:$1,0),FALSE()),"")</f>
        <v/>
      </c>
      <c r="C28" s="1" t="str">
        <f aca="false">IFERROR(VLOOKUP(A28,'Pass 1 Archive'!$A:$AD,MATCH("LinkedIn Employee Count",'Pass 1 Archive'!$1:$1,0),FALSE()),"")</f>
        <v/>
      </c>
      <c r="D28" s="1" t="str">
        <f aca="false">IFERROR(VLOOKUP(A28,'Pass 2'!$A:$S,MATCH("Jan 2025 Traffic",'Pass 2'!$1:$1,0),FALSE()),"")</f>
        <v/>
      </c>
      <c r="E28" s="1" t="str">
        <f aca="false">IFERROR(VLOOKUP(A28,'Pass 2'!$A:$S,MATCH("Jun 2026 Traffic",'Pass 2'!$1:$1,0),FALSE()),"")</f>
        <v/>
      </c>
      <c r="F28" s="1" t="str">
        <f aca="false">IFERROR(VLOOKUP(A28,'Pass 2'!$A:$S,MATCH("Traffic % Change",'Pass 2'!$1:$1,0),FALSE()),"")</f>
        <v/>
      </c>
      <c r="G28" s="1" t="str">
        <f aca="false">IFERROR(VLOOKUP(A28,'Pass 2'!$A:$S,MATCH("Jan 2025 Referring Domains",'Pass 2'!$1:$1,0),FALSE()),"")</f>
        <v/>
      </c>
      <c r="H28" s="1" t="str">
        <f aca="false">IFERROR(VLOOKUP(A28,'Pass 2'!$A:$S,MATCH("Jun 2026 Referring Domains",'Pass 2'!$1:$1,0),FALSE()),"")</f>
        <v/>
      </c>
    </row>
    <row r="29" customFormat="false" ht="15" hidden="false" customHeight="true" outlineLevel="0" collapsed="false">
      <c r="B29" s="1" t="str">
        <f aca="false">IFERROR(VLOOKUP(A29,'Pass 2'!$A:$S,MATCH("Category",'Pass 2'!$1:$1,0),FALSE()),"")</f>
        <v/>
      </c>
      <c r="C29" s="1" t="str">
        <f aca="false">IFERROR(VLOOKUP(A29,'Pass 1 Archive'!$A:$AD,MATCH("LinkedIn Employee Count",'Pass 1 Archive'!$1:$1,0),FALSE()),"")</f>
        <v/>
      </c>
      <c r="D29" s="1" t="str">
        <f aca="false">IFERROR(VLOOKUP(A29,'Pass 2'!$A:$S,MATCH("Jan 2025 Traffic",'Pass 2'!$1:$1,0),FALSE()),"")</f>
        <v/>
      </c>
      <c r="E29" s="1" t="str">
        <f aca="false">IFERROR(VLOOKUP(A29,'Pass 2'!$A:$S,MATCH("Jun 2026 Traffic",'Pass 2'!$1:$1,0),FALSE()),"")</f>
        <v/>
      </c>
      <c r="F29" s="1" t="str">
        <f aca="false">IFERROR(VLOOKUP(A29,'Pass 2'!$A:$S,MATCH("Traffic % Change",'Pass 2'!$1:$1,0),FALSE()),"")</f>
        <v/>
      </c>
      <c r="G29" s="1" t="str">
        <f aca="false">IFERROR(VLOOKUP(A29,'Pass 2'!$A:$S,MATCH("Jan 2025 Referring Domains",'Pass 2'!$1:$1,0),FALSE()),"")</f>
        <v/>
      </c>
      <c r="H29" s="1" t="str">
        <f aca="false">IFERROR(VLOOKUP(A29,'Pass 2'!$A:$S,MATCH("Jun 2026 Referring Domains",'Pass 2'!$1:$1,0),FALSE()),"")</f>
        <v/>
      </c>
    </row>
    <row r="30" customFormat="false" ht="15" hidden="false" customHeight="true" outlineLevel="0" collapsed="false">
      <c r="B30" s="1" t="str">
        <f aca="false">IFERROR(VLOOKUP(A30,'Pass 2'!$A:$S,MATCH("Category",'Pass 2'!$1:$1,0),FALSE()),"")</f>
        <v/>
      </c>
      <c r="C30" s="1" t="str">
        <f aca="false">IFERROR(VLOOKUP(A30,'Pass 1 Archive'!$A:$AD,MATCH("LinkedIn Employee Count",'Pass 1 Archive'!$1:$1,0),FALSE()),"")</f>
        <v/>
      </c>
      <c r="D30" s="1" t="str">
        <f aca="false">IFERROR(VLOOKUP(A30,'Pass 2'!$A:$S,MATCH("Jan 2025 Traffic",'Pass 2'!$1:$1,0),FALSE()),"")</f>
        <v/>
      </c>
      <c r="E30" s="1" t="str">
        <f aca="false">IFERROR(VLOOKUP(A30,'Pass 2'!$A:$S,MATCH("Jun 2026 Traffic",'Pass 2'!$1:$1,0),FALSE()),"")</f>
        <v/>
      </c>
      <c r="F30" s="1" t="str">
        <f aca="false">IFERROR(VLOOKUP(A30,'Pass 2'!$A:$S,MATCH("Traffic % Change",'Pass 2'!$1:$1,0),FALSE()),"")</f>
        <v/>
      </c>
      <c r="G30" s="1" t="str">
        <f aca="false">IFERROR(VLOOKUP(A30,'Pass 2'!$A:$S,MATCH("Jan 2025 Referring Domains",'Pass 2'!$1:$1,0),FALSE()),"")</f>
        <v/>
      </c>
      <c r="H30" s="1" t="str">
        <f aca="false">IFERROR(VLOOKUP(A30,'Pass 2'!$A:$S,MATCH("Jun 2026 Referring Domains",'Pass 2'!$1:$1,0),FALSE()),"")</f>
        <v/>
      </c>
    </row>
    <row r="31" customFormat="false" ht="15" hidden="false" customHeight="true" outlineLevel="0" collapsed="false">
      <c r="B31" s="1" t="str">
        <f aca="false">IFERROR(VLOOKUP(A31,'Pass 2'!$A:$S,MATCH("Category",'Pass 2'!$1:$1,0),FALSE()),"")</f>
        <v/>
      </c>
      <c r="C31" s="1" t="str">
        <f aca="false">IFERROR(VLOOKUP(A31,'Pass 1 Archive'!$A:$AD,MATCH("LinkedIn Employee Count",'Pass 1 Archive'!$1:$1,0),FALSE()),"")</f>
        <v/>
      </c>
      <c r="D31" s="1" t="str">
        <f aca="false">IFERROR(VLOOKUP(A31,'Pass 2'!$A:$S,MATCH("Jan 2025 Traffic",'Pass 2'!$1:$1,0),FALSE()),"")</f>
        <v/>
      </c>
      <c r="E31" s="1" t="str">
        <f aca="false">IFERROR(VLOOKUP(A31,'Pass 2'!$A:$S,MATCH("Jun 2026 Traffic",'Pass 2'!$1:$1,0),FALSE()),"")</f>
        <v/>
      </c>
      <c r="F31" s="1" t="str">
        <f aca="false">IFERROR(VLOOKUP(A31,'Pass 2'!$A:$S,MATCH("Traffic % Change",'Pass 2'!$1:$1,0),FALSE()),"")</f>
        <v/>
      </c>
      <c r="G31" s="1" t="str">
        <f aca="false">IFERROR(VLOOKUP(A31,'Pass 2'!$A:$S,MATCH("Jan 2025 Referring Domains",'Pass 2'!$1:$1,0),FALSE()),"")</f>
        <v/>
      </c>
      <c r="H31" s="1" t="str">
        <f aca="false">IFERROR(VLOOKUP(A31,'Pass 2'!$A:$S,MATCH("Jun 2026 Referring Domains",'Pass 2'!$1:$1,0),FALSE()),"")</f>
        <v/>
      </c>
    </row>
    <row r="32" customFormat="false" ht="15" hidden="false" customHeight="true" outlineLevel="0" collapsed="false">
      <c r="B32" s="1" t="str">
        <f aca="false">IFERROR(VLOOKUP(A32,'Pass 2'!$A:$S,MATCH("Category",'Pass 2'!$1:$1,0),FALSE()),"")</f>
        <v/>
      </c>
      <c r="C32" s="1" t="str">
        <f aca="false">IFERROR(VLOOKUP(A32,'Pass 1 Archive'!$A:$AD,MATCH("LinkedIn Employee Count",'Pass 1 Archive'!$1:$1,0),FALSE()),"")</f>
        <v/>
      </c>
      <c r="D32" s="1" t="str">
        <f aca="false">IFERROR(VLOOKUP(A32,'Pass 2'!$A:$S,MATCH("Jan 2025 Traffic",'Pass 2'!$1:$1,0),FALSE()),"")</f>
        <v/>
      </c>
      <c r="E32" s="1" t="str">
        <f aca="false">IFERROR(VLOOKUP(A32,'Pass 2'!$A:$S,MATCH("Jun 2026 Traffic",'Pass 2'!$1:$1,0),FALSE()),"")</f>
        <v/>
      </c>
      <c r="F32" s="1" t="str">
        <f aca="false">IFERROR(VLOOKUP(A32,'Pass 2'!$A:$S,MATCH("Traffic % Change",'Pass 2'!$1:$1,0),FALSE()),"")</f>
        <v/>
      </c>
      <c r="G32" s="1" t="str">
        <f aca="false">IFERROR(VLOOKUP(A32,'Pass 2'!$A:$S,MATCH("Jan 2025 Referring Domains",'Pass 2'!$1:$1,0),FALSE()),"")</f>
        <v/>
      </c>
      <c r="H32" s="1" t="str">
        <f aca="false">IFERROR(VLOOKUP(A32,'Pass 2'!$A:$S,MATCH("Jun 2026 Referring Domains",'Pass 2'!$1:$1,0),FALSE()),"")</f>
        <v/>
      </c>
    </row>
    <row r="33" customFormat="false" ht="15" hidden="false" customHeight="true" outlineLevel="0" collapsed="false">
      <c r="B33" s="1" t="str">
        <f aca="false">IFERROR(VLOOKUP(A33,'Pass 2'!$A:$S,MATCH("Category",'Pass 2'!$1:$1,0),FALSE()),"")</f>
        <v/>
      </c>
      <c r="C33" s="1" t="str">
        <f aca="false">IFERROR(VLOOKUP(A33,'Pass 1 Archive'!$A:$AD,MATCH("LinkedIn Employee Count",'Pass 1 Archive'!$1:$1,0),FALSE()),"")</f>
        <v/>
      </c>
      <c r="D33" s="1" t="str">
        <f aca="false">IFERROR(VLOOKUP(A33,'Pass 2'!$A:$S,MATCH("Jan 2025 Traffic",'Pass 2'!$1:$1,0),FALSE()),"")</f>
        <v/>
      </c>
      <c r="E33" s="1" t="str">
        <f aca="false">IFERROR(VLOOKUP(A33,'Pass 2'!$A:$S,MATCH("Jun 2026 Traffic",'Pass 2'!$1:$1,0),FALSE()),"")</f>
        <v/>
      </c>
      <c r="F33" s="1" t="str">
        <f aca="false">IFERROR(VLOOKUP(A33,'Pass 2'!$A:$S,MATCH("Traffic % Change",'Pass 2'!$1:$1,0),FALSE()),"")</f>
        <v/>
      </c>
      <c r="G33" s="1" t="str">
        <f aca="false">IFERROR(VLOOKUP(A33,'Pass 2'!$A:$S,MATCH("Jan 2025 Referring Domains",'Pass 2'!$1:$1,0),FALSE()),"")</f>
        <v/>
      </c>
      <c r="H33" s="1" t="str">
        <f aca="false">IFERROR(VLOOKUP(A33,'Pass 2'!$A:$S,MATCH("Jun 2026 Referring Domains",'Pass 2'!$1:$1,0),FALSE()),"")</f>
        <v/>
      </c>
    </row>
    <row r="34" customFormat="false" ht="15" hidden="false" customHeight="true" outlineLevel="0" collapsed="false">
      <c r="B34" s="1" t="str">
        <f aca="false">IFERROR(VLOOKUP(A34,'Pass 2'!$A:$S,MATCH("Category",'Pass 2'!$1:$1,0),FALSE()),"")</f>
        <v/>
      </c>
      <c r="C34" s="1" t="str">
        <f aca="false">IFERROR(VLOOKUP(A34,'Pass 1 Archive'!$A:$AD,MATCH("LinkedIn Employee Count",'Pass 1 Archive'!$1:$1,0),FALSE()),"")</f>
        <v/>
      </c>
      <c r="D34" s="1" t="str">
        <f aca="false">IFERROR(VLOOKUP(A34,'Pass 2'!$A:$S,MATCH("Jan 2025 Traffic",'Pass 2'!$1:$1,0),FALSE()),"")</f>
        <v/>
      </c>
      <c r="E34" s="1" t="str">
        <f aca="false">IFERROR(VLOOKUP(A34,'Pass 2'!$A:$S,MATCH("Jun 2026 Traffic",'Pass 2'!$1:$1,0),FALSE()),"")</f>
        <v/>
      </c>
      <c r="F34" s="1" t="str">
        <f aca="false">IFERROR(VLOOKUP(A34,'Pass 2'!$A:$S,MATCH("Traffic % Change",'Pass 2'!$1:$1,0),FALSE()),"")</f>
        <v/>
      </c>
      <c r="G34" s="1" t="str">
        <f aca="false">IFERROR(VLOOKUP(A34,'Pass 2'!$A:$S,MATCH("Jan 2025 Referring Domains",'Pass 2'!$1:$1,0),FALSE()),"")</f>
        <v/>
      </c>
      <c r="H34" s="1" t="str">
        <f aca="false">IFERROR(VLOOKUP(A34,'Pass 2'!$A:$S,MATCH("Jun 2026 Referring Domains",'Pass 2'!$1:$1,0),FALSE()),"")</f>
        <v/>
      </c>
    </row>
    <row r="35" customFormat="false" ht="15" hidden="false" customHeight="true" outlineLevel="0" collapsed="false">
      <c r="B35" s="1" t="str">
        <f aca="false">IFERROR(VLOOKUP(A35,'Pass 2'!$A:$S,MATCH("Category",'Pass 2'!$1:$1,0),FALSE()),"")</f>
        <v/>
      </c>
      <c r="C35" s="1" t="str">
        <f aca="false">IFERROR(VLOOKUP(A35,'Pass 1 Archive'!$A:$AD,MATCH("LinkedIn Employee Count",'Pass 1 Archive'!$1:$1,0),FALSE()),"")</f>
        <v/>
      </c>
      <c r="D35" s="1" t="str">
        <f aca="false">IFERROR(VLOOKUP(A35,'Pass 2'!$A:$S,MATCH("Jan 2025 Traffic",'Pass 2'!$1:$1,0),FALSE()),"")</f>
        <v/>
      </c>
      <c r="E35" s="1" t="str">
        <f aca="false">IFERROR(VLOOKUP(A35,'Pass 2'!$A:$S,MATCH("Jun 2026 Traffic",'Pass 2'!$1:$1,0),FALSE()),"")</f>
        <v/>
      </c>
      <c r="F35" s="1" t="str">
        <f aca="false">IFERROR(VLOOKUP(A35,'Pass 2'!$A:$S,MATCH("Traffic % Change",'Pass 2'!$1:$1,0),FALSE()),"")</f>
        <v/>
      </c>
      <c r="G35" s="1" t="str">
        <f aca="false">IFERROR(VLOOKUP(A35,'Pass 2'!$A:$S,MATCH("Jan 2025 Referring Domains",'Pass 2'!$1:$1,0),FALSE()),"")</f>
        <v/>
      </c>
      <c r="H35" s="1" t="str">
        <f aca="false">IFERROR(VLOOKUP(A35,'Pass 2'!$A:$S,MATCH("Jun 2026 Referring Domains",'Pass 2'!$1:$1,0),FALSE()),"")</f>
        <v/>
      </c>
    </row>
    <row r="36" customFormat="false" ht="15" hidden="false" customHeight="true" outlineLevel="0" collapsed="false">
      <c r="B36" s="1" t="str">
        <f aca="false">IFERROR(VLOOKUP(A36,'Pass 2'!$A:$S,MATCH("Category",'Pass 2'!$1:$1,0),FALSE()),"")</f>
        <v/>
      </c>
      <c r="C36" s="1" t="str">
        <f aca="false">IFERROR(VLOOKUP(A36,'Pass 1 Archive'!$A:$AD,MATCH("LinkedIn Employee Count",'Pass 1 Archive'!$1:$1,0),FALSE()),"")</f>
        <v/>
      </c>
      <c r="D36" s="1" t="str">
        <f aca="false">IFERROR(VLOOKUP(A36,'Pass 2'!$A:$S,MATCH("Jan 2025 Traffic",'Pass 2'!$1:$1,0),FALSE()),"")</f>
        <v/>
      </c>
      <c r="E36" s="1" t="str">
        <f aca="false">IFERROR(VLOOKUP(A36,'Pass 2'!$A:$S,MATCH("Jun 2026 Traffic",'Pass 2'!$1:$1,0),FALSE()),"")</f>
        <v/>
      </c>
      <c r="F36" s="1" t="str">
        <f aca="false">IFERROR(VLOOKUP(A36,'Pass 2'!$A:$S,MATCH("Traffic % Change",'Pass 2'!$1:$1,0),FALSE()),"")</f>
        <v/>
      </c>
      <c r="G36" s="1" t="str">
        <f aca="false">IFERROR(VLOOKUP(A36,'Pass 2'!$A:$S,MATCH("Jan 2025 Referring Domains",'Pass 2'!$1:$1,0),FALSE()),"")</f>
        <v/>
      </c>
      <c r="H36" s="1" t="str">
        <f aca="false">IFERROR(VLOOKUP(A36,'Pass 2'!$A:$S,MATCH("Jun 2026 Referring Domains",'Pass 2'!$1:$1,0),FALSE()),"")</f>
        <v/>
      </c>
    </row>
    <row r="37" customFormat="false" ht="15" hidden="false" customHeight="true" outlineLevel="0" collapsed="false">
      <c r="B37" s="1" t="str">
        <f aca="false">IFERROR(VLOOKUP(A37,'Pass 2'!$A:$S,MATCH("Category",'Pass 2'!$1:$1,0),FALSE()),"")</f>
        <v/>
      </c>
      <c r="C37" s="1" t="str">
        <f aca="false">IFERROR(VLOOKUP(A37,'Pass 1 Archive'!$A:$AD,MATCH("LinkedIn Employee Count",'Pass 1 Archive'!$1:$1,0),FALSE()),"")</f>
        <v/>
      </c>
      <c r="D37" s="1" t="str">
        <f aca="false">IFERROR(VLOOKUP(A37,'Pass 2'!$A:$S,MATCH("Jan 2025 Traffic",'Pass 2'!$1:$1,0),FALSE()),"")</f>
        <v/>
      </c>
      <c r="E37" s="1" t="str">
        <f aca="false">IFERROR(VLOOKUP(A37,'Pass 2'!$A:$S,MATCH("Jun 2026 Traffic",'Pass 2'!$1:$1,0),FALSE()),"")</f>
        <v/>
      </c>
      <c r="F37" s="1" t="str">
        <f aca="false">IFERROR(VLOOKUP(A37,'Pass 2'!$A:$S,MATCH("Traffic % Change",'Pass 2'!$1:$1,0),FALSE()),"")</f>
        <v/>
      </c>
      <c r="G37" s="1" t="str">
        <f aca="false">IFERROR(VLOOKUP(A37,'Pass 2'!$A:$S,MATCH("Jan 2025 Referring Domains",'Pass 2'!$1:$1,0),FALSE()),"")</f>
        <v/>
      </c>
      <c r="H37" s="1" t="str">
        <f aca="false">IFERROR(VLOOKUP(A37,'Pass 2'!$A:$S,MATCH("Jun 2026 Referring Domains",'Pass 2'!$1:$1,0),FALSE()),"")</f>
        <v/>
      </c>
    </row>
    <row r="38" customFormat="false" ht="15" hidden="false" customHeight="true" outlineLevel="0" collapsed="false">
      <c r="B38" s="1" t="str">
        <f aca="false">IFERROR(VLOOKUP(A38,'Pass 2'!$A:$S,MATCH("Category",'Pass 2'!$1:$1,0),FALSE()),"")</f>
        <v/>
      </c>
      <c r="C38" s="1" t="str">
        <f aca="false">IFERROR(VLOOKUP(A38,'Pass 1 Archive'!$A:$AD,MATCH("LinkedIn Employee Count",'Pass 1 Archive'!$1:$1,0),FALSE()),"")</f>
        <v/>
      </c>
      <c r="D38" s="1" t="str">
        <f aca="false">IFERROR(VLOOKUP(A38,'Pass 2'!$A:$S,MATCH("Jan 2025 Traffic",'Pass 2'!$1:$1,0),FALSE()),"")</f>
        <v/>
      </c>
      <c r="E38" s="1" t="str">
        <f aca="false">IFERROR(VLOOKUP(A38,'Pass 2'!$A:$S,MATCH("Jun 2026 Traffic",'Pass 2'!$1:$1,0),FALSE()),"")</f>
        <v/>
      </c>
      <c r="F38" s="1" t="str">
        <f aca="false">IFERROR(VLOOKUP(A38,'Pass 2'!$A:$S,MATCH("Traffic % Change",'Pass 2'!$1:$1,0),FALSE()),"")</f>
        <v/>
      </c>
      <c r="G38" s="1" t="str">
        <f aca="false">IFERROR(VLOOKUP(A38,'Pass 2'!$A:$S,MATCH("Jan 2025 Referring Domains",'Pass 2'!$1:$1,0),FALSE()),"")</f>
        <v/>
      </c>
      <c r="H38" s="1" t="str">
        <f aca="false">IFERROR(VLOOKUP(A38,'Pass 2'!$A:$S,MATCH("Jun 2026 Referring Domains",'Pass 2'!$1:$1,0),FALSE()),"")</f>
        <v/>
      </c>
    </row>
    <row r="39" customFormat="false" ht="15" hidden="false" customHeight="true" outlineLevel="0" collapsed="false">
      <c r="B39" s="1" t="str">
        <f aca="false">IFERROR(VLOOKUP(A39,'Pass 2'!$A:$S,MATCH("Category",'Pass 2'!$1:$1,0),FALSE()),"")</f>
        <v/>
      </c>
      <c r="C39" s="1" t="str">
        <f aca="false">IFERROR(VLOOKUP(A39,'Pass 1 Archive'!$A:$AD,MATCH("LinkedIn Employee Count",'Pass 1 Archive'!$1:$1,0),FALSE()),"")</f>
        <v/>
      </c>
      <c r="D39" s="1" t="str">
        <f aca="false">IFERROR(VLOOKUP(A39,'Pass 2'!$A:$S,MATCH("Jan 2025 Traffic",'Pass 2'!$1:$1,0),FALSE()),"")</f>
        <v/>
      </c>
      <c r="E39" s="1" t="str">
        <f aca="false">IFERROR(VLOOKUP(A39,'Pass 2'!$A:$S,MATCH("Jun 2026 Traffic",'Pass 2'!$1:$1,0),FALSE()),"")</f>
        <v/>
      </c>
      <c r="F39" s="1" t="str">
        <f aca="false">IFERROR(VLOOKUP(A39,'Pass 2'!$A:$S,MATCH("Traffic % Change",'Pass 2'!$1:$1,0),FALSE()),"")</f>
        <v/>
      </c>
      <c r="G39" s="1" t="str">
        <f aca="false">IFERROR(VLOOKUP(A39,'Pass 2'!$A:$S,MATCH("Jan 2025 Referring Domains",'Pass 2'!$1:$1,0),FALSE()),"")</f>
        <v/>
      </c>
      <c r="H39" s="1" t="str">
        <f aca="false">IFERROR(VLOOKUP(A39,'Pass 2'!$A:$S,MATCH("Jun 2026 Referring Domains",'Pass 2'!$1:$1,0),FALSE()),"")</f>
        <v/>
      </c>
    </row>
    <row r="40" customFormat="false" ht="15" hidden="false" customHeight="true" outlineLevel="0" collapsed="false">
      <c r="B40" s="1" t="str">
        <f aca="false">IFERROR(VLOOKUP(A40,'Pass 2'!$A:$S,MATCH("Category",'Pass 2'!$1:$1,0),FALSE()),"")</f>
        <v/>
      </c>
      <c r="C40" s="1" t="str">
        <f aca="false">IFERROR(VLOOKUP(A40,'Pass 1 Archive'!$A:$AD,MATCH("LinkedIn Employee Count",'Pass 1 Archive'!$1:$1,0),FALSE()),"")</f>
        <v/>
      </c>
      <c r="D40" s="1" t="str">
        <f aca="false">IFERROR(VLOOKUP(A40,'Pass 2'!$A:$S,MATCH("Jan 2025 Traffic",'Pass 2'!$1:$1,0),FALSE()),"")</f>
        <v/>
      </c>
      <c r="E40" s="1" t="str">
        <f aca="false">IFERROR(VLOOKUP(A40,'Pass 2'!$A:$S,MATCH("Jun 2026 Traffic",'Pass 2'!$1:$1,0),FALSE()),"")</f>
        <v/>
      </c>
      <c r="F40" s="1" t="str">
        <f aca="false">IFERROR(VLOOKUP(A40,'Pass 2'!$A:$S,MATCH("Traffic % Change",'Pass 2'!$1:$1,0),FALSE()),"")</f>
        <v/>
      </c>
      <c r="G40" s="1" t="str">
        <f aca="false">IFERROR(VLOOKUP(A40,'Pass 2'!$A:$S,MATCH("Jan 2025 Referring Domains",'Pass 2'!$1:$1,0),FALSE()),"")</f>
        <v/>
      </c>
      <c r="H40" s="1" t="str">
        <f aca="false">IFERROR(VLOOKUP(A40,'Pass 2'!$A:$S,MATCH("Jun 2026 Referring Domains",'Pass 2'!$1:$1,0),FALSE()),"")</f>
        <v/>
      </c>
    </row>
    <row r="41" customFormat="false" ht="15" hidden="false" customHeight="true" outlineLevel="0" collapsed="false">
      <c r="B41" s="1" t="str">
        <f aca="false">IFERROR(VLOOKUP(A41,'Pass 2'!$A:$S,MATCH("Category",'Pass 2'!$1:$1,0),FALSE()),"")</f>
        <v/>
      </c>
      <c r="C41" s="1" t="str">
        <f aca="false">IFERROR(VLOOKUP(A41,'Pass 1 Archive'!$A:$AD,MATCH("LinkedIn Employee Count",'Pass 1 Archive'!$1:$1,0),FALSE()),"")</f>
        <v/>
      </c>
      <c r="D41" s="1" t="str">
        <f aca="false">IFERROR(VLOOKUP(A41,'Pass 2'!$A:$S,MATCH("Jan 2025 Traffic",'Pass 2'!$1:$1,0),FALSE()),"")</f>
        <v/>
      </c>
      <c r="E41" s="1" t="str">
        <f aca="false">IFERROR(VLOOKUP(A41,'Pass 2'!$A:$S,MATCH("Jun 2026 Traffic",'Pass 2'!$1:$1,0),FALSE()),"")</f>
        <v/>
      </c>
      <c r="F41" s="1" t="str">
        <f aca="false">IFERROR(VLOOKUP(A41,'Pass 2'!$A:$S,MATCH("Traffic % Change",'Pass 2'!$1:$1,0),FALSE()),"")</f>
        <v/>
      </c>
      <c r="G41" s="1" t="str">
        <f aca="false">IFERROR(VLOOKUP(A41,'Pass 2'!$A:$S,MATCH("Jan 2025 Referring Domains",'Pass 2'!$1:$1,0),FALSE()),"")</f>
        <v/>
      </c>
      <c r="H41" s="1" t="str">
        <f aca="false">IFERROR(VLOOKUP(A41,'Pass 2'!$A:$S,MATCH("Jun 2026 Referring Domains",'Pass 2'!$1:$1,0),FALSE()),"")</f>
        <v/>
      </c>
    </row>
    <row r="42" customFormat="false" ht="15" hidden="false" customHeight="true" outlineLevel="0" collapsed="false">
      <c r="B42" s="1" t="str">
        <f aca="false">IFERROR(VLOOKUP(A42,'Pass 2'!$A:$S,MATCH("Category",'Pass 2'!$1:$1,0),FALSE()),"")</f>
        <v/>
      </c>
      <c r="C42" s="1" t="str">
        <f aca="false">IFERROR(VLOOKUP(A42,'Pass 1 Archive'!$A:$AD,MATCH("LinkedIn Employee Count",'Pass 1 Archive'!$1:$1,0),FALSE()),"")</f>
        <v/>
      </c>
      <c r="D42" s="1" t="str">
        <f aca="false">IFERROR(VLOOKUP(A42,'Pass 2'!$A:$S,MATCH("Jan 2025 Traffic",'Pass 2'!$1:$1,0),FALSE()),"")</f>
        <v/>
      </c>
      <c r="E42" s="1" t="str">
        <f aca="false">IFERROR(VLOOKUP(A42,'Pass 2'!$A:$S,MATCH("Jun 2026 Traffic",'Pass 2'!$1:$1,0),FALSE()),"")</f>
        <v/>
      </c>
      <c r="F42" s="1" t="str">
        <f aca="false">IFERROR(VLOOKUP(A42,'Pass 2'!$A:$S,MATCH("Traffic % Change",'Pass 2'!$1:$1,0),FALSE()),"")</f>
        <v/>
      </c>
      <c r="G42" s="1" t="str">
        <f aca="false">IFERROR(VLOOKUP(A42,'Pass 2'!$A:$S,MATCH("Jan 2025 Referring Domains",'Pass 2'!$1:$1,0),FALSE()),"")</f>
        <v/>
      </c>
      <c r="H42" s="1" t="str">
        <f aca="false">IFERROR(VLOOKUP(A42,'Pass 2'!$A:$S,MATCH("Jun 2026 Referring Domains",'Pass 2'!$1:$1,0),FALSE()),"")</f>
        <v/>
      </c>
    </row>
    <row r="43" customFormat="false" ht="15" hidden="false" customHeight="true" outlineLevel="0" collapsed="false">
      <c r="B43" s="1" t="str">
        <f aca="false">IFERROR(VLOOKUP(A43,'Pass 2'!$A:$S,MATCH("Category",'Pass 2'!$1:$1,0),FALSE()),"")</f>
        <v/>
      </c>
      <c r="C43" s="1" t="str">
        <f aca="false">IFERROR(VLOOKUP(A43,'Pass 1 Archive'!$A:$AD,MATCH("LinkedIn Employee Count",'Pass 1 Archive'!$1:$1,0),FALSE()),"")</f>
        <v/>
      </c>
      <c r="D43" s="1" t="str">
        <f aca="false">IFERROR(VLOOKUP(A43,'Pass 2'!$A:$S,MATCH("Jan 2025 Traffic",'Pass 2'!$1:$1,0),FALSE()),"")</f>
        <v/>
      </c>
      <c r="E43" s="1" t="str">
        <f aca="false">IFERROR(VLOOKUP(A43,'Pass 2'!$A:$S,MATCH("Jun 2026 Traffic",'Pass 2'!$1:$1,0),FALSE()),"")</f>
        <v/>
      </c>
      <c r="F43" s="1" t="str">
        <f aca="false">IFERROR(VLOOKUP(A43,'Pass 2'!$A:$S,MATCH("Traffic % Change",'Pass 2'!$1:$1,0),FALSE()),"")</f>
        <v/>
      </c>
      <c r="G43" s="1" t="str">
        <f aca="false">IFERROR(VLOOKUP(A43,'Pass 2'!$A:$S,MATCH("Jan 2025 Referring Domains",'Pass 2'!$1:$1,0),FALSE()),"")</f>
        <v/>
      </c>
      <c r="H43" s="1" t="str">
        <f aca="false">IFERROR(VLOOKUP(A43,'Pass 2'!$A:$S,MATCH("Jun 2026 Referring Domains",'Pass 2'!$1:$1,0),FALSE()),"")</f>
        <v/>
      </c>
    </row>
    <row r="44" customFormat="false" ht="15" hidden="false" customHeight="true" outlineLevel="0" collapsed="false">
      <c r="B44" s="1" t="str">
        <f aca="false">IFERROR(VLOOKUP(A44,'Pass 2'!$A:$S,MATCH("Category",'Pass 2'!$1:$1,0),FALSE()),"")</f>
        <v/>
      </c>
      <c r="C44" s="1" t="str">
        <f aca="false">IFERROR(VLOOKUP(A44,'Pass 1 Archive'!$A:$AD,MATCH("LinkedIn Employee Count",'Pass 1 Archive'!$1:$1,0),FALSE()),"")</f>
        <v/>
      </c>
      <c r="D44" s="1" t="str">
        <f aca="false">IFERROR(VLOOKUP(A44,'Pass 2'!$A:$S,MATCH("Jan 2025 Traffic",'Pass 2'!$1:$1,0),FALSE()),"")</f>
        <v/>
      </c>
      <c r="E44" s="1" t="str">
        <f aca="false">IFERROR(VLOOKUP(A44,'Pass 2'!$A:$S,MATCH("Jun 2026 Traffic",'Pass 2'!$1:$1,0),FALSE()),"")</f>
        <v/>
      </c>
      <c r="F44" s="1" t="str">
        <f aca="false">IFERROR(VLOOKUP(A44,'Pass 2'!$A:$S,MATCH("Traffic % Change",'Pass 2'!$1:$1,0),FALSE()),"")</f>
        <v/>
      </c>
      <c r="G44" s="1" t="str">
        <f aca="false">IFERROR(VLOOKUP(A44,'Pass 2'!$A:$S,MATCH("Jan 2025 Referring Domains",'Pass 2'!$1:$1,0),FALSE()),"")</f>
        <v/>
      </c>
      <c r="H44" s="1" t="str">
        <f aca="false">IFERROR(VLOOKUP(A44,'Pass 2'!$A:$S,MATCH("Jun 2026 Referring Domains",'Pass 2'!$1:$1,0),FALSE()),"")</f>
        <v/>
      </c>
    </row>
    <row r="45" customFormat="false" ht="15" hidden="false" customHeight="true" outlineLevel="0" collapsed="false">
      <c r="B45" s="1" t="str">
        <f aca="false">IFERROR(VLOOKUP(A45,'Pass 2'!$A:$S,MATCH("Category",'Pass 2'!$1:$1,0),FALSE()),"")</f>
        <v/>
      </c>
      <c r="C45" s="1" t="str">
        <f aca="false">IFERROR(VLOOKUP(A45,'Pass 1 Archive'!$A:$AD,MATCH("LinkedIn Employee Count",'Pass 1 Archive'!$1:$1,0),FALSE()),"")</f>
        <v/>
      </c>
      <c r="D45" s="1" t="str">
        <f aca="false">IFERROR(VLOOKUP(A45,'Pass 2'!$A:$S,MATCH("Jan 2025 Traffic",'Pass 2'!$1:$1,0),FALSE()),"")</f>
        <v/>
      </c>
      <c r="E45" s="1" t="str">
        <f aca="false">IFERROR(VLOOKUP(A45,'Pass 2'!$A:$S,MATCH("Jun 2026 Traffic",'Pass 2'!$1:$1,0),FALSE()),"")</f>
        <v/>
      </c>
      <c r="F45" s="1" t="str">
        <f aca="false">IFERROR(VLOOKUP(A45,'Pass 2'!$A:$S,MATCH("Traffic % Change",'Pass 2'!$1:$1,0),FALSE()),"")</f>
        <v/>
      </c>
      <c r="G45" s="1" t="str">
        <f aca="false">IFERROR(VLOOKUP(A45,'Pass 2'!$A:$S,MATCH("Jan 2025 Referring Domains",'Pass 2'!$1:$1,0),FALSE()),"")</f>
        <v/>
      </c>
      <c r="H45" s="1" t="str">
        <f aca="false">IFERROR(VLOOKUP(A45,'Pass 2'!$A:$S,MATCH("Jun 2026 Referring Domains",'Pass 2'!$1:$1,0),FALSE()),"")</f>
        <v/>
      </c>
    </row>
    <row r="46" customFormat="false" ht="15" hidden="false" customHeight="true" outlineLevel="0" collapsed="false">
      <c r="B46" s="1" t="str">
        <f aca="false">IFERROR(VLOOKUP(A46,'Pass 2'!$A:$S,MATCH("Category",'Pass 2'!$1:$1,0),FALSE()),"")</f>
        <v/>
      </c>
      <c r="C46" s="1" t="str">
        <f aca="false">IFERROR(VLOOKUP(A46,'Pass 1 Archive'!$A:$AD,MATCH("LinkedIn Employee Count",'Pass 1 Archive'!$1:$1,0),FALSE()),"")</f>
        <v/>
      </c>
      <c r="D46" s="1" t="str">
        <f aca="false">IFERROR(VLOOKUP(A46,'Pass 2'!$A:$S,MATCH("Jan 2025 Traffic",'Pass 2'!$1:$1,0),FALSE()),"")</f>
        <v/>
      </c>
      <c r="E46" s="1" t="str">
        <f aca="false">IFERROR(VLOOKUP(A46,'Pass 2'!$A:$S,MATCH("Jun 2026 Traffic",'Pass 2'!$1:$1,0),FALSE()),"")</f>
        <v/>
      </c>
      <c r="F46" s="1" t="str">
        <f aca="false">IFERROR(VLOOKUP(A46,'Pass 2'!$A:$S,MATCH("Traffic % Change",'Pass 2'!$1:$1,0),FALSE()),"")</f>
        <v/>
      </c>
      <c r="G46" s="1" t="str">
        <f aca="false">IFERROR(VLOOKUP(A46,'Pass 2'!$A:$S,MATCH("Jan 2025 Referring Domains",'Pass 2'!$1:$1,0),FALSE()),"")</f>
        <v/>
      </c>
      <c r="H46" s="1" t="str">
        <f aca="false">IFERROR(VLOOKUP(A46,'Pass 2'!$A:$S,MATCH("Jun 2026 Referring Domains",'Pass 2'!$1:$1,0),FALSE()),"")</f>
        <v/>
      </c>
    </row>
    <row r="47" customFormat="false" ht="15" hidden="false" customHeight="true" outlineLevel="0" collapsed="false">
      <c r="B47" s="1" t="str">
        <f aca="false">IFERROR(VLOOKUP(A47,'Pass 2'!$A:$S,MATCH("Category",'Pass 2'!$1:$1,0),FALSE()),"")</f>
        <v/>
      </c>
      <c r="C47" s="1" t="str">
        <f aca="false">IFERROR(VLOOKUP(A47,'Pass 1 Archive'!$A:$AD,MATCH("LinkedIn Employee Count",'Pass 1 Archive'!$1:$1,0),FALSE()),"")</f>
        <v/>
      </c>
      <c r="D47" s="1" t="str">
        <f aca="false">IFERROR(VLOOKUP(A47,'Pass 2'!$A:$S,MATCH("Jan 2025 Traffic",'Pass 2'!$1:$1,0),FALSE()),"")</f>
        <v/>
      </c>
      <c r="E47" s="1" t="str">
        <f aca="false">IFERROR(VLOOKUP(A47,'Pass 2'!$A:$S,MATCH("Jun 2026 Traffic",'Pass 2'!$1:$1,0),FALSE()),"")</f>
        <v/>
      </c>
      <c r="F47" s="1" t="str">
        <f aca="false">IFERROR(VLOOKUP(A47,'Pass 2'!$A:$S,MATCH("Traffic % Change",'Pass 2'!$1:$1,0),FALSE()),"")</f>
        <v/>
      </c>
      <c r="G47" s="1" t="str">
        <f aca="false">IFERROR(VLOOKUP(A47,'Pass 2'!$A:$S,MATCH("Jan 2025 Referring Domains",'Pass 2'!$1:$1,0),FALSE()),"")</f>
        <v/>
      </c>
      <c r="H47" s="1" t="str">
        <f aca="false">IFERROR(VLOOKUP(A47,'Pass 2'!$A:$S,MATCH("Jun 2026 Referring Domains",'Pass 2'!$1:$1,0),FALSE()),"")</f>
        <v/>
      </c>
    </row>
    <row r="48" customFormat="false" ht="15" hidden="false" customHeight="true" outlineLevel="0" collapsed="false">
      <c r="B48" s="1" t="str">
        <f aca="false">IFERROR(VLOOKUP(A48,'Pass 2'!$A:$S,MATCH("Category",'Pass 2'!$1:$1,0),FALSE()),"")</f>
        <v/>
      </c>
      <c r="C48" s="1" t="str">
        <f aca="false">IFERROR(VLOOKUP(A48,'Pass 1 Archive'!$A:$AD,MATCH("LinkedIn Employee Count",'Pass 1 Archive'!$1:$1,0),FALSE()),"")</f>
        <v/>
      </c>
      <c r="D48" s="1" t="str">
        <f aca="false">IFERROR(VLOOKUP(A48,'Pass 2'!$A:$S,MATCH("Jan 2025 Traffic",'Pass 2'!$1:$1,0),FALSE()),"")</f>
        <v/>
      </c>
      <c r="E48" s="1" t="str">
        <f aca="false">IFERROR(VLOOKUP(A48,'Pass 2'!$A:$S,MATCH("Jun 2026 Traffic",'Pass 2'!$1:$1,0),FALSE()),"")</f>
        <v/>
      </c>
      <c r="F48" s="1" t="str">
        <f aca="false">IFERROR(VLOOKUP(A48,'Pass 2'!$A:$S,MATCH("Traffic % Change",'Pass 2'!$1:$1,0),FALSE()),"")</f>
        <v/>
      </c>
      <c r="G48" s="1" t="str">
        <f aca="false">IFERROR(VLOOKUP(A48,'Pass 2'!$A:$S,MATCH("Jan 2025 Referring Domains",'Pass 2'!$1:$1,0),FALSE()),"")</f>
        <v/>
      </c>
      <c r="H48" s="1" t="str">
        <f aca="false">IFERROR(VLOOKUP(A48,'Pass 2'!$A:$S,MATCH("Jun 2026 Referring Domains",'Pass 2'!$1:$1,0),FALSE()),"")</f>
        <v/>
      </c>
    </row>
    <row r="49" customFormat="false" ht="15" hidden="false" customHeight="true" outlineLevel="0" collapsed="false">
      <c r="B49" s="1" t="str">
        <f aca="false">IFERROR(VLOOKUP(A49,'Pass 2'!$A:$S,MATCH("Category",'Pass 2'!$1:$1,0),FALSE()),"")</f>
        <v/>
      </c>
      <c r="C49" s="1" t="str">
        <f aca="false">IFERROR(VLOOKUP(A49,'Pass 1 Archive'!$A:$AD,MATCH("LinkedIn Employee Count",'Pass 1 Archive'!$1:$1,0),FALSE()),"")</f>
        <v/>
      </c>
      <c r="D49" s="1" t="str">
        <f aca="false">IFERROR(VLOOKUP(A49,'Pass 2'!$A:$S,MATCH("Jan 2025 Traffic",'Pass 2'!$1:$1,0),FALSE()),"")</f>
        <v/>
      </c>
      <c r="E49" s="1" t="str">
        <f aca="false">IFERROR(VLOOKUP(A49,'Pass 2'!$A:$S,MATCH("Jun 2026 Traffic",'Pass 2'!$1:$1,0),FALSE()),"")</f>
        <v/>
      </c>
      <c r="F49" s="1" t="str">
        <f aca="false">IFERROR(VLOOKUP(A49,'Pass 2'!$A:$S,MATCH("Traffic % Change",'Pass 2'!$1:$1,0),FALSE()),"")</f>
        <v/>
      </c>
      <c r="G49" s="1" t="str">
        <f aca="false">IFERROR(VLOOKUP(A49,'Pass 2'!$A:$S,MATCH("Jan 2025 Referring Domains",'Pass 2'!$1:$1,0),FALSE()),"")</f>
        <v/>
      </c>
      <c r="H49" s="1" t="str">
        <f aca="false">IFERROR(VLOOKUP(A49,'Pass 2'!$A:$S,MATCH("Jun 2026 Referring Domains",'Pass 2'!$1:$1,0),FALSE()),"")</f>
        <v/>
      </c>
    </row>
    <row r="50" customFormat="false" ht="15" hidden="false" customHeight="true" outlineLevel="0" collapsed="false">
      <c r="B50" s="1" t="str">
        <f aca="false">IFERROR(VLOOKUP(A50,'Pass 2'!$A:$S,MATCH("Category",'Pass 2'!$1:$1,0),FALSE()),"")</f>
        <v/>
      </c>
      <c r="C50" s="1" t="str">
        <f aca="false">IFERROR(VLOOKUP(A50,'Pass 1 Archive'!$A:$AD,MATCH("LinkedIn Employee Count",'Pass 1 Archive'!$1:$1,0),FALSE()),"")</f>
        <v/>
      </c>
      <c r="D50" s="1" t="str">
        <f aca="false">IFERROR(VLOOKUP(A50,'Pass 2'!$A:$S,MATCH("Jan 2025 Traffic",'Pass 2'!$1:$1,0),FALSE()),"")</f>
        <v/>
      </c>
      <c r="E50" s="1" t="str">
        <f aca="false">IFERROR(VLOOKUP(A50,'Pass 2'!$A:$S,MATCH("Jun 2026 Traffic",'Pass 2'!$1:$1,0),FALSE()),"")</f>
        <v/>
      </c>
      <c r="F50" s="1" t="str">
        <f aca="false">IFERROR(VLOOKUP(A50,'Pass 2'!$A:$S,MATCH("Traffic % Change",'Pass 2'!$1:$1,0),FALSE()),"")</f>
        <v/>
      </c>
      <c r="G50" s="1" t="str">
        <f aca="false">IFERROR(VLOOKUP(A50,'Pass 2'!$A:$S,MATCH("Jan 2025 Referring Domains",'Pass 2'!$1:$1,0),FALSE()),"")</f>
        <v/>
      </c>
      <c r="H50" s="1" t="str">
        <f aca="false">IFERROR(VLOOKUP(A50,'Pass 2'!$A:$S,MATCH("Jun 2026 Referring Domains",'Pass 2'!$1:$1,0),FALSE()),"")</f>
        <v/>
      </c>
    </row>
    <row r="51" customFormat="false" ht="15" hidden="false" customHeight="true" outlineLevel="0" collapsed="false">
      <c r="B51" s="1" t="str">
        <f aca="false">IFERROR(VLOOKUP(A51,'Pass 2'!$A:$S,MATCH("Category",'Pass 2'!$1:$1,0),FALSE()),"")</f>
        <v/>
      </c>
      <c r="C51" s="1" t="str">
        <f aca="false">IFERROR(VLOOKUP(A51,'Pass 1 Archive'!$A:$AD,MATCH("LinkedIn Employee Count",'Pass 1 Archive'!$1:$1,0),FALSE()),"")</f>
        <v/>
      </c>
      <c r="D51" s="1" t="str">
        <f aca="false">IFERROR(VLOOKUP(A51,'Pass 2'!$A:$S,MATCH("Jan 2025 Traffic",'Pass 2'!$1:$1,0),FALSE()),"")</f>
        <v/>
      </c>
      <c r="E51" s="1" t="str">
        <f aca="false">IFERROR(VLOOKUP(A51,'Pass 2'!$A:$S,MATCH("Jun 2026 Traffic",'Pass 2'!$1:$1,0),FALSE()),"")</f>
        <v/>
      </c>
      <c r="F51" s="1" t="str">
        <f aca="false">IFERROR(VLOOKUP(A51,'Pass 2'!$A:$S,MATCH("Traffic % Change",'Pass 2'!$1:$1,0),FALSE()),"")</f>
        <v/>
      </c>
      <c r="G51" s="1" t="str">
        <f aca="false">IFERROR(VLOOKUP(A51,'Pass 2'!$A:$S,MATCH("Jan 2025 Referring Domains",'Pass 2'!$1:$1,0),FALSE()),"")</f>
        <v/>
      </c>
      <c r="H51" s="1" t="str">
        <f aca="false">IFERROR(VLOOKUP(A51,'Pass 2'!$A:$S,MATCH("Jun 2026 Referring Domains",'Pass 2'!$1:$1,0),FALSE()),"")</f>
        <v/>
      </c>
    </row>
    <row r="52" customFormat="false" ht="15" hidden="false" customHeight="true" outlineLevel="0" collapsed="false">
      <c r="B52" s="1" t="str">
        <f aca="false">IFERROR(VLOOKUP(A52,'Pass 2'!$A:$S,MATCH("Category",'Pass 2'!$1:$1,0),FALSE()),"")</f>
        <v/>
      </c>
      <c r="C52" s="1" t="str">
        <f aca="false">IFERROR(VLOOKUP(A52,'Pass 1 Archive'!$A:$AD,MATCH("LinkedIn Employee Count",'Pass 1 Archive'!$1:$1,0),FALSE()),"")</f>
        <v/>
      </c>
      <c r="D52" s="1" t="str">
        <f aca="false">IFERROR(VLOOKUP(A52,'Pass 2'!$A:$S,MATCH("Jan 2025 Traffic",'Pass 2'!$1:$1,0),FALSE()),"")</f>
        <v/>
      </c>
      <c r="E52" s="1" t="str">
        <f aca="false">IFERROR(VLOOKUP(A52,'Pass 2'!$A:$S,MATCH("Jun 2026 Traffic",'Pass 2'!$1:$1,0),FALSE()),"")</f>
        <v/>
      </c>
      <c r="F52" s="1" t="str">
        <f aca="false">IFERROR(VLOOKUP(A52,'Pass 2'!$A:$S,MATCH("Traffic % Change",'Pass 2'!$1:$1,0),FALSE()),"")</f>
        <v/>
      </c>
      <c r="G52" s="1" t="str">
        <f aca="false">IFERROR(VLOOKUP(A52,'Pass 2'!$A:$S,MATCH("Jan 2025 Referring Domains",'Pass 2'!$1:$1,0),FALSE()),"")</f>
        <v/>
      </c>
      <c r="H52" s="1" t="str">
        <f aca="false">IFERROR(VLOOKUP(A52,'Pass 2'!$A:$S,MATCH("Jun 2026 Referring Domains",'Pass 2'!$1:$1,0),FALSE()),"")</f>
        <v/>
      </c>
    </row>
    <row r="53" customFormat="false" ht="15" hidden="false" customHeight="true" outlineLevel="0" collapsed="false">
      <c r="B53" s="1" t="str">
        <f aca="false">IFERROR(VLOOKUP(A53,'Pass 2'!$A:$S,MATCH("Category",'Pass 2'!$1:$1,0),FALSE()),"")</f>
        <v/>
      </c>
      <c r="C53" s="1" t="str">
        <f aca="false">IFERROR(VLOOKUP(A53,'Pass 1 Archive'!$A:$AD,MATCH("LinkedIn Employee Count",'Pass 1 Archive'!$1:$1,0),FALSE()),"")</f>
        <v/>
      </c>
      <c r="D53" s="1" t="str">
        <f aca="false">IFERROR(VLOOKUP(A53,'Pass 2'!$A:$S,MATCH("Jan 2025 Traffic",'Pass 2'!$1:$1,0),FALSE()),"")</f>
        <v/>
      </c>
      <c r="E53" s="1" t="str">
        <f aca="false">IFERROR(VLOOKUP(A53,'Pass 2'!$A:$S,MATCH("Jun 2026 Traffic",'Pass 2'!$1:$1,0),FALSE()),"")</f>
        <v/>
      </c>
      <c r="F53" s="1" t="str">
        <f aca="false">IFERROR(VLOOKUP(A53,'Pass 2'!$A:$S,MATCH("Traffic % Change",'Pass 2'!$1:$1,0),FALSE()),"")</f>
        <v/>
      </c>
      <c r="G53" s="1" t="str">
        <f aca="false">IFERROR(VLOOKUP(A53,'Pass 2'!$A:$S,MATCH("Jan 2025 Referring Domains",'Pass 2'!$1:$1,0),FALSE()),"")</f>
        <v/>
      </c>
      <c r="H53" s="1" t="str">
        <f aca="false">IFERROR(VLOOKUP(A53,'Pass 2'!$A:$S,MATCH("Jun 2026 Referring Domains",'Pass 2'!$1:$1,0),FALSE()),"")</f>
        <v/>
      </c>
    </row>
    <row r="54" customFormat="false" ht="15" hidden="false" customHeight="true" outlineLevel="0" collapsed="false">
      <c r="B54" s="1" t="str">
        <f aca="false">IFERROR(VLOOKUP(A54,'Pass 2'!$A:$S,MATCH("Category",'Pass 2'!$1:$1,0),FALSE()),"")</f>
        <v/>
      </c>
      <c r="C54" s="1" t="str">
        <f aca="false">IFERROR(VLOOKUP(A54,'Pass 1 Archive'!$A:$AD,MATCH("LinkedIn Employee Count",'Pass 1 Archive'!$1:$1,0),FALSE()),"")</f>
        <v/>
      </c>
      <c r="D54" s="1" t="str">
        <f aca="false">IFERROR(VLOOKUP(A54,'Pass 2'!$A:$S,MATCH("Jan 2025 Traffic",'Pass 2'!$1:$1,0),FALSE()),"")</f>
        <v/>
      </c>
      <c r="E54" s="1" t="str">
        <f aca="false">IFERROR(VLOOKUP(A54,'Pass 2'!$A:$S,MATCH("Jun 2026 Traffic",'Pass 2'!$1:$1,0),FALSE()),"")</f>
        <v/>
      </c>
      <c r="F54" s="1" t="str">
        <f aca="false">IFERROR(VLOOKUP(A54,'Pass 2'!$A:$S,MATCH("Traffic % Change",'Pass 2'!$1:$1,0),FALSE()),"")</f>
        <v/>
      </c>
      <c r="G54" s="1" t="str">
        <f aca="false">IFERROR(VLOOKUP(A54,'Pass 2'!$A:$S,MATCH("Jan 2025 Referring Domains",'Pass 2'!$1:$1,0),FALSE()),"")</f>
        <v/>
      </c>
      <c r="H54" s="1" t="str">
        <f aca="false">IFERROR(VLOOKUP(A54,'Pass 2'!$A:$S,MATCH("Jun 2026 Referring Domains",'Pass 2'!$1:$1,0),FALSE()),"")</f>
        <v/>
      </c>
    </row>
    <row r="55" customFormat="false" ht="15" hidden="false" customHeight="true" outlineLevel="0" collapsed="false">
      <c r="B55" s="1" t="str">
        <f aca="false">IFERROR(VLOOKUP(A55,'Pass 2'!$A:$S,MATCH("Category",'Pass 2'!$1:$1,0),FALSE()),"")</f>
        <v/>
      </c>
      <c r="C55" s="1" t="str">
        <f aca="false">IFERROR(VLOOKUP(A55,'Pass 1 Archive'!$A:$AD,MATCH("LinkedIn Employee Count",'Pass 1 Archive'!$1:$1,0),FALSE()),"")</f>
        <v/>
      </c>
      <c r="D55" s="1" t="str">
        <f aca="false">IFERROR(VLOOKUP(A55,'Pass 2'!$A:$S,MATCH("Jan 2025 Traffic",'Pass 2'!$1:$1,0),FALSE()),"")</f>
        <v/>
      </c>
      <c r="E55" s="1" t="str">
        <f aca="false">IFERROR(VLOOKUP(A55,'Pass 2'!$A:$S,MATCH("Jun 2026 Traffic",'Pass 2'!$1:$1,0),FALSE()),"")</f>
        <v/>
      </c>
      <c r="F55" s="1" t="str">
        <f aca="false">IFERROR(VLOOKUP(A55,'Pass 2'!$A:$S,MATCH("Traffic % Change",'Pass 2'!$1:$1,0),FALSE()),"")</f>
        <v/>
      </c>
      <c r="G55" s="1" t="str">
        <f aca="false">IFERROR(VLOOKUP(A55,'Pass 2'!$A:$S,MATCH("Jan 2025 Referring Domains",'Pass 2'!$1:$1,0),FALSE()),"")</f>
        <v/>
      </c>
      <c r="H55" s="1" t="str">
        <f aca="false">IFERROR(VLOOKUP(A55,'Pass 2'!$A:$S,MATCH("Jun 2026 Referring Domains",'Pass 2'!$1:$1,0),FALSE()),"")</f>
        <v/>
      </c>
    </row>
    <row r="56" customFormat="false" ht="15" hidden="false" customHeight="true" outlineLevel="0" collapsed="false">
      <c r="B56" s="1" t="str">
        <f aca="false">IFERROR(VLOOKUP(A56,'Pass 2'!$A:$S,MATCH("Category",'Pass 2'!$1:$1,0),FALSE()),"")</f>
        <v/>
      </c>
      <c r="C56" s="1" t="str">
        <f aca="false">IFERROR(VLOOKUP(A56,'Pass 1 Archive'!$A:$AD,MATCH("LinkedIn Employee Count",'Pass 1 Archive'!$1:$1,0),FALSE()),"")</f>
        <v/>
      </c>
      <c r="D56" s="1" t="str">
        <f aca="false">IFERROR(VLOOKUP(A56,'Pass 2'!$A:$S,MATCH("Jan 2025 Traffic",'Pass 2'!$1:$1,0),FALSE()),"")</f>
        <v/>
      </c>
      <c r="E56" s="1" t="str">
        <f aca="false">IFERROR(VLOOKUP(A56,'Pass 2'!$A:$S,MATCH("Jun 2026 Traffic",'Pass 2'!$1:$1,0),FALSE()),"")</f>
        <v/>
      </c>
      <c r="F56" s="1" t="str">
        <f aca="false">IFERROR(VLOOKUP(A56,'Pass 2'!$A:$S,MATCH("Traffic % Change",'Pass 2'!$1:$1,0),FALSE()),"")</f>
        <v/>
      </c>
      <c r="G56" s="1" t="str">
        <f aca="false">IFERROR(VLOOKUP(A56,'Pass 2'!$A:$S,MATCH("Jan 2025 Referring Domains",'Pass 2'!$1:$1,0),FALSE()),"")</f>
        <v/>
      </c>
      <c r="H56" s="1" t="str">
        <f aca="false">IFERROR(VLOOKUP(A56,'Pass 2'!$A:$S,MATCH("Jun 2026 Referring Domains",'Pass 2'!$1:$1,0),FALSE()),"")</f>
        <v/>
      </c>
    </row>
    <row r="57" customFormat="false" ht="15" hidden="false" customHeight="true" outlineLevel="0" collapsed="false">
      <c r="B57" s="1" t="str">
        <f aca="false">IFERROR(VLOOKUP(A57,'Pass 2'!$A:$S,MATCH("Category",'Pass 2'!$1:$1,0),FALSE()),"")</f>
        <v/>
      </c>
      <c r="C57" s="1" t="str">
        <f aca="false">IFERROR(VLOOKUP(A57,'Pass 1 Archive'!$A:$AD,MATCH("LinkedIn Employee Count",'Pass 1 Archive'!$1:$1,0),FALSE()),"")</f>
        <v/>
      </c>
      <c r="D57" s="1" t="str">
        <f aca="false">IFERROR(VLOOKUP(A57,'Pass 2'!$A:$S,MATCH("Jan 2025 Traffic",'Pass 2'!$1:$1,0),FALSE()),"")</f>
        <v/>
      </c>
      <c r="E57" s="1" t="str">
        <f aca="false">IFERROR(VLOOKUP(A57,'Pass 2'!$A:$S,MATCH("Jun 2026 Traffic",'Pass 2'!$1:$1,0),FALSE()),"")</f>
        <v/>
      </c>
      <c r="F57" s="1" t="str">
        <f aca="false">IFERROR(VLOOKUP(A57,'Pass 2'!$A:$S,MATCH("Traffic % Change",'Pass 2'!$1:$1,0),FALSE()),"")</f>
        <v/>
      </c>
      <c r="G57" s="1" t="str">
        <f aca="false">IFERROR(VLOOKUP(A57,'Pass 2'!$A:$S,MATCH("Jan 2025 Referring Domains",'Pass 2'!$1:$1,0),FALSE()),"")</f>
        <v/>
      </c>
      <c r="H57" s="1" t="str">
        <f aca="false">IFERROR(VLOOKUP(A57,'Pass 2'!$A:$S,MATCH("Jun 2026 Referring Domains",'Pass 2'!$1:$1,0),FALSE()),"")</f>
        <v/>
      </c>
    </row>
    <row r="58" customFormat="false" ht="15" hidden="false" customHeight="true" outlineLevel="0" collapsed="false">
      <c r="B58" s="1" t="str">
        <f aca="false">IFERROR(VLOOKUP(A58,'Pass 2'!$A:$S,MATCH("Category",'Pass 2'!$1:$1,0),FALSE()),"")</f>
        <v/>
      </c>
      <c r="C58" s="1" t="str">
        <f aca="false">IFERROR(VLOOKUP(A58,'Pass 1 Archive'!$A:$AD,MATCH("LinkedIn Employee Count",'Pass 1 Archive'!$1:$1,0),FALSE()),"")</f>
        <v/>
      </c>
      <c r="D58" s="1" t="str">
        <f aca="false">IFERROR(VLOOKUP(A58,'Pass 2'!$A:$S,MATCH("Jan 2025 Traffic",'Pass 2'!$1:$1,0),FALSE()),"")</f>
        <v/>
      </c>
      <c r="E58" s="1" t="str">
        <f aca="false">IFERROR(VLOOKUP(A58,'Pass 2'!$A:$S,MATCH("Jun 2026 Traffic",'Pass 2'!$1:$1,0),FALSE()),"")</f>
        <v/>
      </c>
      <c r="F58" s="1" t="str">
        <f aca="false">IFERROR(VLOOKUP(A58,'Pass 2'!$A:$S,MATCH("Traffic % Change",'Pass 2'!$1:$1,0),FALSE()),"")</f>
        <v/>
      </c>
      <c r="G58" s="1" t="str">
        <f aca="false">IFERROR(VLOOKUP(A58,'Pass 2'!$A:$S,MATCH("Jan 2025 Referring Domains",'Pass 2'!$1:$1,0),FALSE()),"")</f>
        <v/>
      </c>
      <c r="H58" s="1" t="str">
        <f aca="false">IFERROR(VLOOKUP(A58,'Pass 2'!$A:$S,MATCH("Jun 2026 Referring Domains",'Pass 2'!$1:$1,0),FALSE()),"")</f>
        <v/>
      </c>
    </row>
    <row r="59" customFormat="false" ht="15" hidden="false" customHeight="true" outlineLevel="0" collapsed="false">
      <c r="B59" s="1" t="str">
        <f aca="false">IFERROR(VLOOKUP(A59,'Pass 2'!$A:$S,MATCH("Category",'Pass 2'!$1:$1,0),FALSE()),"")</f>
        <v/>
      </c>
      <c r="C59" s="1" t="str">
        <f aca="false">IFERROR(VLOOKUP(A59,'Pass 1 Archive'!$A:$AD,MATCH("LinkedIn Employee Count",'Pass 1 Archive'!$1:$1,0),FALSE()),"")</f>
        <v/>
      </c>
      <c r="D59" s="1" t="str">
        <f aca="false">IFERROR(VLOOKUP(A59,'Pass 2'!$A:$S,MATCH("Jan 2025 Traffic",'Pass 2'!$1:$1,0),FALSE()),"")</f>
        <v/>
      </c>
      <c r="E59" s="1" t="str">
        <f aca="false">IFERROR(VLOOKUP(A59,'Pass 2'!$A:$S,MATCH("Jun 2026 Traffic",'Pass 2'!$1:$1,0),FALSE()),"")</f>
        <v/>
      </c>
      <c r="F59" s="1" t="str">
        <f aca="false">IFERROR(VLOOKUP(A59,'Pass 2'!$A:$S,MATCH("Traffic % Change",'Pass 2'!$1:$1,0),FALSE()),"")</f>
        <v/>
      </c>
      <c r="G59" s="1" t="str">
        <f aca="false">IFERROR(VLOOKUP(A59,'Pass 2'!$A:$S,MATCH("Jan 2025 Referring Domains",'Pass 2'!$1:$1,0),FALSE()),"")</f>
        <v/>
      </c>
      <c r="H59" s="1" t="str">
        <f aca="false">IFERROR(VLOOKUP(A59,'Pass 2'!$A:$S,MATCH("Jun 2026 Referring Domains",'Pass 2'!$1:$1,0),FALSE()),"")</f>
        <v/>
      </c>
    </row>
    <row r="60" customFormat="false" ht="15" hidden="false" customHeight="true" outlineLevel="0" collapsed="false">
      <c r="B60" s="1" t="str">
        <f aca="false">IFERROR(VLOOKUP(A60,'Pass 2'!$A:$S,MATCH("Category",'Pass 2'!$1:$1,0),FALSE()),"")</f>
        <v/>
      </c>
      <c r="C60" s="1" t="str">
        <f aca="false">IFERROR(VLOOKUP(A60,'Pass 1 Archive'!$A:$AD,MATCH("LinkedIn Employee Count",'Pass 1 Archive'!$1:$1,0),FALSE()),"")</f>
        <v/>
      </c>
      <c r="D60" s="1" t="str">
        <f aca="false">IFERROR(VLOOKUP(A60,'Pass 2'!$A:$S,MATCH("Jan 2025 Traffic",'Pass 2'!$1:$1,0),FALSE()),"")</f>
        <v/>
      </c>
      <c r="E60" s="1" t="str">
        <f aca="false">IFERROR(VLOOKUP(A60,'Pass 2'!$A:$S,MATCH("Jun 2026 Traffic",'Pass 2'!$1:$1,0),FALSE()),"")</f>
        <v/>
      </c>
      <c r="F60" s="1" t="str">
        <f aca="false">IFERROR(VLOOKUP(A60,'Pass 2'!$A:$S,MATCH("Traffic % Change",'Pass 2'!$1:$1,0),FALSE()),"")</f>
        <v/>
      </c>
      <c r="G60" s="1" t="str">
        <f aca="false">IFERROR(VLOOKUP(A60,'Pass 2'!$A:$S,MATCH("Jan 2025 Referring Domains",'Pass 2'!$1:$1,0),FALSE()),"")</f>
        <v/>
      </c>
      <c r="H60" s="1" t="str">
        <f aca="false">IFERROR(VLOOKUP(A60,'Pass 2'!$A:$S,MATCH("Jun 2026 Referring Domains",'Pass 2'!$1:$1,0),FALSE()),"")</f>
        <v/>
      </c>
    </row>
    <row r="61" customFormat="false" ht="15" hidden="false" customHeight="true" outlineLevel="0" collapsed="false">
      <c r="B61" s="1" t="str">
        <f aca="false">IFERROR(VLOOKUP(A61,'Pass 2'!$A:$S,MATCH("Category",'Pass 2'!$1:$1,0),FALSE()),"")</f>
        <v/>
      </c>
      <c r="C61" s="1" t="str">
        <f aca="false">IFERROR(VLOOKUP(A61,'Pass 1 Archive'!$A:$AD,MATCH("LinkedIn Employee Count",'Pass 1 Archive'!$1:$1,0),FALSE()),"")</f>
        <v/>
      </c>
      <c r="D61" s="1" t="str">
        <f aca="false">IFERROR(VLOOKUP(A61,'Pass 2'!$A:$S,MATCH("Jan 2025 Traffic",'Pass 2'!$1:$1,0),FALSE()),"")</f>
        <v/>
      </c>
      <c r="E61" s="1" t="str">
        <f aca="false">IFERROR(VLOOKUP(A61,'Pass 2'!$A:$S,MATCH("Jun 2026 Traffic",'Pass 2'!$1:$1,0),FALSE()),"")</f>
        <v/>
      </c>
      <c r="F61" s="1" t="str">
        <f aca="false">IFERROR(VLOOKUP(A61,'Pass 2'!$A:$S,MATCH("Traffic % Change",'Pass 2'!$1:$1,0),FALSE()),"")</f>
        <v/>
      </c>
      <c r="G61" s="1" t="str">
        <f aca="false">IFERROR(VLOOKUP(A61,'Pass 2'!$A:$S,MATCH("Jan 2025 Referring Domains",'Pass 2'!$1:$1,0),FALSE()),"")</f>
        <v/>
      </c>
      <c r="H61" s="1" t="str">
        <f aca="false">IFERROR(VLOOKUP(A61,'Pass 2'!$A:$S,MATCH("Jun 2026 Referring Domains",'Pass 2'!$1:$1,0),FALSE()),"")</f>
        <v/>
      </c>
    </row>
    <row r="62" customFormat="false" ht="15" hidden="false" customHeight="true" outlineLevel="0" collapsed="false">
      <c r="B62" s="1" t="str">
        <f aca="false">IFERROR(VLOOKUP(A62,'Pass 2'!$A:$S,MATCH("Category",'Pass 2'!$1:$1,0),FALSE()),"")</f>
        <v/>
      </c>
      <c r="C62" s="1" t="str">
        <f aca="false">IFERROR(VLOOKUP(A62,'Pass 1 Archive'!$A:$AD,MATCH("LinkedIn Employee Count",'Pass 1 Archive'!$1:$1,0),FALSE()),"")</f>
        <v/>
      </c>
      <c r="D62" s="1" t="str">
        <f aca="false">IFERROR(VLOOKUP(A62,'Pass 2'!$A:$S,MATCH("Jan 2025 Traffic",'Pass 2'!$1:$1,0),FALSE()),"")</f>
        <v/>
      </c>
      <c r="E62" s="1" t="str">
        <f aca="false">IFERROR(VLOOKUP(A62,'Pass 2'!$A:$S,MATCH("Jun 2026 Traffic",'Pass 2'!$1:$1,0),FALSE()),"")</f>
        <v/>
      </c>
      <c r="F62" s="1" t="str">
        <f aca="false">IFERROR(VLOOKUP(A62,'Pass 2'!$A:$S,MATCH("Traffic % Change",'Pass 2'!$1:$1,0),FALSE()),"")</f>
        <v/>
      </c>
      <c r="G62" s="1" t="str">
        <f aca="false">IFERROR(VLOOKUP(A62,'Pass 2'!$A:$S,MATCH("Jan 2025 Referring Domains",'Pass 2'!$1:$1,0),FALSE()),"")</f>
        <v/>
      </c>
      <c r="H62" s="1" t="str">
        <f aca="false">IFERROR(VLOOKUP(A62,'Pass 2'!$A:$S,MATCH("Jun 2026 Referring Domains",'Pass 2'!$1:$1,0),FALSE()),"")</f>
        <v/>
      </c>
    </row>
    <row r="63" customFormat="false" ht="15" hidden="false" customHeight="true" outlineLevel="0" collapsed="false">
      <c r="B63" s="1" t="str">
        <f aca="false">IFERROR(VLOOKUP(A63,'Pass 2'!$A:$S,MATCH("Category",'Pass 2'!$1:$1,0),FALSE()),"")</f>
        <v/>
      </c>
      <c r="C63" s="1" t="str">
        <f aca="false">IFERROR(VLOOKUP(A63,'Pass 1 Archive'!$A:$AD,MATCH("LinkedIn Employee Count",'Pass 1 Archive'!$1:$1,0),FALSE()),"")</f>
        <v/>
      </c>
      <c r="D63" s="1" t="str">
        <f aca="false">IFERROR(VLOOKUP(A63,'Pass 2'!$A:$S,MATCH("Jan 2025 Traffic",'Pass 2'!$1:$1,0),FALSE()),"")</f>
        <v/>
      </c>
      <c r="E63" s="1" t="str">
        <f aca="false">IFERROR(VLOOKUP(A63,'Pass 2'!$A:$S,MATCH("Jun 2026 Traffic",'Pass 2'!$1:$1,0),FALSE()),"")</f>
        <v/>
      </c>
      <c r="F63" s="1" t="str">
        <f aca="false">IFERROR(VLOOKUP(A63,'Pass 2'!$A:$S,MATCH("Traffic % Change",'Pass 2'!$1:$1,0),FALSE()),"")</f>
        <v/>
      </c>
      <c r="G63" s="1" t="str">
        <f aca="false">IFERROR(VLOOKUP(A63,'Pass 2'!$A:$S,MATCH("Jan 2025 Referring Domains",'Pass 2'!$1:$1,0),FALSE()),"")</f>
        <v/>
      </c>
      <c r="H63" s="1" t="str">
        <f aca="false">IFERROR(VLOOKUP(A63,'Pass 2'!$A:$S,MATCH("Jun 2026 Referring Domains",'Pass 2'!$1:$1,0),FALSE()),"")</f>
        <v/>
      </c>
    </row>
    <row r="64" customFormat="false" ht="15" hidden="false" customHeight="true" outlineLevel="0" collapsed="false">
      <c r="B64" s="1" t="str">
        <f aca="false">IFERROR(VLOOKUP(A64,'Pass 2'!$A:$S,MATCH("Category",'Pass 2'!$1:$1,0),FALSE()),"")</f>
        <v/>
      </c>
      <c r="C64" s="1" t="str">
        <f aca="false">IFERROR(VLOOKUP(A64,'Pass 1 Archive'!$A:$AD,MATCH("LinkedIn Employee Count",'Pass 1 Archive'!$1:$1,0),FALSE()),"")</f>
        <v/>
      </c>
      <c r="D64" s="1" t="str">
        <f aca="false">IFERROR(VLOOKUP(A64,'Pass 2'!$A:$S,MATCH("Jan 2025 Traffic",'Pass 2'!$1:$1,0),FALSE()),"")</f>
        <v/>
      </c>
      <c r="E64" s="1" t="str">
        <f aca="false">IFERROR(VLOOKUP(A64,'Pass 2'!$A:$S,MATCH("Jun 2026 Traffic",'Pass 2'!$1:$1,0),FALSE()),"")</f>
        <v/>
      </c>
      <c r="F64" s="1" t="str">
        <f aca="false">IFERROR(VLOOKUP(A64,'Pass 2'!$A:$S,MATCH("Traffic % Change",'Pass 2'!$1:$1,0),FALSE()),"")</f>
        <v/>
      </c>
      <c r="G64" s="1" t="str">
        <f aca="false">IFERROR(VLOOKUP(A64,'Pass 2'!$A:$S,MATCH("Jan 2025 Referring Domains",'Pass 2'!$1:$1,0),FALSE()),"")</f>
        <v/>
      </c>
      <c r="H64" s="1" t="str">
        <f aca="false">IFERROR(VLOOKUP(A64,'Pass 2'!$A:$S,MATCH("Jun 2026 Referring Domains",'Pass 2'!$1:$1,0),FALSE()),"")</f>
        <v/>
      </c>
    </row>
    <row r="65" customFormat="false" ht="15" hidden="false" customHeight="true" outlineLevel="0" collapsed="false">
      <c r="B65" s="1" t="str">
        <f aca="false">IFERROR(VLOOKUP(A65,'Pass 2'!$A:$S,MATCH("Category",'Pass 2'!$1:$1,0),FALSE()),"")</f>
        <v/>
      </c>
      <c r="C65" s="1" t="str">
        <f aca="false">IFERROR(VLOOKUP(A65,'Pass 1 Archive'!$A:$AD,MATCH("LinkedIn Employee Count",'Pass 1 Archive'!$1:$1,0),FALSE()),"")</f>
        <v/>
      </c>
      <c r="D65" s="1" t="str">
        <f aca="false">IFERROR(VLOOKUP(A65,'Pass 2'!$A:$S,MATCH("Jan 2025 Traffic",'Pass 2'!$1:$1,0),FALSE()),"")</f>
        <v/>
      </c>
      <c r="E65" s="1" t="str">
        <f aca="false">IFERROR(VLOOKUP(A65,'Pass 2'!$A:$S,MATCH("Jun 2026 Traffic",'Pass 2'!$1:$1,0),FALSE()),"")</f>
        <v/>
      </c>
      <c r="F65" s="1" t="str">
        <f aca="false">IFERROR(VLOOKUP(A65,'Pass 2'!$A:$S,MATCH("Traffic % Change",'Pass 2'!$1:$1,0),FALSE()),"")</f>
        <v/>
      </c>
      <c r="G65" s="1" t="str">
        <f aca="false">IFERROR(VLOOKUP(A65,'Pass 2'!$A:$S,MATCH("Jan 2025 Referring Domains",'Pass 2'!$1:$1,0),FALSE()),"")</f>
        <v/>
      </c>
      <c r="H65" s="1" t="str">
        <f aca="false">IFERROR(VLOOKUP(A65,'Pass 2'!$A:$S,MATCH("Jun 2026 Referring Domains",'Pass 2'!$1:$1,0),FALSE()),"")</f>
        <v/>
      </c>
    </row>
    <row r="66" customFormat="false" ht="15" hidden="false" customHeight="true" outlineLevel="0" collapsed="false">
      <c r="B66" s="1" t="str">
        <f aca="false">IFERROR(VLOOKUP(A66,'Pass 2'!$A:$S,MATCH("Category",'Pass 2'!$1:$1,0),FALSE()),"")</f>
        <v/>
      </c>
      <c r="C66" s="1" t="str">
        <f aca="false">IFERROR(VLOOKUP(A66,'Pass 1 Archive'!$A:$AD,MATCH("LinkedIn Employee Count",'Pass 1 Archive'!$1:$1,0),FALSE()),"")</f>
        <v/>
      </c>
      <c r="D66" s="1" t="str">
        <f aca="false">IFERROR(VLOOKUP(A66,'Pass 2'!$A:$S,MATCH("Jan 2025 Traffic",'Pass 2'!$1:$1,0),FALSE()),"")</f>
        <v/>
      </c>
      <c r="E66" s="1" t="str">
        <f aca="false">IFERROR(VLOOKUP(A66,'Pass 2'!$A:$S,MATCH("Jun 2026 Traffic",'Pass 2'!$1:$1,0),FALSE()),"")</f>
        <v/>
      </c>
      <c r="F66" s="1" t="str">
        <f aca="false">IFERROR(VLOOKUP(A66,'Pass 2'!$A:$S,MATCH("Traffic % Change",'Pass 2'!$1:$1,0),FALSE()),"")</f>
        <v/>
      </c>
      <c r="G66" s="1" t="str">
        <f aca="false">IFERROR(VLOOKUP(A66,'Pass 2'!$A:$S,MATCH("Jan 2025 Referring Domains",'Pass 2'!$1:$1,0),FALSE()),"")</f>
        <v/>
      </c>
      <c r="H66" s="1" t="str">
        <f aca="false">IFERROR(VLOOKUP(A66,'Pass 2'!$A:$S,MATCH("Jun 2026 Referring Domains",'Pass 2'!$1:$1,0),FALSE()),"")</f>
        <v/>
      </c>
    </row>
    <row r="67" customFormat="false" ht="15" hidden="false" customHeight="true" outlineLevel="0" collapsed="false">
      <c r="B67" s="1" t="str">
        <f aca="false">IFERROR(VLOOKUP(A67,'Pass 2'!$A:$S,MATCH("Category",'Pass 2'!$1:$1,0),FALSE()),"")</f>
        <v/>
      </c>
      <c r="C67" s="1" t="str">
        <f aca="false">IFERROR(VLOOKUP(A67,'Pass 1 Archive'!$A:$AD,MATCH("LinkedIn Employee Count",'Pass 1 Archive'!$1:$1,0),FALSE()),"")</f>
        <v/>
      </c>
      <c r="D67" s="1" t="str">
        <f aca="false">IFERROR(VLOOKUP(A67,'Pass 2'!$A:$S,MATCH("Jan 2025 Traffic",'Pass 2'!$1:$1,0),FALSE()),"")</f>
        <v/>
      </c>
      <c r="E67" s="1" t="str">
        <f aca="false">IFERROR(VLOOKUP(A67,'Pass 2'!$A:$S,MATCH("Jun 2026 Traffic",'Pass 2'!$1:$1,0),FALSE()),"")</f>
        <v/>
      </c>
      <c r="F67" s="1" t="str">
        <f aca="false">IFERROR(VLOOKUP(A67,'Pass 2'!$A:$S,MATCH("Traffic % Change",'Pass 2'!$1:$1,0),FALSE()),"")</f>
        <v/>
      </c>
      <c r="G67" s="1" t="str">
        <f aca="false">IFERROR(VLOOKUP(A67,'Pass 2'!$A:$S,MATCH("Jan 2025 Referring Domains",'Pass 2'!$1:$1,0),FALSE()),"")</f>
        <v/>
      </c>
      <c r="H67" s="1" t="str">
        <f aca="false">IFERROR(VLOOKUP(A67,'Pass 2'!$A:$S,MATCH("Jun 2026 Referring Domains",'Pass 2'!$1:$1,0),FALSE()),"")</f>
        <v/>
      </c>
    </row>
    <row r="68" customFormat="false" ht="15" hidden="false" customHeight="true" outlineLevel="0" collapsed="false">
      <c r="B68" s="1" t="str">
        <f aca="false">IFERROR(VLOOKUP(A68,'Pass 2'!$A:$S,MATCH("Category",'Pass 2'!$1:$1,0),FALSE()),"")</f>
        <v/>
      </c>
      <c r="C68" s="1" t="str">
        <f aca="false">IFERROR(VLOOKUP(A68,'Pass 1 Archive'!$A:$AD,MATCH("LinkedIn Employee Count",'Pass 1 Archive'!$1:$1,0),FALSE()),"")</f>
        <v/>
      </c>
      <c r="D68" s="1" t="str">
        <f aca="false">IFERROR(VLOOKUP(A68,'Pass 2'!$A:$S,MATCH("Jan 2025 Traffic",'Pass 2'!$1:$1,0),FALSE()),"")</f>
        <v/>
      </c>
      <c r="E68" s="1" t="str">
        <f aca="false">IFERROR(VLOOKUP(A68,'Pass 2'!$A:$S,MATCH("Jun 2026 Traffic",'Pass 2'!$1:$1,0),FALSE()),"")</f>
        <v/>
      </c>
      <c r="F68" s="1" t="str">
        <f aca="false">IFERROR(VLOOKUP(A68,'Pass 2'!$A:$S,MATCH("Traffic % Change",'Pass 2'!$1:$1,0),FALSE()),"")</f>
        <v/>
      </c>
      <c r="G68" s="1" t="str">
        <f aca="false">IFERROR(VLOOKUP(A68,'Pass 2'!$A:$S,MATCH("Jan 2025 Referring Domains",'Pass 2'!$1:$1,0),FALSE()),"")</f>
        <v/>
      </c>
      <c r="H68" s="1" t="str">
        <f aca="false">IFERROR(VLOOKUP(A68,'Pass 2'!$A:$S,MATCH("Jun 2026 Referring Domains",'Pass 2'!$1:$1,0),FALSE()),"")</f>
        <v/>
      </c>
    </row>
    <row r="69" customFormat="false" ht="15" hidden="false" customHeight="true" outlineLevel="0" collapsed="false">
      <c r="B69" s="1" t="str">
        <f aca="false">IFERROR(VLOOKUP(A69,'Pass 2'!$A:$S,MATCH("Category",'Pass 2'!$1:$1,0),FALSE()),"")</f>
        <v/>
      </c>
      <c r="C69" s="1" t="str">
        <f aca="false">IFERROR(VLOOKUP(A69,'Pass 1 Archive'!$A:$AD,MATCH("LinkedIn Employee Count",'Pass 1 Archive'!$1:$1,0),FALSE()),"")</f>
        <v/>
      </c>
      <c r="D69" s="1" t="str">
        <f aca="false">IFERROR(VLOOKUP(A69,'Pass 2'!$A:$S,MATCH("Jan 2025 Traffic",'Pass 2'!$1:$1,0),FALSE()),"")</f>
        <v/>
      </c>
      <c r="E69" s="1" t="str">
        <f aca="false">IFERROR(VLOOKUP(A69,'Pass 2'!$A:$S,MATCH("Jun 2026 Traffic",'Pass 2'!$1:$1,0),FALSE()),"")</f>
        <v/>
      </c>
      <c r="F69" s="1" t="str">
        <f aca="false">IFERROR(VLOOKUP(A69,'Pass 2'!$A:$S,MATCH("Traffic % Change",'Pass 2'!$1:$1,0),FALSE()),"")</f>
        <v/>
      </c>
      <c r="G69" s="1" t="str">
        <f aca="false">IFERROR(VLOOKUP(A69,'Pass 2'!$A:$S,MATCH("Jan 2025 Referring Domains",'Pass 2'!$1:$1,0),FALSE()),"")</f>
        <v/>
      </c>
      <c r="H69" s="1" t="str">
        <f aca="false">IFERROR(VLOOKUP(A69,'Pass 2'!$A:$S,MATCH("Jun 2026 Referring Domains",'Pass 2'!$1:$1,0),FALSE()),"")</f>
        <v/>
      </c>
    </row>
    <row r="70" customFormat="false" ht="15" hidden="false" customHeight="true" outlineLevel="0" collapsed="false">
      <c r="B70" s="1" t="str">
        <f aca="false">IFERROR(VLOOKUP(A70,'Pass 2'!$A:$S,MATCH("Category",'Pass 2'!$1:$1,0),FALSE()),"")</f>
        <v/>
      </c>
      <c r="C70" s="1" t="str">
        <f aca="false">IFERROR(VLOOKUP(A70,'Pass 1 Archive'!$A:$AD,MATCH("LinkedIn Employee Count",'Pass 1 Archive'!$1:$1,0),FALSE()),"")</f>
        <v/>
      </c>
      <c r="D70" s="1" t="str">
        <f aca="false">IFERROR(VLOOKUP(A70,'Pass 2'!$A:$S,MATCH("Jan 2025 Traffic",'Pass 2'!$1:$1,0),FALSE()),"")</f>
        <v/>
      </c>
      <c r="E70" s="1" t="str">
        <f aca="false">IFERROR(VLOOKUP(A70,'Pass 2'!$A:$S,MATCH("Jun 2026 Traffic",'Pass 2'!$1:$1,0),FALSE()),"")</f>
        <v/>
      </c>
      <c r="F70" s="1" t="str">
        <f aca="false">IFERROR(VLOOKUP(A70,'Pass 2'!$A:$S,MATCH("Traffic % Change",'Pass 2'!$1:$1,0),FALSE()),"")</f>
        <v/>
      </c>
      <c r="G70" s="1" t="str">
        <f aca="false">IFERROR(VLOOKUP(A70,'Pass 2'!$A:$S,MATCH("Jan 2025 Referring Domains",'Pass 2'!$1:$1,0),FALSE()),"")</f>
        <v/>
      </c>
      <c r="H70" s="1" t="str">
        <f aca="false">IFERROR(VLOOKUP(A70,'Pass 2'!$A:$S,MATCH("Jun 2026 Referring Domains",'Pass 2'!$1:$1,0),FALSE()),"")</f>
        <v/>
      </c>
    </row>
    <row r="71" customFormat="false" ht="15" hidden="false" customHeight="true" outlineLevel="0" collapsed="false">
      <c r="B71" s="1" t="str">
        <f aca="false">IFERROR(VLOOKUP(A71,'Pass 2'!$A:$S,MATCH("Category",'Pass 2'!$1:$1,0),FALSE()),"")</f>
        <v/>
      </c>
      <c r="C71" s="1" t="str">
        <f aca="false">IFERROR(VLOOKUP(A71,'Pass 1 Archive'!$A:$AD,MATCH("LinkedIn Employee Count",'Pass 1 Archive'!$1:$1,0),FALSE()),"")</f>
        <v/>
      </c>
      <c r="D71" s="1" t="str">
        <f aca="false">IFERROR(VLOOKUP(A71,'Pass 2'!$A:$S,MATCH("Jan 2025 Traffic",'Pass 2'!$1:$1,0),FALSE()),"")</f>
        <v/>
      </c>
      <c r="E71" s="1" t="str">
        <f aca="false">IFERROR(VLOOKUP(A71,'Pass 2'!$A:$S,MATCH("Jun 2026 Traffic",'Pass 2'!$1:$1,0),FALSE()),"")</f>
        <v/>
      </c>
      <c r="F71" s="1" t="str">
        <f aca="false">IFERROR(VLOOKUP(A71,'Pass 2'!$A:$S,MATCH("Traffic % Change",'Pass 2'!$1:$1,0),FALSE()),"")</f>
        <v/>
      </c>
      <c r="G71" s="1" t="str">
        <f aca="false">IFERROR(VLOOKUP(A71,'Pass 2'!$A:$S,MATCH("Jan 2025 Referring Domains",'Pass 2'!$1:$1,0),FALSE()),"")</f>
        <v/>
      </c>
      <c r="H71" s="1" t="str">
        <f aca="false">IFERROR(VLOOKUP(A71,'Pass 2'!$A:$S,MATCH("Jun 2026 Referring Domains",'Pass 2'!$1:$1,0),FALSE()),"")</f>
        <v/>
      </c>
    </row>
    <row r="72" customFormat="false" ht="15" hidden="false" customHeight="true" outlineLevel="0" collapsed="false">
      <c r="B72" s="1" t="str">
        <f aca="false">IFERROR(VLOOKUP(A72,'Pass 2'!$A:$S,MATCH("Category",'Pass 2'!$1:$1,0),FALSE()),"")</f>
        <v/>
      </c>
      <c r="C72" s="1" t="str">
        <f aca="false">IFERROR(VLOOKUP(A72,'Pass 1 Archive'!$A:$AD,MATCH("LinkedIn Employee Count",'Pass 1 Archive'!$1:$1,0),FALSE()),"")</f>
        <v/>
      </c>
      <c r="D72" s="1" t="str">
        <f aca="false">IFERROR(VLOOKUP(A72,'Pass 2'!$A:$S,MATCH("Jan 2025 Traffic",'Pass 2'!$1:$1,0),FALSE()),"")</f>
        <v/>
      </c>
      <c r="E72" s="1" t="str">
        <f aca="false">IFERROR(VLOOKUP(A72,'Pass 2'!$A:$S,MATCH("Jun 2026 Traffic",'Pass 2'!$1:$1,0),FALSE()),"")</f>
        <v/>
      </c>
      <c r="F72" s="1" t="str">
        <f aca="false">IFERROR(VLOOKUP(A72,'Pass 2'!$A:$S,MATCH("Traffic % Change",'Pass 2'!$1:$1,0),FALSE()),"")</f>
        <v/>
      </c>
      <c r="G72" s="1" t="str">
        <f aca="false">IFERROR(VLOOKUP(A72,'Pass 2'!$A:$S,MATCH("Jan 2025 Referring Domains",'Pass 2'!$1:$1,0),FALSE()),"")</f>
        <v/>
      </c>
      <c r="H72" s="1" t="str">
        <f aca="false">IFERROR(VLOOKUP(A72,'Pass 2'!$A:$S,MATCH("Jun 2026 Referring Domains",'Pass 2'!$1:$1,0),FALSE()),"")</f>
        <v/>
      </c>
    </row>
    <row r="73" customFormat="false" ht="15" hidden="false" customHeight="true" outlineLevel="0" collapsed="false">
      <c r="B73" s="1" t="str">
        <f aca="false">IFERROR(VLOOKUP(A73,'Pass 2'!$A:$S,MATCH("Category",'Pass 2'!$1:$1,0),FALSE()),"")</f>
        <v/>
      </c>
      <c r="C73" s="1" t="str">
        <f aca="false">IFERROR(VLOOKUP(A73,'Pass 1 Archive'!$A:$AD,MATCH("LinkedIn Employee Count",'Pass 1 Archive'!$1:$1,0),FALSE()),"")</f>
        <v/>
      </c>
      <c r="D73" s="1" t="str">
        <f aca="false">IFERROR(VLOOKUP(A73,'Pass 2'!$A:$S,MATCH("Jan 2025 Traffic",'Pass 2'!$1:$1,0),FALSE()),"")</f>
        <v/>
      </c>
      <c r="E73" s="1" t="str">
        <f aca="false">IFERROR(VLOOKUP(A73,'Pass 2'!$A:$S,MATCH("Jun 2026 Traffic",'Pass 2'!$1:$1,0),FALSE()),"")</f>
        <v/>
      </c>
      <c r="F73" s="1" t="str">
        <f aca="false">IFERROR(VLOOKUP(A73,'Pass 2'!$A:$S,MATCH("Traffic % Change",'Pass 2'!$1:$1,0),FALSE()),"")</f>
        <v/>
      </c>
      <c r="G73" s="1" t="str">
        <f aca="false">IFERROR(VLOOKUP(A73,'Pass 2'!$A:$S,MATCH("Jan 2025 Referring Domains",'Pass 2'!$1:$1,0),FALSE()),"")</f>
        <v/>
      </c>
      <c r="H73" s="1" t="str">
        <f aca="false">IFERROR(VLOOKUP(A73,'Pass 2'!$A:$S,MATCH("Jun 2026 Referring Domains",'Pass 2'!$1:$1,0),FALSE()),"")</f>
        <v/>
      </c>
    </row>
    <row r="74" customFormat="false" ht="15" hidden="false" customHeight="true" outlineLevel="0" collapsed="false">
      <c r="B74" s="1" t="str">
        <f aca="false">IFERROR(VLOOKUP(A74,'Pass 2'!$A:$S,MATCH("Category",'Pass 2'!$1:$1,0),FALSE()),"")</f>
        <v/>
      </c>
      <c r="C74" s="1" t="str">
        <f aca="false">IFERROR(VLOOKUP(A74,'Pass 1 Archive'!$A:$AD,MATCH("LinkedIn Employee Count",'Pass 1 Archive'!$1:$1,0),FALSE()),"")</f>
        <v/>
      </c>
      <c r="D74" s="1" t="str">
        <f aca="false">IFERROR(VLOOKUP(A74,'Pass 2'!$A:$S,MATCH("Jan 2025 Traffic",'Pass 2'!$1:$1,0),FALSE()),"")</f>
        <v/>
      </c>
      <c r="E74" s="1" t="str">
        <f aca="false">IFERROR(VLOOKUP(A74,'Pass 2'!$A:$S,MATCH("Jun 2026 Traffic",'Pass 2'!$1:$1,0),FALSE()),"")</f>
        <v/>
      </c>
      <c r="F74" s="1" t="str">
        <f aca="false">IFERROR(VLOOKUP(A74,'Pass 2'!$A:$S,MATCH("Traffic % Change",'Pass 2'!$1:$1,0),FALSE()),"")</f>
        <v/>
      </c>
      <c r="G74" s="1" t="str">
        <f aca="false">IFERROR(VLOOKUP(A74,'Pass 2'!$A:$S,MATCH("Jan 2025 Referring Domains",'Pass 2'!$1:$1,0),FALSE()),"")</f>
        <v/>
      </c>
      <c r="H74" s="1" t="str">
        <f aca="false">IFERROR(VLOOKUP(A74,'Pass 2'!$A:$S,MATCH("Jun 2026 Referring Domains",'Pass 2'!$1:$1,0),FALSE()),"")</f>
        <v/>
      </c>
    </row>
    <row r="75" customFormat="false" ht="15" hidden="false" customHeight="true" outlineLevel="0" collapsed="false">
      <c r="B75" s="1" t="str">
        <f aca="false">IFERROR(VLOOKUP(A75,'Pass 2'!$A:$S,MATCH("Category",'Pass 2'!$1:$1,0),FALSE()),"")</f>
        <v/>
      </c>
      <c r="C75" s="1" t="str">
        <f aca="false">IFERROR(VLOOKUP(A75,'Pass 1 Archive'!$A:$AD,MATCH("LinkedIn Employee Count",'Pass 1 Archive'!$1:$1,0),FALSE()),"")</f>
        <v/>
      </c>
      <c r="D75" s="1" t="str">
        <f aca="false">IFERROR(VLOOKUP(A75,'Pass 2'!$A:$S,MATCH("Jan 2025 Traffic",'Pass 2'!$1:$1,0),FALSE()),"")</f>
        <v/>
      </c>
      <c r="E75" s="1" t="str">
        <f aca="false">IFERROR(VLOOKUP(A75,'Pass 2'!$A:$S,MATCH("Jun 2026 Traffic",'Pass 2'!$1:$1,0),FALSE()),"")</f>
        <v/>
      </c>
      <c r="F75" s="1" t="str">
        <f aca="false">IFERROR(VLOOKUP(A75,'Pass 2'!$A:$S,MATCH("Traffic % Change",'Pass 2'!$1:$1,0),FALSE()),"")</f>
        <v/>
      </c>
      <c r="G75" s="1" t="str">
        <f aca="false">IFERROR(VLOOKUP(A75,'Pass 2'!$A:$S,MATCH("Jan 2025 Referring Domains",'Pass 2'!$1:$1,0),FALSE()),"")</f>
        <v/>
      </c>
      <c r="H75" s="1" t="str">
        <f aca="false">IFERROR(VLOOKUP(A75,'Pass 2'!$A:$S,MATCH("Jun 2026 Referring Domains",'Pass 2'!$1:$1,0),FALSE()),"")</f>
        <v/>
      </c>
    </row>
    <row r="76" customFormat="false" ht="15" hidden="false" customHeight="true" outlineLevel="0" collapsed="false">
      <c r="B76" s="1" t="str">
        <f aca="false">IFERROR(VLOOKUP(A76,'Pass 2'!$A:$S,MATCH("Category",'Pass 2'!$1:$1,0),FALSE()),"")</f>
        <v/>
      </c>
      <c r="C76" s="1" t="str">
        <f aca="false">IFERROR(VLOOKUP(A76,'Pass 1 Archive'!$A:$AD,MATCH("LinkedIn Employee Count",'Pass 1 Archive'!$1:$1,0),FALSE()),"")</f>
        <v/>
      </c>
      <c r="D76" s="1" t="str">
        <f aca="false">IFERROR(VLOOKUP(A76,'Pass 2'!$A:$S,MATCH("Jan 2025 Traffic",'Pass 2'!$1:$1,0),FALSE()),"")</f>
        <v/>
      </c>
      <c r="E76" s="1" t="str">
        <f aca="false">IFERROR(VLOOKUP(A76,'Pass 2'!$A:$S,MATCH("Jun 2026 Traffic",'Pass 2'!$1:$1,0),FALSE()),"")</f>
        <v/>
      </c>
      <c r="F76" s="1" t="str">
        <f aca="false">IFERROR(VLOOKUP(A76,'Pass 2'!$A:$S,MATCH("Traffic % Change",'Pass 2'!$1:$1,0),FALSE()),"")</f>
        <v/>
      </c>
      <c r="G76" s="1" t="str">
        <f aca="false">IFERROR(VLOOKUP(A76,'Pass 2'!$A:$S,MATCH("Jan 2025 Referring Domains",'Pass 2'!$1:$1,0),FALSE()),"")</f>
        <v/>
      </c>
      <c r="H76" s="1" t="str">
        <f aca="false">IFERROR(VLOOKUP(A76,'Pass 2'!$A:$S,MATCH("Jun 2026 Referring Domains",'Pass 2'!$1:$1,0),FALSE()),"")</f>
        <v/>
      </c>
    </row>
    <row r="77" customFormat="false" ht="15" hidden="false" customHeight="true" outlineLevel="0" collapsed="false">
      <c r="B77" s="1" t="str">
        <f aca="false">IFERROR(VLOOKUP(A77,'Pass 2'!$A:$S,MATCH("Category",'Pass 2'!$1:$1,0),FALSE()),"")</f>
        <v/>
      </c>
      <c r="C77" s="1" t="str">
        <f aca="false">IFERROR(VLOOKUP(A77,'Pass 1 Archive'!$A:$AD,MATCH("LinkedIn Employee Count",'Pass 1 Archive'!$1:$1,0),FALSE()),"")</f>
        <v/>
      </c>
      <c r="D77" s="1" t="str">
        <f aca="false">IFERROR(VLOOKUP(A77,'Pass 2'!$A:$S,MATCH("Jan 2025 Traffic",'Pass 2'!$1:$1,0),FALSE()),"")</f>
        <v/>
      </c>
      <c r="E77" s="1" t="str">
        <f aca="false">IFERROR(VLOOKUP(A77,'Pass 2'!$A:$S,MATCH("Jun 2026 Traffic",'Pass 2'!$1:$1,0),FALSE()),"")</f>
        <v/>
      </c>
      <c r="F77" s="1" t="str">
        <f aca="false">IFERROR(VLOOKUP(A77,'Pass 2'!$A:$S,MATCH("Traffic % Change",'Pass 2'!$1:$1,0),FALSE()),"")</f>
        <v/>
      </c>
      <c r="G77" s="1" t="str">
        <f aca="false">IFERROR(VLOOKUP(A77,'Pass 2'!$A:$S,MATCH("Jan 2025 Referring Domains",'Pass 2'!$1:$1,0),FALSE()),"")</f>
        <v/>
      </c>
      <c r="H77" s="1" t="str">
        <f aca="false">IFERROR(VLOOKUP(A77,'Pass 2'!$A:$S,MATCH("Jun 2026 Referring Domains",'Pass 2'!$1:$1,0),FALSE()),"")</f>
        <v/>
      </c>
    </row>
    <row r="78" customFormat="false" ht="15" hidden="false" customHeight="true" outlineLevel="0" collapsed="false">
      <c r="B78" s="1" t="str">
        <f aca="false">IFERROR(VLOOKUP(A78,'Pass 2'!$A:$S,MATCH("Category",'Pass 2'!$1:$1,0),FALSE()),"")</f>
        <v/>
      </c>
      <c r="C78" s="1" t="str">
        <f aca="false">IFERROR(VLOOKUP(A78,'Pass 1 Archive'!$A:$AD,MATCH("LinkedIn Employee Count",'Pass 1 Archive'!$1:$1,0),FALSE()),"")</f>
        <v/>
      </c>
      <c r="D78" s="1" t="str">
        <f aca="false">IFERROR(VLOOKUP(A78,'Pass 2'!$A:$S,MATCH("Jan 2025 Traffic",'Pass 2'!$1:$1,0),FALSE()),"")</f>
        <v/>
      </c>
      <c r="E78" s="1" t="str">
        <f aca="false">IFERROR(VLOOKUP(A78,'Pass 2'!$A:$S,MATCH("Jun 2026 Traffic",'Pass 2'!$1:$1,0),FALSE()),"")</f>
        <v/>
      </c>
      <c r="F78" s="1" t="str">
        <f aca="false">IFERROR(VLOOKUP(A78,'Pass 2'!$A:$S,MATCH("Traffic % Change",'Pass 2'!$1:$1,0),FALSE()),"")</f>
        <v/>
      </c>
      <c r="G78" s="1" t="str">
        <f aca="false">IFERROR(VLOOKUP(A78,'Pass 2'!$A:$S,MATCH("Jan 2025 Referring Domains",'Pass 2'!$1:$1,0),FALSE()),"")</f>
        <v/>
      </c>
      <c r="H78" s="1" t="str">
        <f aca="false">IFERROR(VLOOKUP(A78,'Pass 2'!$A:$S,MATCH("Jun 2026 Referring Domains",'Pass 2'!$1:$1,0),FALSE()),"")</f>
        <v/>
      </c>
    </row>
    <row r="79" customFormat="false" ht="15" hidden="false" customHeight="true" outlineLevel="0" collapsed="false">
      <c r="B79" s="1" t="str">
        <f aca="false">IFERROR(VLOOKUP(A79,'Pass 2'!$A:$S,MATCH("Category",'Pass 2'!$1:$1,0),FALSE()),"")</f>
        <v/>
      </c>
      <c r="C79" s="1" t="str">
        <f aca="false">IFERROR(VLOOKUP(A79,'Pass 1 Archive'!$A:$AD,MATCH("LinkedIn Employee Count",'Pass 1 Archive'!$1:$1,0),FALSE()),"")</f>
        <v/>
      </c>
      <c r="D79" s="1" t="str">
        <f aca="false">IFERROR(VLOOKUP(A79,'Pass 2'!$A:$S,MATCH("Jan 2025 Traffic",'Pass 2'!$1:$1,0),FALSE()),"")</f>
        <v/>
      </c>
      <c r="E79" s="1" t="str">
        <f aca="false">IFERROR(VLOOKUP(A79,'Pass 2'!$A:$S,MATCH("Jun 2026 Traffic",'Pass 2'!$1:$1,0),FALSE()),"")</f>
        <v/>
      </c>
      <c r="F79" s="1" t="str">
        <f aca="false">IFERROR(VLOOKUP(A79,'Pass 2'!$A:$S,MATCH("Traffic % Change",'Pass 2'!$1:$1,0),FALSE()),"")</f>
        <v/>
      </c>
      <c r="G79" s="1" t="str">
        <f aca="false">IFERROR(VLOOKUP(A79,'Pass 2'!$A:$S,MATCH("Jan 2025 Referring Domains",'Pass 2'!$1:$1,0),FALSE()),"")</f>
        <v/>
      </c>
      <c r="H79" s="1" t="str">
        <f aca="false">IFERROR(VLOOKUP(A79,'Pass 2'!$A:$S,MATCH("Jun 2026 Referring Domains",'Pass 2'!$1:$1,0),FALSE()),"")</f>
        <v/>
      </c>
    </row>
    <row r="80" customFormat="false" ht="15" hidden="false" customHeight="true" outlineLevel="0" collapsed="false">
      <c r="B80" s="1" t="str">
        <f aca="false">IFERROR(VLOOKUP(A80,'Pass 2'!$A:$S,MATCH("Category",'Pass 2'!$1:$1,0),FALSE()),"")</f>
        <v/>
      </c>
      <c r="C80" s="1" t="str">
        <f aca="false">IFERROR(VLOOKUP(A80,'Pass 1 Archive'!$A:$AD,MATCH("LinkedIn Employee Count",'Pass 1 Archive'!$1:$1,0),FALSE()),"")</f>
        <v/>
      </c>
      <c r="D80" s="1" t="str">
        <f aca="false">IFERROR(VLOOKUP(A80,'Pass 2'!$A:$S,MATCH("Jan 2025 Traffic",'Pass 2'!$1:$1,0),FALSE()),"")</f>
        <v/>
      </c>
      <c r="E80" s="1" t="str">
        <f aca="false">IFERROR(VLOOKUP(A80,'Pass 2'!$A:$S,MATCH("Jun 2026 Traffic",'Pass 2'!$1:$1,0),FALSE()),"")</f>
        <v/>
      </c>
      <c r="F80" s="1" t="str">
        <f aca="false">IFERROR(VLOOKUP(A80,'Pass 2'!$A:$S,MATCH("Traffic % Change",'Pass 2'!$1:$1,0),FALSE()),"")</f>
        <v/>
      </c>
      <c r="G80" s="1" t="str">
        <f aca="false">IFERROR(VLOOKUP(A80,'Pass 2'!$A:$S,MATCH("Jan 2025 Referring Domains",'Pass 2'!$1:$1,0),FALSE()),"")</f>
        <v/>
      </c>
      <c r="H80" s="1" t="str">
        <f aca="false">IFERROR(VLOOKUP(A80,'Pass 2'!$A:$S,MATCH("Jun 2026 Referring Domains",'Pass 2'!$1:$1,0),FALSE()),"")</f>
        <v/>
      </c>
    </row>
    <row r="81" customFormat="false" ht="15" hidden="false" customHeight="true" outlineLevel="0" collapsed="false">
      <c r="B81" s="1" t="str">
        <f aca="false">IFERROR(VLOOKUP(A81,'Pass 2'!$A:$S,MATCH("Category",'Pass 2'!$1:$1,0),FALSE()),"")</f>
        <v/>
      </c>
      <c r="C81" s="1" t="str">
        <f aca="false">IFERROR(VLOOKUP(A81,'Pass 1 Archive'!$A:$AD,MATCH("LinkedIn Employee Count",'Pass 1 Archive'!$1:$1,0),FALSE()),"")</f>
        <v/>
      </c>
      <c r="D81" s="1" t="str">
        <f aca="false">IFERROR(VLOOKUP(A81,'Pass 2'!$A:$S,MATCH("Jan 2025 Traffic",'Pass 2'!$1:$1,0),FALSE()),"")</f>
        <v/>
      </c>
      <c r="E81" s="1" t="str">
        <f aca="false">IFERROR(VLOOKUP(A81,'Pass 2'!$A:$S,MATCH("Jun 2026 Traffic",'Pass 2'!$1:$1,0),FALSE()),"")</f>
        <v/>
      </c>
      <c r="F81" s="1" t="str">
        <f aca="false">IFERROR(VLOOKUP(A81,'Pass 2'!$A:$S,MATCH("Traffic % Change",'Pass 2'!$1:$1,0),FALSE()),"")</f>
        <v/>
      </c>
      <c r="G81" s="1" t="str">
        <f aca="false">IFERROR(VLOOKUP(A81,'Pass 2'!$A:$S,MATCH("Jan 2025 Referring Domains",'Pass 2'!$1:$1,0),FALSE()),"")</f>
        <v/>
      </c>
      <c r="H81" s="1" t="str">
        <f aca="false">IFERROR(VLOOKUP(A81,'Pass 2'!$A:$S,MATCH("Jun 2026 Referring Domains",'Pass 2'!$1:$1,0),FALSE()),"")</f>
        <v/>
      </c>
    </row>
    <row r="82" customFormat="false" ht="15" hidden="false" customHeight="true" outlineLevel="0" collapsed="false">
      <c r="B82" s="1" t="str">
        <f aca="false">IFERROR(VLOOKUP(A82,'Pass 2'!$A:$S,MATCH("Category",'Pass 2'!$1:$1,0),FALSE()),"")</f>
        <v/>
      </c>
      <c r="C82" s="1" t="str">
        <f aca="false">IFERROR(VLOOKUP(A82,'Pass 1 Archive'!$A:$AD,MATCH("LinkedIn Employee Count",'Pass 1 Archive'!$1:$1,0),FALSE()),"")</f>
        <v/>
      </c>
      <c r="D82" s="1" t="str">
        <f aca="false">IFERROR(VLOOKUP(A82,'Pass 2'!$A:$S,MATCH("Jan 2025 Traffic",'Pass 2'!$1:$1,0),FALSE()),"")</f>
        <v/>
      </c>
      <c r="E82" s="1" t="str">
        <f aca="false">IFERROR(VLOOKUP(A82,'Pass 2'!$A:$S,MATCH("Jun 2026 Traffic",'Pass 2'!$1:$1,0),FALSE()),"")</f>
        <v/>
      </c>
      <c r="F82" s="1" t="str">
        <f aca="false">IFERROR(VLOOKUP(A82,'Pass 2'!$A:$S,MATCH("Traffic % Change",'Pass 2'!$1:$1,0),FALSE()),"")</f>
        <v/>
      </c>
      <c r="G82" s="1" t="str">
        <f aca="false">IFERROR(VLOOKUP(A82,'Pass 2'!$A:$S,MATCH("Jan 2025 Referring Domains",'Pass 2'!$1:$1,0),FALSE()),"")</f>
        <v/>
      </c>
      <c r="H82" s="1" t="str">
        <f aca="false">IFERROR(VLOOKUP(A82,'Pass 2'!$A:$S,MATCH("Jun 2026 Referring Domains",'Pass 2'!$1:$1,0),FALSE()),"")</f>
        <v/>
      </c>
    </row>
    <row r="83" customFormat="false" ht="15" hidden="false" customHeight="true" outlineLevel="0" collapsed="false">
      <c r="B83" s="1" t="str">
        <f aca="false">IFERROR(VLOOKUP(A83,'Pass 2'!$A:$S,MATCH("Category",'Pass 2'!$1:$1,0),FALSE()),"")</f>
        <v/>
      </c>
      <c r="C83" s="1" t="str">
        <f aca="false">IFERROR(VLOOKUP(A83,'Pass 1 Archive'!$A:$AD,MATCH("LinkedIn Employee Count",'Pass 1 Archive'!$1:$1,0),FALSE()),"")</f>
        <v/>
      </c>
      <c r="D83" s="1" t="str">
        <f aca="false">IFERROR(VLOOKUP(A83,'Pass 2'!$A:$S,MATCH("Jan 2025 Traffic",'Pass 2'!$1:$1,0),FALSE()),"")</f>
        <v/>
      </c>
      <c r="E83" s="1" t="str">
        <f aca="false">IFERROR(VLOOKUP(A83,'Pass 2'!$A:$S,MATCH("Jun 2026 Traffic",'Pass 2'!$1:$1,0),FALSE()),"")</f>
        <v/>
      </c>
      <c r="F83" s="1" t="str">
        <f aca="false">IFERROR(VLOOKUP(A83,'Pass 2'!$A:$S,MATCH("Traffic % Change",'Pass 2'!$1:$1,0),FALSE()),"")</f>
        <v/>
      </c>
      <c r="G83" s="1" t="str">
        <f aca="false">IFERROR(VLOOKUP(A83,'Pass 2'!$A:$S,MATCH("Jan 2025 Referring Domains",'Pass 2'!$1:$1,0),FALSE()),"")</f>
        <v/>
      </c>
      <c r="H83" s="1" t="str">
        <f aca="false">IFERROR(VLOOKUP(A83,'Pass 2'!$A:$S,MATCH("Jun 2026 Referring Domains",'Pass 2'!$1:$1,0),FALSE()),"")</f>
        <v/>
      </c>
    </row>
    <row r="84" customFormat="false" ht="15" hidden="false" customHeight="true" outlineLevel="0" collapsed="false">
      <c r="B84" s="1" t="str">
        <f aca="false">IFERROR(VLOOKUP(A84,'Pass 2'!$A:$S,MATCH("Category",'Pass 2'!$1:$1,0),FALSE()),"")</f>
        <v/>
      </c>
      <c r="C84" s="1" t="str">
        <f aca="false">IFERROR(VLOOKUP(A84,'Pass 1 Archive'!$A:$AD,MATCH("LinkedIn Employee Count",'Pass 1 Archive'!$1:$1,0),FALSE()),"")</f>
        <v/>
      </c>
      <c r="D84" s="1" t="str">
        <f aca="false">IFERROR(VLOOKUP(A84,'Pass 2'!$A:$S,MATCH("Jan 2025 Traffic",'Pass 2'!$1:$1,0),FALSE()),"")</f>
        <v/>
      </c>
      <c r="E84" s="1" t="str">
        <f aca="false">IFERROR(VLOOKUP(A84,'Pass 2'!$A:$S,MATCH("Jun 2026 Traffic",'Pass 2'!$1:$1,0),FALSE()),"")</f>
        <v/>
      </c>
      <c r="F84" s="1" t="str">
        <f aca="false">IFERROR(VLOOKUP(A84,'Pass 2'!$A:$S,MATCH("Traffic % Change",'Pass 2'!$1:$1,0),FALSE()),"")</f>
        <v/>
      </c>
      <c r="G84" s="1" t="str">
        <f aca="false">IFERROR(VLOOKUP(A84,'Pass 2'!$A:$S,MATCH("Jan 2025 Referring Domains",'Pass 2'!$1:$1,0),FALSE()),"")</f>
        <v/>
      </c>
      <c r="H84" s="1" t="str">
        <f aca="false">IFERROR(VLOOKUP(A84,'Pass 2'!$A:$S,MATCH("Jun 2026 Referring Domains",'Pass 2'!$1:$1,0),FALSE()),"")</f>
        <v/>
      </c>
    </row>
    <row r="85" customFormat="false" ht="15" hidden="false" customHeight="true" outlineLevel="0" collapsed="false">
      <c r="B85" s="1" t="str">
        <f aca="false">IFERROR(VLOOKUP(A85,'Pass 2'!$A:$S,MATCH("Category",'Pass 2'!$1:$1,0),FALSE()),"")</f>
        <v/>
      </c>
      <c r="C85" s="1" t="str">
        <f aca="false">IFERROR(VLOOKUP(A85,'Pass 1 Archive'!$A:$AD,MATCH("LinkedIn Employee Count",'Pass 1 Archive'!$1:$1,0),FALSE()),"")</f>
        <v/>
      </c>
      <c r="D85" s="1" t="str">
        <f aca="false">IFERROR(VLOOKUP(A85,'Pass 2'!$A:$S,MATCH("Jan 2025 Traffic",'Pass 2'!$1:$1,0),FALSE()),"")</f>
        <v/>
      </c>
      <c r="E85" s="1" t="str">
        <f aca="false">IFERROR(VLOOKUP(A85,'Pass 2'!$A:$S,MATCH("Jun 2026 Traffic",'Pass 2'!$1:$1,0),FALSE()),"")</f>
        <v/>
      </c>
      <c r="F85" s="1" t="str">
        <f aca="false">IFERROR(VLOOKUP(A85,'Pass 2'!$A:$S,MATCH("Traffic % Change",'Pass 2'!$1:$1,0),FALSE()),"")</f>
        <v/>
      </c>
      <c r="G85" s="1" t="str">
        <f aca="false">IFERROR(VLOOKUP(A85,'Pass 2'!$A:$S,MATCH("Jan 2025 Referring Domains",'Pass 2'!$1:$1,0),FALSE()),"")</f>
        <v/>
      </c>
      <c r="H85" s="1" t="str">
        <f aca="false">IFERROR(VLOOKUP(A85,'Pass 2'!$A:$S,MATCH("Jun 2026 Referring Domains",'Pass 2'!$1:$1,0),FALSE()),"")</f>
        <v/>
      </c>
    </row>
    <row r="86" customFormat="false" ht="15" hidden="false" customHeight="true" outlineLevel="0" collapsed="false">
      <c r="B86" s="1" t="str">
        <f aca="false">IFERROR(VLOOKUP(A86,'Pass 2'!$A:$S,MATCH("Category",'Pass 2'!$1:$1,0),FALSE()),"")</f>
        <v/>
      </c>
      <c r="C86" s="1" t="str">
        <f aca="false">IFERROR(VLOOKUP(A86,'Pass 1 Archive'!$A:$AD,MATCH("LinkedIn Employee Count",'Pass 1 Archive'!$1:$1,0),FALSE()),"")</f>
        <v/>
      </c>
      <c r="D86" s="1" t="str">
        <f aca="false">IFERROR(VLOOKUP(A86,'Pass 2'!$A:$S,MATCH("Jan 2025 Traffic",'Pass 2'!$1:$1,0),FALSE()),"")</f>
        <v/>
      </c>
      <c r="E86" s="1" t="str">
        <f aca="false">IFERROR(VLOOKUP(A86,'Pass 2'!$A:$S,MATCH("Jun 2026 Traffic",'Pass 2'!$1:$1,0),FALSE()),"")</f>
        <v/>
      </c>
      <c r="F86" s="1" t="str">
        <f aca="false">IFERROR(VLOOKUP(A86,'Pass 2'!$A:$S,MATCH("Traffic % Change",'Pass 2'!$1:$1,0),FALSE()),"")</f>
        <v/>
      </c>
      <c r="G86" s="1" t="str">
        <f aca="false">IFERROR(VLOOKUP(A86,'Pass 2'!$A:$S,MATCH("Jan 2025 Referring Domains",'Pass 2'!$1:$1,0),FALSE()),"")</f>
        <v/>
      </c>
      <c r="H86" s="1" t="str">
        <f aca="false">IFERROR(VLOOKUP(A86,'Pass 2'!$A:$S,MATCH("Jun 2026 Referring Domains",'Pass 2'!$1:$1,0),FALSE()),"")</f>
        <v/>
      </c>
    </row>
    <row r="87" customFormat="false" ht="15" hidden="false" customHeight="true" outlineLevel="0" collapsed="false">
      <c r="B87" s="1" t="str">
        <f aca="false">IFERROR(VLOOKUP(A87,'Pass 2'!$A:$S,MATCH("Category",'Pass 2'!$1:$1,0),FALSE()),"")</f>
        <v/>
      </c>
      <c r="C87" s="1" t="str">
        <f aca="false">IFERROR(VLOOKUP(A87,'Pass 1 Archive'!$A:$AD,MATCH("LinkedIn Employee Count",'Pass 1 Archive'!$1:$1,0),FALSE()),"")</f>
        <v/>
      </c>
      <c r="D87" s="1" t="str">
        <f aca="false">IFERROR(VLOOKUP(A87,'Pass 2'!$A:$S,MATCH("Jan 2025 Traffic",'Pass 2'!$1:$1,0),FALSE()),"")</f>
        <v/>
      </c>
      <c r="E87" s="1" t="str">
        <f aca="false">IFERROR(VLOOKUP(A87,'Pass 2'!$A:$S,MATCH("Jun 2026 Traffic",'Pass 2'!$1:$1,0),FALSE()),"")</f>
        <v/>
      </c>
      <c r="F87" s="1" t="str">
        <f aca="false">IFERROR(VLOOKUP(A87,'Pass 2'!$A:$S,MATCH("Traffic % Change",'Pass 2'!$1:$1,0),FALSE()),"")</f>
        <v/>
      </c>
      <c r="G87" s="1" t="str">
        <f aca="false">IFERROR(VLOOKUP(A87,'Pass 2'!$A:$S,MATCH("Jan 2025 Referring Domains",'Pass 2'!$1:$1,0),FALSE()),"")</f>
        <v/>
      </c>
      <c r="H87" s="1" t="str">
        <f aca="false">IFERROR(VLOOKUP(A87,'Pass 2'!$A:$S,MATCH("Jun 2026 Referring Domains",'Pass 2'!$1:$1,0),FALSE()),"")</f>
        <v/>
      </c>
    </row>
    <row r="88" customFormat="false" ht="15" hidden="false" customHeight="true" outlineLevel="0" collapsed="false">
      <c r="B88" s="1" t="str">
        <f aca="false">IFERROR(VLOOKUP(A88,'Pass 2'!$A:$S,MATCH("Category",'Pass 2'!$1:$1,0),FALSE()),"")</f>
        <v/>
      </c>
      <c r="C88" s="1" t="str">
        <f aca="false">IFERROR(VLOOKUP(A88,'Pass 1 Archive'!$A:$AD,MATCH("LinkedIn Employee Count",'Pass 1 Archive'!$1:$1,0),FALSE()),"")</f>
        <v/>
      </c>
      <c r="D88" s="1" t="str">
        <f aca="false">IFERROR(VLOOKUP(A88,'Pass 2'!$A:$S,MATCH("Jan 2025 Traffic",'Pass 2'!$1:$1,0),FALSE()),"")</f>
        <v/>
      </c>
      <c r="E88" s="1" t="str">
        <f aca="false">IFERROR(VLOOKUP(A88,'Pass 2'!$A:$S,MATCH("Jun 2026 Traffic",'Pass 2'!$1:$1,0),FALSE()),"")</f>
        <v/>
      </c>
      <c r="F88" s="1" t="str">
        <f aca="false">IFERROR(VLOOKUP(A88,'Pass 2'!$A:$S,MATCH("Traffic % Change",'Pass 2'!$1:$1,0),FALSE()),"")</f>
        <v/>
      </c>
      <c r="G88" s="1" t="str">
        <f aca="false">IFERROR(VLOOKUP(A88,'Pass 2'!$A:$S,MATCH("Jan 2025 Referring Domains",'Pass 2'!$1:$1,0),FALSE()),"")</f>
        <v/>
      </c>
      <c r="H88" s="1" t="str">
        <f aca="false">IFERROR(VLOOKUP(A88,'Pass 2'!$A:$S,MATCH("Jun 2026 Referring Domains",'Pass 2'!$1:$1,0),FALSE()),"")</f>
        <v/>
      </c>
    </row>
    <row r="89" customFormat="false" ht="15" hidden="false" customHeight="true" outlineLevel="0" collapsed="false">
      <c r="B89" s="1" t="str">
        <f aca="false">IFERROR(VLOOKUP(A89,'Pass 2'!$A:$S,MATCH("Category",'Pass 2'!$1:$1,0),FALSE()),"")</f>
        <v/>
      </c>
      <c r="C89" s="1" t="str">
        <f aca="false">IFERROR(VLOOKUP(A89,'Pass 1 Archive'!$A:$AD,MATCH("LinkedIn Employee Count",'Pass 1 Archive'!$1:$1,0),FALSE()),"")</f>
        <v/>
      </c>
      <c r="D89" s="1" t="str">
        <f aca="false">IFERROR(VLOOKUP(A89,'Pass 2'!$A:$S,MATCH("Jan 2025 Traffic",'Pass 2'!$1:$1,0),FALSE()),"")</f>
        <v/>
      </c>
      <c r="E89" s="1" t="str">
        <f aca="false">IFERROR(VLOOKUP(A89,'Pass 2'!$A:$S,MATCH("Jun 2026 Traffic",'Pass 2'!$1:$1,0),FALSE()),"")</f>
        <v/>
      </c>
      <c r="F89" s="1" t="str">
        <f aca="false">IFERROR(VLOOKUP(A89,'Pass 2'!$A:$S,MATCH("Traffic % Change",'Pass 2'!$1:$1,0),FALSE()),"")</f>
        <v/>
      </c>
      <c r="G89" s="1" t="str">
        <f aca="false">IFERROR(VLOOKUP(A89,'Pass 2'!$A:$S,MATCH("Jan 2025 Referring Domains",'Pass 2'!$1:$1,0),FALSE()),"")</f>
        <v/>
      </c>
      <c r="H89" s="1" t="str">
        <f aca="false">IFERROR(VLOOKUP(A89,'Pass 2'!$A:$S,MATCH("Jun 2026 Referring Domains",'Pass 2'!$1:$1,0),FALSE()),"")</f>
        <v/>
      </c>
    </row>
    <row r="90" customFormat="false" ht="15" hidden="false" customHeight="true" outlineLevel="0" collapsed="false">
      <c r="B90" s="1" t="str">
        <f aca="false">IFERROR(VLOOKUP(A90,'Pass 2'!$A:$S,MATCH("Category",'Pass 2'!$1:$1,0),FALSE()),"")</f>
        <v/>
      </c>
      <c r="C90" s="1" t="str">
        <f aca="false">IFERROR(VLOOKUP(A90,'Pass 1 Archive'!$A:$AD,MATCH("LinkedIn Employee Count",'Pass 1 Archive'!$1:$1,0),FALSE()),"")</f>
        <v/>
      </c>
      <c r="D90" s="1" t="str">
        <f aca="false">IFERROR(VLOOKUP(A90,'Pass 2'!$A:$S,MATCH("Jan 2025 Traffic",'Pass 2'!$1:$1,0),FALSE()),"")</f>
        <v/>
      </c>
      <c r="E90" s="1" t="str">
        <f aca="false">IFERROR(VLOOKUP(A90,'Pass 2'!$A:$S,MATCH("Jun 2026 Traffic",'Pass 2'!$1:$1,0),FALSE()),"")</f>
        <v/>
      </c>
      <c r="F90" s="1" t="str">
        <f aca="false">IFERROR(VLOOKUP(A90,'Pass 2'!$A:$S,MATCH("Traffic % Change",'Pass 2'!$1:$1,0),FALSE()),"")</f>
        <v/>
      </c>
      <c r="G90" s="1" t="str">
        <f aca="false">IFERROR(VLOOKUP(A90,'Pass 2'!$A:$S,MATCH("Jan 2025 Referring Domains",'Pass 2'!$1:$1,0),FALSE()),"")</f>
        <v/>
      </c>
      <c r="H90" s="1" t="str">
        <f aca="false">IFERROR(VLOOKUP(A90,'Pass 2'!$A:$S,MATCH("Jun 2026 Referring Domains",'Pass 2'!$1:$1,0),FALSE()),"")</f>
        <v/>
      </c>
    </row>
    <row r="91" customFormat="false" ht="15" hidden="false" customHeight="true" outlineLevel="0" collapsed="false">
      <c r="B91" s="1" t="str">
        <f aca="false">IFERROR(VLOOKUP(A91,'Pass 2'!$A:$S,MATCH("Category",'Pass 2'!$1:$1,0),FALSE()),"")</f>
        <v/>
      </c>
      <c r="C91" s="1" t="str">
        <f aca="false">IFERROR(VLOOKUP(A91,'Pass 1 Archive'!$A:$AD,MATCH("LinkedIn Employee Count",'Pass 1 Archive'!$1:$1,0),FALSE()),"")</f>
        <v/>
      </c>
      <c r="D91" s="1" t="str">
        <f aca="false">IFERROR(VLOOKUP(A91,'Pass 2'!$A:$S,MATCH("Jan 2025 Traffic",'Pass 2'!$1:$1,0),FALSE()),"")</f>
        <v/>
      </c>
      <c r="E91" s="1" t="str">
        <f aca="false">IFERROR(VLOOKUP(A91,'Pass 2'!$A:$S,MATCH("Jun 2026 Traffic",'Pass 2'!$1:$1,0),FALSE()),"")</f>
        <v/>
      </c>
      <c r="F91" s="1" t="str">
        <f aca="false">IFERROR(VLOOKUP(A91,'Pass 2'!$A:$S,MATCH("Traffic % Change",'Pass 2'!$1:$1,0),FALSE()),"")</f>
        <v/>
      </c>
      <c r="G91" s="1" t="str">
        <f aca="false">IFERROR(VLOOKUP(A91,'Pass 2'!$A:$S,MATCH("Jan 2025 Referring Domains",'Pass 2'!$1:$1,0),FALSE()),"")</f>
        <v/>
      </c>
      <c r="H91" s="1" t="str">
        <f aca="false">IFERROR(VLOOKUP(A91,'Pass 2'!$A:$S,MATCH("Jun 2026 Referring Domains",'Pass 2'!$1:$1,0),FALSE()),"")</f>
        <v/>
      </c>
    </row>
    <row r="92" customFormat="false" ht="15" hidden="false" customHeight="true" outlineLevel="0" collapsed="false">
      <c r="B92" s="1" t="str">
        <f aca="false">IFERROR(VLOOKUP(A92,'Pass 2'!$A:$S,MATCH("Category",'Pass 2'!$1:$1,0),FALSE()),"")</f>
        <v/>
      </c>
      <c r="C92" s="1" t="str">
        <f aca="false">IFERROR(VLOOKUP(A92,'Pass 1 Archive'!$A:$AD,MATCH("LinkedIn Employee Count",'Pass 1 Archive'!$1:$1,0),FALSE()),"")</f>
        <v/>
      </c>
      <c r="D92" s="1" t="str">
        <f aca="false">IFERROR(VLOOKUP(A92,'Pass 2'!$A:$S,MATCH("Jan 2025 Traffic",'Pass 2'!$1:$1,0),FALSE()),"")</f>
        <v/>
      </c>
      <c r="E92" s="1" t="str">
        <f aca="false">IFERROR(VLOOKUP(A92,'Pass 2'!$A:$S,MATCH("Jun 2026 Traffic",'Pass 2'!$1:$1,0),FALSE()),"")</f>
        <v/>
      </c>
      <c r="F92" s="1" t="str">
        <f aca="false">IFERROR(VLOOKUP(A92,'Pass 2'!$A:$S,MATCH("Traffic % Change",'Pass 2'!$1:$1,0),FALSE()),"")</f>
        <v/>
      </c>
      <c r="G92" s="1" t="str">
        <f aca="false">IFERROR(VLOOKUP(A92,'Pass 2'!$A:$S,MATCH("Jan 2025 Referring Domains",'Pass 2'!$1:$1,0),FALSE()),"")</f>
        <v/>
      </c>
      <c r="H92" s="1" t="str">
        <f aca="false">IFERROR(VLOOKUP(A92,'Pass 2'!$A:$S,MATCH("Jun 2026 Referring Domains",'Pass 2'!$1:$1,0),FALSE()),"")</f>
        <v/>
      </c>
    </row>
    <row r="93" customFormat="false" ht="15" hidden="false" customHeight="true" outlineLevel="0" collapsed="false">
      <c r="B93" s="1" t="str">
        <f aca="false">IFERROR(VLOOKUP(A93,'Pass 2'!$A:$S,MATCH("Category",'Pass 2'!$1:$1,0),FALSE()),"")</f>
        <v/>
      </c>
      <c r="C93" s="1" t="str">
        <f aca="false">IFERROR(VLOOKUP(A93,'Pass 1 Archive'!$A:$AD,MATCH("LinkedIn Employee Count",'Pass 1 Archive'!$1:$1,0),FALSE()),"")</f>
        <v/>
      </c>
      <c r="D93" s="1" t="str">
        <f aca="false">IFERROR(VLOOKUP(A93,'Pass 2'!$A:$S,MATCH("Jan 2025 Traffic",'Pass 2'!$1:$1,0),FALSE()),"")</f>
        <v/>
      </c>
      <c r="E93" s="1" t="str">
        <f aca="false">IFERROR(VLOOKUP(A93,'Pass 2'!$A:$S,MATCH("Jun 2026 Traffic",'Pass 2'!$1:$1,0),FALSE()),"")</f>
        <v/>
      </c>
      <c r="F93" s="1" t="str">
        <f aca="false">IFERROR(VLOOKUP(A93,'Pass 2'!$A:$S,MATCH("Traffic % Change",'Pass 2'!$1:$1,0),FALSE()),"")</f>
        <v/>
      </c>
      <c r="G93" s="1" t="str">
        <f aca="false">IFERROR(VLOOKUP(A93,'Pass 2'!$A:$S,MATCH("Jan 2025 Referring Domains",'Pass 2'!$1:$1,0),FALSE()),"")</f>
        <v/>
      </c>
      <c r="H93" s="1" t="str">
        <f aca="false">IFERROR(VLOOKUP(A93,'Pass 2'!$A:$S,MATCH("Jun 2026 Referring Domains",'Pass 2'!$1:$1,0),FALSE()),"")</f>
        <v/>
      </c>
    </row>
    <row r="94" customFormat="false" ht="15" hidden="false" customHeight="true" outlineLevel="0" collapsed="false">
      <c r="B94" s="1" t="str">
        <f aca="false">IFERROR(VLOOKUP(A94,'Pass 2'!$A:$S,MATCH("Category",'Pass 2'!$1:$1,0),FALSE()),"")</f>
        <v/>
      </c>
      <c r="C94" s="1" t="str">
        <f aca="false">IFERROR(VLOOKUP(A94,'Pass 1 Archive'!$A:$AD,MATCH("LinkedIn Employee Count",'Pass 1 Archive'!$1:$1,0),FALSE()),"")</f>
        <v/>
      </c>
      <c r="D94" s="1" t="str">
        <f aca="false">IFERROR(VLOOKUP(A94,'Pass 2'!$A:$S,MATCH("Jan 2025 Traffic",'Pass 2'!$1:$1,0),FALSE()),"")</f>
        <v/>
      </c>
      <c r="E94" s="1" t="str">
        <f aca="false">IFERROR(VLOOKUP(A94,'Pass 2'!$A:$S,MATCH("Jun 2026 Traffic",'Pass 2'!$1:$1,0),FALSE()),"")</f>
        <v/>
      </c>
      <c r="F94" s="1" t="str">
        <f aca="false">IFERROR(VLOOKUP(A94,'Pass 2'!$A:$S,MATCH("Traffic % Change",'Pass 2'!$1:$1,0),FALSE()),"")</f>
        <v/>
      </c>
      <c r="G94" s="1" t="str">
        <f aca="false">IFERROR(VLOOKUP(A94,'Pass 2'!$A:$S,MATCH("Jan 2025 Referring Domains",'Pass 2'!$1:$1,0),FALSE()),"")</f>
        <v/>
      </c>
      <c r="H94" s="1" t="str">
        <f aca="false">IFERROR(VLOOKUP(A94,'Pass 2'!$A:$S,MATCH("Jun 2026 Referring Domains",'Pass 2'!$1:$1,0),FALSE()),"")</f>
        <v/>
      </c>
    </row>
    <row r="95" customFormat="false" ht="15" hidden="false" customHeight="true" outlineLevel="0" collapsed="false">
      <c r="B95" s="1" t="str">
        <f aca="false">IFERROR(VLOOKUP(A95,'Pass 2'!$A:$S,MATCH("Category",'Pass 2'!$1:$1,0),FALSE()),"")</f>
        <v/>
      </c>
      <c r="C95" s="1" t="str">
        <f aca="false">IFERROR(VLOOKUP(A95,'Pass 1 Archive'!$A:$AD,MATCH("LinkedIn Employee Count",'Pass 1 Archive'!$1:$1,0),FALSE()),"")</f>
        <v/>
      </c>
      <c r="D95" s="1" t="str">
        <f aca="false">IFERROR(VLOOKUP(A95,'Pass 2'!$A:$S,MATCH("Jan 2025 Traffic",'Pass 2'!$1:$1,0),FALSE()),"")</f>
        <v/>
      </c>
      <c r="E95" s="1" t="str">
        <f aca="false">IFERROR(VLOOKUP(A95,'Pass 2'!$A:$S,MATCH("Jun 2026 Traffic",'Pass 2'!$1:$1,0),FALSE()),"")</f>
        <v/>
      </c>
      <c r="F95" s="1" t="str">
        <f aca="false">IFERROR(VLOOKUP(A95,'Pass 2'!$A:$S,MATCH("Traffic % Change",'Pass 2'!$1:$1,0),FALSE()),"")</f>
        <v/>
      </c>
      <c r="G95" s="1" t="str">
        <f aca="false">IFERROR(VLOOKUP(A95,'Pass 2'!$A:$S,MATCH("Jan 2025 Referring Domains",'Pass 2'!$1:$1,0),FALSE()),"")</f>
        <v/>
      </c>
      <c r="H95" s="1" t="str">
        <f aca="false">IFERROR(VLOOKUP(A95,'Pass 2'!$A:$S,MATCH("Jun 2026 Referring Domains",'Pass 2'!$1:$1,0),FALSE()),"")</f>
        <v/>
      </c>
    </row>
    <row r="96" customFormat="false" ht="15" hidden="false" customHeight="true" outlineLevel="0" collapsed="false">
      <c r="B96" s="1" t="str">
        <f aca="false">IFERROR(VLOOKUP(A96,'Pass 2'!$A:$S,MATCH("Category",'Pass 2'!$1:$1,0),FALSE()),"")</f>
        <v/>
      </c>
      <c r="C96" s="1" t="str">
        <f aca="false">IFERROR(VLOOKUP(A96,'Pass 1 Archive'!$A:$AD,MATCH("LinkedIn Employee Count",'Pass 1 Archive'!$1:$1,0),FALSE()),"")</f>
        <v/>
      </c>
      <c r="D96" s="1" t="str">
        <f aca="false">IFERROR(VLOOKUP(A96,'Pass 2'!$A:$S,MATCH("Jan 2025 Traffic",'Pass 2'!$1:$1,0),FALSE()),"")</f>
        <v/>
      </c>
      <c r="E96" s="1" t="str">
        <f aca="false">IFERROR(VLOOKUP(A96,'Pass 2'!$A:$S,MATCH("Jun 2026 Traffic",'Pass 2'!$1:$1,0),FALSE()),"")</f>
        <v/>
      </c>
      <c r="F96" s="1" t="str">
        <f aca="false">IFERROR(VLOOKUP(A96,'Pass 2'!$A:$S,MATCH("Traffic % Change",'Pass 2'!$1:$1,0),FALSE()),"")</f>
        <v/>
      </c>
      <c r="G96" s="1" t="str">
        <f aca="false">IFERROR(VLOOKUP(A96,'Pass 2'!$A:$S,MATCH("Jan 2025 Referring Domains",'Pass 2'!$1:$1,0),FALSE()),"")</f>
        <v/>
      </c>
      <c r="H96" s="1" t="str">
        <f aca="false">IFERROR(VLOOKUP(A96,'Pass 2'!$A:$S,MATCH("Jun 2026 Referring Domains",'Pass 2'!$1:$1,0),FALSE()),"")</f>
        <v/>
      </c>
    </row>
    <row r="97" customFormat="false" ht="15" hidden="false" customHeight="true" outlineLevel="0" collapsed="false">
      <c r="B97" s="1" t="str">
        <f aca="false">IFERROR(VLOOKUP(A97,'Pass 2'!$A:$S,MATCH("Category",'Pass 2'!$1:$1,0),FALSE()),"")</f>
        <v/>
      </c>
      <c r="C97" s="1" t="str">
        <f aca="false">IFERROR(VLOOKUP(A97,'Pass 1 Archive'!$A:$AD,MATCH("LinkedIn Employee Count",'Pass 1 Archive'!$1:$1,0),FALSE()),"")</f>
        <v/>
      </c>
      <c r="D97" s="1" t="str">
        <f aca="false">IFERROR(VLOOKUP(A97,'Pass 2'!$A:$S,MATCH("Jan 2025 Traffic",'Pass 2'!$1:$1,0),FALSE()),"")</f>
        <v/>
      </c>
      <c r="E97" s="1" t="str">
        <f aca="false">IFERROR(VLOOKUP(A97,'Pass 2'!$A:$S,MATCH("Jun 2026 Traffic",'Pass 2'!$1:$1,0),FALSE()),"")</f>
        <v/>
      </c>
      <c r="F97" s="1" t="str">
        <f aca="false">IFERROR(VLOOKUP(A97,'Pass 2'!$A:$S,MATCH("Traffic % Change",'Pass 2'!$1:$1,0),FALSE()),"")</f>
        <v/>
      </c>
      <c r="G97" s="1" t="str">
        <f aca="false">IFERROR(VLOOKUP(A97,'Pass 2'!$A:$S,MATCH("Jan 2025 Referring Domains",'Pass 2'!$1:$1,0),FALSE()),"")</f>
        <v/>
      </c>
      <c r="H97" s="1" t="str">
        <f aca="false">IFERROR(VLOOKUP(A97,'Pass 2'!$A:$S,MATCH("Jun 2026 Referring Domains",'Pass 2'!$1:$1,0),FALSE()),"")</f>
        <v/>
      </c>
    </row>
    <row r="98" customFormat="false" ht="15" hidden="false" customHeight="true" outlineLevel="0" collapsed="false">
      <c r="B98" s="1" t="str">
        <f aca="false">IFERROR(VLOOKUP(A98,'Pass 2'!$A:$S,MATCH("Category",'Pass 2'!$1:$1,0),FALSE()),"")</f>
        <v/>
      </c>
      <c r="C98" s="1" t="str">
        <f aca="false">IFERROR(VLOOKUP(A98,'Pass 1 Archive'!$A:$AD,MATCH("LinkedIn Employee Count",'Pass 1 Archive'!$1:$1,0),FALSE()),"")</f>
        <v/>
      </c>
      <c r="D98" s="1" t="str">
        <f aca="false">IFERROR(VLOOKUP(A98,'Pass 2'!$A:$S,MATCH("Jan 2025 Traffic",'Pass 2'!$1:$1,0),FALSE()),"")</f>
        <v/>
      </c>
      <c r="E98" s="1" t="str">
        <f aca="false">IFERROR(VLOOKUP(A98,'Pass 2'!$A:$S,MATCH("Jun 2026 Traffic",'Pass 2'!$1:$1,0),FALSE()),"")</f>
        <v/>
      </c>
      <c r="F98" s="1" t="str">
        <f aca="false">IFERROR(VLOOKUP(A98,'Pass 2'!$A:$S,MATCH("Traffic % Change",'Pass 2'!$1:$1,0),FALSE()),"")</f>
        <v/>
      </c>
      <c r="G98" s="1" t="str">
        <f aca="false">IFERROR(VLOOKUP(A98,'Pass 2'!$A:$S,MATCH("Jan 2025 Referring Domains",'Pass 2'!$1:$1,0),FALSE()),"")</f>
        <v/>
      </c>
      <c r="H98" s="1" t="str">
        <f aca="false">IFERROR(VLOOKUP(A98,'Pass 2'!$A:$S,MATCH("Jun 2026 Referring Domains",'Pass 2'!$1:$1,0),FALSE()),"")</f>
        <v/>
      </c>
    </row>
    <row r="99" customFormat="false" ht="15" hidden="false" customHeight="true" outlineLevel="0" collapsed="false">
      <c r="B99" s="1" t="str">
        <f aca="false">IFERROR(VLOOKUP(A99,'Pass 2'!$A:$S,MATCH("Category",'Pass 2'!$1:$1,0),FALSE()),"")</f>
        <v/>
      </c>
      <c r="C99" s="1" t="str">
        <f aca="false">IFERROR(VLOOKUP(A99,'Pass 1 Archive'!$A:$AD,MATCH("LinkedIn Employee Count",'Pass 1 Archive'!$1:$1,0),FALSE()),"")</f>
        <v/>
      </c>
      <c r="D99" s="1" t="str">
        <f aca="false">IFERROR(VLOOKUP(A99,'Pass 2'!$A:$S,MATCH("Jan 2025 Traffic",'Pass 2'!$1:$1,0),FALSE()),"")</f>
        <v/>
      </c>
      <c r="E99" s="1" t="str">
        <f aca="false">IFERROR(VLOOKUP(A99,'Pass 2'!$A:$S,MATCH("Jun 2026 Traffic",'Pass 2'!$1:$1,0),FALSE()),"")</f>
        <v/>
      </c>
      <c r="F99" s="1" t="str">
        <f aca="false">IFERROR(VLOOKUP(A99,'Pass 2'!$A:$S,MATCH("Traffic % Change",'Pass 2'!$1:$1,0),FALSE()),"")</f>
        <v/>
      </c>
      <c r="G99" s="1" t="str">
        <f aca="false">IFERROR(VLOOKUP(A99,'Pass 2'!$A:$S,MATCH("Jan 2025 Referring Domains",'Pass 2'!$1:$1,0),FALSE()),"")</f>
        <v/>
      </c>
      <c r="H99" s="1" t="str">
        <f aca="false">IFERROR(VLOOKUP(A99,'Pass 2'!$A:$S,MATCH("Jun 2026 Referring Domains",'Pass 2'!$1:$1,0),FALSE()),"")</f>
        <v/>
      </c>
    </row>
    <row r="100" customFormat="false" ht="15" hidden="false" customHeight="true" outlineLevel="0" collapsed="false">
      <c r="B100" s="1" t="str">
        <f aca="false">IFERROR(VLOOKUP(A100,'Pass 2'!$A:$S,MATCH("Category",'Pass 2'!$1:$1,0),FALSE()),"")</f>
        <v/>
      </c>
      <c r="C100" s="1" t="str">
        <f aca="false">IFERROR(VLOOKUP(A100,'Pass 1 Archive'!$A:$AD,MATCH("LinkedIn Employee Count",'Pass 1 Archive'!$1:$1,0),FALSE()),"")</f>
        <v/>
      </c>
      <c r="D100" s="1" t="str">
        <f aca="false">IFERROR(VLOOKUP(A100,'Pass 2'!$A:$S,MATCH("Jan 2025 Traffic",'Pass 2'!$1:$1,0),FALSE()),"")</f>
        <v/>
      </c>
      <c r="E100" s="1" t="str">
        <f aca="false">IFERROR(VLOOKUP(A100,'Pass 2'!$A:$S,MATCH("Jun 2026 Traffic",'Pass 2'!$1:$1,0),FALSE()),"")</f>
        <v/>
      </c>
      <c r="F100" s="1" t="str">
        <f aca="false">IFERROR(VLOOKUP(A100,'Pass 2'!$A:$S,MATCH("Traffic % Change",'Pass 2'!$1:$1,0),FALSE()),"")</f>
        <v/>
      </c>
      <c r="G100" s="1" t="str">
        <f aca="false">IFERROR(VLOOKUP(A100,'Pass 2'!$A:$S,MATCH("Jan 2025 Referring Domains",'Pass 2'!$1:$1,0),FALSE()),"")</f>
        <v/>
      </c>
      <c r="H100" s="1" t="str">
        <f aca="false">IFERROR(VLOOKUP(A100,'Pass 2'!$A:$S,MATCH("Jun 2026 Referring Domains",'Pass 2'!$1:$1,0),FALSE()),"")</f>
        <v/>
      </c>
    </row>
    <row r="101" customFormat="false" ht="15" hidden="false" customHeight="true" outlineLevel="0" collapsed="false">
      <c r="B101" s="1" t="str">
        <f aca="false">IFERROR(VLOOKUP(A101,'Pass 2'!$A:$S,MATCH("Category",'Pass 2'!$1:$1,0),FALSE()),"")</f>
        <v/>
      </c>
      <c r="C101" s="1" t="str">
        <f aca="false">IFERROR(VLOOKUP(A101,'Pass 1 Archive'!$A:$AD,MATCH("LinkedIn Employee Count",'Pass 1 Archive'!$1:$1,0),FALSE()),"")</f>
        <v/>
      </c>
      <c r="D101" s="1" t="str">
        <f aca="false">IFERROR(VLOOKUP(A101,'Pass 2'!$A:$S,MATCH("Jan 2025 Traffic",'Pass 2'!$1:$1,0),FALSE()),"")</f>
        <v/>
      </c>
      <c r="E101" s="1" t="str">
        <f aca="false">IFERROR(VLOOKUP(A101,'Pass 2'!$A:$S,MATCH("Jun 2026 Traffic",'Pass 2'!$1:$1,0),FALSE()),"")</f>
        <v/>
      </c>
      <c r="F101" s="1" t="str">
        <f aca="false">IFERROR(VLOOKUP(A101,'Pass 2'!$A:$S,MATCH("Traffic % Change",'Pass 2'!$1:$1,0),FALSE()),"")</f>
        <v/>
      </c>
      <c r="G101" s="1" t="str">
        <f aca="false">IFERROR(VLOOKUP(A101,'Pass 2'!$A:$S,MATCH("Jan 2025 Referring Domains",'Pass 2'!$1:$1,0),FALSE()),"")</f>
        <v/>
      </c>
      <c r="H101" s="1" t="str">
        <f aca="false">IFERROR(VLOOKUP(A101,'Pass 2'!$A:$S,MATCH("Jun 2026 Referring Domains",'Pass 2'!$1:$1,0),FALSE()),"")</f>
        <v/>
      </c>
    </row>
    <row r="102" customFormat="false" ht="15" hidden="false" customHeight="true" outlineLevel="0" collapsed="false">
      <c r="B102" s="1" t="str">
        <f aca="false">IFERROR(VLOOKUP(A102,'Pass 2'!$A:$S,MATCH("Category",'Pass 2'!$1:$1,0),FALSE()),"")</f>
        <v/>
      </c>
      <c r="C102" s="1" t="str">
        <f aca="false">IFERROR(VLOOKUP(A102,'Pass 1 Archive'!$A:$AD,MATCH("LinkedIn Employee Count",'Pass 1 Archive'!$1:$1,0),FALSE()),"")</f>
        <v/>
      </c>
      <c r="D102" s="1" t="str">
        <f aca="false">IFERROR(VLOOKUP(A102,'Pass 2'!$A:$S,MATCH("Jan 2025 Traffic",'Pass 2'!$1:$1,0),FALSE()),"")</f>
        <v/>
      </c>
      <c r="E102" s="1" t="str">
        <f aca="false">IFERROR(VLOOKUP(A102,'Pass 2'!$A:$S,MATCH("Jun 2026 Traffic",'Pass 2'!$1:$1,0),FALSE()),"")</f>
        <v/>
      </c>
      <c r="F102" s="1" t="str">
        <f aca="false">IFERROR(VLOOKUP(A102,'Pass 2'!$A:$S,MATCH("Traffic % Change",'Pass 2'!$1:$1,0),FALSE()),"")</f>
        <v/>
      </c>
      <c r="G102" s="1" t="str">
        <f aca="false">IFERROR(VLOOKUP(A102,'Pass 2'!$A:$S,MATCH("Jan 2025 Referring Domains",'Pass 2'!$1:$1,0),FALSE()),"")</f>
        <v/>
      </c>
      <c r="H102" s="1" t="str">
        <f aca="false">IFERROR(VLOOKUP(A102,'Pass 2'!$A:$S,MATCH("Jun 2026 Referring Domains",'Pass 2'!$1:$1,0),FALSE()),"")</f>
        <v/>
      </c>
    </row>
    <row r="103" customFormat="false" ht="15" hidden="false" customHeight="true" outlineLevel="0" collapsed="false">
      <c r="B103" s="1" t="str">
        <f aca="false">IFERROR(VLOOKUP(A103,'Pass 2'!$A:$S,MATCH("Category",'Pass 2'!$1:$1,0),FALSE()),"")</f>
        <v/>
      </c>
      <c r="C103" s="1" t="str">
        <f aca="false">IFERROR(VLOOKUP(A103,'Pass 1 Archive'!$A:$AD,MATCH("LinkedIn Employee Count",'Pass 1 Archive'!$1:$1,0),FALSE()),"")</f>
        <v/>
      </c>
      <c r="D103" s="1" t="str">
        <f aca="false">IFERROR(VLOOKUP(A103,'Pass 2'!$A:$S,MATCH("Jan 2025 Traffic",'Pass 2'!$1:$1,0),FALSE()),"")</f>
        <v/>
      </c>
      <c r="E103" s="1" t="str">
        <f aca="false">IFERROR(VLOOKUP(A103,'Pass 2'!$A:$S,MATCH("Jun 2026 Traffic",'Pass 2'!$1:$1,0),FALSE()),"")</f>
        <v/>
      </c>
      <c r="F103" s="1" t="str">
        <f aca="false">IFERROR(VLOOKUP(A103,'Pass 2'!$A:$S,MATCH("Traffic % Change",'Pass 2'!$1:$1,0),FALSE()),"")</f>
        <v/>
      </c>
      <c r="G103" s="1" t="str">
        <f aca="false">IFERROR(VLOOKUP(A103,'Pass 2'!$A:$S,MATCH("Jan 2025 Referring Domains",'Pass 2'!$1:$1,0),FALSE()),"")</f>
        <v/>
      </c>
      <c r="H103" s="1" t="str">
        <f aca="false">IFERROR(VLOOKUP(A103,'Pass 2'!$A:$S,MATCH("Jun 2026 Referring Domains",'Pass 2'!$1:$1,0),FALSE()),"")</f>
        <v/>
      </c>
    </row>
    <row r="104" customFormat="false" ht="15" hidden="false" customHeight="true" outlineLevel="0" collapsed="false">
      <c r="B104" s="1" t="str">
        <f aca="false">IFERROR(VLOOKUP(A104,'Pass 2'!$A:$S,MATCH("Category",'Pass 2'!$1:$1,0),FALSE()),"")</f>
        <v/>
      </c>
      <c r="C104" s="1" t="str">
        <f aca="false">IFERROR(VLOOKUP(A104,'Pass 1 Archive'!$A:$AD,MATCH("LinkedIn Employee Count",'Pass 1 Archive'!$1:$1,0),FALSE()),"")</f>
        <v/>
      </c>
      <c r="D104" s="1" t="str">
        <f aca="false">IFERROR(VLOOKUP(A104,'Pass 2'!$A:$S,MATCH("Jan 2025 Traffic",'Pass 2'!$1:$1,0),FALSE()),"")</f>
        <v/>
      </c>
      <c r="E104" s="1" t="str">
        <f aca="false">IFERROR(VLOOKUP(A104,'Pass 2'!$A:$S,MATCH("Jun 2026 Traffic",'Pass 2'!$1:$1,0),FALSE()),"")</f>
        <v/>
      </c>
      <c r="F104" s="1" t="str">
        <f aca="false">IFERROR(VLOOKUP(A104,'Pass 2'!$A:$S,MATCH("Traffic % Change",'Pass 2'!$1:$1,0),FALSE()),"")</f>
        <v/>
      </c>
      <c r="G104" s="1" t="str">
        <f aca="false">IFERROR(VLOOKUP(A104,'Pass 2'!$A:$S,MATCH("Jan 2025 Referring Domains",'Pass 2'!$1:$1,0),FALSE()),"")</f>
        <v/>
      </c>
      <c r="H104" s="1" t="str">
        <f aca="false">IFERROR(VLOOKUP(A104,'Pass 2'!$A:$S,MATCH("Jun 2026 Referring Domains",'Pass 2'!$1:$1,0),FALSE()),"")</f>
        <v/>
      </c>
    </row>
    <row r="105" customFormat="false" ht="15" hidden="false" customHeight="true" outlineLevel="0" collapsed="false">
      <c r="B105" s="1" t="str">
        <f aca="false">IFERROR(VLOOKUP(A105,'Pass 2'!$A:$S,MATCH("Category",'Pass 2'!$1:$1,0),FALSE()),"")</f>
        <v/>
      </c>
      <c r="C105" s="1" t="str">
        <f aca="false">IFERROR(VLOOKUP(A105,'Pass 1 Archive'!$A:$AD,MATCH("LinkedIn Employee Count",'Pass 1 Archive'!$1:$1,0),FALSE()),"")</f>
        <v/>
      </c>
      <c r="D105" s="1" t="str">
        <f aca="false">IFERROR(VLOOKUP(A105,'Pass 2'!$A:$S,MATCH("Jan 2025 Traffic",'Pass 2'!$1:$1,0),FALSE()),"")</f>
        <v/>
      </c>
      <c r="E105" s="1" t="str">
        <f aca="false">IFERROR(VLOOKUP(A105,'Pass 2'!$A:$S,MATCH("Jun 2026 Traffic",'Pass 2'!$1:$1,0),FALSE()),"")</f>
        <v/>
      </c>
      <c r="F105" s="1" t="str">
        <f aca="false">IFERROR(VLOOKUP(A105,'Pass 2'!$A:$S,MATCH("Traffic % Change",'Pass 2'!$1:$1,0),FALSE()),"")</f>
        <v/>
      </c>
      <c r="G105" s="1" t="str">
        <f aca="false">IFERROR(VLOOKUP(A105,'Pass 2'!$A:$S,MATCH("Jan 2025 Referring Domains",'Pass 2'!$1:$1,0),FALSE()),"")</f>
        <v/>
      </c>
      <c r="H105" s="1" t="str">
        <f aca="false">IFERROR(VLOOKUP(A105,'Pass 2'!$A:$S,MATCH("Jun 2026 Referring Domains",'Pass 2'!$1:$1,0),FALSE()),"")</f>
        <v/>
      </c>
    </row>
    <row r="106" customFormat="false" ht="15" hidden="false" customHeight="true" outlineLevel="0" collapsed="false">
      <c r="B106" s="1" t="str">
        <f aca="false">IFERROR(VLOOKUP(A106,'Pass 2'!$A:$S,MATCH("Category",'Pass 2'!$1:$1,0),FALSE()),"")</f>
        <v/>
      </c>
      <c r="C106" s="1" t="str">
        <f aca="false">IFERROR(VLOOKUP(A106,'Pass 1 Archive'!$A:$AD,MATCH("LinkedIn Employee Count",'Pass 1 Archive'!$1:$1,0),FALSE()),"")</f>
        <v/>
      </c>
      <c r="D106" s="1" t="str">
        <f aca="false">IFERROR(VLOOKUP(A106,'Pass 2'!$A:$S,MATCH("Jan 2025 Traffic",'Pass 2'!$1:$1,0),FALSE()),"")</f>
        <v/>
      </c>
      <c r="E106" s="1" t="str">
        <f aca="false">IFERROR(VLOOKUP(A106,'Pass 2'!$A:$S,MATCH("Jun 2026 Traffic",'Pass 2'!$1:$1,0),FALSE()),"")</f>
        <v/>
      </c>
      <c r="F106" s="1" t="str">
        <f aca="false">IFERROR(VLOOKUP(A106,'Pass 2'!$A:$S,MATCH("Traffic % Change",'Pass 2'!$1:$1,0),FALSE()),"")</f>
        <v/>
      </c>
      <c r="G106" s="1" t="str">
        <f aca="false">IFERROR(VLOOKUP(A106,'Pass 2'!$A:$S,MATCH("Jan 2025 Referring Domains",'Pass 2'!$1:$1,0),FALSE()),"")</f>
        <v/>
      </c>
      <c r="H106" s="1" t="str">
        <f aca="false">IFERROR(VLOOKUP(A106,'Pass 2'!$A:$S,MATCH("Jun 2026 Referring Domains",'Pass 2'!$1:$1,0),FALSE()),"")</f>
        <v/>
      </c>
    </row>
    <row r="107" customFormat="false" ht="15" hidden="false" customHeight="true" outlineLevel="0" collapsed="false">
      <c r="B107" s="1" t="str">
        <f aca="false">IFERROR(VLOOKUP(A107,'Pass 2'!$A:$S,MATCH("Category",'Pass 2'!$1:$1,0),FALSE()),"")</f>
        <v/>
      </c>
      <c r="C107" s="1" t="str">
        <f aca="false">IFERROR(VLOOKUP(A107,'Pass 1 Archive'!$A:$AD,MATCH("LinkedIn Employee Count",'Pass 1 Archive'!$1:$1,0),FALSE()),"")</f>
        <v/>
      </c>
      <c r="D107" s="1" t="str">
        <f aca="false">IFERROR(VLOOKUP(A107,'Pass 2'!$A:$S,MATCH("Jan 2025 Traffic",'Pass 2'!$1:$1,0),FALSE()),"")</f>
        <v/>
      </c>
      <c r="E107" s="1" t="str">
        <f aca="false">IFERROR(VLOOKUP(A107,'Pass 2'!$A:$S,MATCH("Jun 2026 Traffic",'Pass 2'!$1:$1,0),FALSE()),"")</f>
        <v/>
      </c>
      <c r="F107" s="1" t="str">
        <f aca="false">IFERROR(VLOOKUP(A107,'Pass 2'!$A:$S,MATCH("Traffic % Change",'Pass 2'!$1:$1,0),FALSE()),"")</f>
        <v/>
      </c>
      <c r="G107" s="1" t="str">
        <f aca="false">IFERROR(VLOOKUP(A107,'Pass 2'!$A:$S,MATCH("Jan 2025 Referring Domains",'Pass 2'!$1:$1,0),FALSE()),"")</f>
        <v/>
      </c>
      <c r="H107" s="1" t="str">
        <f aca="false">IFERROR(VLOOKUP(A107,'Pass 2'!$A:$S,MATCH("Jun 2026 Referring Domains",'Pass 2'!$1:$1,0),FALSE()),"")</f>
        <v/>
      </c>
    </row>
    <row r="108" customFormat="false" ht="15" hidden="false" customHeight="true" outlineLevel="0" collapsed="false">
      <c r="B108" s="1" t="str">
        <f aca="false">IFERROR(VLOOKUP(A108,'Pass 2'!$A:$S,MATCH("Category",'Pass 2'!$1:$1,0),FALSE()),"")</f>
        <v/>
      </c>
      <c r="C108" s="1" t="str">
        <f aca="false">IFERROR(VLOOKUP(A108,'Pass 1 Archive'!$A:$AD,MATCH("LinkedIn Employee Count",'Pass 1 Archive'!$1:$1,0),FALSE()),"")</f>
        <v/>
      </c>
      <c r="D108" s="1" t="str">
        <f aca="false">IFERROR(VLOOKUP(A108,'Pass 2'!$A:$S,MATCH("Jan 2025 Traffic",'Pass 2'!$1:$1,0),FALSE()),"")</f>
        <v/>
      </c>
      <c r="E108" s="1" t="str">
        <f aca="false">IFERROR(VLOOKUP(A108,'Pass 2'!$A:$S,MATCH("Jun 2026 Traffic",'Pass 2'!$1:$1,0),FALSE()),"")</f>
        <v/>
      </c>
      <c r="F108" s="1" t="str">
        <f aca="false">IFERROR(VLOOKUP(A108,'Pass 2'!$A:$S,MATCH("Traffic % Change",'Pass 2'!$1:$1,0),FALSE()),"")</f>
        <v/>
      </c>
      <c r="G108" s="1" t="str">
        <f aca="false">IFERROR(VLOOKUP(A108,'Pass 2'!$A:$S,MATCH("Jan 2025 Referring Domains",'Pass 2'!$1:$1,0),FALSE()),"")</f>
        <v/>
      </c>
      <c r="H108" s="1" t="str">
        <f aca="false">IFERROR(VLOOKUP(A108,'Pass 2'!$A:$S,MATCH("Jun 2026 Referring Domains",'Pass 2'!$1:$1,0),FALSE()),"")</f>
        <v/>
      </c>
    </row>
    <row r="109" customFormat="false" ht="15" hidden="false" customHeight="true" outlineLevel="0" collapsed="false">
      <c r="B109" s="1" t="str">
        <f aca="false">IFERROR(VLOOKUP(A109,'Pass 2'!$A:$S,MATCH("Category",'Pass 2'!$1:$1,0),FALSE()),"")</f>
        <v/>
      </c>
      <c r="C109" s="1" t="str">
        <f aca="false">IFERROR(VLOOKUP(A109,'Pass 1 Archive'!$A:$AD,MATCH("LinkedIn Employee Count",'Pass 1 Archive'!$1:$1,0),FALSE()),"")</f>
        <v/>
      </c>
      <c r="D109" s="1" t="str">
        <f aca="false">IFERROR(VLOOKUP(A109,'Pass 2'!$A:$S,MATCH("Jan 2025 Traffic",'Pass 2'!$1:$1,0),FALSE()),"")</f>
        <v/>
      </c>
      <c r="E109" s="1" t="str">
        <f aca="false">IFERROR(VLOOKUP(A109,'Pass 2'!$A:$S,MATCH("Jun 2026 Traffic",'Pass 2'!$1:$1,0),FALSE()),"")</f>
        <v/>
      </c>
      <c r="F109" s="1" t="str">
        <f aca="false">IFERROR(VLOOKUP(A109,'Pass 2'!$A:$S,MATCH("Traffic % Change",'Pass 2'!$1:$1,0),FALSE()),"")</f>
        <v/>
      </c>
      <c r="G109" s="1" t="str">
        <f aca="false">IFERROR(VLOOKUP(A109,'Pass 2'!$A:$S,MATCH("Jan 2025 Referring Domains",'Pass 2'!$1:$1,0),FALSE()),"")</f>
        <v/>
      </c>
      <c r="H109" s="1" t="str">
        <f aca="false">IFERROR(VLOOKUP(A109,'Pass 2'!$A:$S,MATCH("Jun 2026 Referring Domains",'Pass 2'!$1:$1,0),FALSE()),"")</f>
        <v/>
      </c>
    </row>
    <row r="110" customFormat="false" ht="15" hidden="false" customHeight="true" outlineLevel="0" collapsed="false">
      <c r="B110" s="1" t="str">
        <f aca="false">IFERROR(VLOOKUP(A110,'Pass 2'!$A:$S,MATCH("Category",'Pass 2'!$1:$1,0),FALSE()),"")</f>
        <v/>
      </c>
      <c r="C110" s="1" t="str">
        <f aca="false">IFERROR(VLOOKUP(A110,'Pass 1 Archive'!$A:$AD,MATCH("LinkedIn Employee Count",'Pass 1 Archive'!$1:$1,0),FALSE()),"")</f>
        <v/>
      </c>
      <c r="D110" s="1" t="str">
        <f aca="false">IFERROR(VLOOKUP(A110,'Pass 2'!$A:$S,MATCH("Jan 2025 Traffic",'Pass 2'!$1:$1,0),FALSE()),"")</f>
        <v/>
      </c>
      <c r="E110" s="1" t="str">
        <f aca="false">IFERROR(VLOOKUP(A110,'Pass 2'!$A:$S,MATCH("Jun 2026 Traffic",'Pass 2'!$1:$1,0),FALSE()),"")</f>
        <v/>
      </c>
      <c r="F110" s="1" t="str">
        <f aca="false">IFERROR(VLOOKUP(A110,'Pass 2'!$A:$S,MATCH("Traffic % Change",'Pass 2'!$1:$1,0),FALSE()),"")</f>
        <v/>
      </c>
      <c r="G110" s="1" t="str">
        <f aca="false">IFERROR(VLOOKUP(A110,'Pass 2'!$A:$S,MATCH("Jan 2025 Referring Domains",'Pass 2'!$1:$1,0),FALSE()),"")</f>
        <v/>
      </c>
      <c r="H110" s="1" t="str">
        <f aca="false">IFERROR(VLOOKUP(A110,'Pass 2'!$A:$S,MATCH("Jun 2026 Referring Domains",'Pass 2'!$1:$1,0),FALSE()),"")</f>
        <v/>
      </c>
    </row>
    <row r="111" customFormat="false" ht="15" hidden="false" customHeight="true" outlineLevel="0" collapsed="false">
      <c r="B111" s="1" t="str">
        <f aca="false">IFERROR(VLOOKUP(A111,'Pass 2'!$A:$S,MATCH("Category",'Pass 2'!$1:$1,0),FALSE()),"")</f>
        <v/>
      </c>
      <c r="C111" s="1" t="str">
        <f aca="false">IFERROR(VLOOKUP(A111,'Pass 1 Archive'!$A:$AD,MATCH("LinkedIn Employee Count",'Pass 1 Archive'!$1:$1,0),FALSE()),"")</f>
        <v/>
      </c>
      <c r="D111" s="1" t="str">
        <f aca="false">IFERROR(VLOOKUP(A111,'Pass 2'!$A:$S,MATCH("Jan 2025 Traffic",'Pass 2'!$1:$1,0),FALSE()),"")</f>
        <v/>
      </c>
      <c r="E111" s="1" t="str">
        <f aca="false">IFERROR(VLOOKUP(A111,'Pass 2'!$A:$S,MATCH("Jun 2026 Traffic",'Pass 2'!$1:$1,0),FALSE()),"")</f>
        <v/>
      </c>
      <c r="F111" s="1" t="str">
        <f aca="false">IFERROR(VLOOKUP(A111,'Pass 2'!$A:$S,MATCH("Traffic % Change",'Pass 2'!$1:$1,0),FALSE()),"")</f>
        <v/>
      </c>
      <c r="G111" s="1" t="str">
        <f aca="false">IFERROR(VLOOKUP(A111,'Pass 2'!$A:$S,MATCH("Jan 2025 Referring Domains",'Pass 2'!$1:$1,0),FALSE()),"")</f>
        <v/>
      </c>
      <c r="H111" s="1" t="str">
        <f aca="false">IFERROR(VLOOKUP(A111,'Pass 2'!$A:$S,MATCH("Jun 2026 Referring Domains",'Pass 2'!$1:$1,0),FALSE()),"")</f>
        <v/>
      </c>
    </row>
    <row r="112" customFormat="false" ht="15" hidden="false" customHeight="true" outlineLevel="0" collapsed="false">
      <c r="B112" s="1" t="str">
        <f aca="false">IFERROR(VLOOKUP(A112,'Pass 2'!$A:$S,MATCH("Category",'Pass 2'!$1:$1,0),FALSE()),"")</f>
        <v/>
      </c>
      <c r="C112" s="1" t="str">
        <f aca="false">IFERROR(VLOOKUP(A112,'Pass 1 Archive'!$A:$AD,MATCH("LinkedIn Employee Count",'Pass 1 Archive'!$1:$1,0),FALSE()),"")</f>
        <v/>
      </c>
      <c r="D112" s="1" t="str">
        <f aca="false">IFERROR(VLOOKUP(A112,'Pass 2'!$A:$S,MATCH("Jan 2025 Traffic",'Pass 2'!$1:$1,0),FALSE()),"")</f>
        <v/>
      </c>
      <c r="E112" s="1" t="str">
        <f aca="false">IFERROR(VLOOKUP(A112,'Pass 2'!$A:$S,MATCH("Jun 2026 Traffic",'Pass 2'!$1:$1,0),FALSE()),"")</f>
        <v/>
      </c>
      <c r="F112" s="1" t="str">
        <f aca="false">IFERROR(VLOOKUP(A112,'Pass 2'!$A:$S,MATCH("Traffic % Change",'Pass 2'!$1:$1,0),FALSE()),"")</f>
        <v/>
      </c>
      <c r="G112" s="1" t="str">
        <f aca="false">IFERROR(VLOOKUP(A112,'Pass 2'!$A:$S,MATCH("Jan 2025 Referring Domains",'Pass 2'!$1:$1,0),FALSE()),"")</f>
        <v/>
      </c>
      <c r="H112" s="1" t="str">
        <f aca="false">IFERROR(VLOOKUP(A112,'Pass 2'!$A:$S,MATCH("Jun 2026 Referring Domains",'Pass 2'!$1:$1,0),FALSE()),"")</f>
        <v/>
      </c>
    </row>
    <row r="113" customFormat="false" ht="15" hidden="false" customHeight="true" outlineLevel="0" collapsed="false">
      <c r="B113" s="1" t="str">
        <f aca="false">IFERROR(VLOOKUP(A113,'Pass 2'!$A:$S,MATCH("Category",'Pass 2'!$1:$1,0),FALSE()),"")</f>
        <v/>
      </c>
      <c r="C113" s="1" t="str">
        <f aca="false">IFERROR(VLOOKUP(A113,'Pass 1 Archive'!$A:$AD,MATCH("LinkedIn Employee Count",'Pass 1 Archive'!$1:$1,0),FALSE()),"")</f>
        <v/>
      </c>
      <c r="D113" s="1" t="str">
        <f aca="false">IFERROR(VLOOKUP(A113,'Pass 2'!$A:$S,MATCH("Jan 2025 Traffic",'Pass 2'!$1:$1,0),FALSE()),"")</f>
        <v/>
      </c>
      <c r="E113" s="1" t="str">
        <f aca="false">IFERROR(VLOOKUP(A113,'Pass 2'!$A:$S,MATCH("Jun 2026 Traffic",'Pass 2'!$1:$1,0),FALSE()),"")</f>
        <v/>
      </c>
      <c r="F113" s="1" t="str">
        <f aca="false">IFERROR(VLOOKUP(A113,'Pass 2'!$A:$S,MATCH("Traffic % Change",'Pass 2'!$1:$1,0),FALSE()),"")</f>
        <v/>
      </c>
      <c r="G113" s="1" t="str">
        <f aca="false">IFERROR(VLOOKUP(A113,'Pass 2'!$A:$S,MATCH("Jan 2025 Referring Domains",'Pass 2'!$1:$1,0),FALSE()),"")</f>
        <v/>
      </c>
      <c r="H113" s="1" t="str">
        <f aca="false">IFERROR(VLOOKUP(A113,'Pass 2'!$A:$S,MATCH("Jun 2026 Referring Domains",'Pass 2'!$1:$1,0),FALSE()),"")</f>
        <v/>
      </c>
    </row>
    <row r="114" customFormat="false" ht="15" hidden="false" customHeight="true" outlineLevel="0" collapsed="false">
      <c r="B114" s="1" t="str">
        <f aca="false">IFERROR(VLOOKUP(A114,'Pass 2'!$A:$S,MATCH("Category",'Pass 2'!$1:$1,0),FALSE()),"")</f>
        <v/>
      </c>
      <c r="C114" s="1" t="str">
        <f aca="false">IFERROR(VLOOKUP(A114,'Pass 1 Archive'!$A:$AD,MATCH("LinkedIn Employee Count",'Pass 1 Archive'!$1:$1,0),FALSE()),"")</f>
        <v/>
      </c>
      <c r="D114" s="1" t="str">
        <f aca="false">IFERROR(VLOOKUP(A114,'Pass 2'!$A:$S,MATCH("Jan 2025 Traffic",'Pass 2'!$1:$1,0),FALSE()),"")</f>
        <v/>
      </c>
      <c r="E114" s="1" t="str">
        <f aca="false">IFERROR(VLOOKUP(A114,'Pass 2'!$A:$S,MATCH("Jun 2026 Traffic",'Pass 2'!$1:$1,0),FALSE()),"")</f>
        <v/>
      </c>
      <c r="F114" s="1" t="str">
        <f aca="false">IFERROR(VLOOKUP(A114,'Pass 2'!$A:$S,MATCH("Traffic % Change",'Pass 2'!$1:$1,0),FALSE()),"")</f>
        <v/>
      </c>
      <c r="G114" s="1" t="str">
        <f aca="false">IFERROR(VLOOKUP(A114,'Pass 2'!$A:$S,MATCH("Jan 2025 Referring Domains",'Pass 2'!$1:$1,0),FALSE()),"")</f>
        <v/>
      </c>
      <c r="H114" s="1" t="str">
        <f aca="false">IFERROR(VLOOKUP(A114,'Pass 2'!$A:$S,MATCH("Jun 2026 Referring Domains",'Pass 2'!$1:$1,0),FALSE()),"")</f>
        <v/>
      </c>
    </row>
    <row r="115" customFormat="false" ht="15" hidden="false" customHeight="true" outlineLevel="0" collapsed="false">
      <c r="B115" s="1" t="str">
        <f aca="false">IFERROR(VLOOKUP(A115,'Pass 2'!$A:$S,MATCH("Category",'Pass 2'!$1:$1,0),FALSE()),"")</f>
        <v/>
      </c>
      <c r="C115" s="1" t="str">
        <f aca="false">IFERROR(VLOOKUP(A115,'Pass 1 Archive'!$A:$AD,MATCH("LinkedIn Employee Count",'Pass 1 Archive'!$1:$1,0),FALSE()),"")</f>
        <v/>
      </c>
      <c r="D115" s="1" t="str">
        <f aca="false">IFERROR(VLOOKUP(A115,'Pass 2'!$A:$S,MATCH("Jan 2025 Traffic",'Pass 2'!$1:$1,0),FALSE()),"")</f>
        <v/>
      </c>
      <c r="E115" s="1" t="str">
        <f aca="false">IFERROR(VLOOKUP(A115,'Pass 2'!$A:$S,MATCH("Jun 2026 Traffic",'Pass 2'!$1:$1,0),FALSE()),"")</f>
        <v/>
      </c>
      <c r="F115" s="1" t="str">
        <f aca="false">IFERROR(VLOOKUP(A115,'Pass 2'!$A:$S,MATCH("Traffic % Change",'Pass 2'!$1:$1,0),FALSE()),"")</f>
        <v/>
      </c>
      <c r="G115" s="1" t="str">
        <f aca="false">IFERROR(VLOOKUP(A115,'Pass 2'!$A:$S,MATCH("Jan 2025 Referring Domains",'Pass 2'!$1:$1,0),FALSE()),"")</f>
        <v/>
      </c>
      <c r="H115" s="1" t="str">
        <f aca="false">IFERROR(VLOOKUP(A115,'Pass 2'!$A:$S,MATCH("Jun 2026 Referring Domains",'Pass 2'!$1:$1,0),FALSE()),"")</f>
        <v/>
      </c>
    </row>
    <row r="116" customFormat="false" ht="15" hidden="false" customHeight="true" outlineLevel="0" collapsed="false">
      <c r="B116" s="1" t="str">
        <f aca="false">IFERROR(VLOOKUP(A116,'Pass 2'!$A:$S,MATCH("Category",'Pass 2'!$1:$1,0),FALSE()),"")</f>
        <v/>
      </c>
      <c r="C116" s="1" t="str">
        <f aca="false">IFERROR(VLOOKUP(A116,'Pass 1 Archive'!$A:$AD,MATCH("LinkedIn Employee Count",'Pass 1 Archive'!$1:$1,0),FALSE()),"")</f>
        <v/>
      </c>
      <c r="D116" s="1" t="str">
        <f aca="false">IFERROR(VLOOKUP(A116,'Pass 2'!$A:$S,MATCH("Jan 2025 Traffic",'Pass 2'!$1:$1,0),FALSE()),"")</f>
        <v/>
      </c>
      <c r="E116" s="1" t="str">
        <f aca="false">IFERROR(VLOOKUP(A116,'Pass 2'!$A:$S,MATCH("Jun 2026 Traffic",'Pass 2'!$1:$1,0),FALSE()),"")</f>
        <v/>
      </c>
      <c r="F116" s="1" t="str">
        <f aca="false">IFERROR(VLOOKUP(A116,'Pass 2'!$A:$S,MATCH("Traffic % Change",'Pass 2'!$1:$1,0),FALSE()),"")</f>
        <v/>
      </c>
      <c r="G116" s="1" t="str">
        <f aca="false">IFERROR(VLOOKUP(A116,'Pass 2'!$A:$S,MATCH("Jan 2025 Referring Domains",'Pass 2'!$1:$1,0),FALSE()),"")</f>
        <v/>
      </c>
      <c r="H116" s="1" t="str">
        <f aca="false">IFERROR(VLOOKUP(A116,'Pass 2'!$A:$S,MATCH("Jun 2026 Referring Domains",'Pass 2'!$1:$1,0),FALSE()),"")</f>
        <v/>
      </c>
    </row>
    <row r="117" customFormat="false" ht="15" hidden="false" customHeight="true" outlineLevel="0" collapsed="false">
      <c r="B117" s="1" t="str">
        <f aca="false">IFERROR(VLOOKUP(A117,'Pass 2'!$A:$S,MATCH("Category",'Pass 2'!$1:$1,0),FALSE()),"")</f>
        <v/>
      </c>
      <c r="C117" s="1" t="str">
        <f aca="false">IFERROR(VLOOKUP(A117,'Pass 1 Archive'!$A:$AD,MATCH("LinkedIn Employee Count",'Pass 1 Archive'!$1:$1,0),FALSE()),"")</f>
        <v/>
      </c>
      <c r="D117" s="1" t="str">
        <f aca="false">IFERROR(VLOOKUP(A117,'Pass 2'!$A:$S,MATCH("Jan 2025 Traffic",'Pass 2'!$1:$1,0),FALSE()),"")</f>
        <v/>
      </c>
      <c r="E117" s="1" t="str">
        <f aca="false">IFERROR(VLOOKUP(A117,'Pass 2'!$A:$S,MATCH("Jun 2026 Traffic",'Pass 2'!$1:$1,0),FALSE()),"")</f>
        <v/>
      </c>
      <c r="F117" s="1" t="str">
        <f aca="false">IFERROR(VLOOKUP(A117,'Pass 2'!$A:$S,MATCH("Traffic % Change",'Pass 2'!$1:$1,0),FALSE()),"")</f>
        <v/>
      </c>
      <c r="G117" s="1" t="str">
        <f aca="false">IFERROR(VLOOKUP(A117,'Pass 2'!$A:$S,MATCH("Jan 2025 Referring Domains",'Pass 2'!$1:$1,0),FALSE()),"")</f>
        <v/>
      </c>
      <c r="H117" s="1" t="str">
        <f aca="false">IFERROR(VLOOKUP(A117,'Pass 2'!$A:$S,MATCH("Jun 2026 Referring Domains",'Pass 2'!$1:$1,0),FALSE()),"")</f>
        <v/>
      </c>
    </row>
    <row r="118" customFormat="false" ht="15" hidden="false" customHeight="true" outlineLevel="0" collapsed="false">
      <c r="B118" s="1" t="str">
        <f aca="false">IFERROR(VLOOKUP(A118,'Pass 2'!$A:$S,MATCH("Category",'Pass 2'!$1:$1,0),FALSE()),"")</f>
        <v/>
      </c>
      <c r="C118" s="1" t="str">
        <f aca="false">IFERROR(VLOOKUP(A118,'Pass 1 Archive'!$A:$AD,MATCH("LinkedIn Employee Count",'Pass 1 Archive'!$1:$1,0),FALSE()),"")</f>
        <v/>
      </c>
      <c r="D118" s="1" t="str">
        <f aca="false">IFERROR(VLOOKUP(A118,'Pass 2'!$A:$S,MATCH("Jan 2025 Traffic",'Pass 2'!$1:$1,0),FALSE()),"")</f>
        <v/>
      </c>
      <c r="E118" s="1" t="str">
        <f aca="false">IFERROR(VLOOKUP(A118,'Pass 2'!$A:$S,MATCH("Jun 2026 Traffic",'Pass 2'!$1:$1,0),FALSE()),"")</f>
        <v/>
      </c>
      <c r="F118" s="1" t="str">
        <f aca="false">IFERROR(VLOOKUP(A118,'Pass 2'!$A:$S,MATCH("Traffic % Change",'Pass 2'!$1:$1,0),FALSE()),"")</f>
        <v/>
      </c>
      <c r="G118" s="1" t="str">
        <f aca="false">IFERROR(VLOOKUP(A118,'Pass 2'!$A:$S,MATCH("Jan 2025 Referring Domains",'Pass 2'!$1:$1,0),FALSE()),"")</f>
        <v/>
      </c>
      <c r="H118" s="1" t="str">
        <f aca="false">IFERROR(VLOOKUP(A118,'Pass 2'!$A:$S,MATCH("Jun 2026 Referring Domains",'Pass 2'!$1:$1,0),FALSE()),"")</f>
        <v/>
      </c>
    </row>
    <row r="119" customFormat="false" ht="15" hidden="false" customHeight="true" outlineLevel="0" collapsed="false">
      <c r="B119" s="1" t="str">
        <f aca="false">IFERROR(VLOOKUP(A119,'Pass 2'!$A:$S,MATCH("Category",'Pass 2'!$1:$1,0),FALSE()),"")</f>
        <v/>
      </c>
      <c r="C119" s="1" t="str">
        <f aca="false">IFERROR(VLOOKUP(A119,'Pass 1 Archive'!$A:$AD,MATCH("LinkedIn Employee Count",'Pass 1 Archive'!$1:$1,0),FALSE()),"")</f>
        <v/>
      </c>
      <c r="D119" s="1" t="str">
        <f aca="false">IFERROR(VLOOKUP(A119,'Pass 2'!$A:$S,MATCH("Jan 2025 Traffic",'Pass 2'!$1:$1,0),FALSE()),"")</f>
        <v/>
      </c>
      <c r="E119" s="1" t="str">
        <f aca="false">IFERROR(VLOOKUP(A119,'Pass 2'!$A:$S,MATCH("Jun 2026 Traffic",'Pass 2'!$1:$1,0),FALSE()),"")</f>
        <v/>
      </c>
      <c r="F119" s="1" t="str">
        <f aca="false">IFERROR(VLOOKUP(A119,'Pass 2'!$A:$S,MATCH("Traffic % Change",'Pass 2'!$1:$1,0),FALSE()),"")</f>
        <v/>
      </c>
      <c r="G119" s="1" t="str">
        <f aca="false">IFERROR(VLOOKUP(A119,'Pass 2'!$A:$S,MATCH("Jan 2025 Referring Domains",'Pass 2'!$1:$1,0),FALSE()),"")</f>
        <v/>
      </c>
      <c r="H119" s="1" t="str">
        <f aca="false">IFERROR(VLOOKUP(A119,'Pass 2'!$A:$S,MATCH("Jun 2026 Referring Domains",'Pass 2'!$1:$1,0),FALSE()),"")</f>
        <v/>
      </c>
    </row>
    <row r="120" customFormat="false" ht="15" hidden="false" customHeight="true" outlineLevel="0" collapsed="false">
      <c r="B120" s="1" t="str">
        <f aca="false">IFERROR(VLOOKUP(A120,'Pass 2'!$A:$S,MATCH("Category",'Pass 2'!$1:$1,0),FALSE()),"")</f>
        <v/>
      </c>
      <c r="C120" s="1" t="str">
        <f aca="false">IFERROR(VLOOKUP(A120,'Pass 1 Archive'!$A:$AD,MATCH("LinkedIn Employee Count",'Pass 1 Archive'!$1:$1,0),FALSE()),"")</f>
        <v/>
      </c>
      <c r="D120" s="1" t="str">
        <f aca="false">IFERROR(VLOOKUP(A120,'Pass 2'!$A:$S,MATCH("Jan 2025 Traffic",'Pass 2'!$1:$1,0),FALSE()),"")</f>
        <v/>
      </c>
      <c r="E120" s="1" t="str">
        <f aca="false">IFERROR(VLOOKUP(A120,'Pass 2'!$A:$S,MATCH("Jun 2026 Traffic",'Pass 2'!$1:$1,0),FALSE()),"")</f>
        <v/>
      </c>
      <c r="F120" s="1" t="str">
        <f aca="false">IFERROR(VLOOKUP(A120,'Pass 2'!$A:$S,MATCH("Traffic % Change",'Pass 2'!$1:$1,0),FALSE()),"")</f>
        <v/>
      </c>
      <c r="G120" s="1" t="str">
        <f aca="false">IFERROR(VLOOKUP(A120,'Pass 2'!$A:$S,MATCH("Jan 2025 Referring Domains",'Pass 2'!$1:$1,0),FALSE()),"")</f>
        <v/>
      </c>
      <c r="H120" s="1" t="str">
        <f aca="false">IFERROR(VLOOKUP(A120,'Pass 2'!$A:$S,MATCH("Jun 2026 Referring Domains",'Pass 2'!$1:$1,0),FALSE()),"")</f>
        <v/>
      </c>
    </row>
    <row r="121" customFormat="false" ht="15" hidden="false" customHeight="true" outlineLevel="0" collapsed="false">
      <c r="B121" s="1" t="str">
        <f aca="false">IFERROR(VLOOKUP(A121,'Pass 2'!$A:$S,MATCH("Category",'Pass 2'!$1:$1,0),FALSE()),"")</f>
        <v/>
      </c>
      <c r="C121" s="1" t="str">
        <f aca="false">IFERROR(VLOOKUP(A121,'Pass 1 Archive'!$A:$AD,MATCH("LinkedIn Employee Count",'Pass 1 Archive'!$1:$1,0),FALSE()),"")</f>
        <v/>
      </c>
      <c r="D121" s="1" t="str">
        <f aca="false">IFERROR(VLOOKUP(A121,'Pass 2'!$A:$S,MATCH("Jan 2025 Traffic",'Pass 2'!$1:$1,0),FALSE()),"")</f>
        <v/>
      </c>
      <c r="E121" s="1" t="str">
        <f aca="false">IFERROR(VLOOKUP(A121,'Pass 2'!$A:$S,MATCH("Jun 2026 Traffic",'Pass 2'!$1:$1,0),FALSE()),"")</f>
        <v/>
      </c>
      <c r="F121" s="1" t="str">
        <f aca="false">IFERROR(VLOOKUP(A121,'Pass 2'!$A:$S,MATCH("Traffic % Change",'Pass 2'!$1:$1,0),FALSE()),"")</f>
        <v/>
      </c>
      <c r="G121" s="1" t="str">
        <f aca="false">IFERROR(VLOOKUP(A121,'Pass 2'!$A:$S,MATCH("Jan 2025 Referring Domains",'Pass 2'!$1:$1,0),FALSE()),"")</f>
        <v/>
      </c>
      <c r="H121" s="1" t="str">
        <f aca="false">IFERROR(VLOOKUP(A121,'Pass 2'!$A:$S,MATCH("Jun 2026 Referring Domains",'Pass 2'!$1:$1,0),FALSE()),"")</f>
        <v/>
      </c>
    </row>
    <row r="122" customFormat="false" ht="15" hidden="false" customHeight="true" outlineLevel="0" collapsed="false">
      <c r="B122" s="1" t="str">
        <f aca="false">IFERROR(VLOOKUP(A122,'Pass 2'!$A:$S,MATCH("Category",'Pass 2'!$1:$1,0),FALSE()),"")</f>
        <v/>
      </c>
      <c r="C122" s="1" t="str">
        <f aca="false">IFERROR(VLOOKUP(A122,'Pass 1 Archive'!$A:$AD,MATCH("LinkedIn Employee Count",'Pass 1 Archive'!$1:$1,0),FALSE()),"")</f>
        <v/>
      </c>
      <c r="D122" s="1" t="str">
        <f aca="false">IFERROR(VLOOKUP(A122,'Pass 2'!$A:$S,MATCH("Jan 2025 Traffic",'Pass 2'!$1:$1,0),FALSE()),"")</f>
        <v/>
      </c>
      <c r="E122" s="1" t="str">
        <f aca="false">IFERROR(VLOOKUP(A122,'Pass 2'!$A:$S,MATCH("Jun 2026 Traffic",'Pass 2'!$1:$1,0),FALSE()),"")</f>
        <v/>
      </c>
      <c r="F122" s="1" t="str">
        <f aca="false">IFERROR(VLOOKUP(A122,'Pass 2'!$A:$S,MATCH("Traffic % Change",'Pass 2'!$1:$1,0),FALSE()),"")</f>
        <v/>
      </c>
      <c r="G122" s="1" t="str">
        <f aca="false">IFERROR(VLOOKUP(A122,'Pass 2'!$A:$S,MATCH("Jan 2025 Referring Domains",'Pass 2'!$1:$1,0),FALSE()),"")</f>
        <v/>
      </c>
      <c r="H122" s="1" t="str">
        <f aca="false">IFERROR(VLOOKUP(A122,'Pass 2'!$A:$S,MATCH("Jun 2026 Referring Domains",'Pass 2'!$1:$1,0),FALSE()),"")</f>
        <v/>
      </c>
    </row>
    <row r="123" customFormat="false" ht="15" hidden="false" customHeight="true" outlineLevel="0" collapsed="false">
      <c r="B123" s="1" t="str">
        <f aca="false">IFERROR(VLOOKUP(A123,'Pass 2'!$A:$S,MATCH("Category",'Pass 2'!$1:$1,0),FALSE()),"")</f>
        <v/>
      </c>
      <c r="C123" s="1" t="str">
        <f aca="false">IFERROR(VLOOKUP(A123,'Pass 1 Archive'!$A:$AD,MATCH("LinkedIn Employee Count",'Pass 1 Archive'!$1:$1,0),FALSE()),"")</f>
        <v/>
      </c>
      <c r="D123" s="1" t="str">
        <f aca="false">IFERROR(VLOOKUP(A123,'Pass 2'!$A:$S,MATCH("Jan 2025 Traffic",'Pass 2'!$1:$1,0),FALSE()),"")</f>
        <v/>
      </c>
      <c r="E123" s="1" t="str">
        <f aca="false">IFERROR(VLOOKUP(A123,'Pass 2'!$A:$S,MATCH("Jun 2026 Traffic",'Pass 2'!$1:$1,0),FALSE()),"")</f>
        <v/>
      </c>
      <c r="F123" s="1" t="str">
        <f aca="false">IFERROR(VLOOKUP(A123,'Pass 2'!$A:$S,MATCH("Traffic % Change",'Pass 2'!$1:$1,0),FALSE()),"")</f>
        <v/>
      </c>
      <c r="G123" s="1" t="str">
        <f aca="false">IFERROR(VLOOKUP(A123,'Pass 2'!$A:$S,MATCH("Jan 2025 Referring Domains",'Pass 2'!$1:$1,0),FALSE()),"")</f>
        <v/>
      </c>
      <c r="H123" s="1" t="str">
        <f aca="false">IFERROR(VLOOKUP(A123,'Pass 2'!$A:$S,MATCH("Jun 2026 Referring Domains",'Pass 2'!$1:$1,0),FALSE()),"")</f>
        <v/>
      </c>
    </row>
    <row r="124" customFormat="false" ht="15" hidden="false" customHeight="true" outlineLevel="0" collapsed="false">
      <c r="B124" s="1" t="str">
        <f aca="false">IFERROR(VLOOKUP(A124,'Pass 2'!$A:$S,MATCH("Category",'Pass 2'!$1:$1,0),FALSE()),"")</f>
        <v/>
      </c>
      <c r="C124" s="1" t="str">
        <f aca="false">IFERROR(VLOOKUP(A124,'Pass 1 Archive'!$A:$AD,MATCH("LinkedIn Employee Count",'Pass 1 Archive'!$1:$1,0),FALSE()),"")</f>
        <v/>
      </c>
      <c r="D124" s="1" t="str">
        <f aca="false">IFERROR(VLOOKUP(A124,'Pass 2'!$A:$S,MATCH("Jan 2025 Traffic",'Pass 2'!$1:$1,0),FALSE()),"")</f>
        <v/>
      </c>
      <c r="E124" s="1" t="str">
        <f aca="false">IFERROR(VLOOKUP(A124,'Pass 2'!$A:$S,MATCH("Jun 2026 Traffic",'Pass 2'!$1:$1,0),FALSE()),"")</f>
        <v/>
      </c>
      <c r="F124" s="1" t="str">
        <f aca="false">IFERROR(VLOOKUP(A124,'Pass 2'!$A:$S,MATCH("Traffic % Change",'Pass 2'!$1:$1,0),FALSE()),"")</f>
        <v/>
      </c>
      <c r="G124" s="1" t="str">
        <f aca="false">IFERROR(VLOOKUP(A124,'Pass 2'!$A:$S,MATCH("Jan 2025 Referring Domains",'Pass 2'!$1:$1,0),FALSE()),"")</f>
        <v/>
      </c>
      <c r="H124" s="1" t="str">
        <f aca="false">IFERROR(VLOOKUP(A124,'Pass 2'!$A:$S,MATCH("Jun 2026 Referring Domains",'Pass 2'!$1:$1,0),FALSE()),"")</f>
        <v/>
      </c>
    </row>
    <row r="125" customFormat="false" ht="15" hidden="false" customHeight="true" outlineLevel="0" collapsed="false">
      <c r="B125" s="1" t="str">
        <f aca="false">IFERROR(VLOOKUP(A125,'Pass 2'!$A:$S,MATCH("Category",'Pass 2'!$1:$1,0),FALSE()),"")</f>
        <v/>
      </c>
      <c r="C125" s="1" t="str">
        <f aca="false">IFERROR(VLOOKUP(A125,'Pass 1 Archive'!$A:$AD,MATCH("LinkedIn Employee Count",'Pass 1 Archive'!$1:$1,0),FALSE()),"")</f>
        <v/>
      </c>
      <c r="D125" s="1" t="str">
        <f aca="false">IFERROR(VLOOKUP(A125,'Pass 2'!$A:$S,MATCH("Jan 2025 Traffic",'Pass 2'!$1:$1,0),FALSE()),"")</f>
        <v/>
      </c>
      <c r="E125" s="1" t="str">
        <f aca="false">IFERROR(VLOOKUP(A125,'Pass 2'!$A:$S,MATCH("Jun 2026 Traffic",'Pass 2'!$1:$1,0),FALSE()),"")</f>
        <v/>
      </c>
      <c r="F125" s="1" t="str">
        <f aca="false">IFERROR(VLOOKUP(A125,'Pass 2'!$A:$S,MATCH("Traffic % Change",'Pass 2'!$1:$1,0),FALSE()),"")</f>
        <v/>
      </c>
      <c r="G125" s="1" t="str">
        <f aca="false">IFERROR(VLOOKUP(A125,'Pass 2'!$A:$S,MATCH("Jan 2025 Referring Domains",'Pass 2'!$1:$1,0),FALSE()),"")</f>
        <v/>
      </c>
      <c r="H125" s="1" t="str">
        <f aca="false">IFERROR(VLOOKUP(A125,'Pass 2'!$A:$S,MATCH("Jun 2026 Referring Domains",'Pass 2'!$1:$1,0),FALSE()),"")</f>
        <v/>
      </c>
    </row>
    <row r="126" customFormat="false" ht="15" hidden="false" customHeight="true" outlineLevel="0" collapsed="false">
      <c r="B126" s="1" t="str">
        <f aca="false">IFERROR(VLOOKUP(A126,'Pass 2'!$A:$S,MATCH("Category",'Pass 2'!$1:$1,0),FALSE()),"")</f>
        <v/>
      </c>
      <c r="C126" s="1" t="str">
        <f aca="false">IFERROR(VLOOKUP(A126,'Pass 1 Archive'!$A:$AD,MATCH("LinkedIn Employee Count",'Pass 1 Archive'!$1:$1,0),FALSE()),"")</f>
        <v/>
      </c>
      <c r="D126" s="1" t="str">
        <f aca="false">IFERROR(VLOOKUP(A126,'Pass 2'!$A:$S,MATCH("Jan 2025 Traffic",'Pass 2'!$1:$1,0),FALSE()),"")</f>
        <v/>
      </c>
      <c r="E126" s="1" t="str">
        <f aca="false">IFERROR(VLOOKUP(A126,'Pass 2'!$A:$S,MATCH("Jun 2026 Traffic",'Pass 2'!$1:$1,0),FALSE()),"")</f>
        <v/>
      </c>
      <c r="F126" s="1" t="str">
        <f aca="false">IFERROR(VLOOKUP(A126,'Pass 2'!$A:$S,MATCH("Traffic % Change",'Pass 2'!$1:$1,0),FALSE()),"")</f>
        <v/>
      </c>
      <c r="G126" s="1" t="str">
        <f aca="false">IFERROR(VLOOKUP(A126,'Pass 2'!$A:$S,MATCH("Jan 2025 Referring Domains",'Pass 2'!$1:$1,0),FALSE()),"")</f>
        <v/>
      </c>
      <c r="H126" s="1" t="str">
        <f aca="false">IFERROR(VLOOKUP(A126,'Pass 2'!$A:$S,MATCH("Jun 2026 Referring Domains",'Pass 2'!$1:$1,0),FALSE()),"")</f>
        <v/>
      </c>
    </row>
    <row r="127" customFormat="false" ht="15" hidden="false" customHeight="true" outlineLevel="0" collapsed="false">
      <c r="B127" s="1" t="str">
        <f aca="false">IFERROR(VLOOKUP(A127,'Pass 2'!$A:$S,MATCH("Category",'Pass 2'!$1:$1,0),FALSE()),"")</f>
        <v/>
      </c>
      <c r="C127" s="1" t="str">
        <f aca="false">IFERROR(VLOOKUP(A127,'Pass 1 Archive'!$A:$AD,MATCH("LinkedIn Employee Count",'Pass 1 Archive'!$1:$1,0),FALSE()),"")</f>
        <v/>
      </c>
      <c r="D127" s="1" t="str">
        <f aca="false">IFERROR(VLOOKUP(A127,'Pass 2'!$A:$S,MATCH("Jan 2025 Traffic",'Pass 2'!$1:$1,0),FALSE()),"")</f>
        <v/>
      </c>
      <c r="E127" s="1" t="str">
        <f aca="false">IFERROR(VLOOKUP(A127,'Pass 2'!$A:$S,MATCH("Jun 2026 Traffic",'Pass 2'!$1:$1,0),FALSE()),"")</f>
        <v/>
      </c>
      <c r="F127" s="1" t="str">
        <f aca="false">IFERROR(VLOOKUP(A127,'Pass 2'!$A:$S,MATCH("Traffic % Change",'Pass 2'!$1:$1,0),FALSE()),"")</f>
        <v/>
      </c>
      <c r="G127" s="1" t="str">
        <f aca="false">IFERROR(VLOOKUP(A127,'Pass 2'!$A:$S,MATCH("Jan 2025 Referring Domains",'Pass 2'!$1:$1,0),FALSE()),"")</f>
        <v/>
      </c>
      <c r="H127" s="1" t="str">
        <f aca="false">IFERROR(VLOOKUP(A127,'Pass 2'!$A:$S,MATCH("Jun 2026 Referring Domains",'Pass 2'!$1:$1,0),FALSE()),"")</f>
        <v/>
      </c>
    </row>
    <row r="128" customFormat="false" ht="15" hidden="false" customHeight="true" outlineLevel="0" collapsed="false">
      <c r="B128" s="1" t="str">
        <f aca="false">IFERROR(VLOOKUP(A128,'Pass 2'!$A:$S,MATCH("Category",'Pass 2'!$1:$1,0),FALSE()),"")</f>
        <v/>
      </c>
      <c r="C128" s="1" t="str">
        <f aca="false">IFERROR(VLOOKUP(A128,'Pass 1 Archive'!$A:$AD,MATCH("LinkedIn Employee Count",'Pass 1 Archive'!$1:$1,0),FALSE()),"")</f>
        <v/>
      </c>
      <c r="D128" s="1" t="str">
        <f aca="false">IFERROR(VLOOKUP(A128,'Pass 2'!$A:$S,MATCH("Jan 2025 Traffic",'Pass 2'!$1:$1,0),FALSE()),"")</f>
        <v/>
      </c>
      <c r="E128" s="1" t="str">
        <f aca="false">IFERROR(VLOOKUP(A128,'Pass 2'!$A:$S,MATCH("Jun 2026 Traffic",'Pass 2'!$1:$1,0),FALSE()),"")</f>
        <v/>
      </c>
      <c r="F128" s="1" t="str">
        <f aca="false">IFERROR(VLOOKUP(A128,'Pass 2'!$A:$S,MATCH("Traffic % Change",'Pass 2'!$1:$1,0),FALSE()),"")</f>
        <v/>
      </c>
      <c r="G128" s="1" t="str">
        <f aca="false">IFERROR(VLOOKUP(A128,'Pass 2'!$A:$S,MATCH("Jan 2025 Referring Domains",'Pass 2'!$1:$1,0),FALSE()),"")</f>
        <v/>
      </c>
      <c r="H128" s="1" t="str">
        <f aca="false">IFERROR(VLOOKUP(A128,'Pass 2'!$A:$S,MATCH("Jun 2026 Referring Domains",'Pass 2'!$1:$1,0),FALSE()),"")</f>
        <v/>
      </c>
    </row>
    <row r="129" customFormat="false" ht="15" hidden="false" customHeight="true" outlineLevel="0" collapsed="false">
      <c r="B129" s="1" t="str">
        <f aca="false">IFERROR(VLOOKUP(A129,'Pass 2'!$A:$S,MATCH("Category",'Pass 2'!$1:$1,0),FALSE()),"")</f>
        <v/>
      </c>
      <c r="C129" s="1" t="str">
        <f aca="false">IFERROR(VLOOKUP(A129,'Pass 1 Archive'!$A:$AD,MATCH("LinkedIn Employee Count",'Pass 1 Archive'!$1:$1,0),FALSE()),"")</f>
        <v/>
      </c>
      <c r="D129" s="1" t="str">
        <f aca="false">IFERROR(VLOOKUP(A129,'Pass 2'!$A:$S,MATCH("Jan 2025 Traffic",'Pass 2'!$1:$1,0),FALSE()),"")</f>
        <v/>
      </c>
      <c r="E129" s="1" t="str">
        <f aca="false">IFERROR(VLOOKUP(A129,'Pass 2'!$A:$S,MATCH("Jun 2026 Traffic",'Pass 2'!$1:$1,0),FALSE()),"")</f>
        <v/>
      </c>
      <c r="F129" s="1" t="str">
        <f aca="false">IFERROR(VLOOKUP(A129,'Pass 2'!$A:$S,MATCH("Traffic % Change",'Pass 2'!$1:$1,0),FALSE()),"")</f>
        <v/>
      </c>
      <c r="G129" s="1" t="str">
        <f aca="false">IFERROR(VLOOKUP(A129,'Pass 2'!$A:$S,MATCH("Jan 2025 Referring Domains",'Pass 2'!$1:$1,0),FALSE()),"")</f>
        <v/>
      </c>
      <c r="H129" s="1" t="str">
        <f aca="false">IFERROR(VLOOKUP(A129,'Pass 2'!$A:$S,MATCH("Jun 2026 Referring Domains",'Pass 2'!$1:$1,0),FALSE()),"")</f>
        <v/>
      </c>
    </row>
    <row r="130" customFormat="false" ht="15" hidden="false" customHeight="true" outlineLevel="0" collapsed="false">
      <c r="B130" s="1" t="str">
        <f aca="false">IFERROR(VLOOKUP(A130,'Pass 2'!$A:$S,MATCH("Category",'Pass 2'!$1:$1,0),FALSE()),"")</f>
        <v/>
      </c>
      <c r="C130" s="1" t="str">
        <f aca="false">IFERROR(VLOOKUP(A130,'Pass 1 Archive'!$A:$AD,MATCH("LinkedIn Employee Count",'Pass 1 Archive'!$1:$1,0),FALSE()),"")</f>
        <v/>
      </c>
      <c r="D130" s="1" t="str">
        <f aca="false">IFERROR(VLOOKUP(A130,'Pass 2'!$A:$S,MATCH("Jan 2025 Traffic",'Pass 2'!$1:$1,0),FALSE()),"")</f>
        <v/>
      </c>
      <c r="E130" s="1" t="str">
        <f aca="false">IFERROR(VLOOKUP(A130,'Pass 2'!$A:$S,MATCH("Jun 2026 Traffic",'Pass 2'!$1:$1,0),FALSE()),"")</f>
        <v/>
      </c>
      <c r="F130" s="1" t="str">
        <f aca="false">IFERROR(VLOOKUP(A130,'Pass 2'!$A:$S,MATCH("Traffic % Change",'Pass 2'!$1:$1,0),FALSE()),"")</f>
        <v/>
      </c>
      <c r="G130" s="1" t="str">
        <f aca="false">IFERROR(VLOOKUP(A130,'Pass 2'!$A:$S,MATCH("Jan 2025 Referring Domains",'Pass 2'!$1:$1,0),FALSE()),"")</f>
        <v/>
      </c>
      <c r="H130" s="1" t="str">
        <f aca="false">IFERROR(VLOOKUP(A130,'Pass 2'!$A:$S,MATCH("Jun 2026 Referring Domains",'Pass 2'!$1:$1,0),FALSE()),"")</f>
        <v/>
      </c>
    </row>
    <row r="131" customFormat="false" ht="15" hidden="false" customHeight="true" outlineLevel="0" collapsed="false">
      <c r="B131" s="1" t="str">
        <f aca="false">IFERROR(VLOOKUP(A131,'Pass 2'!$A:$S,MATCH("Category",'Pass 2'!$1:$1,0),FALSE()),"")</f>
        <v/>
      </c>
      <c r="C131" s="1" t="str">
        <f aca="false">IFERROR(VLOOKUP(A131,'Pass 1 Archive'!$A:$AD,MATCH("LinkedIn Employee Count",'Pass 1 Archive'!$1:$1,0),FALSE()),"")</f>
        <v/>
      </c>
      <c r="D131" s="1" t="str">
        <f aca="false">IFERROR(VLOOKUP(A131,'Pass 2'!$A:$S,MATCH("Jan 2025 Traffic",'Pass 2'!$1:$1,0),FALSE()),"")</f>
        <v/>
      </c>
      <c r="E131" s="1" t="str">
        <f aca="false">IFERROR(VLOOKUP(A131,'Pass 2'!$A:$S,MATCH("Jun 2026 Traffic",'Pass 2'!$1:$1,0),FALSE()),"")</f>
        <v/>
      </c>
      <c r="F131" s="1" t="str">
        <f aca="false">IFERROR(VLOOKUP(A131,'Pass 2'!$A:$S,MATCH("Traffic % Change",'Pass 2'!$1:$1,0),FALSE()),"")</f>
        <v/>
      </c>
      <c r="G131" s="1" t="str">
        <f aca="false">IFERROR(VLOOKUP(A131,'Pass 2'!$A:$S,MATCH("Jan 2025 Referring Domains",'Pass 2'!$1:$1,0),FALSE()),"")</f>
        <v/>
      </c>
      <c r="H131" s="1" t="str">
        <f aca="false">IFERROR(VLOOKUP(A131,'Pass 2'!$A:$S,MATCH("Jun 2026 Referring Domains",'Pass 2'!$1:$1,0),FALSE()),"")</f>
        <v/>
      </c>
    </row>
    <row r="132" customFormat="false" ht="15" hidden="false" customHeight="true" outlineLevel="0" collapsed="false">
      <c r="B132" s="1" t="str">
        <f aca="false">IFERROR(VLOOKUP(A132,'Pass 2'!$A:$S,MATCH("Category",'Pass 2'!$1:$1,0),FALSE()),"")</f>
        <v/>
      </c>
      <c r="C132" s="1" t="str">
        <f aca="false">IFERROR(VLOOKUP(A132,'Pass 1 Archive'!$A:$AD,MATCH("LinkedIn Employee Count",'Pass 1 Archive'!$1:$1,0),FALSE()),"")</f>
        <v/>
      </c>
      <c r="D132" s="1" t="str">
        <f aca="false">IFERROR(VLOOKUP(A132,'Pass 2'!$A:$S,MATCH("Jan 2025 Traffic",'Pass 2'!$1:$1,0),FALSE()),"")</f>
        <v/>
      </c>
      <c r="E132" s="1" t="str">
        <f aca="false">IFERROR(VLOOKUP(A132,'Pass 2'!$A:$S,MATCH("Jun 2026 Traffic",'Pass 2'!$1:$1,0),FALSE()),"")</f>
        <v/>
      </c>
      <c r="F132" s="1" t="str">
        <f aca="false">IFERROR(VLOOKUP(A132,'Pass 2'!$A:$S,MATCH("Traffic % Change",'Pass 2'!$1:$1,0),FALSE()),"")</f>
        <v/>
      </c>
      <c r="G132" s="1" t="str">
        <f aca="false">IFERROR(VLOOKUP(A132,'Pass 2'!$A:$S,MATCH("Jan 2025 Referring Domains",'Pass 2'!$1:$1,0),FALSE()),"")</f>
        <v/>
      </c>
      <c r="H132" s="1" t="str">
        <f aca="false">IFERROR(VLOOKUP(A132,'Pass 2'!$A:$S,MATCH("Jun 2026 Referring Domains",'Pass 2'!$1:$1,0),FALSE()),"")</f>
        <v/>
      </c>
    </row>
    <row r="133" customFormat="false" ht="15" hidden="false" customHeight="true" outlineLevel="0" collapsed="false">
      <c r="B133" s="1" t="str">
        <f aca="false">IFERROR(VLOOKUP(A133,'Pass 2'!$A:$S,MATCH("Category",'Pass 2'!$1:$1,0),FALSE()),"")</f>
        <v/>
      </c>
      <c r="C133" s="1" t="str">
        <f aca="false">IFERROR(VLOOKUP(A133,'Pass 1 Archive'!$A:$AD,MATCH("LinkedIn Employee Count",'Pass 1 Archive'!$1:$1,0),FALSE()),"")</f>
        <v/>
      </c>
      <c r="D133" s="1" t="str">
        <f aca="false">IFERROR(VLOOKUP(A133,'Pass 2'!$A:$S,MATCH("Jan 2025 Traffic",'Pass 2'!$1:$1,0),FALSE()),"")</f>
        <v/>
      </c>
      <c r="E133" s="1" t="str">
        <f aca="false">IFERROR(VLOOKUP(A133,'Pass 2'!$A:$S,MATCH("Jun 2026 Traffic",'Pass 2'!$1:$1,0),FALSE()),"")</f>
        <v/>
      </c>
      <c r="F133" s="1" t="str">
        <f aca="false">IFERROR(VLOOKUP(A133,'Pass 2'!$A:$S,MATCH("Traffic % Change",'Pass 2'!$1:$1,0),FALSE()),"")</f>
        <v/>
      </c>
      <c r="G133" s="1" t="str">
        <f aca="false">IFERROR(VLOOKUP(A133,'Pass 2'!$A:$S,MATCH("Jan 2025 Referring Domains",'Pass 2'!$1:$1,0),FALSE()),"")</f>
        <v/>
      </c>
      <c r="H133" s="1" t="str">
        <f aca="false">IFERROR(VLOOKUP(A133,'Pass 2'!$A:$S,MATCH("Jun 2026 Referring Domains",'Pass 2'!$1:$1,0),FALSE()),"")</f>
        <v/>
      </c>
    </row>
    <row r="134" customFormat="false" ht="15" hidden="false" customHeight="true" outlineLevel="0" collapsed="false">
      <c r="B134" s="1" t="str">
        <f aca="false">IFERROR(VLOOKUP(A134,'Pass 2'!$A:$S,MATCH("Category",'Pass 2'!$1:$1,0),FALSE()),"")</f>
        <v/>
      </c>
      <c r="C134" s="1" t="str">
        <f aca="false">IFERROR(VLOOKUP(A134,'Pass 1 Archive'!$A:$AD,MATCH("LinkedIn Employee Count",'Pass 1 Archive'!$1:$1,0),FALSE()),"")</f>
        <v/>
      </c>
      <c r="D134" s="1" t="str">
        <f aca="false">IFERROR(VLOOKUP(A134,'Pass 2'!$A:$S,MATCH("Jan 2025 Traffic",'Pass 2'!$1:$1,0),FALSE()),"")</f>
        <v/>
      </c>
      <c r="E134" s="1" t="str">
        <f aca="false">IFERROR(VLOOKUP(A134,'Pass 2'!$A:$S,MATCH("Jun 2026 Traffic",'Pass 2'!$1:$1,0),FALSE()),"")</f>
        <v/>
      </c>
      <c r="F134" s="1" t="str">
        <f aca="false">IFERROR(VLOOKUP(A134,'Pass 2'!$A:$S,MATCH("Traffic % Change",'Pass 2'!$1:$1,0),FALSE()),"")</f>
        <v/>
      </c>
      <c r="G134" s="1" t="str">
        <f aca="false">IFERROR(VLOOKUP(A134,'Pass 2'!$A:$S,MATCH("Jan 2025 Referring Domains",'Pass 2'!$1:$1,0),FALSE()),"")</f>
        <v/>
      </c>
      <c r="H134" s="1" t="str">
        <f aca="false">IFERROR(VLOOKUP(A134,'Pass 2'!$A:$S,MATCH("Jun 2026 Referring Domains",'Pass 2'!$1:$1,0),FALSE()),"")</f>
        <v/>
      </c>
    </row>
    <row r="135" customFormat="false" ht="15" hidden="false" customHeight="true" outlineLevel="0" collapsed="false">
      <c r="B135" s="1" t="str">
        <f aca="false">IFERROR(VLOOKUP(A135,'Pass 2'!$A:$S,MATCH("Category",'Pass 2'!$1:$1,0),FALSE()),"")</f>
        <v/>
      </c>
      <c r="C135" s="1" t="str">
        <f aca="false">IFERROR(VLOOKUP(A135,'Pass 1 Archive'!$A:$AD,MATCH("LinkedIn Employee Count",'Pass 1 Archive'!$1:$1,0),FALSE()),"")</f>
        <v/>
      </c>
      <c r="D135" s="1" t="str">
        <f aca="false">IFERROR(VLOOKUP(A135,'Pass 2'!$A:$S,MATCH("Jan 2025 Traffic",'Pass 2'!$1:$1,0),FALSE()),"")</f>
        <v/>
      </c>
      <c r="E135" s="1" t="str">
        <f aca="false">IFERROR(VLOOKUP(A135,'Pass 2'!$A:$S,MATCH("Jun 2026 Traffic",'Pass 2'!$1:$1,0),FALSE()),"")</f>
        <v/>
      </c>
      <c r="F135" s="1" t="str">
        <f aca="false">IFERROR(VLOOKUP(A135,'Pass 2'!$A:$S,MATCH("Traffic % Change",'Pass 2'!$1:$1,0),FALSE()),"")</f>
        <v/>
      </c>
      <c r="G135" s="1" t="str">
        <f aca="false">IFERROR(VLOOKUP(A135,'Pass 2'!$A:$S,MATCH("Jan 2025 Referring Domains",'Pass 2'!$1:$1,0),FALSE()),"")</f>
        <v/>
      </c>
      <c r="H135" s="1" t="str">
        <f aca="false">IFERROR(VLOOKUP(A135,'Pass 2'!$A:$S,MATCH("Jun 2026 Referring Domains",'Pass 2'!$1:$1,0),FALSE()),"")</f>
        <v/>
      </c>
    </row>
    <row r="136" customFormat="false" ht="15" hidden="false" customHeight="true" outlineLevel="0" collapsed="false">
      <c r="B136" s="1" t="str">
        <f aca="false">IFERROR(VLOOKUP(A136,'Pass 2'!$A:$S,MATCH("Category",'Pass 2'!$1:$1,0),FALSE()),"")</f>
        <v/>
      </c>
      <c r="C136" s="1" t="str">
        <f aca="false">IFERROR(VLOOKUP(A136,'Pass 1 Archive'!$A:$AD,MATCH("LinkedIn Employee Count",'Pass 1 Archive'!$1:$1,0),FALSE()),"")</f>
        <v/>
      </c>
      <c r="D136" s="1" t="str">
        <f aca="false">IFERROR(VLOOKUP(A136,'Pass 2'!$A:$S,MATCH("Jan 2025 Traffic",'Pass 2'!$1:$1,0),FALSE()),"")</f>
        <v/>
      </c>
      <c r="E136" s="1" t="str">
        <f aca="false">IFERROR(VLOOKUP(A136,'Pass 2'!$A:$S,MATCH("Jun 2026 Traffic",'Pass 2'!$1:$1,0),FALSE()),"")</f>
        <v/>
      </c>
      <c r="F136" s="1" t="str">
        <f aca="false">IFERROR(VLOOKUP(A136,'Pass 2'!$A:$S,MATCH("Traffic % Change",'Pass 2'!$1:$1,0),FALSE()),"")</f>
        <v/>
      </c>
      <c r="G136" s="1" t="str">
        <f aca="false">IFERROR(VLOOKUP(A136,'Pass 2'!$A:$S,MATCH("Jan 2025 Referring Domains",'Pass 2'!$1:$1,0),FALSE()),"")</f>
        <v/>
      </c>
      <c r="H136" s="1" t="str">
        <f aca="false">IFERROR(VLOOKUP(A136,'Pass 2'!$A:$S,MATCH("Jun 2026 Referring Domains",'Pass 2'!$1:$1,0),FALSE()),"")</f>
        <v/>
      </c>
    </row>
    <row r="137" customFormat="false" ht="15" hidden="false" customHeight="true" outlineLevel="0" collapsed="false">
      <c r="B137" s="1" t="str">
        <f aca="false">IFERROR(VLOOKUP(A137,'Pass 2'!$A:$S,MATCH("Category",'Pass 2'!$1:$1,0),FALSE()),"")</f>
        <v/>
      </c>
      <c r="C137" s="1" t="str">
        <f aca="false">IFERROR(VLOOKUP(A137,'Pass 1 Archive'!$A:$AD,MATCH("LinkedIn Employee Count",'Pass 1 Archive'!$1:$1,0),FALSE()),"")</f>
        <v/>
      </c>
      <c r="D137" s="1" t="str">
        <f aca="false">IFERROR(VLOOKUP(A137,'Pass 2'!$A:$S,MATCH("Jan 2025 Traffic",'Pass 2'!$1:$1,0),FALSE()),"")</f>
        <v/>
      </c>
      <c r="E137" s="1" t="str">
        <f aca="false">IFERROR(VLOOKUP(A137,'Pass 2'!$A:$S,MATCH("Jun 2026 Traffic",'Pass 2'!$1:$1,0),FALSE()),"")</f>
        <v/>
      </c>
      <c r="F137" s="1" t="str">
        <f aca="false">IFERROR(VLOOKUP(A137,'Pass 2'!$A:$S,MATCH("Traffic % Change",'Pass 2'!$1:$1,0),FALSE()),"")</f>
        <v/>
      </c>
      <c r="G137" s="1" t="str">
        <f aca="false">IFERROR(VLOOKUP(A137,'Pass 2'!$A:$S,MATCH("Jan 2025 Referring Domains",'Pass 2'!$1:$1,0),FALSE()),"")</f>
        <v/>
      </c>
      <c r="H137" s="1" t="str">
        <f aca="false">IFERROR(VLOOKUP(A137,'Pass 2'!$A:$S,MATCH("Jun 2026 Referring Domains",'Pass 2'!$1:$1,0),FALSE()),"")</f>
        <v/>
      </c>
    </row>
    <row r="138" customFormat="false" ht="15" hidden="false" customHeight="true" outlineLevel="0" collapsed="false">
      <c r="B138" s="1" t="str">
        <f aca="false">IFERROR(VLOOKUP(A138,'Pass 2'!$A:$S,MATCH("Category",'Pass 2'!$1:$1,0),FALSE()),"")</f>
        <v/>
      </c>
      <c r="C138" s="1" t="str">
        <f aca="false">IFERROR(VLOOKUP(A138,'Pass 1 Archive'!$A:$AD,MATCH("LinkedIn Employee Count",'Pass 1 Archive'!$1:$1,0),FALSE()),"")</f>
        <v/>
      </c>
      <c r="D138" s="1" t="str">
        <f aca="false">IFERROR(VLOOKUP(A138,'Pass 2'!$A:$S,MATCH("Jan 2025 Traffic",'Pass 2'!$1:$1,0),FALSE()),"")</f>
        <v/>
      </c>
      <c r="E138" s="1" t="str">
        <f aca="false">IFERROR(VLOOKUP(A138,'Pass 2'!$A:$S,MATCH("Jun 2026 Traffic",'Pass 2'!$1:$1,0),FALSE()),"")</f>
        <v/>
      </c>
      <c r="F138" s="1" t="str">
        <f aca="false">IFERROR(VLOOKUP(A138,'Pass 2'!$A:$S,MATCH("Traffic % Change",'Pass 2'!$1:$1,0),FALSE()),"")</f>
        <v/>
      </c>
      <c r="G138" s="1" t="str">
        <f aca="false">IFERROR(VLOOKUP(A138,'Pass 2'!$A:$S,MATCH("Jan 2025 Referring Domains",'Pass 2'!$1:$1,0),FALSE()),"")</f>
        <v/>
      </c>
      <c r="H138" s="1" t="str">
        <f aca="false">IFERROR(VLOOKUP(A138,'Pass 2'!$A:$S,MATCH("Jun 2026 Referring Domains",'Pass 2'!$1:$1,0),FALSE()),"")</f>
        <v/>
      </c>
    </row>
    <row r="139" customFormat="false" ht="15" hidden="false" customHeight="true" outlineLevel="0" collapsed="false">
      <c r="B139" s="1" t="str">
        <f aca="false">IFERROR(VLOOKUP(A139,'Pass 2'!$A:$S,MATCH("Category",'Pass 2'!$1:$1,0),FALSE()),"")</f>
        <v/>
      </c>
      <c r="C139" s="1" t="str">
        <f aca="false">IFERROR(VLOOKUP(A139,'Pass 1 Archive'!$A:$AD,MATCH("LinkedIn Employee Count",'Pass 1 Archive'!$1:$1,0),FALSE()),"")</f>
        <v/>
      </c>
      <c r="D139" s="1" t="str">
        <f aca="false">IFERROR(VLOOKUP(A139,'Pass 2'!$A:$S,MATCH("Jan 2025 Traffic",'Pass 2'!$1:$1,0),FALSE()),"")</f>
        <v/>
      </c>
      <c r="E139" s="1" t="str">
        <f aca="false">IFERROR(VLOOKUP(A139,'Pass 2'!$A:$S,MATCH("Jun 2026 Traffic",'Pass 2'!$1:$1,0),FALSE()),"")</f>
        <v/>
      </c>
      <c r="F139" s="1" t="str">
        <f aca="false">IFERROR(VLOOKUP(A139,'Pass 2'!$A:$S,MATCH("Traffic % Change",'Pass 2'!$1:$1,0),FALSE()),"")</f>
        <v/>
      </c>
      <c r="G139" s="1" t="str">
        <f aca="false">IFERROR(VLOOKUP(A139,'Pass 2'!$A:$S,MATCH("Jan 2025 Referring Domains",'Pass 2'!$1:$1,0),FALSE()),"")</f>
        <v/>
      </c>
      <c r="H139" s="1" t="str">
        <f aca="false">IFERROR(VLOOKUP(A139,'Pass 2'!$A:$S,MATCH("Jun 2026 Referring Domains",'Pass 2'!$1:$1,0),FALSE()),"")</f>
        <v/>
      </c>
    </row>
    <row r="140" customFormat="false" ht="15" hidden="false" customHeight="true" outlineLevel="0" collapsed="false">
      <c r="B140" s="1" t="str">
        <f aca="false">IFERROR(VLOOKUP(A140,'Pass 2'!$A:$S,MATCH("Category",'Pass 2'!$1:$1,0),FALSE()),"")</f>
        <v/>
      </c>
      <c r="C140" s="1" t="str">
        <f aca="false">IFERROR(VLOOKUP(A140,'Pass 1 Archive'!$A:$AD,MATCH("LinkedIn Employee Count",'Pass 1 Archive'!$1:$1,0),FALSE()),"")</f>
        <v/>
      </c>
      <c r="D140" s="1" t="str">
        <f aca="false">IFERROR(VLOOKUP(A140,'Pass 2'!$A:$S,MATCH("Jan 2025 Traffic",'Pass 2'!$1:$1,0),FALSE()),"")</f>
        <v/>
      </c>
      <c r="E140" s="1" t="str">
        <f aca="false">IFERROR(VLOOKUP(A140,'Pass 2'!$A:$S,MATCH("Jun 2026 Traffic",'Pass 2'!$1:$1,0),FALSE()),"")</f>
        <v/>
      </c>
      <c r="F140" s="1" t="str">
        <f aca="false">IFERROR(VLOOKUP(A140,'Pass 2'!$A:$S,MATCH("Traffic % Change",'Pass 2'!$1:$1,0),FALSE()),"")</f>
        <v/>
      </c>
      <c r="G140" s="1" t="str">
        <f aca="false">IFERROR(VLOOKUP(A140,'Pass 2'!$A:$S,MATCH("Jan 2025 Referring Domains",'Pass 2'!$1:$1,0),FALSE()),"")</f>
        <v/>
      </c>
      <c r="H140" s="1" t="str">
        <f aca="false">IFERROR(VLOOKUP(A140,'Pass 2'!$A:$S,MATCH("Jun 2026 Referring Domains",'Pass 2'!$1:$1,0),FALSE()),"")</f>
        <v/>
      </c>
    </row>
    <row r="141" customFormat="false" ht="15" hidden="false" customHeight="true" outlineLevel="0" collapsed="false">
      <c r="B141" s="1" t="str">
        <f aca="false">IFERROR(VLOOKUP(A141,'Pass 2'!$A:$S,MATCH("Category",'Pass 2'!$1:$1,0),FALSE()),"")</f>
        <v/>
      </c>
      <c r="C141" s="1" t="str">
        <f aca="false">IFERROR(VLOOKUP(A141,'Pass 1 Archive'!$A:$AD,MATCH("LinkedIn Employee Count",'Pass 1 Archive'!$1:$1,0),FALSE()),"")</f>
        <v/>
      </c>
      <c r="D141" s="1" t="str">
        <f aca="false">IFERROR(VLOOKUP(A141,'Pass 2'!$A:$S,MATCH("Jan 2025 Traffic",'Pass 2'!$1:$1,0),FALSE()),"")</f>
        <v/>
      </c>
      <c r="E141" s="1" t="str">
        <f aca="false">IFERROR(VLOOKUP(A141,'Pass 2'!$A:$S,MATCH("Jun 2026 Traffic",'Pass 2'!$1:$1,0),FALSE()),"")</f>
        <v/>
      </c>
      <c r="F141" s="1" t="str">
        <f aca="false">IFERROR(VLOOKUP(A141,'Pass 2'!$A:$S,MATCH("Traffic % Change",'Pass 2'!$1:$1,0),FALSE()),"")</f>
        <v/>
      </c>
      <c r="G141" s="1" t="str">
        <f aca="false">IFERROR(VLOOKUP(A141,'Pass 2'!$A:$S,MATCH("Jan 2025 Referring Domains",'Pass 2'!$1:$1,0),FALSE()),"")</f>
        <v/>
      </c>
      <c r="H141" s="1" t="str">
        <f aca="false">IFERROR(VLOOKUP(A141,'Pass 2'!$A:$S,MATCH("Jun 2026 Referring Domains",'Pass 2'!$1:$1,0),FALSE()),"")</f>
        <v/>
      </c>
    </row>
    <row r="142" customFormat="false" ht="15" hidden="false" customHeight="true" outlineLevel="0" collapsed="false">
      <c r="B142" s="1" t="str">
        <f aca="false">IFERROR(VLOOKUP(A142,'Pass 2'!$A:$S,MATCH("Category",'Pass 2'!$1:$1,0),FALSE()),"")</f>
        <v/>
      </c>
      <c r="C142" s="1" t="str">
        <f aca="false">IFERROR(VLOOKUP(A142,'Pass 1 Archive'!$A:$AD,MATCH("LinkedIn Employee Count",'Pass 1 Archive'!$1:$1,0),FALSE()),"")</f>
        <v/>
      </c>
      <c r="D142" s="1" t="str">
        <f aca="false">IFERROR(VLOOKUP(A142,'Pass 2'!$A:$S,MATCH("Jan 2025 Traffic",'Pass 2'!$1:$1,0),FALSE()),"")</f>
        <v/>
      </c>
      <c r="E142" s="1" t="str">
        <f aca="false">IFERROR(VLOOKUP(A142,'Pass 2'!$A:$S,MATCH("Jun 2026 Traffic",'Pass 2'!$1:$1,0),FALSE()),"")</f>
        <v/>
      </c>
      <c r="F142" s="1" t="str">
        <f aca="false">IFERROR(VLOOKUP(A142,'Pass 2'!$A:$S,MATCH("Traffic % Change",'Pass 2'!$1:$1,0),FALSE()),"")</f>
        <v/>
      </c>
      <c r="G142" s="1" t="str">
        <f aca="false">IFERROR(VLOOKUP(A142,'Pass 2'!$A:$S,MATCH("Jan 2025 Referring Domains",'Pass 2'!$1:$1,0),FALSE()),"")</f>
        <v/>
      </c>
      <c r="H142" s="1" t="str">
        <f aca="false">IFERROR(VLOOKUP(A142,'Pass 2'!$A:$S,MATCH("Jun 2026 Referring Domains",'Pass 2'!$1:$1,0),FALSE()),"")</f>
        <v/>
      </c>
    </row>
    <row r="143" customFormat="false" ht="15" hidden="false" customHeight="true" outlineLevel="0" collapsed="false">
      <c r="B143" s="1" t="str">
        <f aca="false">IFERROR(VLOOKUP(A143,'Pass 2'!$A:$S,MATCH("Category",'Pass 2'!$1:$1,0),FALSE()),"")</f>
        <v/>
      </c>
      <c r="C143" s="1" t="str">
        <f aca="false">IFERROR(VLOOKUP(A143,'Pass 1 Archive'!$A:$AD,MATCH("LinkedIn Employee Count",'Pass 1 Archive'!$1:$1,0),FALSE()),"")</f>
        <v/>
      </c>
      <c r="D143" s="1" t="str">
        <f aca="false">IFERROR(VLOOKUP(A143,'Pass 2'!$A:$S,MATCH("Jan 2025 Traffic",'Pass 2'!$1:$1,0),FALSE()),"")</f>
        <v/>
      </c>
      <c r="E143" s="1" t="str">
        <f aca="false">IFERROR(VLOOKUP(A143,'Pass 2'!$A:$S,MATCH("Jun 2026 Traffic",'Pass 2'!$1:$1,0),FALSE()),"")</f>
        <v/>
      </c>
      <c r="F143" s="1" t="str">
        <f aca="false">IFERROR(VLOOKUP(A143,'Pass 2'!$A:$S,MATCH("Traffic % Change",'Pass 2'!$1:$1,0),FALSE()),"")</f>
        <v/>
      </c>
      <c r="G143" s="1" t="str">
        <f aca="false">IFERROR(VLOOKUP(A143,'Pass 2'!$A:$S,MATCH("Jan 2025 Referring Domains",'Pass 2'!$1:$1,0),FALSE()),"")</f>
        <v/>
      </c>
      <c r="H143" s="1" t="str">
        <f aca="false">IFERROR(VLOOKUP(A143,'Pass 2'!$A:$S,MATCH("Jun 2026 Referring Domains",'Pass 2'!$1:$1,0),FALSE()),"")</f>
        <v/>
      </c>
    </row>
    <row r="144" customFormat="false" ht="15" hidden="false" customHeight="true" outlineLevel="0" collapsed="false">
      <c r="B144" s="1" t="str">
        <f aca="false">IFERROR(VLOOKUP(A144,'Pass 2'!$A:$S,MATCH("Category",'Pass 2'!$1:$1,0),FALSE()),"")</f>
        <v/>
      </c>
      <c r="C144" s="1" t="str">
        <f aca="false">IFERROR(VLOOKUP(A144,'Pass 1 Archive'!$A:$AD,MATCH("LinkedIn Employee Count",'Pass 1 Archive'!$1:$1,0),FALSE()),"")</f>
        <v/>
      </c>
      <c r="D144" s="1" t="str">
        <f aca="false">IFERROR(VLOOKUP(A144,'Pass 2'!$A:$S,MATCH("Jan 2025 Traffic",'Pass 2'!$1:$1,0),FALSE()),"")</f>
        <v/>
      </c>
      <c r="E144" s="1" t="str">
        <f aca="false">IFERROR(VLOOKUP(A144,'Pass 2'!$A:$S,MATCH("Jun 2026 Traffic",'Pass 2'!$1:$1,0),FALSE()),"")</f>
        <v/>
      </c>
      <c r="F144" s="1" t="str">
        <f aca="false">IFERROR(VLOOKUP(A144,'Pass 2'!$A:$S,MATCH("Traffic % Change",'Pass 2'!$1:$1,0),FALSE()),"")</f>
        <v/>
      </c>
      <c r="G144" s="1" t="str">
        <f aca="false">IFERROR(VLOOKUP(A144,'Pass 2'!$A:$S,MATCH("Jan 2025 Referring Domains",'Pass 2'!$1:$1,0),FALSE()),"")</f>
        <v/>
      </c>
      <c r="H144" s="1" t="str">
        <f aca="false">IFERROR(VLOOKUP(A144,'Pass 2'!$A:$S,MATCH("Jun 2026 Referring Domains",'Pass 2'!$1:$1,0),FALSE()),"")</f>
        <v/>
      </c>
    </row>
    <row r="145" customFormat="false" ht="15" hidden="false" customHeight="true" outlineLevel="0" collapsed="false">
      <c r="B145" s="1" t="str">
        <f aca="false">IFERROR(VLOOKUP(A145,'Pass 2'!$A:$S,MATCH("Category",'Pass 2'!$1:$1,0),FALSE()),"")</f>
        <v/>
      </c>
      <c r="C145" s="1" t="str">
        <f aca="false">IFERROR(VLOOKUP(A145,'Pass 1 Archive'!$A:$AD,MATCH("LinkedIn Employee Count",'Pass 1 Archive'!$1:$1,0),FALSE()),"")</f>
        <v/>
      </c>
      <c r="D145" s="1" t="str">
        <f aca="false">IFERROR(VLOOKUP(A145,'Pass 2'!$A:$S,MATCH("Jan 2025 Traffic",'Pass 2'!$1:$1,0),FALSE()),"")</f>
        <v/>
      </c>
      <c r="E145" s="1" t="str">
        <f aca="false">IFERROR(VLOOKUP(A145,'Pass 2'!$A:$S,MATCH("Jun 2026 Traffic",'Pass 2'!$1:$1,0),FALSE()),"")</f>
        <v/>
      </c>
      <c r="F145" s="1" t="str">
        <f aca="false">IFERROR(VLOOKUP(A145,'Pass 2'!$A:$S,MATCH("Traffic % Change",'Pass 2'!$1:$1,0),FALSE()),"")</f>
        <v/>
      </c>
      <c r="G145" s="1" t="str">
        <f aca="false">IFERROR(VLOOKUP(A145,'Pass 2'!$A:$S,MATCH("Jan 2025 Referring Domains",'Pass 2'!$1:$1,0),FALSE()),"")</f>
        <v/>
      </c>
      <c r="H145" s="1" t="str">
        <f aca="false">IFERROR(VLOOKUP(A145,'Pass 2'!$A:$S,MATCH("Jun 2026 Referring Domains",'Pass 2'!$1:$1,0),FALSE()),"")</f>
        <v/>
      </c>
    </row>
    <row r="146" customFormat="false" ht="15" hidden="false" customHeight="true" outlineLevel="0" collapsed="false">
      <c r="B146" s="1" t="str">
        <f aca="false">IFERROR(VLOOKUP(A146,'Pass 2'!$A:$S,MATCH("Category",'Pass 2'!$1:$1,0),FALSE()),"")</f>
        <v/>
      </c>
      <c r="C146" s="1" t="str">
        <f aca="false">IFERROR(VLOOKUP(A146,'Pass 1 Archive'!$A:$AD,MATCH("LinkedIn Employee Count",'Pass 1 Archive'!$1:$1,0),FALSE()),"")</f>
        <v/>
      </c>
      <c r="D146" s="1" t="str">
        <f aca="false">IFERROR(VLOOKUP(A146,'Pass 2'!$A:$S,MATCH("Jan 2025 Traffic",'Pass 2'!$1:$1,0),FALSE()),"")</f>
        <v/>
      </c>
      <c r="E146" s="1" t="str">
        <f aca="false">IFERROR(VLOOKUP(A146,'Pass 2'!$A:$S,MATCH("Jun 2026 Traffic",'Pass 2'!$1:$1,0),FALSE()),"")</f>
        <v/>
      </c>
      <c r="F146" s="1" t="str">
        <f aca="false">IFERROR(VLOOKUP(A146,'Pass 2'!$A:$S,MATCH("Traffic % Change",'Pass 2'!$1:$1,0),FALSE()),"")</f>
        <v/>
      </c>
      <c r="G146" s="1" t="str">
        <f aca="false">IFERROR(VLOOKUP(A146,'Pass 2'!$A:$S,MATCH("Jan 2025 Referring Domains",'Pass 2'!$1:$1,0),FALSE()),"")</f>
        <v/>
      </c>
      <c r="H146" s="1" t="str">
        <f aca="false">IFERROR(VLOOKUP(A146,'Pass 2'!$A:$S,MATCH("Jun 2026 Referring Domains",'Pass 2'!$1:$1,0),FALSE()),"")</f>
        <v/>
      </c>
    </row>
    <row r="147" customFormat="false" ht="15" hidden="false" customHeight="true" outlineLevel="0" collapsed="false">
      <c r="B147" s="1" t="str">
        <f aca="false">IFERROR(VLOOKUP(A147,'Pass 2'!$A:$S,MATCH("Category",'Pass 2'!$1:$1,0),FALSE()),"")</f>
        <v/>
      </c>
      <c r="C147" s="1" t="str">
        <f aca="false">IFERROR(VLOOKUP(A147,'Pass 1 Archive'!$A:$AD,MATCH("LinkedIn Employee Count",'Pass 1 Archive'!$1:$1,0),FALSE()),"")</f>
        <v/>
      </c>
      <c r="D147" s="1" t="str">
        <f aca="false">IFERROR(VLOOKUP(A147,'Pass 2'!$A:$S,MATCH("Jan 2025 Traffic",'Pass 2'!$1:$1,0),FALSE()),"")</f>
        <v/>
      </c>
      <c r="E147" s="1" t="str">
        <f aca="false">IFERROR(VLOOKUP(A147,'Pass 2'!$A:$S,MATCH("Jun 2026 Traffic",'Pass 2'!$1:$1,0),FALSE()),"")</f>
        <v/>
      </c>
      <c r="F147" s="1" t="str">
        <f aca="false">IFERROR(VLOOKUP(A147,'Pass 2'!$A:$S,MATCH("Traffic % Change",'Pass 2'!$1:$1,0),FALSE()),"")</f>
        <v/>
      </c>
      <c r="G147" s="1" t="str">
        <f aca="false">IFERROR(VLOOKUP(A147,'Pass 2'!$A:$S,MATCH("Jan 2025 Referring Domains",'Pass 2'!$1:$1,0),FALSE()),"")</f>
        <v/>
      </c>
      <c r="H147" s="1" t="str">
        <f aca="false">IFERROR(VLOOKUP(A147,'Pass 2'!$A:$S,MATCH("Jun 2026 Referring Domains",'Pass 2'!$1:$1,0),FALSE()),"")</f>
        <v/>
      </c>
    </row>
    <row r="148" customFormat="false" ht="15" hidden="false" customHeight="true" outlineLevel="0" collapsed="false">
      <c r="B148" s="1" t="str">
        <f aca="false">IFERROR(VLOOKUP(A148,'Pass 2'!$A:$S,MATCH("Category",'Pass 2'!$1:$1,0),FALSE()),"")</f>
        <v/>
      </c>
      <c r="C148" s="1" t="str">
        <f aca="false">IFERROR(VLOOKUP(A148,'Pass 1 Archive'!$A:$AD,MATCH("LinkedIn Employee Count",'Pass 1 Archive'!$1:$1,0),FALSE()),"")</f>
        <v/>
      </c>
      <c r="D148" s="1" t="str">
        <f aca="false">IFERROR(VLOOKUP(A148,'Pass 2'!$A:$S,MATCH("Jan 2025 Traffic",'Pass 2'!$1:$1,0),FALSE()),"")</f>
        <v/>
      </c>
      <c r="E148" s="1" t="str">
        <f aca="false">IFERROR(VLOOKUP(A148,'Pass 2'!$A:$S,MATCH("Jun 2026 Traffic",'Pass 2'!$1:$1,0),FALSE()),"")</f>
        <v/>
      </c>
      <c r="F148" s="1" t="str">
        <f aca="false">IFERROR(VLOOKUP(A148,'Pass 2'!$A:$S,MATCH("Traffic % Change",'Pass 2'!$1:$1,0),FALSE()),"")</f>
        <v/>
      </c>
      <c r="G148" s="1" t="str">
        <f aca="false">IFERROR(VLOOKUP(A148,'Pass 2'!$A:$S,MATCH("Jan 2025 Referring Domains",'Pass 2'!$1:$1,0),FALSE()),"")</f>
        <v/>
      </c>
      <c r="H148" s="1" t="str">
        <f aca="false">IFERROR(VLOOKUP(A148,'Pass 2'!$A:$S,MATCH("Jun 2026 Referring Domains",'Pass 2'!$1:$1,0),FALSE()),"")</f>
        <v/>
      </c>
    </row>
    <row r="149" customFormat="false" ht="15" hidden="false" customHeight="true" outlineLevel="0" collapsed="false">
      <c r="B149" s="1" t="str">
        <f aca="false">IFERROR(VLOOKUP(A149,'Pass 2'!$A:$S,MATCH("Category",'Pass 2'!$1:$1,0),FALSE()),"")</f>
        <v/>
      </c>
      <c r="C149" s="1" t="str">
        <f aca="false">IFERROR(VLOOKUP(A149,'Pass 1 Archive'!$A:$AD,MATCH("LinkedIn Employee Count",'Pass 1 Archive'!$1:$1,0),FALSE()),"")</f>
        <v/>
      </c>
      <c r="D149" s="1" t="str">
        <f aca="false">IFERROR(VLOOKUP(A149,'Pass 2'!$A:$S,MATCH("Jan 2025 Traffic",'Pass 2'!$1:$1,0),FALSE()),"")</f>
        <v/>
      </c>
      <c r="E149" s="1" t="str">
        <f aca="false">IFERROR(VLOOKUP(A149,'Pass 2'!$A:$S,MATCH("Jun 2026 Traffic",'Pass 2'!$1:$1,0),FALSE()),"")</f>
        <v/>
      </c>
      <c r="F149" s="1" t="str">
        <f aca="false">IFERROR(VLOOKUP(A149,'Pass 2'!$A:$S,MATCH("Traffic % Change",'Pass 2'!$1:$1,0),FALSE()),"")</f>
        <v/>
      </c>
      <c r="G149" s="1" t="str">
        <f aca="false">IFERROR(VLOOKUP(A149,'Pass 2'!$A:$S,MATCH("Jan 2025 Referring Domains",'Pass 2'!$1:$1,0),FALSE()),"")</f>
        <v/>
      </c>
      <c r="H149" s="1" t="str">
        <f aca="false">IFERROR(VLOOKUP(A149,'Pass 2'!$A:$S,MATCH("Jun 2026 Referring Domains",'Pass 2'!$1:$1,0),FALSE()),"")</f>
        <v/>
      </c>
    </row>
    <row r="150" customFormat="false" ht="15" hidden="false" customHeight="true" outlineLevel="0" collapsed="false">
      <c r="B150" s="1" t="str">
        <f aca="false">IFERROR(VLOOKUP(A150,'Pass 2'!$A:$S,MATCH("Category",'Pass 2'!$1:$1,0),FALSE()),"")</f>
        <v/>
      </c>
      <c r="C150" s="1" t="str">
        <f aca="false">IFERROR(VLOOKUP(A150,'Pass 1 Archive'!$A:$AD,MATCH("LinkedIn Employee Count",'Pass 1 Archive'!$1:$1,0),FALSE()),"")</f>
        <v/>
      </c>
      <c r="D150" s="1" t="str">
        <f aca="false">IFERROR(VLOOKUP(A150,'Pass 2'!$A:$S,MATCH("Jan 2025 Traffic",'Pass 2'!$1:$1,0),FALSE()),"")</f>
        <v/>
      </c>
      <c r="E150" s="1" t="str">
        <f aca="false">IFERROR(VLOOKUP(A150,'Pass 2'!$A:$S,MATCH("Jun 2026 Traffic",'Pass 2'!$1:$1,0),FALSE()),"")</f>
        <v/>
      </c>
      <c r="F150" s="1" t="str">
        <f aca="false">IFERROR(VLOOKUP(A150,'Pass 2'!$A:$S,MATCH("Traffic % Change",'Pass 2'!$1:$1,0),FALSE()),"")</f>
        <v/>
      </c>
      <c r="G150" s="1" t="str">
        <f aca="false">IFERROR(VLOOKUP(A150,'Pass 2'!$A:$S,MATCH("Jan 2025 Referring Domains",'Pass 2'!$1:$1,0),FALSE()),"")</f>
        <v/>
      </c>
      <c r="H150" s="1" t="str">
        <f aca="false">IFERROR(VLOOKUP(A150,'Pass 2'!$A:$S,MATCH("Jun 2026 Referring Domains",'Pass 2'!$1:$1,0),FALSE()),"")</f>
        <v/>
      </c>
    </row>
    <row r="151" customFormat="false" ht="15" hidden="false" customHeight="true" outlineLevel="0" collapsed="false">
      <c r="B151" s="1" t="str">
        <f aca="false">IFERROR(VLOOKUP(A151,'Pass 2'!$A:$S,MATCH("Category",'Pass 2'!$1:$1,0),FALSE()),"")</f>
        <v/>
      </c>
      <c r="C151" s="1" t="str">
        <f aca="false">IFERROR(VLOOKUP(A151,'Pass 1 Archive'!$A:$AD,MATCH("LinkedIn Employee Count",'Pass 1 Archive'!$1:$1,0),FALSE()),"")</f>
        <v/>
      </c>
      <c r="D151" s="1" t="str">
        <f aca="false">IFERROR(VLOOKUP(A151,'Pass 2'!$A:$S,MATCH("Jan 2025 Traffic",'Pass 2'!$1:$1,0),FALSE()),"")</f>
        <v/>
      </c>
      <c r="E151" s="1" t="str">
        <f aca="false">IFERROR(VLOOKUP(A151,'Pass 2'!$A:$S,MATCH("Jun 2026 Traffic",'Pass 2'!$1:$1,0),FALSE()),"")</f>
        <v/>
      </c>
      <c r="F151" s="1" t="str">
        <f aca="false">IFERROR(VLOOKUP(A151,'Pass 2'!$A:$S,MATCH("Traffic % Change",'Pass 2'!$1:$1,0),FALSE()),"")</f>
        <v/>
      </c>
      <c r="G151" s="1" t="str">
        <f aca="false">IFERROR(VLOOKUP(A151,'Pass 2'!$A:$S,MATCH("Jan 2025 Referring Domains",'Pass 2'!$1:$1,0),FALSE()),"")</f>
        <v/>
      </c>
      <c r="H151" s="1" t="str">
        <f aca="false">IFERROR(VLOOKUP(A151,'Pass 2'!$A:$S,MATCH("Jun 2026 Referring Domains",'Pass 2'!$1:$1,0),FALSE()),"")</f>
        <v/>
      </c>
    </row>
    <row r="152" customFormat="false" ht="15" hidden="false" customHeight="true" outlineLevel="0" collapsed="false">
      <c r="B152" s="1" t="str">
        <f aca="false">IFERROR(VLOOKUP(A152,'Pass 2'!$A:$S,MATCH("Category",'Pass 2'!$1:$1,0),FALSE()),"")</f>
        <v/>
      </c>
      <c r="C152" s="1" t="str">
        <f aca="false">IFERROR(VLOOKUP(A152,'Pass 1 Archive'!$A:$AD,MATCH("LinkedIn Employee Count",'Pass 1 Archive'!$1:$1,0),FALSE()),"")</f>
        <v/>
      </c>
      <c r="D152" s="1" t="str">
        <f aca="false">IFERROR(VLOOKUP(A152,'Pass 2'!$A:$S,MATCH("Jan 2025 Traffic",'Pass 2'!$1:$1,0),FALSE()),"")</f>
        <v/>
      </c>
      <c r="E152" s="1" t="str">
        <f aca="false">IFERROR(VLOOKUP(A152,'Pass 2'!$A:$S,MATCH("Jun 2026 Traffic",'Pass 2'!$1:$1,0),FALSE()),"")</f>
        <v/>
      </c>
      <c r="F152" s="1" t="str">
        <f aca="false">IFERROR(VLOOKUP(A152,'Pass 2'!$A:$S,MATCH("Traffic % Change",'Pass 2'!$1:$1,0),FALSE()),"")</f>
        <v/>
      </c>
      <c r="G152" s="1" t="str">
        <f aca="false">IFERROR(VLOOKUP(A152,'Pass 2'!$A:$S,MATCH("Jan 2025 Referring Domains",'Pass 2'!$1:$1,0),FALSE()),"")</f>
        <v/>
      </c>
      <c r="H152" s="1" t="str">
        <f aca="false">IFERROR(VLOOKUP(A152,'Pass 2'!$A:$S,MATCH("Jun 2026 Referring Domains",'Pass 2'!$1:$1,0),FALSE()),"")</f>
        <v/>
      </c>
    </row>
    <row r="153" customFormat="false" ht="15" hidden="false" customHeight="true" outlineLevel="0" collapsed="false">
      <c r="B153" s="1" t="str">
        <f aca="false">IFERROR(VLOOKUP(A153,'Pass 2'!$A:$S,MATCH("Category",'Pass 2'!$1:$1,0),FALSE()),"")</f>
        <v/>
      </c>
      <c r="C153" s="1" t="str">
        <f aca="false">IFERROR(VLOOKUP(A153,'Pass 1 Archive'!$A:$AD,MATCH("LinkedIn Employee Count",'Pass 1 Archive'!$1:$1,0),FALSE()),"")</f>
        <v/>
      </c>
      <c r="D153" s="1" t="str">
        <f aca="false">IFERROR(VLOOKUP(A153,'Pass 2'!$A:$S,MATCH("Jan 2025 Traffic",'Pass 2'!$1:$1,0),FALSE()),"")</f>
        <v/>
      </c>
      <c r="E153" s="1" t="str">
        <f aca="false">IFERROR(VLOOKUP(A153,'Pass 2'!$A:$S,MATCH("Jun 2026 Traffic",'Pass 2'!$1:$1,0),FALSE()),"")</f>
        <v/>
      </c>
      <c r="F153" s="1" t="str">
        <f aca="false">IFERROR(VLOOKUP(A153,'Pass 2'!$A:$S,MATCH("Traffic % Change",'Pass 2'!$1:$1,0),FALSE()),"")</f>
        <v/>
      </c>
      <c r="G153" s="1" t="str">
        <f aca="false">IFERROR(VLOOKUP(A153,'Pass 2'!$A:$S,MATCH("Jan 2025 Referring Domains",'Pass 2'!$1:$1,0),FALSE()),"")</f>
        <v/>
      </c>
      <c r="H153" s="1" t="str">
        <f aca="false">IFERROR(VLOOKUP(A153,'Pass 2'!$A:$S,MATCH("Jun 2026 Referring Domains",'Pass 2'!$1:$1,0),FALSE()),"")</f>
        <v/>
      </c>
    </row>
    <row r="154" customFormat="false" ht="15" hidden="false" customHeight="true" outlineLevel="0" collapsed="false">
      <c r="B154" s="1" t="str">
        <f aca="false">IFERROR(VLOOKUP(A154,'Pass 2'!$A:$S,MATCH("Category",'Pass 2'!$1:$1,0),FALSE()),"")</f>
        <v/>
      </c>
      <c r="C154" s="1" t="str">
        <f aca="false">IFERROR(VLOOKUP(A154,'Pass 1 Archive'!$A:$AD,MATCH("LinkedIn Employee Count",'Pass 1 Archive'!$1:$1,0),FALSE()),"")</f>
        <v/>
      </c>
      <c r="D154" s="1" t="str">
        <f aca="false">IFERROR(VLOOKUP(A154,'Pass 2'!$A:$S,MATCH("Jan 2025 Traffic",'Pass 2'!$1:$1,0),FALSE()),"")</f>
        <v/>
      </c>
      <c r="E154" s="1" t="str">
        <f aca="false">IFERROR(VLOOKUP(A154,'Pass 2'!$A:$S,MATCH("Jun 2026 Traffic",'Pass 2'!$1:$1,0),FALSE()),"")</f>
        <v/>
      </c>
      <c r="F154" s="1" t="str">
        <f aca="false">IFERROR(VLOOKUP(A154,'Pass 2'!$A:$S,MATCH("Traffic % Change",'Pass 2'!$1:$1,0),FALSE()),"")</f>
        <v/>
      </c>
      <c r="G154" s="1" t="str">
        <f aca="false">IFERROR(VLOOKUP(A154,'Pass 2'!$A:$S,MATCH("Jan 2025 Referring Domains",'Pass 2'!$1:$1,0),FALSE()),"")</f>
        <v/>
      </c>
      <c r="H154" s="1" t="str">
        <f aca="false">IFERROR(VLOOKUP(A154,'Pass 2'!$A:$S,MATCH("Jun 2026 Referring Domains",'Pass 2'!$1:$1,0),FALSE()),"")</f>
        <v/>
      </c>
    </row>
    <row r="155" customFormat="false" ht="15" hidden="false" customHeight="true" outlineLevel="0" collapsed="false">
      <c r="B155" s="1" t="str">
        <f aca="false">IFERROR(VLOOKUP(A155,'Pass 2'!$A:$S,MATCH("Category",'Pass 2'!$1:$1,0),FALSE()),"")</f>
        <v/>
      </c>
      <c r="C155" s="1" t="str">
        <f aca="false">IFERROR(VLOOKUP(A155,'Pass 1 Archive'!$A:$AD,MATCH("LinkedIn Employee Count",'Pass 1 Archive'!$1:$1,0),FALSE()),"")</f>
        <v/>
      </c>
      <c r="D155" s="1" t="str">
        <f aca="false">IFERROR(VLOOKUP(A155,'Pass 2'!$A:$S,MATCH("Jan 2025 Traffic",'Pass 2'!$1:$1,0),FALSE()),"")</f>
        <v/>
      </c>
      <c r="E155" s="1" t="str">
        <f aca="false">IFERROR(VLOOKUP(A155,'Pass 2'!$A:$S,MATCH("Jun 2026 Traffic",'Pass 2'!$1:$1,0),FALSE()),"")</f>
        <v/>
      </c>
      <c r="F155" s="1" t="str">
        <f aca="false">IFERROR(VLOOKUP(A155,'Pass 2'!$A:$S,MATCH("Traffic % Change",'Pass 2'!$1:$1,0),FALSE()),"")</f>
        <v/>
      </c>
      <c r="G155" s="1" t="str">
        <f aca="false">IFERROR(VLOOKUP(A155,'Pass 2'!$A:$S,MATCH("Jan 2025 Referring Domains",'Pass 2'!$1:$1,0),FALSE()),"")</f>
        <v/>
      </c>
      <c r="H155" s="1" t="str">
        <f aca="false">IFERROR(VLOOKUP(A155,'Pass 2'!$A:$S,MATCH("Jun 2026 Referring Domains",'Pass 2'!$1:$1,0),FALSE()),"")</f>
        <v/>
      </c>
    </row>
    <row r="156" customFormat="false" ht="15" hidden="false" customHeight="true" outlineLevel="0" collapsed="false">
      <c r="B156" s="1" t="str">
        <f aca="false">IFERROR(VLOOKUP(A156,'Pass 2'!$A:$S,MATCH("Category",'Pass 2'!$1:$1,0),FALSE()),"")</f>
        <v/>
      </c>
      <c r="C156" s="1" t="str">
        <f aca="false">IFERROR(VLOOKUP(A156,'Pass 1 Archive'!$A:$AD,MATCH("LinkedIn Employee Count",'Pass 1 Archive'!$1:$1,0),FALSE()),"")</f>
        <v/>
      </c>
      <c r="D156" s="1" t="str">
        <f aca="false">IFERROR(VLOOKUP(A156,'Pass 2'!$A:$S,MATCH("Jan 2025 Traffic",'Pass 2'!$1:$1,0),FALSE()),"")</f>
        <v/>
      </c>
      <c r="E156" s="1" t="str">
        <f aca="false">IFERROR(VLOOKUP(A156,'Pass 2'!$A:$S,MATCH("Jun 2026 Traffic",'Pass 2'!$1:$1,0),FALSE()),"")</f>
        <v/>
      </c>
      <c r="F156" s="1" t="str">
        <f aca="false">IFERROR(VLOOKUP(A156,'Pass 2'!$A:$S,MATCH("Traffic % Change",'Pass 2'!$1:$1,0),FALSE()),"")</f>
        <v/>
      </c>
      <c r="G156" s="1" t="str">
        <f aca="false">IFERROR(VLOOKUP(A156,'Pass 2'!$A:$S,MATCH("Jan 2025 Referring Domains",'Pass 2'!$1:$1,0),FALSE()),"")</f>
        <v/>
      </c>
      <c r="H156" s="1" t="str">
        <f aca="false">IFERROR(VLOOKUP(A156,'Pass 2'!$A:$S,MATCH("Jun 2026 Referring Domains",'Pass 2'!$1:$1,0),FALSE()),"")</f>
        <v/>
      </c>
    </row>
    <row r="157" customFormat="false" ht="15" hidden="false" customHeight="true" outlineLevel="0" collapsed="false">
      <c r="B157" s="1" t="str">
        <f aca="false">IFERROR(VLOOKUP(A157,'Pass 2'!$A:$S,MATCH("Category",'Pass 2'!$1:$1,0),FALSE()),"")</f>
        <v/>
      </c>
      <c r="C157" s="1" t="str">
        <f aca="false">IFERROR(VLOOKUP(A157,'Pass 1 Archive'!$A:$AD,MATCH("LinkedIn Employee Count",'Pass 1 Archive'!$1:$1,0),FALSE()),"")</f>
        <v/>
      </c>
      <c r="D157" s="1" t="str">
        <f aca="false">IFERROR(VLOOKUP(A157,'Pass 2'!$A:$S,MATCH("Jan 2025 Traffic",'Pass 2'!$1:$1,0),FALSE()),"")</f>
        <v/>
      </c>
      <c r="E157" s="1" t="str">
        <f aca="false">IFERROR(VLOOKUP(A157,'Pass 2'!$A:$S,MATCH("Jun 2026 Traffic",'Pass 2'!$1:$1,0),FALSE()),"")</f>
        <v/>
      </c>
      <c r="F157" s="1" t="str">
        <f aca="false">IFERROR(VLOOKUP(A157,'Pass 2'!$A:$S,MATCH("Traffic % Change",'Pass 2'!$1:$1,0),FALSE()),"")</f>
        <v/>
      </c>
      <c r="G157" s="1" t="str">
        <f aca="false">IFERROR(VLOOKUP(A157,'Pass 2'!$A:$S,MATCH("Jan 2025 Referring Domains",'Pass 2'!$1:$1,0),FALSE()),"")</f>
        <v/>
      </c>
      <c r="H157" s="1" t="str">
        <f aca="false">IFERROR(VLOOKUP(A157,'Pass 2'!$A:$S,MATCH("Jun 2026 Referring Domains",'Pass 2'!$1:$1,0),FALSE()),"")</f>
        <v/>
      </c>
    </row>
    <row r="158" customFormat="false" ht="15" hidden="false" customHeight="true" outlineLevel="0" collapsed="false">
      <c r="B158" s="1" t="str">
        <f aca="false">IFERROR(VLOOKUP(A158,'Pass 2'!$A:$S,MATCH("Category",'Pass 2'!$1:$1,0),FALSE()),"")</f>
        <v/>
      </c>
      <c r="C158" s="1" t="str">
        <f aca="false">IFERROR(VLOOKUP(A158,'Pass 1 Archive'!$A:$AD,MATCH("LinkedIn Employee Count",'Pass 1 Archive'!$1:$1,0),FALSE()),"")</f>
        <v/>
      </c>
      <c r="D158" s="1" t="str">
        <f aca="false">IFERROR(VLOOKUP(A158,'Pass 2'!$A:$S,MATCH("Jan 2025 Traffic",'Pass 2'!$1:$1,0),FALSE()),"")</f>
        <v/>
      </c>
      <c r="E158" s="1" t="str">
        <f aca="false">IFERROR(VLOOKUP(A158,'Pass 2'!$A:$S,MATCH("Jun 2026 Traffic",'Pass 2'!$1:$1,0),FALSE()),"")</f>
        <v/>
      </c>
      <c r="F158" s="1" t="str">
        <f aca="false">IFERROR(VLOOKUP(A158,'Pass 2'!$A:$S,MATCH("Traffic % Change",'Pass 2'!$1:$1,0),FALSE()),"")</f>
        <v/>
      </c>
      <c r="G158" s="1" t="str">
        <f aca="false">IFERROR(VLOOKUP(A158,'Pass 2'!$A:$S,MATCH("Jan 2025 Referring Domains",'Pass 2'!$1:$1,0),FALSE()),"")</f>
        <v/>
      </c>
      <c r="H158" s="1" t="str">
        <f aca="false">IFERROR(VLOOKUP(A158,'Pass 2'!$A:$S,MATCH("Jun 2026 Referring Domains",'Pass 2'!$1:$1,0),FALSE()),"")</f>
        <v/>
      </c>
    </row>
    <row r="159" customFormat="false" ht="15" hidden="false" customHeight="true" outlineLevel="0" collapsed="false">
      <c r="B159" s="1" t="str">
        <f aca="false">IFERROR(VLOOKUP(A159,'Pass 2'!$A:$S,MATCH("Category",'Pass 2'!$1:$1,0),FALSE()),"")</f>
        <v/>
      </c>
      <c r="C159" s="1" t="str">
        <f aca="false">IFERROR(VLOOKUP(A159,'Pass 1 Archive'!$A:$AD,MATCH("LinkedIn Employee Count",'Pass 1 Archive'!$1:$1,0),FALSE()),"")</f>
        <v/>
      </c>
      <c r="D159" s="1" t="str">
        <f aca="false">IFERROR(VLOOKUP(A159,'Pass 2'!$A:$S,MATCH("Jan 2025 Traffic",'Pass 2'!$1:$1,0),FALSE()),"")</f>
        <v/>
      </c>
      <c r="E159" s="1" t="str">
        <f aca="false">IFERROR(VLOOKUP(A159,'Pass 2'!$A:$S,MATCH("Jun 2026 Traffic",'Pass 2'!$1:$1,0),FALSE()),"")</f>
        <v/>
      </c>
      <c r="F159" s="1" t="str">
        <f aca="false">IFERROR(VLOOKUP(A159,'Pass 2'!$A:$S,MATCH("Traffic % Change",'Pass 2'!$1:$1,0),FALSE()),"")</f>
        <v/>
      </c>
      <c r="G159" s="1" t="str">
        <f aca="false">IFERROR(VLOOKUP(A159,'Pass 2'!$A:$S,MATCH("Jan 2025 Referring Domains",'Pass 2'!$1:$1,0),FALSE()),"")</f>
        <v/>
      </c>
      <c r="H159" s="1" t="str">
        <f aca="false">IFERROR(VLOOKUP(A159,'Pass 2'!$A:$S,MATCH("Jun 2026 Referring Domains",'Pass 2'!$1:$1,0),FALSE()),"")</f>
        <v/>
      </c>
    </row>
    <row r="160" customFormat="false" ht="15" hidden="false" customHeight="true" outlineLevel="0" collapsed="false">
      <c r="B160" s="1" t="str">
        <f aca="false">IFERROR(VLOOKUP(A160,'Pass 2'!$A:$S,MATCH("Category",'Pass 2'!$1:$1,0),FALSE()),"")</f>
        <v/>
      </c>
      <c r="C160" s="1" t="str">
        <f aca="false">IFERROR(VLOOKUP(A160,'Pass 1 Archive'!$A:$AD,MATCH("LinkedIn Employee Count",'Pass 1 Archive'!$1:$1,0),FALSE()),"")</f>
        <v/>
      </c>
      <c r="D160" s="1" t="str">
        <f aca="false">IFERROR(VLOOKUP(A160,'Pass 2'!$A:$S,MATCH("Jan 2025 Traffic",'Pass 2'!$1:$1,0),FALSE()),"")</f>
        <v/>
      </c>
      <c r="E160" s="1" t="str">
        <f aca="false">IFERROR(VLOOKUP(A160,'Pass 2'!$A:$S,MATCH("Jun 2026 Traffic",'Pass 2'!$1:$1,0),FALSE()),"")</f>
        <v/>
      </c>
      <c r="F160" s="1" t="str">
        <f aca="false">IFERROR(VLOOKUP(A160,'Pass 2'!$A:$S,MATCH("Traffic % Change",'Pass 2'!$1:$1,0),FALSE()),"")</f>
        <v/>
      </c>
      <c r="G160" s="1" t="str">
        <f aca="false">IFERROR(VLOOKUP(A160,'Pass 2'!$A:$S,MATCH("Jan 2025 Referring Domains",'Pass 2'!$1:$1,0),FALSE()),"")</f>
        <v/>
      </c>
      <c r="H160" s="1" t="str">
        <f aca="false">IFERROR(VLOOKUP(A160,'Pass 2'!$A:$S,MATCH("Jun 2026 Referring Domains",'Pass 2'!$1:$1,0),FALSE()),"")</f>
        <v/>
      </c>
    </row>
    <row r="161" customFormat="false" ht="15" hidden="false" customHeight="true" outlineLevel="0" collapsed="false">
      <c r="B161" s="1" t="str">
        <f aca="false">IFERROR(VLOOKUP(A161,'Pass 2'!$A:$S,MATCH("Category",'Pass 2'!$1:$1,0),FALSE()),"")</f>
        <v/>
      </c>
      <c r="C161" s="1" t="str">
        <f aca="false">IFERROR(VLOOKUP(A161,'Pass 1 Archive'!$A:$AD,MATCH("LinkedIn Employee Count",'Pass 1 Archive'!$1:$1,0),FALSE()),"")</f>
        <v/>
      </c>
      <c r="D161" s="1" t="str">
        <f aca="false">IFERROR(VLOOKUP(A161,'Pass 2'!$A:$S,MATCH("Jan 2025 Traffic",'Pass 2'!$1:$1,0),FALSE()),"")</f>
        <v/>
      </c>
      <c r="E161" s="1" t="str">
        <f aca="false">IFERROR(VLOOKUP(A161,'Pass 2'!$A:$S,MATCH("Jun 2026 Traffic",'Pass 2'!$1:$1,0),FALSE()),"")</f>
        <v/>
      </c>
      <c r="F161" s="1" t="str">
        <f aca="false">IFERROR(VLOOKUP(A161,'Pass 2'!$A:$S,MATCH("Traffic % Change",'Pass 2'!$1:$1,0),FALSE()),"")</f>
        <v/>
      </c>
      <c r="G161" s="1" t="str">
        <f aca="false">IFERROR(VLOOKUP(A161,'Pass 2'!$A:$S,MATCH("Jan 2025 Referring Domains",'Pass 2'!$1:$1,0),FALSE()),"")</f>
        <v/>
      </c>
      <c r="H161" s="1" t="str">
        <f aca="false">IFERROR(VLOOKUP(A161,'Pass 2'!$A:$S,MATCH("Jun 2026 Referring Domains",'Pass 2'!$1:$1,0),FALSE()),"")</f>
        <v/>
      </c>
    </row>
    <row r="162" customFormat="false" ht="15" hidden="false" customHeight="true" outlineLevel="0" collapsed="false">
      <c r="B162" s="1" t="str">
        <f aca="false">IFERROR(VLOOKUP(A162,'Pass 2'!$A:$S,MATCH("Category",'Pass 2'!$1:$1,0),FALSE()),"")</f>
        <v/>
      </c>
      <c r="C162" s="1" t="str">
        <f aca="false">IFERROR(VLOOKUP(A162,'Pass 1 Archive'!$A:$AD,MATCH("LinkedIn Employee Count",'Pass 1 Archive'!$1:$1,0),FALSE()),"")</f>
        <v/>
      </c>
      <c r="D162" s="1" t="str">
        <f aca="false">IFERROR(VLOOKUP(A162,'Pass 2'!$A:$S,MATCH("Jan 2025 Traffic",'Pass 2'!$1:$1,0),FALSE()),"")</f>
        <v/>
      </c>
      <c r="E162" s="1" t="str">
        <f aca="false">IFERROR(VLOOKUP(A162,'Pass 2'!$A:$S,MATCH("Jun 2026 Traffic",'Pass 2'!$1:$1,0),FALSE()),"")</f>
        <v/>
      </c>
      <c r="F162" s="1" t="str">
        <f aca="false">IFERROR(VLOOKUP(A162,'Pass 2'!$A:$S,MATCH("Traffic % Change",'Pass 2'!$1:$1,0),FALSE()),"")</f>
        <v/>
      </c>
      <c r="G162" s="1" t="str">
        <f aca="false">IFERROR(VLOOKUP(A162,'Pass 2'!$A:$S,MATCH("Jan 2025 Referring Domains",'Pass 2'!$1:$1,0),FALSE()),"")</f>
        <v/>
      </c>
      <c r="H162" s="1" t="str">
        <f aca="false">IFERROR(VLOOKUP(A162,'Pass 2'!$A:$S,MATCH("Jun 2026 Referring Domains",'Pass 2'!$1:$1,0),FALSE()),"")</f>
        <v/>
      </c>
    </row>
    <row r="163" customFormat="false" ht="15" hidden="false" customHeight="true" outlineLevel="0" collapsed="false">
      <c r="B163" s="1" t="str">
        <f aca="false">IFERROR(VLOOKUP(A163,'Pass 2'!$A:$S,MATCH("Category",'Pass 2'!$1:$1,0),FALSE()),"")</f>
        <v/>
      </c>
      <c r="C163" s="1" t="str">
        <f aca="false">IFERROR(VLOOKUP(A163,'Pass 1 Archive'!$A:$AD,MATCH("LinkedIn Employee Count",'Pass 1 Archive'!$1:$1,0),FALSE()),"")</f>
        <v/>
      </c>
      <c r="D163" s="1" t="str">
        <f aca="false">IFERROR(VLOOKUP(A163,'Pass 2'!$A:$S,MATCH("Jan 2025 Traffic",'Pass 2'!$1:$1,0),FALSE()),"")</f>
        <v/>
      </c>
      <c r="E163" s="1" t="str">
        <f aca="false">IFERROR(VLOOKUP(A163,'Pass 2'!$A:$S,MATCH("Jun 2026 Traffic",'Pass 2'!$1:$1,0),FALSE()),"")</f>
        <v/>
      </c>
      <c r="F163" s="1" t="str">
        <f aca="false">IFERROR(VLOOKUP(A163,'Pass 2'!$A:$S,MATCH("Traffic % Change",'Pass 2'!$1:$1,0),FALSE()),"")</f>
        <v/>
      </c>
      <c r="G163" s="1" t="str">
        <f aca="false">IFERROR(VLOOKUP(A163,'Pass 2'!$A:$S,MATCH("Jan 2025 Referring Domains",'Pass 2'!$1:$1,0),FALSE()),"")</f>
        <v/>
      </c>
      <c r="H163" s="1" t="str">
        <f aca="false">IFERROR(VLOOKUP(A163,'Pass 2'!$A:$S,MATCH("Jun 2026 Referring Domains",'Pass 2'!$1:$1,0),FALSE()),"")</f>
        <v/>
      </c>
    </row>
    <row r="164" customFormat="false" ht="15" hidden="false" customHeight="true" outlineLevel="0" collapsed="false">
      <c r="B164" s="1" t="str">
        <f aca="false">IFERROR(VLOOKUP(A164,'Pass 2'!$A:$S,MATCH("Category",'Pass 2'!$1:$1,0),FALSE()),"")</f>
        <v/>
      </c>
      <c r="C164" s="1" t="str">
        <f aca="false">IFERROR(VLOOKUP(A164,'Pass 1 Archive'!$A:$AD,MATCH("LinkedIn Employee Count",'Pass 1 Archive'!$1:$1,0),FALSE()),"")</f>
        <v/>
      </c>
      <c r="D164" s="1" t="str">
        <f aca="false">IFERROR(VLOOKUP(A164,'Pass 2'!$A:$S,MATCH("Jan 2025 Traffic",'Pass 2'!$1:$1,0),FALSE()),"")</f>
        <v/>
      </c>
      <c r="E164" s="1" t="str">
        <f aca="false">IFERROR(VLOOKUP(A164,'Pass 2'!$A:$S,MATCH("Jun 2026 Traffic",'Pass 2'!$1:$1,0),FALSE()),"")</f>
        <v/>
      </c>
      <c r="F164" s="1" t="str">
        <f aca="false">IFERROR(VLOOKUP(A164,'Pass 2'!$A:$S,MATCH("Traffic % Change",'Pass 2'!$1:$1,0),FALSE()),"")</f>
        <v/>
      </c>
      <c r="G164" s="1" t="str">
        <f aca="false">IFERROR(VLOOKUP(A164,'Pass 2'!$A:$S,MATCH("Jan 2025 Referring Domains",'Pass 2'!$1:$1,0),FALSE()),"")</f>
        <v/>
      </c>
      <c r="H164" s="1" t="str">
        <f aca="false">IFERROR(VLOOKUP(A164,'Pass 2'!$A:$S,MATCH("Jun 2026 Referring Domains",'Pass 2'!$1:$1,0),FALSE()),"")</f>
        <v/>
      </c>
    </row>
    <row r="165" customFormat="false" ht="15" hidden="false" customHeight="true" outlineLevel="0" collapsed="false">
      <c r="B165" s="1" t="str">
        <f aca="false">IFERROR(VLOOKUP(A165,'Pass 2'!$A:$S,MATCH("Category",'Pass 2'!$1:$1,0),FALSE()),"")</f>
        <v/>
      </c>
      <c r="C165" s="1" t="str">
        <f aca="false">IFERROR(VLOOKUP(A165,'Pass 1 Archive'!$A:$AD,MATCH("LinkedIn Employee Count",'Pass 1 Archive'!$1:$1,0),FALSE()),"")</f>
        <v/>
      </c>
      <c r="D165" s="1" t="str">
        <f aca="false">IFERROR(VLOOKUP(A165,'Pass 2'!$A:$S,MATCH("Jan 2025 Traffic",'Pass 2'!$1:$1,0),FALSE()),"")</f>
        <v/>
      </c>
      <c r="E165" s="1" t="str">
        <f aca="false">IFERROR(VLOOKUP(A165,'Pass 2'!$A:$S,MATCH("Jun 2026 Traffic",'Pass 2'!$1:$1,0),FALSE()),"")</f>
        <v/>
      </c>
      <c r="F165" s="1" t="str">
        <f aca="false">IFERROR(VLOOKUP(A165,'Pass 2'!$A:$S,MATCH("Traffic % Change",'Pass 2'!$1:$1,0),FALSE()),"")</f>
        <v/>
      </c>
      <c r="G165" s="1" t="str">
        <f aca="false">IFERROR(VLOOKUP(A165,'Pass 2'!$A:$S,MATCH("Jan 2025 Referring Domains",'Pass 2'!$1:$1,0),FALSE()),"")</f>
        <v/>
      </c>
      <c r="H165" s="1" t="str">
        <f aca="false">IFERROR(VLOOKUP(A165,'Pass 2'!$A:$S,MATCH("Jun 2026 Referring Domains",'Pass 2'!$1:$1,0),FALSE()),"")</f>
        <v/>
      </c>
    </row>
    <row r="166" customFormat="false" ht="15" hidden="false" customHeight="true" outlineLevel="0" collapsed="false">
      <c r="B166" s="1" t="str">
        <f aca="false">IFERROR(VLOOKUP(A166,'Pass 2'!$A:$S,MATCH("Category",'Pass 2'!$1:$1,0),FALSE()),"")</f>
        <v/>
      </c>
      <c r="C166" s="1" t="str">
        <f aca="false">IFERROR(VLOOKUP(A166,'Pass 1 Archive'!$A:$AD,MATCH("LinkedIn Employee Count",'Pass 1 Archive'!$1:$1,0),FALSE()),"")</f>
        <v/>
      </c>
      <c r="D166" s="1" t="str">
        <f aca="false">IFERROR(VLOOKUP(A166,'Pass 2'!$A:$S,MATCH("Jan 2025 Traffic",'Pass 2'!$1:$1,0),FALSE()),"")</f>
        <v/>
      </c>
      <c r="E166" s="1" t="str">
        <f aca="false">IFERROR(VLOOKUP(A166,'Pass 2'!$A:$S,MATCH("Jun 2026 Traffic",'Pass 2'!$1:$1,0),FALSE()),"")</f>
        <v/>
      </c>
      <c r="F166" s="1" t="str">
        <f aca="false">IFERROR(VLOOKUP(A166,'Pass 2'!$A:$S,MATCH("Traffic % Change",'Pass 2'!$1:$1,0),FALSE()),"")</f>
        <v/>
      </c>
      <c r="G166" s="1" t="str">
        <f aca="false">IFERROR(VLOOKUP(A166,'Pass 2'!$A:$S,MATCH("Jan 2025 Referring Domains",'Pass 2'!$1:$1,0),FALSE()),"")</f>
        <v/>
      </c>
      <c r="H166" s="1" t="str">
        <f aca="false">IFERROR(VLOOKUP(A166,'Pass 2'!$A:$S,MATCH("Jun 2026 Referring Domains",'Pass 2'!$1:$1,0),FALSE()),"")</f>
        <v/>
      </c>
    </row>
    <row r="167" customFormat="false" ht="15" hidden="false" customHeight="true" outlineLevel="0" collapsed="false">
      <c r="B167" s="1" t="str">
        <f aca="false">IFERROR(VLOOKUP(A167,'Pass 2'!$A:$S,MATCH("Category",'Pass 2'!$1:$1,0),FALSE()),"")</f>
        <v/>
      </c>
      <c r="C167" s="1" t="str">
        <f aca="false">IFERROR(VLOOKUP(A167,'Pass 1 Archive'!$A:$AD,MATCH("LinkedIn Employee Count",'Pass 1 Archive'!$1:$1,0),FALSE()),"")</f>
        <v/>
      </c>
      <c r="D167" s="1" t="str">
        <f aca="false">IFERROR(VLOOKUP(A167,'Pass 2'!$A:$S,MATCH("Jan 2025 Traffic",'Pass 2'!$1:$1,0),FALSE()),"")</f>
        <v/>
      </c>
      <c r="E167" s="1" t="str">
        <f aca="false">IFERROR(VLOOKUP(A167,'Pass 2'!$A:$S,MATCH("Jun 2026 Traffic",'Pass 2'!$1:$1,0),FALSE()),"")</f>
        <v/>
      </c>
      <c r="F167" s="1" t="str">
        <f aca="false">IFERROR(VLOOKUP(A167,'Pass 2'!$A:$S,MATCH("Traffic % Change",'Pass 2'!$1:$1,0),FALSE()),"")</f>
        <v/>
      </c>
      <c r="G167" s="1" t="str">
        <f aca="false">IFERROR(VLOOKUP(A167,'Pass 2'!$A:$S,MATCH("Jan 2025 Referring Domains",'Pass 2'!$1:$1,0),FALSE()),"")</f>
        <v/>
      </c>
      <c r="H167" s="1" t="str">
        <f aca="false">IFERROR(VLOOKUP(A167,'Pass 2'!$A:$S,MATCH("Jun 2026 Referring Domains",'Pass 2'!$1:$1,0),FALSE()),"")</f>
        <v/>
      </c>
    </row>
    <row r="168" customFormat="false" ht="15" hidden="false" customHeight="true" outlineLevel="0" collapsed="false">
      <c r="B168" s="1" t="str">
        <f aca="false">IFERROR(VLOOKUP(A168,'Pass 2'!$A:$S,MATCH("Category",'Pass 2'!$1:$1,0),FALSE()),"")</f>
        <v/>
      </c>
      <c r="C168" s="1" t="str">
        <f aca="false">IFERROR(VLOOKUP(A168,'Pass 1 Archive'!$A:$AD,MATCH("LinkedIn Employee Count",'Pass 1 Archive'!$1:$1,0),FALSE()),"")</f>
        <v/>
      </c>
      <c r="D168" s="1" t="str">
        <f aca="false">IFERROR(VLOOKUP(A168,'Pass 2'!$A:$S,MATCH("Jan 2025 Traffic",'Pass 2'!$1:$1,0),FALSE()),"")</f>
        <v/>
      </c>
      <c r="E168" s="1" t="str">
        <f aca="false">IFERROR(VLOOKUP(A168,'Pass 2'!$A:$S,MATCH("Jun 2026 Traffic",'Pass 2'!$1:$1,0),FALSE()),"")</f>
        <v/>
      </c>
      <c r="F168" s="1" t="str">
        <f aca="false">IFERROR(VLOOKUP(A168,'Pass 2'!$A:$S,MATCH("Traffic % Change",'Pass 2'!$1:$1,0),FALSE()),"")</f>
        <v/>
      </c>
      <c r="G168" s="1" t="str">
        <f aca="false">IFERROR(VLOOKUP(A168,'Pass 2'!$A:$S,MATCH("Jan 2025 Referring Domains",'Pass 2'!$1:$1,0),FALSE()),"")</f>
        <v/>
      </c>
      <c r="H168" s="1" t="str">
        <f aca="false">IFERROR(VLOOKUP(A168,'Pass 2'!$A:$S,MATCH("Jun 2026 Referring Domains",'Pass 2'!$1:$1,0),FALSE()),"")</f>
        <v/>
      </c>
    </row>
    <row r="169" customFormat="false" ht="15" hidden="false" customHeight="true" outlineLevel="0" collapsed="false">
      <c r="B169" s="1" t="str">
        <f aca="false">IFERROR(VLOOKUP(A169,'Pass 2'!$A:$S,MATCH("Category",'Pass 2'!$1:$1,0),FALSE()),"")</f>
        <v/>
      </c>
      <c r="C169" s="1" t="str">
        <f aca="false">IFERROR(VLOOKUP(A169,'Pass 1 Archive'!$A:$AD,MATCH("LinkedIn Employee Count",'Pass 1 Archive'!$1:$1,0),FALSE()),"")</f>
        <v/>
      </c>
      <c r="D169" s="1" t="str">
        <f aca="false">IFERROR(VLOOKUP(A169,'Pass 2'!$A:$S,MATCH("Jan 2025 Traffic",'Pass 2'!$1:$1,0),FALSE()),"")</f>
        <v/>
      </c>
      <c r="E169" s="1" t="str">
        <f aca="false">IFERROR(VLOOKUP(A169,'Pass 2'!$A:$S,MATCH("Jun 2026 Traffic",'Pass 2'!$1:$1,0),FALSE()),"")</f>
        <v/>
      </c>
      <c r="F169" s="1" t="str">
        <f aca="false">IFERROR(VLOOKUP(A169,'Pass 2'!$A:$S,MATCH("Traffic % Change",'Pass 2'!$1:$1,0),FALSE()),"")</f>
        <v/>
      </c>
      <c r="G169" s="1" t="str">
        <f aca="false">IFERROR(VLOOKUP(A169,'Pass 2'!$A:$S,MATCH("Jan 2025 Referring Domains",'Pass 2'!$1:$1,0),FALSE()),"")</f>
        <v/>
      </c>
      <c r="H169" s="1" t="str">
        <f aca="false">IFERROR(VLOOKUP(A169,'Pass 2'!$A:$S,MATCH("Jun 2026 Referring Domains",'Pass 2'!$1:$1,0),FALSE()),"")</f>
        <v/>
      </c>
    </row>
    <row r="170" customFormat="false" ht="15" hidden="false" customHeight="true" outlineLevel="0" collapsed="false">
      <c r="B170" s="1" t="str">
        <f aca="false">IFERROR(VLOOKUP(A170,'Pass 2'!$A:$S,MATCH("Category",'Pass 2'!$1:$1,0),FALSE()),"")</f>
        <v/>
      </c>
      <c r="C170" s="1" t="str">
        <f aca="false">IFERROR(VLOOKUP(A170,'Pass 1 Archive'!$A:$AD,MATCH("LinkedIn Employee Count",'Pass 1 Archive'!$1:$1,0),FALSE()),"")</f>
        <v/>
      </c>
      <c r="D170" s="1" t="str">
        <f aca="false">IFERROR(VLOOKUP(A170,'Pass 2'!$A:$S,MATCH("Jan 2025 Traffic",'Pass 2'!$1:$1,0),FALSE()),"")</f>
        <v/>
      </c>
      <c r="E170" s="1" t="str">
        <f aca="false">IFERROR(VLOOKUP(A170,'Pass 2'!$A:$S,MATCH("Jun 2026 Traffic",'Pass 2'!$1:$1,0),FALSE()),"")</f>
        <v/>
      </c>
      <c r="F170" s="1" t="str">
        <f aca="false">IFERROR(VLOOKUP(A170,'Pass 2'!$A:$S,MATCH("Traffic % Change",'Pass 2'!$1:$1,0),FALSE()),"")</f>
        <v/>
      </c>
      <c r="G170" s="1" t="str">
        <f aca="false">IFERROR(VLOOKUP(A170,'Pass 2'!$A:$S,MATCH("Jan 2025 Referring Domains",'Pass 2'!$1:$1,0),FALSE()),"")</f>
        <v/>
      </c>
      <c r="H170" s="1" t="str">
        <f aca="false">IFERROR(VLOOKUP(A170,'Pass 2'!$A:$S,MATCH("Jun 2026 Referring Domains",'Pass 2'!$1:$1,0),FALSE()),"")</f>
        <v/>
      </c>
    </row>
    <row r="171" customFormat="false" ht="15" hidden="false" customHeight="true" outlineLevel="0" collapsed="false">
      <c r="B171" s="1" t="str">
        <f aca="false">IFERROR(VLOOKUP(A171,'Pass 2'!$A:$S,MATCH("Category",'Pass 2'!$1:$1,0),FALSE()),"")</f>
        <v/>
      </c>
      <c r="C171" s="1" t="str">
        <f aca="false">IFERROR(VLOOKUP(A171,'Pass 1 Archive'!$A:$AD,MATCH("LinkedIn Employee Count",'Pass 1 Archive'!$1:$1,0),FALSE()),"")</f>
        <v/>
      </c>
      <c r="D171" s="1" t="str">
        <f aca="false">IFERROR(VLOOKUP(A171,'Pass 2'!$A:$S,MATCH("Jan 2025 Traffic",'Pass 2'!$1:$1,0),FALSE()),"")</f>
        <v/>
      </c>
      <c r="E171" s="1" t="str">
        <f aca="false">IFERROR(VLOOKUP(A171,'Pass 2'!$A:$S,MATCH("Jun 2026 Traffic",'Pass 2'!$1:$1,0),FALSE()),"")</f>
        <v/>
      </c>
      <c r="F171" s="1" t="str">
        <f aca="false">IFERROR(VLOOKUP(A171,'Pass 2'!$A:$S,MATCH("Traffic % Change",'Pass 2'!$1:$1,0),FALSE()),"")</f>
        <v/>
      </c>
      <c r="G171" s="1" t="str">
        <f aca="false">IFERROR(VLOOKUP(A171,'Pass 2'!$A:$S,MATCH("Jan 2025 Referring Domains",'Pass 2'!$1:$1,0),FALSE()),"")</f>
        <v/>
      </c>
      <c r="H171" s="1" t="str">
        <f aca="false">IFERROR(VLOOKUP(A171,'Pass 2'!$A:$S,MATCH("Jun 2026 Referring Domains",'Pass 2'!$1:$1,0),FALSE()),"")</f>
        <v/>
      </c>
    </row>
    <row r="172" customFormat="false" ht="15" hidden="false" customHeight="true" outlineLevel="0" collapsed="false">
      <c r="B172" s="1" t="str">
        <f aca="false">IFERROR(VLOOKUP(A172,'Pass 2'!$A:$S,MATCH("Category",'Pass 2'!$1:$1,0),FALSE()),"")</f>
        <v/>
      </c>
      <c r="C172" s="1" t="str">
        <f aca="false">IFERROR(VLOOKUP(A172,'Pass 1 Archive'!$A:$AD,MATCH("LinkedIn Employee Count",'Pass 1 Archive'!$1:$1,0),FALSE()),"")</f>
        <v/>
      </c>
      <c r="D172" s="1" t="str">
        <f aca="false">IFERROR(VLOOKUP(A172,'Pass 2'!$A:$S,MATCH("Jan 2025 Traffic",'Pass 2'!$1:$1,0),FALSE()),"")</f>
        <v/>
      </c>
      <c r="E172" s="1" t="str">
        <f aca="false">IFERROR(VLOOKUP(A172,'Pass 2'!$A:$S,MATCH("Jun 2026 Traffic",'Pass 2'!$1:$1,0),FALSE()),"")</f>
        <v/>
      </c>
      <c r="F172" s="1" t="str">
        <f aca="false">IFERROR(VLOOKUP(A172,'Pass 2'!$A:$S,MATCH("Traffic % Change",'Pass 2'!$1:$1,0),FALSE()),"")</f>
        <v/>
      </c>
      <c r="G172" s="1" t="str">
        <f aca="false">IFERROR(VLOOKUP(A172,'Pass 2'!$A:$S,MATCH("Jan 2025 Referring Domains",'Pass 2'!$1:$1,0),FALSE()),"")</f>
        <v/>
      </c>
      <c r="H172" s="1" t="str">
        <f aca="false">IFERROR(VLOOKUP(A172,'Pass 2'!$A:$S,MATCH("Jun 2026 Referring Domains",'Pass 2'!$1:$1,0),FALSE()),"")</f>
        <v/>
      </c>
    </row>
    <row r="173" customFormat="false" ht="15" hidden="false" customHeight="true" outlineLevel="0" collapsed="false">
      <c r="B173" s="1" t="str">
        <f aca="false">IFERROR(VLOOKUP(A173,'Pass 2'!$A:$S,MATCH("Category",'Pass 2'!$1:$1,0),FALSE()),"")</f>
        <v/>
      </c>
      <c r="C173" s="1" t="str">
        <f aca="false">IFERROR(VLOOKUP(A173,'Pass 1 Archive'!$A:$AD,MATCH("LinkedIn Employee Count",'Pass 1 Archive'!$1:$1,0),FALSE()),"")</f>
        <v/>
      </c>
      <c r="D173" s="1" t="str">
        <f aca="false">IFERROR(VLOOKUP(A173,'Pass 2'!$A:$S,MATCH("Jan 2025 Traffic",'Pass 2'!$1:$1,0),FALSE()),"")</f>
        <v/>
      </c>
      <c r="E173" s="1" t="str">
        <f aca="false">IFERROR(VLOOKUP(A173,'Pass 2'!$A:$S,MATCH("Jun 2026 Traffic",'Pass 2'!$1:$1,0),FALSE()),"")</f>
        <v/>
      </c>
      <c r="F173" s="1" t="str">
        <f aca="false">IFERROR(VLOOKUP(A173,'Pass 2'!$A:$S,MATCH("Traffic % Change",'Pass 2'!$1:$1,0),FALSE()),"")</f>
        <v/>
      </c>
      <c r="G173" s="1" t="str">
        <f aca="false">IFERROR(VLOOKUP(A173,'Pass 2'!$A:$S,MATCH("Jan 2025 Referring Domains",'Pass 2'!$1:$1,0),FALSE()),"")</f>
        <v/>
      </c>
      <c r="H173" s="1" t="str">
        <f aca="false">IFERROR(VLOOKUP(A173,'Pass 2'!$A:$S,MATCH("Jun 2026 Referring Domains",'Pass 2'!$1:$1,0),FALSE()),"")</f>
        <v/>
      </c>
    </row>
    <row r="174" customFormat="false" ht="15" hidden="false" customHeight="true" outlineLevel="0" collapsed="false">
      <c r="B174" s="1" t="str">
        <f aca="false">IFERROR(VLOOKUP(A174,'Pass 2'!$A:$S,MATCH("Category",'Pass 2'!$1:$1,0),FALSE()),"")</f>
        <v/>
      </c>
      <c r="C174" s="1" t="str">
        <f aca="false">IFERROR(VLOOKUP(A174,'Pass 1 Archive'!$A:$AD,MATCH("LinkedIn Employee Count",'Pass 1 Archive'!$1:$1,0),FALSE()),"")</f>
        <v/>
      </c>
      <c r="D174" s="1" t="str">
        <f aca="false">IFERROR(VLOOKUP(A174,'Pass 2'!$A:$S,MATCH("Jan 2025 Traffic",'Pass 2'!$1:$1,0),FALSE()),"")</f>
        <v/>
      </c>
      <c r="E174" s="1" t="str">
        <f aca="false">IFERROR(VLOOKUP(A174,'Pass 2'!$A:$S,MATCH("Jun 2026 Traffic",'Pass 2'!$1:$1,0),FALSE()),"")</f>
        <v/>
      </c>
      <c r="F174" s="1" t="str">
        <f aca="false">IFERROR(VLOOKUP(A174,'Pass 2'!$A:$S,MATCH("Traffic % Change",'Pass 2'!$1:$1,0),FALSE()),"")</f>
        <v/>
      </c>
      <c r="G174" s="1" t="str">
        <f aca="false">IFERROR(VLOOKUP(A174,'Pass 2'!$A:$S,MATCH("Jan 2025 Referring Domains",'Pass 2'!$1:$1,0),FALSE()),"")</f>
        <v/>
      </c>
      <c r="H174" s="1" t="str">
        <f aca="false">IFERROR(VLOOKUP(A174,'Pass 2'!$A:$S,MATCH("Jun 2026 Referring Domains",'Pass 2'!$1:$1,0),FALSE()),"")</f>
        <v/>
      </c>
    </row>
    <row r="175" customFormat="false" ht="15" hidden="false" customHeight="true" outlineLevel="0" collapsed="false">
      <c r="B175" s="1" t="str">
        <f aca="false">IFERROR(VLOOKUP(A175,'Pass 2'!$A:$S,MATCH("Category",'Pass 2'!$1:$1,0),FALSE()),"")</f>
        <v/>
      </c>
      <c r="C175" s="1" t="str">
        <f aca="false">IFERROR(VLOOKUP(A175,'Pass 1 Archive'!$A:$AD,MATCH("LinkedIn Employee Count",'Pass 1 Archive'!$1:$1,0),FALSE()),"")</f>
        <v/>
      </c>
      <c r="D175" s="1" t="str">
        <f aca="false">IFERROR(VLOOKUP(A175,'Pass 2'!$A:$S,MATCH("Jan 2025 Traffic",'Pass 2'!$1:$1,0),FALSE()),"")</f>
        <v/>
      </c>
      <c r="E175" s="1" t="str">
        <f aca="false">IFERROR(VLOOKUP(A175,'Pass 2'!$A:$S,MATCH("Jun 2026 Traffic",'Pass 2'!$1:$1,0),FALSE()),"")</f>
        <v/>
      </c>
      <c r="F175" s="1" t="str">
        <f aca="false">IFERROR(VLOOKUP(A175,'Pass 2'!$A:$S,MATCH("Traffic % Change",'Pass 2'!$1:$1,0),FALSE()),"")</f>
        <v/>
      </c>
      <c r="G175" s="1" t="str">
        <f aca="false">IFERROR(VLOOKUP(A175,'Pass 2'!$A:$S,MATCH("Jan 2025 Referring Domains",'Pass 2'!$1:$1,0),FALSE()),"")</f>
        <v/>
      </c>
      <c r="H175" s="1" t="str">
        <f aca="false">IFERROR(VLOOKUP(A175,'Pass 2'!$A:$S,MATCH("Jun 2026 Referring Domains",'Pass 2'!$1:$1,0),FALSE()),"")</f>
        <v/>
      </c>
    </row>
    <row r="176" customFormat="false" ht="15" hidden="false" customHeight="true" outlineLevel="0" collapsed="false">
      <c r="B176" s="1" t="str">
        <f aca="false">IFERROR(VLOOKUP(A176,'Pass 2'!$A:$S,MATCH("Category",'Pass 2'!$1:$1,0),FALSE()),"")</f>
        <v/>
      </c>
      <c r="C176" s="1" t="str">
        <f aca="false">IFERROR(VLOOKUP(A176,'Pass 1 Archive'!$A:$AD,MATCH("LinkedIn Employee Count",'Pass 1 Archive'!$1:$1,0),FALSE()),"")</f>
        <v/>
      </c>
      <c r="D176" s="1" t="str">
        <f aca="false">IFERROR(VLOOKUP(A176,'Pass 2'!$A:$S,MATCH("Jan 2025 Traffic",'Pass 2'!$1:$1,0),FALSE()),"")</f>
        <v/>
      </c>
      <c r="E176" s="1" t="str">
        <f aca="false">IFERROR(VLOOKUP(A176,'Pass 2'!$A:$S,MATCH("Jun 2026 Traffic",'Pass 2'!$1:$1,0),FALSE()),"")</f>
        <v/>
      </c>
      <c r="F176" s="1" t="str">
        <f aca="false">IFERROR(VLOOKUP(A176,'Pass 2'!$A:$S,MATCH("Traffic % Change",'Pass 2'!$1:$1,0),FALSE()),"")</f>
        <v/>
      </c>
      <c r="G176" s="1" t="str">
        <f aca="false">IFERROR(VLOOKUP(A176,'Pass 2'!$A:$S,MATCH("Jan 2025 Referring Domains",'Pass 2'!$1:$1,0),FALSE()),"")</f>
        <v/>
      </c>
      <c r="H176" s="1" t="str">
        <f aca="false">IFERROR(VLOOKUP(A176,'Pass 2'!$A:$S,MATCH("Jun 2026 Referring Domains",'Pass 2'!$1:$1,0),FALSE()),"")</f>
        <v/>
      </c>
    </row>
    <row r="177" customFormat="false" ht="15" hidden="false" customHeight="true" outlineLevel="0" collapsed="false">
      <c r="B177" s="1" t="str">
        <f aca="false">IFERROR(VLOOKUP(A177,'Pass 2'!$A:$S,MATCH("Category",'Pass 2'!$1:$1,0),FALSE()),"")</f>
        <v/>
      </c>
      <c r="C177" s="1" t="str">
        <f aca="false">IFERROR(VLOOKUP(A177,'Pass 1 Archive'!$A:$AD,MATCH("LinkedIn Employee Count",'Pass 1 Archive'!$1:$1,0),FALSE()),"")</f>
        <v/>
      </c>
      <c r="D177" s="1" t="str">
        <f aca="false">IFERROR(VLOOKUP(A177,'Pass 2'!$A:$S,MATCH("Jan 2025 Traffic",'Pass 2'!$1:$1,0),FALSE()),"")</f>
        <v/>
      </c>
      <c r="E177" s="1" t="str">
        <f aca="false">IFERROR(VLOOKUP(A177,'Pass 2'!$A:$S,MATCH("Jun 2026 Traffic",'Pass 2'!$1:$1,0),FALSE()),"")</f>
        <v/>
      </c>
      <c r="F177" s="1" t="str">
        <f aca="false">IFERROR(VLOOKUP(A177,'Pass 2'!$A:$S,MATCH("Traffic % Change",'Pass 2'!$1:$1,0),FALSE()),"")</f>
        <v/>
      </c>
      <c r="G177" s="1" t="str">
        <f aca="false">IFERROR(VLOOKUP(A177,'Pass 2'!$A:$S,MATCH("Jan 2025 Referring Domains",'Pass 2'!$1:$1,0),FALSE()),"")</f>
        <v/>
      </c>
      <c r="H177" s="1" t="str">
        <f aca="false">IFERROR(VLOOKUP(A177,'Pass 2'!$A:$S,MATCH("Jun 2026 Referring Domains",'Pass 2'!$1:$1,0),FALSE()),"")</f>
        <v/>
      </c>
    </row>
    <row r="178" customFormat="false" ht="15" hidden="false" customHeight="true" outlineLevel="0" collapsed="false">
      <c r="B178" s="1" t="str">
        <f aca="false">IFERROR(VLOOKUP(A178,'Pass 2'!$A:$S,MATCH("Category",'Pass 2'!$1:$1,0),FALSE()),"")</f>
        <v/>
      </c>
      <c r="C178" s="1" t="str">
        <f aca="false">IFERROR(VLOOKUP(A178,'Pass 1 Archive'!$A:$AD,MATCH("LinkedIn Employee Count",'Pass 1 Archive'!$1:$1,0),FALSE()),"")</f>
        <v/>
      </c>
      <c r="D178" s="1" t="str">
        <f aca="false">IFERROR(VLOOKUP(A178,'Pass 2'!$A:$S,MATCH("Jan 2025 Traffic",'Pass 2'!$1:$1,0),FALSE()),"")</f>
        <v/>
      </c>
      <c r="E178" s="1" t="str">
        <f aca="false">IFERROR(VLOOKUP(A178,'Pass 2'!$A:$S,MATCH("Jun 2026 Traffic",'Pass 2'!$1:$1,0),FALSE()),"")</f>
        <v/>
      </c>
      <c r="F178" s="1" t="str">
        <f aca="false">IFERROR(VLOOKUP(A178,'Pass 2'!$A:$S,MATCH("Traffic % Change",'Pass 2'!$1:$1,0),FALSE()),"")</f>
        <v/>
      </c>
      <c r="G178" s="1" t="str">
        <f aca="false">IFERROR(VLOOKUP(A178,'Pass 2'!$A:$S,MATCH("Jan 2025 Referring Domains",'Pass 2'!$1:$1,0),FALSE()),"")</f>
        <v/>
      </c>
      <c r="H178" s="1" t="str">
        <f aca="false">IFERROR(VLOOKUP(A178,'Pass 2'!$A:$S,MATCH("Jun 2026 Referring Domains",'Pass 2'!$1:$1,0),FALSE()),"")</f>
        <v/>
      </c>
    </row>
    <row r="179" customFormat="false" ht="15" hidden="false" customHeight="true" outlineLevel="0" collapsed="false">
      <c r="B179" s="1" t="str">
        <f aca="false">IFERROR(VLOOKUP(A179,'Pass 2'!$A:$S,MATCH("Category",'Pass 2'!$1:$1,0),FALSE()),"")</f>
        <v/>
      </c>
      <c r="C179" s="1" t="str">
        <f aca="false">IFERROR(VLOOKUP(A179,'Pass 1 Archive'!$A:$AD,MATCH("LinkedIn Employee Count",'Pass 1 Archive'!$1:$1,0),FALSE()),"")</f>
        <v/>
      </c>
      <c r="D179" s="1" t="str">
        <f aca="false">IFERROR(VLOOKUP(A179,'Pass 2'!$A:$S,MATCH("Jan 2025 Traffic",'Pass 2'!$1:$1,0),FALSE()),"")</f>
        <v/>
      </c>
      <c r="E179" s="1" t="str">
        <f aca="false">IFERROR(VLOOKUP(A179,'Pass 2'!$A:$S,MATCH("Jun 2026 Traffic",'Pass 2'!$1:$1,0),FALSE()),"")</f>
        <v/>
      </c>
      <c r="F179" s="1" t="str">
        <f aca="false">IFERROR(VLOOKUP(A179,'Pass 2'!$A:$S,MATCH("Traffic % Change",'Pass 2'!$1:$1,0),FALSE()),"")</f>
        <v/>
      </c>
      <c r="G179" s="1" t="str">
        <f aca="false">IFERROR(VLOOKUP(A179,'Pass 2'!$A:$S,MATCH("Jan 2025 Referring Domains",'Pass 2'!$1:$1,0),FALSE()),"")</f>
        <v/>
      </c>
      <c r="H179" s="1" t="str">
        <f aca="false">IFERROR(VLOOKUP(A179,'Pass 2'!$A:$S,MATCH("Jun 2026 Referring Domains",'Pass 2'!$1:$1,0),FALSE()),"")</f>
        <v/>
      </c>
    </row>
    <row r="180" customFormat="false" ht="15" hidden="false" customHeight="true" outlineLevel="0" collapsed="false">
      <c r="B180" s="1" t="str">
        <f aca="false">IFERROR(VLOOKUP(A180,'Pass 2'!$A:$S,MATCH("Category",'Pass 2'!$1:$1,0),FALSE()),"")</f>
        <v/>
      </c>
      <c r="C180" s="1" t="str">
        <f aca="false">IFERROR(VLOOKUP(A180,'Pass 1 Archive'!$A:$AD,MATCH("LinkedIn Employee Count",'Pass 1 Archive'!$1:$1,0),FALSE()),"")</f>
        <v/>
      </c>
      <c r="D180" s="1" t="str">
        <f aca="false">IFERROR(VLOOKUP(A180,'Pass 2'!$A:$S,MATCH("Jan 2025 Traffic",'Pass 2'!$1:$1,0),FALSE()),"")</f>
        <v/>
      </c>
      <c r="E180" s="1" t="str">
        <f aca="false">IFERROR(VLOOKUP(A180,'Pass 2'!$A:$S,MATCH("Jun 2026 Traffic",'Pass 2'!$1:$1,0),FALSE()),"")</f>
        <v/>
      </c>
      <c r="F180" s="1" t="str">
        <f aca="false">IFERROR(VLOOKUP(A180,'Pass 2'!$A:$S,MATCH("Traffic % Change",'Pass 2'!$1:$1,0),FALSE()),"")</f>
        <v/>
      </c>
      <c r="G180" s="1" t="str">
        <f aca="false">IFERROR(VLOOKUP(A180,'Pass 2'!$A:$S,MATCH("Jan 2025 Referring Domains",'Pass 2'!$1:$1,0),FALSE()),"")</f>
        <v/>
      </c>
      <c r="H180" s="1" t="str">
        <f aca="false">IFERROR(VLOOKUP(A180,'Pass 2'!$A:$S,MATCH("Jun 2026 Referring Domains",'Pass 2'!$1:$1,0),FALSE()),"")</f>
        <v/>
      </c>
    </row>
    <row r="181" customFormat="false" ht="15" hidden="false" customHeight="true" outlineLevel="0" collapsed="false">
      <c r="B181" s="1" t="str">
        <f aca="false">IFERROR(VLOOKUP(A181,'Pass 2'!$A:$S,MATCH("Category",'Pass 2'!$1:$1,0),FALSE()),"")</f>
        <v/>
      </c>
      <c r="C181" s="1" t="str">
        <f aca="false">IFERROR(VLOOKUP(A181,'Pass 1 Archive'!$A:$AD,MATCH("LinkedIn Employee Count",'Pass 1 Archive'!$1:$1,0),FALSE()),"")</f>
        <v/>
      </c>
      <c r="D181" s="1" t="str">
        <f aca="false">IFERROR(VLOOKUP(A181,'Pass 2'!$A:$S,MATCH("Jan 2025 Traffic",'Pass 2'!$1:$1,0),FALSE()),"")</f>
        <v/>
      </c>
      <c r="E181" s="1" t="str">
        <f aca="false">IFERROR(VLOOKUP(A181,'Pass 2'!$A:$S,MATCH("Jun 2026 Traffic",'Pass 2'!$1:$1,0),FALSE()),"")</f>
        <v/>
      </c>
      <c r="F181" s="1" t="str">
        <f aca="false">IFERROR(VLOOKUP(A181,'Pass 2'!$A:$S,MATCH("Traffic % Change",'Pass 2'!$1:$1,0),FALSE()),"")</f>
        <v/>
      </c>
      <c r="G181" s="1" t="str">
        <f aca="false">IFERROR(VLOOKUP(A181,'Pass 2'!$A:$S,MATCH("Jan 2025 Referring Domains",'Pass 2'!$1:$1,0),FALSE()),"")</f>
        <v/>
      </c>
      <c r="H181" s="1" t="str">
        <f aca="false">IFERROR(VLOOKUP(A181,'Pass 2'!$A:$S,MATCH("Jun 2026 Referring Domains",'Pass 2'!$1:$1,0),FALSE()),"")</f>
        <v/>
      </c>
    </row>
    <row r="182" customFormat="false" ht="15" hidden="false" customHeight="true" outlineLevel="0" collapsed="false">
      <c r="B182" s="1" t="str">
        <f aca="false">IFERROR(VLOOKUP(A182,'Pass 2'!$A:$S,MATCH("Category",'Pass 2'!$1:$1,0),FALSE()),"")</f>
        <v/>
      </c>
      <c r="C182" s="1" t="str">
        <f aca="false">IFERROR(VLOOKUP(A182,'Pass 1 Archive'!$A:$AD,MATCH("LinkedIn Employee Count",'Pass 1 Archive'!$1:$1,0),FALSE()),"")</f>
        <v/>
      </c>
      <c r="D182" s="1" t="str">
        <f aca="false">IFERROR(VLOOKUP(A182,'Pass 2'!$A:$S,MATCH("Jan 2025 Traffic",'Pass 2'!$1:$1,0),FALSE()),"")</f>
        <v/>
      </c>
      <c r="E182" s="1" t="str">
        <f aca="false">IFERROR(VLOOKUP(A182,'Pass 2'!$A:$S,MATCH("Jun 2026 Traffic",'Pass 2'!$1:$1,0),FALSE()),"")</f>
        <v/>
      </c>
      <c r="F182" s="1" t="str">
        <f aca="false">IFERROR(VLOOKUP(A182,'Pass 2'!$A:$S,MATCH("Traffic % Change",'Pass 2'!$1:$1,0),FALSE()),"")</f>
        <v/>
      </c>
      <c r="G182" s="1" t="str">
        <f aca="false">IFERROR(VLOOKUP(A182,'Pass 2'!$A:$S,MATCH("Jan 2025 Referring Domains",'Pass 2'!$1:$1,0),FALSE()),"")</f>
        <v/>
      </c>
      <c r="H182" s="1" t="str">
        <f aca="false">IFERROR(VLOOKUP(A182,'Pass 2'!$A:$S,MATCH("Jun 2026 Referring Domains",'Pass 2'!$1:$1,0),FALSE()),"")</f>
        <v/>
      </c>
    </row>
    <row r="183" customFormat="false" ht="15" hidden="false" customHeight="true" outlineLevel="0" collapsed="false">
      <c r="B183" s="1" t="str">
        <f aca="false">IFERROR(VLOOKUP(A183,'Pass 2'!$A:$S,MATCH("Category",'Pass 2'!$1:$1,0),FALSE()),"")</f>
        <v/>
      </c>
      <c r="C183" s="1" t="str">
        <f aca="false">IFERROR(VLOOKUP(A183,'Pass 1 Archive'!$A:$AD,MATCH("LinkedIn Employee Count",'Pass 1 Archive'!$1:$1,0),FALSE()),"")</f>
        <v/>
      </c>
      <c r="D183" s="1" t="str">
        <f aca="false">IFERROR(VLOOKUP(A183,'Pass 2'!$A:$S,MATCH("Jan 2025 Traffic",'Pass 2'!$1:$1,0),FALSE()),"")</f>
        <v/>
      </c>
      <c r="E183" s="1" t="str">
        <f aca="false">IFERROR(VLOOKUP(A183,'Pass 2'!$A:$S,MATCH("Jun 2026 Traffic",'Pass 2'!$1:$1,0),FALSE()),"")</f>
        <v/>
      </c>
      <c r="F183" s="1" t="str">
        <f aca="false">IFERROR(VLOOKUP(A183,'Pass 2'!$A:$S,MATCH("Traffic % Change",'Pass 2'!$1:$1,0),FALSE()),"")</f>
        <v/>
      </c>
      <c r="G183" s="1" t="str">
        <f aca="false">IFERROR(VLOOKUP(A183,'Pass 2'!$A:$S,MATCH("Jan 2025 Referring Domains",'Pass 2'!$1:$1,0),FALSE()),"")</f>
        <v/>
      </c>
      <c r="H183" s="1" t="str">
        <f aca="false">IFERROR(VLOOKUP(A183,'Pass 2'!$A:$S,MATCH("Jun 2026 Referring Domains",'Pass 2'!$1:$1,0),FALSE()),"")</f>
        <v/>
      </c>
    </row>
    <row r="184" customFormat="false" ht="15" hidden="false" customHeight="true" outlineLevel="0" collapsed="false">
      <c r="B184" s="1" t="str">
        <f aca="false">IFERROR(VLOOKUP(A184,'Pass 2'!$A:$S,MATCH("Category",'Pass 2'!$1:$1,0),FALSE()),"")</f>
        <v/>
      </c>
      <c r="C184" s="1" t="str">
        <f aca="false">IFERROR(VLOOKUP(A184,'Pass 1 Archive'!$A:$AD,MATCH("LinkedIn Employee Count",'Pass 1 Archive'!$1:$1,0),FALSE()),"")</f>
        <v/>
      </c>
      <c r="D184" s="1" t="str">
        <f aca="false">IFERROR(VLOOKUP(A184,'Pass 2'!$A:$S,MATCH("Jan 2025 Traffic",'Pass 2'!$1:$1,0),FALSE()),"")</f>
        <v/>
      </c>
      <c r="E184" s="1" t="str">
        <f aca="false">IFERROR(VLOOKUP(A184,'Pass 2'!$A:$S,MATCH("Jun 2026 Traffic",'Pass 2'!$1:$1,0),FALSE()),"")</f>
        <v/>
      </c>
      <c r="F184" s="1" t="str">
        <f aca="false">IFERROR(VLOOKUP(A184,'Pass 2'!$A:$S,MATCH("Traffic % Change",'Pass 2'!$1:$1,0),FALSE()),"")</f>
        <v/>
      </c>
      <c r="G184" s="1" t="str">
        <f aca="false">IFERROR(VLOOKUP(A184,'Pass 2'!$A:$S,MATCH("Jan 2025 Referring Domains",'Pass 2'!$1:$1,0),FALSE()),"")</f>
        <v/>
      </c>
      <c r="H184" s="1" t="str">
        <f aca="false">IFERROR(VLOOKUP(A184,'Pass 2'!$A:$S,MATCH("Jun 2026 Referring Domains",'Pass 2'!$1:$1,0),FALSE()),"")</f>
        <v/>
      </c>
    </row>
    <row r="185" customFormat="false" ht="15" hidden="false" customHeight="true" outlineLevel="0" collapsed="false">
      <c r="B185" s="1" t="str">
        <f aca="false">IFERROR(VLOOKUP(A185,'Pass 2'!$A:$S,MATCH("Category",'Pass 2'!$1:$1,0),FALSE()),"")</f>
        <v/>
      </c>
      <c r="C185" s="1" t="str">
        <f aca="false">IFERROR(VLOOKUP(A185,'Pass 1 Archive'!$A:$AD,MATCH("LinkedIn Employee Count",'Pass 1 Archive'!$1:$1,0),FALSE()),"")</f>
        <v/>
      </c>
      <c r="D185" s="1" t="str">
        <f aca="false">IFERROR(VLOOKUP(A185,'Pass 2'!$A:$S,MATCH("Jan 2025 Traffic",'Pass 2'!$1:$1,0),FALSE()),"")</f>
        <v/>
      </c>
      <c r="E185" s="1" t="str">
        <f aca="false">IFERROR(VLOOKUP(A185,'Pass 2'!$A:$S,MATCH("Jun 2026 Traffic",'Pass 2'!$1:$1,0),FALSE()),"")</f>
        <v/>
      </c>
      <c r="F185" s="1" t="str">
        <f aca="false">IFERROR(VLOOKUP(A185,'Pass 2'!$A:$S,MATCH("Traffic % Change",'Pass 2'!$1:$1,0),FALSE()),"")</f>
        <v/>
      </c>
      <c r="G185" s="1" t="str">
        <f aca="false">IFERROR(VLOOKUP(A185,'Pass 2'!$A:$S,MATCH("Jan 2025 Referring Domains",'Pass 2'!$1:$1,0),FALSE()),"")</f>
        <v/>
      </c>
      <c r="H185" s="1" t="str">
        <f aca="false">IFERROR(VLOOKUP(A185,'Pass 2'!$A:$S,MATCH("Jun 2026 Referring Domains",'Pass 2'!$1:$1,0),FALSE()),"")</f>
        <v/>
      </c>
    </row>
    <row r="186" customFormat="false" ht="15" hidden="false" customHeight="true" outlineLevel="0" collapsed="false">
      <c r="B186" s="1" t="str">
        <f aca="false">IFERROR(VLOOKUP(A186,'Pass 2'!$A:$S,MATCH("Category",'Pass 2'!$1:$1,0),FALSE()),"")</f>
        <v/>
      </c>
      <c r="C186" s="1" t="str">
        <f aca="false">IFERROR(VLOOKUP(A186,'Pass 1 Archive'!$A:$AD,MATCH("LinkedIn Employee Count",'Pass 1 Archive'!$1:$1,0),FALSE()),"")</f>
        <v/>
      </c>
      <c r="D186" s="1" t="str">
        <f aca="false">IFERROR(VLOOKUP(A186,'Pass 2'!$A:$S,MATCH("Jan 2025 Traffic",'Pass 2'!$1:$1,0),FALSE()),"")</f>
        <v/>
      </c>
      <c r="E186" s="1" t="str">
        <f aca="false">IFERROR(VLOOKUP(A186,'Pass 2'!$A:$S,MATCH("Jun 2026 Traffic",'Pass 2'!$1:$1,0),FALSE()),"")</f>
        <v/>
      </c>
      <c r="F186" s="1" t="str">
        <f aca="false">IFERROR(VLOOKUP(A186,'Pass 2'!$A:$S,MATCH("Traffic % Change",'Pass 2'!$1:$1,0),FALSE()),"")</f>
        <v/>
      </c>
      <c r="G186" s="1" t="str">
        <f aca="false">IFERROR(VLOOKUP(A186,'Pass 2'!$A:$S,MATCH("Jan 2025 Referring Domains",'Pass 2'!$1:$1,0),FALSE()),"")</f>
        <v/>
      </c>
      <c r="H186" s="1" t="str">
        <f aca="false">IFERROR(VLOOKUP(A186,'Pass 2'!$A:$S,MATCH("Jun 2026 Referring Domains",'Pass 2'!$1:$1,0),FALSE()),"")</f>
        <v/>
      </c>
    </row>
    <row r="187" customFormat="false" ht="15" hidden="false" customHeight="true" outlineLevel="0" collapsed="false">
      <c r="B187" s="1" t="str">
        <f aca="false">IFERROR(VLOOKUP(A187,'Pass 2'!$A:$S,MATCH("Category",'Pass 2'!$1:$1,0),FALSE()),"")</f>
        <v/>
      </c>
      <c r="C187" s="1" t="str">
        <f aca="false">IFERROR(VLOOKUP(A187,'Pass 1 Archive'!$A:$AD,MATCH("LinkedIn Employee Count",'Pass 1 Archive'!$1:$1,0),FALSE()),"")</f>
        <v/>
      </c>
      <c r="D187" s="1" t="str">
        <f aca="false">IFERROR(VLOOKUP(A187,'Pass 2'!$A:$S,MATCH("Jan 2025 Traffic",'Pass 2'!$1:$1,0),FALSE()),"")</f>
        <v/>
      </c>
      <c r="E187" s="1" t="str">
        <f aca="false">IFERROR(VLOOKUP(A187,'Pass 2'!$A:$S,MATCH("Jun 2026 Traffic",'Pass 2'!$1:$1,0),FALSE()),"")</f>
        <v/>
      </c>
      <c r="F187" s="1" t="str">
        <f aca="false">IFERROR(VLOOKUP(A187,'Pass 2'!$A:$S,MATCH("Traffic % Change",'Pass 2'!$1:$1,0),FALSE()),"")</f>
        <v/>
      </c>
      <c r="G187" s="1" t="str">
        <f aca="false">IFERROR(VLOOKUP(A187,'Pass 2'!$A:$S,MATCH("Jan 2025 Referring Domains",'Pass 2'!$1:$1,0),FALSE()),"")</f>
        <v/>
      </c>
      <c r="H187" s="1" t="str">
        <f aca="false">IFERROR(VLOOKUP(A187,'Pass 2'!$A:$S,MATCH("Jun 2026 Referring Domains",'Pass 2'!$1:$1,0),FALSE()),"")</f>
        <v/>
      </c>
    </row>
    <row r="188" customFormat="false" ht="15" hidden="false" customHeight="true" outlineLevel="0" collapsed="false">
      <c r="B188" s="1" t="str">
        <f aca="false">IFERROR(VLOOKUP(A188,'Pass 2'!$A:$S,MATCH("Category",'Pass 2'!$1:$1,0),FALSE()),"")</f>
        <v/>
      </c>
      <c r="C188" s="1" t="str">
        <f aca="false">IFERROR(VLOOKUP(A188,'Pass 1 Archive'!$A:$AD,MATCH("LinkedIn Employee Count",'Pass 1 Archive'!$1:$1,0),FALSE()),"")</f>
        <v/>
      </c>
      <c r="D188" s="1" t="str">
        <f aca="false">IFERROR(VLOOKUP(A188,'Pass 2'!$A:$S,MATCH("Jan 2025 Traffic",'Pass 2'!$1:$1,0),FALSE()),"")</f>
        <v/>
      </c>
      <c r="E188" s="1" t="str">
        <f aca="false">IFERROR(VLOOKUP(A188,'Pass 2'!$A:$S,MATCH("Jun 2026 Traffic",'Pass 2'!$1:$1,0),FALSE()),"")</f>
        <v/>
      </c>
      <c r="F188" s="1" t="str">
        <f aca="false">IFERROR(VLOOKUP(A188,'Pass 2'!$A:$S,MATCH("Traffic % Change",'Pass 2'!$1:$1,0),FALSE()),"")</f>
        <v/>
      </c>
      <c r="G188" s="1" t="str">
        <f aca="false">IFERROR(VLOOKUP(A188,'Pass 2'!$A:$S,MATCH("Jan 2025 Referring Domains",'Pass 2'!$1:$1,0),FALSE()),"")</f>
        <v/>
      </c>
      <c r="H188" s="1" t="str">
        <f aca="false">IFERROR(VLOOKUP(A188,'Pass 2'!$A:$S,MATCH("Jun 2026 Referring Domains",'Pass 2'!$1:$1,0),FALSE()),"")</f>
        <v/>
      </c>
    </row>
    <row r="189" customFormat="false" ht="15" hidden="false" customHeight="true" outlineLevel="0" collapsed="false">
      <c r="B189" s="1" t="str">
        <f aca="false">IFERROR(VLOOKUP(A189,'Pass 2'!$A:$S,MATCH("Category",'Pass 2'!$1:$1,0),FALSE()),"")</f>
        <v/>
      </c>
      <c r="C189" s="1" t="str">
        <f aca="false">IFERROR(VLOOKUP(A189,'Pass 1 Archive'!$A:$AD,MATCH("LinkedIn Employee Count",'Pass 1 Archive'!$1:$1,0),FALSE()),"")</f>
        <v/>
      </c>
      <c r="D189" s="1" t="str">
        <f aca="false">IFERROR(VLOOKUP(A189,'Pass 2'!$A:$S,MATCH("Jan 2025 Traffic",'Pass 2'!$1:$1,0),FALSE()),"")</f>
        <v/>
      </c>
      <c r="E189" s="1" t="str">
        <f aca="false">IFERROR(VLOOKUP(A189,'Pass 2'!$A:$S,MATCH("Jun 2026 Traffic",'Pass 2'!$1:$1,0),FALSE()),"")</f>
        <v/>
      </c>
      <c r="F189" s="1" t="str">
        <f aca="false">IFERROR(VLOOKUP(A189,'Pass 2'!$A:$S,MATCH("Traffic % Change",'Pass 2'!$1:$1,0),FALSE()),"")</f>
        <v/>
      </c>
      <c r="G189" s="1" t="str">
        <f aca="false">IFERROR(VLOOKUP(A189,'Pass 2'!$A:$S,MATCH("Jan 2025 Referring Domains",'Pass 2'!$1:$1,0),FALSE()),"")</f>
        <v/>
      </c>
      <c r="H189" s="1" t="str">
        <f aca="false">IFERROR(VLOOKUP(A189,'Pass 2'!$A:$S,MATCH("Jun 2026 Referring Domains",'Pass 2'!$1:$1,0),FALSE()),"")</f>
        <v/>
      </c>
    </row>
    <row r="190" customFormat="false" ht="15" hidden="false" customHeight="true" outlineLevel="0" collapsed="false">
      <c r="B190" s="1" t="str">
        <f aca="false">IFERROR(VLOOKUP(A190,'Pass 2'!$A:$S,MATCH("Category",'Pass 2'!$1:$1,0),FALSE()),"")</f>
        <v/>
      </c>
      <c r="C190" s="1" t="str">
        <f aca="false">IFERROR(VLOOKUP(A190,'Pass 1 Archive'!$A:$AD,MATCH("LinkedIn Employee Count",'Pass 1 Archive'!$1:$1,0),FALSE()),"")</f>
        <v/>
      </c>
      <c r="D190" s="1" t="str">
        <f aca="false">IFERROR(VLOOKUP(A190,'Pass 2'!$A:$S,MATCH("Jan 2025 Traffic",'Pass 2'!$1:$1,0),FALSE()),"")</f>
        <v/>
      </c>
      <c r="E190" s="1" t="str">
        <f aca="false">IFERROR(VLOOKUP(A190,'Pass 2'!$A:$S,MATCH("Jun 2026 Traffic",'Pass 2'!$1:$1,0),FALSE()),"")</f>
        <v/>
      </c>
      <c r="F190" s="1" t="str">
        <f aca="false">IFERROR(VLOOKUP(A190,'Pass 2'!$A:$S,MATCH("Traffic % Change",'Pass 2'!$1:$1,0),FALSE()),"")</f>
        <v/>
      </c>
      <c r="G190" s="1" t="str">
        <f aca="false">IFERROR(VLOOKUP(A190,'Pass 2'!$A:$S,MATCH("Jan 2025 Referring Domains",'Pass 2'!$1:$1,0),FALSE()),"")</f>
        <v/>
      </c>
      <c r="H190" s="1" t="str">
        <f aca="false">IFERROR(VLOOKUP(A190,'Pass 2'!$A:$S,MATCH("Jun 2026 Referring Domains",'Pass 2'!$1:$1,0),FALSE()),"")</f>
        <v/>
      </c>
    </row>
    <row r="191" customFormat="false" ht="15" hidden="false" customHeight="true" outlineLevel="0" collapsed="false">
      <c r="B191" s="1" t="str">
        <f aca="false">IFERROR(VLOOKUP(A191,'Pass 2'!$A:$S,MATCH("Category",'Pass 2'!$1:$1,0),FALSE()),"")</f>
        <v/>
      </c>
      <c r="C191" s="1" t="str">
        <f aca="false">IFERROR(VLOOKUP(A191,'Pass 1 Archive'!$A:$AD,MATCH("LinkedIn Employee Count",'Pass 1 Archive'!$1:$1,0),FALSE()),"")</f>
        <v/>
      </c>
      <c r="D191" s="1" t="str">
        <f aca="false">IFERROR(VLOOKUP(A191,'Pass 2'!$A:$S,MATCH("Jan 2025 Traffic",'Pass 2'!$1:$1,0),FALSE()),"")</f>
        <v/>
      </c>
      <c r="E191" s="1" t="str">
        <f aca="false">IFERROR(VLOOKUP(A191,'Pass 2'!$A:$S,MATCH("Jun 2026 Traffic",'Pass 2'!$1:$1,0),FALSE()),"")</f>
        <v/>
      </c>
      <c r="F191" s="1" t="str">
        <f aca="false">IFERROR(VLOOKUP(A191,'Pass 2'!$A:$S,MATCH("Traffic % Change",'Pass 2'!$1:$1,0),FALSE()),"")</f>
        <v/>
      </c>
      <c r="G191" s="1" t="str">
        <f aca="false">IFERROR(VLOOKUP(A191,'Pass 2'!$A:$S,MATCH("Jan 2025 Referring Domains",'Pass 2'!$1:$1,0),FALSE()),"")</f>
        <v/>
      </c>
      <c r="H191" s="1" t="str">
        <f aca="false">IFERROR(VLOOKUP(A191,'Pass 2'!$A:$S,MATCH("Jun 2026 Referring Domains",'Pass 2'!$1:$1,0),FALSE()),"")</f>
        <v/>
      </c>
    </row>
    <row r="192" customFormat="false" ht="15" hidden="false" customHeight="true" outlineLevel="0" collapsed="false">
      <c r="B192" s="1" t="str">
        <f aca="false">IFERROR(VLOOKUP(A192,'Pass 2'!$A:$S,MATCH("Category",'Pass 2'!$1:$1,0),FALSE()),"")</f>
        <v/>
      </c>
      <c r="C192" s="1" t="str">
        <f aca="false">IFERROR(VLOOKUP(A192,'Pass 1 Archive'!$A:$AD,MATCH("LinkedIn Employee Count",'Pass 1 Archive'!$1:$1,0),FALSE()),"")</f>
        <v/>
      </c>
      <c r="D192" s="1" t="str">
        <f aca="false">IFERROR(VLOOKUP(A192,'Pass 2'!$A:$S,MATCH("Jan 2025 Traffic",'Pass 2'!$1:$1,0),FALSE()),"")</f>
        <v/>
      </c>
      <c r="E192" s="1" t="str">
        <f aca="false">IFERROR(VLOOKUP(A192,'Pass 2'!$A:$S,MATCH("Jun 2026 Traffic",'Pass 2'!$1:$1,0),FALSE()),"")</f>
        <v/>
      </c>
      <c r="F192" s="1" t="str">
        <f aca="false">IFERROR(VLOOKUP(A192,'Pass 2'!$A:$S,MATCH("Traffic % Change",'Pass 2'!$1:$1,0),FALSE()),"")</f>
        <v/>
      </c>
      <c r="G192" s="1" t="str">
        <f aca="false">IFERROR(VLOOKUP(A192,'Pass 2'!$A:$S,MATCH("Jan 2025 Referring Domains",'Pass 2'!$1:$1,0),FALSE()),"")</f>
        <v/>
      </c>
      <c r="H192" s="1" t="str">
        <f aca="false">IFERROR(VLOOKUP(A192,'Pass 2'!$A:$S,MATCH("Jun 2026 Referring Domains",'Pass 2'!$1:$1,0),FALSE()),"")</f>
        <v/>
      </c>
    </row>
    <row r="193" customFormat="false" ht="15" hidden="false" customHeight="true" outlineLevel="0" collapsed="false">
      <c r="B193" s="1" t="str">
        <f aca="false">IFERROR(VLOOKUP(A193,'Pass 2'!$A:$S,MATCH("Category",'Pass 2'!$1:$1,0),FALSE()),"")</f>
        <v/>
      </c>
      <c r="C193" s="1" t="str">
        <f aca="false">IFERROR(VLOOKUP(A193,'Pass 1 Archive'!$A:$AD,MATCH("LinkedIn Employee Count",'Pass 1 Archive'!$1:$1,0),FALSE()),"")</f>
        <v/>
      </c>
      <c r="D193" s="1" t="str">
        <f aca="false">IFERROR(VLOOKUP(A193,'Pass 2'!$A:$S,MATCH("Jan 2025 Traffic",'Pass 2'!$1:$1,0),FALSE()),"")</f>
        <v/>
      </c>
      <c r="E193" s="1" t="str">
        <f aca="false">IFERROR(VLOOKUP(A193,'Pass 2'!$A:$S,MATCH("Jun 2026 Traffic",'Pass 2'!$1:$1,0),FALSE()),"")</f>
        <v/>
      </c>
      <c r="F193" s="1" t="str">
        <f aca="false">IFERROR(VLOOKUP(A193,'Pass 2'!$A:$S,MATCH("Traffic % Change",'Pass 2'!$1:$1,0),FALSE()),"")</f>
        <v/>
      </c>
      <c r="G193" s="1" t="str">
        <f aca="false">IFERROR(VLOOKUP(A193,'Pass 2'!$A:$S,MATCH("Jan 2025 Referring Domains",'Pass 2'!$1:$1,0),FALSE()),"")</f>
        <v/>
      </c>
      <c r="H193" s="1" t="str">
        <f aca="false">IFERROR(VLOOKUP(A193,'Pass 2'!$A:$S,MATCH("Jun 2026 Referring Domains",'Pass 2'!$1:$1,0),FALSE()),"")</f>
        <v/>
      </c>
    </row>
    <row r="194" customFormat="false" ht="15" hidden="false" customHeight="true" outlineLevel="0" collapsed="false">
      <c r="B194" s="1" t="str">
        <f aca="false">IFERROR(VLOOKUP(A194,'Pass 2'!$A:$S,MATCH("Category",'Pass 2'!$1:$1,0),FALSE()),"")</f>
        <v/>
      </c>
      <c r="C194" s="1" t="str">
        <f aca="false">IFERROR(VLOOKUP(A194,'Pass 1 Archive'!$A:$AD,MATCH("LinkedIn Employee Count",'Pass 1 Archive'!$1:$1,0),FALSE()),"")</f>
        <v/>
      </c>
      <c r="D194" s="1" t="str">
        <f aca="false">IFERROR(VLOOKUP(A194,'Pass 2'!$A:$S,MATCH("Jan 2025 Traffic",'Pass 2'!$1:$1,0),FALSE()),"")</f>
        <v/>
      </c>
      <c r="E194" s="1" t="str">
        <f aca="false">IFERROR(VLOOKUP(A194,'Pass 2'!$A:$S,MATCH("Jun 2026 Traffic",'Pass 2'!$1:$1,0),FALSE()),"")</f>
        <v/>
      </c>
      <c r="F194" s="1" t="str">
        <f aca="false">IFERROR(VLOOKUP(A194,'Pass 2'!$A:$S,MATCH("Traffic % Change",'Pass 2'!$1:$1,0),FALSE()),"")</f>
        <v/>
      </c>
      <c r="G194" s="1" t="str">
        <f aca="false">IFERROR(VLOOKUP(A194,'Pass 2'!$A:$S,MATCH("Jan 2025 Referring Domains",'Pass 2'!$1:$1,0),FALSE()),"")</f>
        <v/>
      </c>
      <c r="H194" s="1" t="str">
        <f aca="false">IFERROR(VLOOKUP(A194,'Pass 2'!$A:$S,MATCH("Jun 2026 Referring Domains",'Pass 2'!$1:$1,0),FALSE()),"")</f>
        <v/>
      </c>
    </row>
    <row r="195" customFormat="false" ht="15" hidden="false" customHeight="true" outlineLevel="0" collapsed="false">
      <c r="B195" s="1" t="str">
        <f aca="false">IFERROR(VLOOKUP(A195,'Pass 2'!$A:$S,MATCH("Category",'Pass 2'!$1:$1,0),FALSE()),"")</f>
        <v/>
      </c>
      <c r="C195" s="1" t="str">
        <f aca="false">IFERROR(VLOOKUP(A195,'Pass 1 Archive'!$A:$AD,MATCH("LinkedIn Employee Count",'Pass 1 Archive'!$1:$1,0),FALSE()),"")</f>
        <v/>
      </c>
      <c r="D195" s="1" t="str">
        <f aca="false">IFERROR(VLOOKUP(A195,'Pass 2'!$A:$S,MATCH("Jan 2025 Traffic",'Pass 2'!$1:$1,0),FALSE()),"")</f>
        <v/>
      </c>
      <c r="E195" s="1" t="str">
        <f aca="false">IFERROR(VLOOKUP(A195,'Pass 2'!$A:$S,MATCH("Jun 2026 Traffic",'Pass 2'!$1:$1,0),FALSE()),"")</f>
        <v/>
      </c>
      <c r="F195" s="1" t="str">
        <f aca="false">IFERROR(VLOOKUP(A195,'Pass 2'!$A:$S,MATCH("Traffic % Change",'Pass 2'!$1:$1,0),FALSE()),"")</f>
        <v/>
      </c>
      <c r="G195" s="1" t="str">
        <f aca="false">IFERROR(VLOOKUP(A195,'Pass 2'!$A:$S,MATCH("Jan 2025 Referring Domains",'Pass 2'!$1:$1,0),FALSE()),"")</f>
        <v/>
      </c>
      <c r="H195" s="1" t="str">
        <f aca="false">IFERROR(VLOOKUP(A195,'Pass 2'!$A:$S,MATCH("Jun 2026 Referring Domains",'Pass 2'!$1:$1,0),FALSE()),"")</f>
        <v/>
      </c>
    </row>
    <row r="196" customFormat="false" ht="15" hidden="false" customHeight="true" outlineLevel="0" collapsed="false">
      <c r="B196" s="1" t="str">
        <f aca="false">IFERROR(VLOOKUP(A196,'Pass 2'!$A:$S,MATCH("Category",'Pass 2'!$1:$1,0),FALSE()),"")</f>
        <v/>
      </c>
      <c r="C196" s="1" t="str">
        <f aca="false">IFERROR(VLOOKUP(A196,'Pass 1 Archive'!$A:$AD,MATCH("LinkedIn Employee Count",'Pass 1 Archive'!$1:$1,0),FALSE()),"")</f>
        <v/>
      </c>
      <c r="D196" s="1" t="str">
        <f aca="false">IFERROR(VLOOKUP(A196,'Pass 2'!$A:$S,MATCH("Jan 2025 Traffic",'Pass 2'!$1:$1,0),FALSE()),"")</f>
        <v/>
      </c>
      <c r="E196" s="1" t="str">
        <f aca="false">IFERROR(VLOOKUP(A196,'Pass 2'!$A:$S,MATCH("Jun 2026 Traffic",'Pass 2'!$1:$1,0),FALSE()),"")</f>
        <v/>
      </c>
      <c r="F196" s="1" t="str">
        <f aca="false">IFERROR(VLOOKUP(A196,'Pass 2'!$A:$S,MATCH("Traffic % Change",'Pass 2'!$1:$1,0),FALSE()),"")</f>
        <v/>
      </c>
      <c r="G196" s="1" t="str">
        <f aca="false">IFERROR(VLOOKUP(A196,'Pass 2'!$A:$S,MATCH("Jan 2025 Referring Domains",'Pass 2'!$1:$1,0),FALSE()),"")</f>
        <v/>
      </c>
      <c r="H196" s="1" t="str">
        <f aca="false">IFERROR(VLOOKUP(A196,'Pass 2'!$A:$S,MATCH("Jun 2026 Referring Domains",'Pass 2'!$1:$1,0),FALSE()),"")</f>
        <v/>
      </c>
    </row>
    <row r="197" customFormat="false" ht="15" hidden="false" customHeight="true" outlineLevel="0" collapsed="false">
      <c r="B197" s="1" t="str">
        <f aca="false">IFERROR(VLOOKUP(A197,'Pass 2'!$A:$S,MATCH("Category",'Pass 2'!$1:$1,0),FALSE()),"")</f>
        <v/>
      </c>
      <c r="C197" s="1" t="str">
        <f aca="false">IFERROR(VLOOKUP(A197,'Pass 1 Archive'!$A:$AD,MATCH("LinkedIn Employee Count",'Pass 1 Archive'!$1:$1,0),FALSE()),"")</f>
        <v/>
      </c>
      <c r="D197" s="1" t="str">
        <f aca="false">IFERROR(VLOOKUP(A197,'Pass 2'!$A:$S,MATCH("Jan 2025 Traffic",'Pass 2'!$1:$1,0),FALSE()),"")</f>
        <v/>
      </c>
      <c r="E197" s="1" t="str">
        <f aca="false">IFERROR(VLOOKUP(A197,'Pass 2'!$A:$S,MATCH("Jun 2026 Traffic",'Pass 2'!$1:$1,0),FALSE()),"")</f>
        <v/>
      </c>
      <c r="F197" s="1" t="str">
        <f aca="false">IFERROR(VLOOKUP(A197,'Pass 2'!$A:$S,MATCH("Traffic % Change",'Pass 2'!$1:$1,0),FALSE()),"")</f>
        <v/>
      </c>
      <c r="G197" s="1" t="str">
        <f aca="false">IFERROR(VLOOKUP(A197,'Pass 2'!$A:$S,MATCH("Jan 2025 Referring Domains",'Pass 2'!$1:$1,0),FALSE()),"")</f>
        <v/>
      </c>
      <c r="H197" s="1" t="str">
        <f aca="false">IFERROR(VLOOKUP(A197,'Pass 2'!$A:$S,MATCH("Jun 2026 Referring Domains",'Pass 2'!$1:$1,0),FALSE()),"")</f>
        <v/>
      </c>
    </row>
    <row r="198" customFormat="false" ht="15" hidden="false" customHeight="true" outlineLevel="0" collapsed="false">
      <c r="B198" s="1" t="str">
        <f aca="false">IFERROR(VLOOKUP(A198,'Pass 2'!$A:$S,MATCH("Category",'Pass 2'!$1:$1,0),FALSE()),"")</f>
        <v/>
      </c>
      <c r="C198" s="1" t="str">
        <f aca="false">IFERROR(VLOOKUP(A198,'Pass 1 Archive'!$A:$AD,MATCH("LinkedIn Employee Count",'Pass 1 Archive'!$1:$1,0),FALSE()),"")</f>
        <v/>
      </c>
      <c r="D198" s="1" t="str">
        <f aca="false">IFERROR(VLOOKUP(A198,'Pass 2'!$A:$S,MATCH("Jan 2025 Traffic",'Pass 2'!$1:$1,0),FALSE()),"")</f>
        <v/>
      </c>
      <c r="E198" s="1" t="str">
        <f aca="false">IFERROR(VLOOKUP(A198,'Pass 2'!$A:$S,MATCH("Jun 2026 Traffic",'Pass 2'!$1:$1,0),FALSE()),"")</f>
        <v/>
      </c>
      <c r="F198" s="1" t="str">
        <f aca="false">IFERROR(VLOOKUP(A198,'Pass 2'!$A:$S,MATCH("Traffic % Change",'Pass 2'!$1:$1,0),FALSE()),"")</f>
        <v/>
      </c>
      <c r="G198" s="1" t="str">
        <f aca="false">IFERROR(VLOOKUP(A198,'Pass 2'!$A:$S,MATCH("Jan 2025 Referring Domains",'Pass 2'!$1:$1,0),FALSE()),"")</f>
        <v/>
      </c>
      <c r="H198" s="1" t="str">
        <f aca="false">IFERROR(VLOOKUP(A198,'Pass 2'!$A:$S,MATCH("Jun 2026 Referring Domains",'Pass 2'!$1:$1,0),FALSE()),"")</f>
        <v/>
      </c>
    </row>
    <row r="199" customFormat="false" ht="15" hidden="false" customHeight="true" outlineLevel="0" collapsed="false">
      <c r="B199" s="1" t="str">
        <f aca="false">IFERROR(VLOOKUP(A199,'Pass 2'!$A:$S,MATCH("Category",'Pass 2'!$1:$1,0),FALSE()),"")</f>
        <v/>
      </c>
      <c r="C199" s="1" t="str">
        <f aca="false">IFERROR(VLOOKUP(A199,'Pass 1 Archive'!$A:$AD,MATCH("LinkedIn Employee Count",'Pass 1 Archive'!$1:$1,0),FALSE()),"")</f>
        <v/>
      </c>
      <c r="D199" s="1" t="str">
        <f aca="false">IFERROR(VLOOKUP(A199,'Pass 2'!$A:$S,MATCH("Jan 2025 Traffic",'Pass 2'!$1:$1,0),FALSE()),"")</f>
        <v/>
      </c>
      <c r="E199" s="1" t="str">
        <f aca="false">IFERROR(VLOOKUP(A199,'Pass 2'!$A:$S,MATCH("Jun 2026 Traffic",'Pass 2'!$1:$1,0),FALSE()),"")</f>
        <v/>
      </c>
      <c r="F199" s="1" t="str">
        <f aca="false">IFERROR(VLOOKUP(A199,'Pass 2'!$A:$S,MATCH("Traffic % Change",'Pass 2'!$1:$1,0),FALSE()),"")</f>
        <v/>
      </c>
      <c r="G199" s="1" t="str">
        <f aca="false">IFERROR(VLOOKUP(A199,'Pass 2'!$A:$S,MATCH("Jan 2025 Referring Domains",'Pass 2'!$1:$1,0),FALSE()),"")</f>
        <v/>
      </c>
      <c r="H199" s="1" t="str">
        <f aca="false">IFERROR(VLOOKUP(A199,'Pass 2'!$A:$S,MATCH("Jun 2026 Referring Domains",'Pass 2'!$1:$1,0),FALSE()),"")</f>
        <v/>
      </c>
    </row>
    <row r="200" customFormat="false" ht="15" hidden="false" customHeight="true" outlineLevel="0" collapsed="false">
      <c r="B200" s="1" t="str">
        <f aca="false">IFERROR(VLOOKUP(A200,'Pass 2'!$A:$S,MATCH("Category",'Pass 2'!$1:$1,0),FALSE()),"")</f>
        <v/>
      </c>
      <c r="C200" s="1" t="str">
        <f aca="false">IFERROR(VLOOKUP(A200,'Pass 1 Archive'!$A:$AD,MATCH("LinkedIn Employee Count",'Pass 1 Archive'!$1:$1,0),FALSE()),"")</f>
        <v/>
      </c>
      <c r="D200" s="1" t="str">
        <f aca="false">IFERROR(VLOOKUP(A200,'Pass 2'!$A:$S,MATCH("Jan 2025 Traffic",'Pass 2'!$1:$1,0),FALSE()),"")</f>
        <v/>
      </c>
      <c r="E200" s="1" t="str">
        <f aca="false">IFERROR(VLOOKUP(A200,'Pass 2'!$A:$S,MATCH("Jun 2026 Traffic",'Pass 2'!$1:$1,0),FALSE()),"")</f>
        <v/>
      </c>
      <c r="F200" s="1" t="str">
        <f aca="false">IFERROR(VLOOKUP(A200,'Pass 2'!$A:$S,MATCH("Traffic % Change",'Pass 2'!$1:$1,0),FALSE()),"")</f>
        <v/>
      </c>
      <c r="G200" s="1" t="str">
        <f aca="false">IFERROR(VLOOKUP(A200,'Pass 2'!$A:$S,MATCH("Jan 2025 Referring Domains",'Pass 2'!$1:$1,0),FALSE()),"")</f>
        <v/>
      </c>
      <c r="H200" s="1" t="str">
        <f aca="false">IFERROR(VLOOKUP(A200,'Pass 2'!$A:$S,MATCH("Jun 2026 Referring Domains",'Pass 2'!$1:$1,0),FALSE()),"")</f>
        <v/>
      </c>
    </row>
    <row r="201" customFormat="false" ht="15" hidden="false" customHeight="true" outlineLevel="0" collapsed="false">
      <c r="B201" s="1" t="str">
        <f aca="false">IFERROR(VLOOKUP(A201,'Pass 2'!$A:$S,MATCH("Category",'Pass 2'!$1:$1,0),FALSE()),"")</f>
        <v/>
      </c>
      <c r="C201" s="1" t="str">
        <f aca="false">IFERROR(VLOOKUP(A201,'Pass 1 Archive'!$A:$AD,MATCH("LinkedIn Employee Count",'Pass 1 Archive'!$1:$1,0),FALSE()),"")</f>
        <v/>
      </c>
      <c r="D201" s="1" t="str">
        <f aca="false">IFERROR(VLOOKUP(A201,'Pass 2'!$A:$S,MATCH("Jan 2025 Traffic",'Pass 2'!$1:$1,0),FALSE()),"")</f>
        <v/>
      </c>
      <c r="E201" s="1" t="str">
        <f aca="false">IFERROR(VLOOKUP(A201,'Pass 2'!$A:$S,MATCH("Jun 2026 Traffic",'Pass 2'!$1:$1,0),FALSE()),"")</f>
        <v/>
      </c>
      <c r="F201" s="1" t="str">
        <f aca="false">IFERROR(VLOOKUP(A201,'Pass 2'!$A:$S,MATCH("Traffic % Change",'Pass 2'!$1:$1,0),FALSE()),"")</f>
        <v/>
      </c>
      <c r="G201" s="1" t="str">
        <f aca="false">IFERROR(VLOOKUP(A201,'Pass 2'!$A:$S,MATCH("Jan 2025 Referring Domains",'Pass 2'!$1:$1,0),FALSE()),"")</f>
        <v/>
      </c>
      <c r="H201" s="1" t="str">
        <f aca="false">IFERROR(VLOOKUP(A201,'Pass 2'!$A:$S,MATCH("Jun 2026 Referring Domains",'Pass 2'!$1:$1,0),FALSE()),"")</f>
        <v/>
      </c>
    </row>
    <row r="202" customFormat="false" ht="15" hidden="false" customHeight="true" outlineLevel="0" collapsed="false">
      <c r="B202" s="1" t="str">
        <f aca="false">IFERROR(VLOOKUP(A202,'Pass 2'!$A:$S,MATCH("Category",'Pass 2'!$1:$1,0),FALSE()),"")</f>
        <v/>
      </c>
      <c r="C202" s="1" t="str">
        <f aca="false">IFERROR(VLOOKUP(A202,'Pass 1 Archive'!$A:$AD,MATCH("LinkedIn Employee Count",'Pass 1 Archive'!$1:$1,0),FALSE()),"")</f>
        <v/>
      </c>
      <c r="D202" s="1" t="str">
        <f aca="false">IFERROR(VLOOKUP(A202,'Pass 2'!$A:$S,MATCH("Jan 2025 Traffic",'Pass 2'!$1:$1,0),FALSE()),"")</f>
        <v/>
      </c>
      <c r="E202" s="1" t="str">
        <f aca="false">IFERROR(VLOOKUP(A202,'Pass 2'!$A:$S,MATCH("Jun 2026 Traffic",'Pass 2'!$1:$1,0),FALSE()),"")</f>
        <v/>
      </c>
      <c r="F202" s="1" t="str">
        <f aca="false">IFERROR(VLOOKUP(A202,'Pass 2'!$A:$S,MATCH("Traffic % Change",'Pass 2'!$1:$1,0),FALSE()),"")</f>
        <v/>
      </c>
      <c r="G202" s="1" t="str">
        <f aca="false">IFERROR(VLOOKUP(A202,'Pass 2'!$A:$S,MATCH("Jan 2025 Referring Domains",'Pass 2'!$1:$1,0),FALSE()),"")</f>
        <v/>
      </c>
      <c r="H202" s="1" t="str">
        <f aca="false">IFERROR(VLOOKUP(A202,'Pass 2'!$A:$S,MATCH("Jun 2026 Referring Domains",'Pass 2'!$1:$1,0),FALSE()),"")</f>
        <v/>
      </c>
    </row>
    <row r="203" customFormat="false" ht="15" hidden="false" customHeight="true" outlineLevel="0" collapsed="false">
      <c r="B203" s="1" t="str">
        <f aca="false">IFERROR(VLOOKUP(A203,'Pass 2'!$A:$S,MATCH("Category",'Pass 2'!$1:$1,0),FALSE()),"")</f>
        <v/>
      </c>
      <c r="C203" s="1" t="str">
        <f aca="false">IFERROR(VLOOKUP(A203,'Pass 1 Archive'!$A:$AD,MATCH("LinkedIn Employee Count",'Pass 1 Archive'!$1:$1,0),FALSE()),"")</f>
        <v/>
      </c>
      <c r="D203" s="1" t="str">
        <f aca="false">IFERROR(VLOOKUP(A203,'Pass 2'!$A:$S,MATCH("Jan 2025 Traffic",'Pass 2'!$1:$1,0),FALSE()),"")</f>
        <v/>
      </c>
      <c r="E203" s="1" t="str">
        <f aca="false">IFERROR(VLOOKUP(A203,'Pass 2'!$A:$S,MATCH("Jun 2026 Traffic",'Pass 2'!$1:$1,0),FALSE()),"")</f>
        <v/>
      </c>
      <c r="F203" s="1" t="str">
        <f aca="false">IFERROR(VLOOKUP(A203,'Pass 2'!$A:$S,MATCH("Traffic % Change",'Pass 2'!$1:$1,0),FALSE()),"")</f>
        <v/>
      </c>
      <c r="G203" s="1" t="str">
        <f aca="false">IFERROR(VLOOKUP(A203,'Pass 2'!$A:$S,MATCH("Jan 2025 Referring Domains",'Pass 2'!$1:$1,0),FALSE()),"")</f>
        <v/>
      </c>
      <c r="H203" s="1" t="str">
        <f aca="false">IFERROR(VLOOKUP(A203,'Pass 2'!$A:$S,MATCH("Jun 2026 Referring Domains",'Pass 2'!$1:$1,0),FALSE()),"")</f>
        <v/>
      </c>
    </row>
    <row r="204" customFormat="false" ht="15" hidden="false" customHeight="true" outlineLevel="0" collapsed="false">
      <c r="B204" s="1" t="str">
        <f aca="false">IFERROR(VLOOKUP(A204,'Pass 2'!$A:$S,MATCH("Category",'Pass 2'!$1:$1,0),FALSE()),"")</f>
        <v/>
      </c>
      <c r="C204" s="1" t="str">
        <f aca="false">IFERROR(VLOOKUP(A204,'Pass 1 Archive'!$A:$AD,MATCH("LinkedIn Employee Count",'Pass 1 Archive'!$1:$1,0),FALSE()),"")</f>
        <v/>
      </c>
      <c r="D204" s="1" t="str">
        <f aca="false">IFERROR(VLOOKUP(A204,'Pass 2'!$A:$S,MATCH("Jan 2025 Traffic",'Pass 2'!$1:$1,0),FALSE()),"")</f>
        <v/>
      </c>
      <c r="E204" s="1" t="str">
        <f aca="false">IFERROR(VLOOKUP(A204,'Pass 2'!$A:$S,MATCH("Jun 2026 Traffic",'Pass 2'!$1:$1,0),FALSE()),"")</f>
        <v/>
      </c>
      <c r="F204" s="1" t="str">
        <f aca="false">IFERROR(VLOOKUP(A204,'Pass 2'!$A:$S,MATCH("Traffic % Change",'Pass 2'!$1:$1,0),FALSE()),"")</f>
        <v/>
      </c>
      <c r="G204" s="1" t="str">
        <f aca="false">IFERROR(VLOOKUP(A204,'Pass 2'!$A:$S,MATCH("Jan 2025 Referring Domains",'Pass 2'!$1:$1,0),FALSE()),"")</f>
        <v/>
      </c>
      <c r="H204" s="1" t="str">
        <f aca="false">IFERROR(VLOOKUP(A204,'Pass 2'!$A:$S,MATCH("Jun 2026 Referring Domains",'Pass 2'!$1:$1,0),FALSE()),"")</f>
        <v/>
      </c>
    </row>
    <row r="205" customFormat="false" ht="15" hidden="false" customHeight="true" outlineLevel="0" collapsed="false">
      <c r="B205" s="1" t="str">
        <f aca="false">IFERROR(VLOOKUP(A205,'Pass 2'!$A:$S,MATCH("Category",'Pass 2'!$1:$1,0),FALSE()),"")</f>
        <v/>
      </c>
      <c r="C205" s="1" t="str">
        <f aca="false">IFERROR(VLOOKUP(A205,'Pass 1 Archive'!$A:$AD,MATCH("LinkedIn Employee Count",'Pass 1 Archive'!$1:$1,0),FALSE()),"")</f>
        <v/>
      </c>
      <c r="D205" s="1" t="str">
        <f aca="false">IFERROR(VLOOKUP(A205,'Pass 2'!$A:$S,MATCH("Jan 2025 Traffic",'Pass 2'!$1:$1,0),FALSE()),"")</f>
        <v/>
      </c>
      <c r="E205" s="1" t="str">
        <f aca="false">IFERROR(VLOOKUP(A205,'Pass 2'!$A:$S,MATCH("Jun 2026 Traffic",'Pass 2'!$1:$1,0),FALSE()),"")</f>
        <v/>
      </c>
      <c r="F205" s="1" t="str">
        <f aca="false">IFERROR(VLOOKUP(A205,'Pass 2'!$A:$S,MATCH("Traffic % Change",'Pass 2'!$1:$1,0),FALSE()),"")</f>
        <v/>
      </c>
      <c r="G205" s="1" t="str">
        <f aca="false">IFERROR(VLOOKUP(A205,'Pass 2'!$A:$S,MATCH("Jan 2025 Referring Domains",'Pass 2'!$1:$1,0),FALSE()),"")</f>
        <v/>
      </c>
      <c r="H205" s="1" t="str">
        <f aca="false">IFERROR(VLOOKUP(A205,'Pass 2'!$A:$S,MATCH("Jun 2026 Referring Domains",'Pass 2'!$1:$1,0),FALSE()),"")</f>
        <v/>
      </c>
    </row>
    <row r="206" customFormat="false" ht="15" hidden="false" customHeight="true" outlineLevel="0" collapsed="false">
      <c r="B206" s="1" t="str">
        <f aca="false">IFERROR(VLOOKUP(A206,'Pass 2'!$A:$S,MATCH("Category",'Pass 2'!$1:$1,0),FALSE()),"")</f>
        <v/>
      </c>
      <c r="C206" s="1" t="str">
        <f aca="false">IFERROR(VLOOKUP(A206,'Pass 1 Archive'!$A:$AD,MATCH("LinkedIn Employee Count",'Pass 1 Archive'!$1:$1,0),FALSE()),"")</f>
        <v/>
      </c>
      <c r="D206" s="1" t="str">
        <f aca="false">IFERROR(VLOOKUP(A206,'Pass 2'!$A:$S,MATCH("Jan 2025 Traffic",'Pass 2'!$1:$1,0),FALSE()),"")</f>
        <v/>
      </c>
      <c r="E206" s="1" t="str">
        <f aca="false">IFERROR(VLOOKUP(A206,'Pass 2'!$A:$S,MATCH("Jun 2026 Traffic",'Pass 2'!$1:$1,0),FALSE()),"")</f>
        <v/>
      </c>
      <c r="F206" s="1" t="str">
        <f aca="false">IFERROR(VLOOKUP(A206,'Pass 2'!$A:$S,MATCH("Traffic % Change",'Pass 2'!$1:$1,0),FALSE()),"")</f>
        <v/>
      </c>
      <c r="G206" s="1" t="str">
        <f aca="false">IFERROR(VLOOKUP(A206,'Pass 2'!$A:$S,MATCH("Jan 2025 Referring Domains",'Pass 2'!$1:$1,0),FALSE()),"")</f>
        <v/>
      </c>
      <c r="H206" s="1" t="str">
        <f aca="false">IFERROR(VLOOKUP(A206,'Pass 2'!$A:$S,MATCH("Jun 2026 Referring Domains",'Pass 2'!$1:$1,0),FALSE()),"")</f>
        <v/>
      </c>
    </row>
    <row r="207" customFormat="false" ht="15" hidden="false" customHeight="true" outlineLevel="0" collapsed="false">
      <c r="B207" s="1" t="str">
        <f aca="false">IFERROR(VLOOKUP(A207,'Pass 2'!$A:$S,MATCH("Category",'Pass 2'!$1:$1,0),FALSE()),"")</f>
        <v/>
      </c>
      <c r="C207" s="1" t="str">
        <f aca="false">IFERROR(VLOOKUP(A207,'Pass 1 Archive'!$A:$AD,MATCH("LinkedIn Employee Count",'Pass 1 Archive'!$1:$1,0),FALSE()),"")</f>
        <v/>
      </c>
      <c r="D207" s="1" t="str">
        <f aca="false">IFERROR(VLOOKUP(A207,'Pass 2'!$A:$S,MATCH("Jan 2025 Traffic",'Pass 2'!$1:$1,0),FALSE()),"")</f>
        <v/>
      </c>
      <c r="E207" s="1" t="str">
        <f aca="false">IFERROR(VLOOKUP(A207,'Pass 2'!$A:$S,MATCH("Jun 2026 Traffic",'Pass 2'!$1:$1,0),FALSE()),"")</f>
        <v/>
      </c>
      <c r="F207" s="1" t="str">
        <f aca="false">IFERROR(VLOOKUP(A207,'Pass 2'!$A:$S,MATCH("Traffic % Change",'Pass 2'!$1:$1,0),FALSE()),"")</f>
        <v/>
      </c>
      <c r="G207" s="1" t="str">
        <f aca="false">IFERROR(VLOOKUP(A207,'Pass 2'!$A:$S,MATCH("Jan 2025 Referring Domains",'Pass 2'!$1:$1,0),FALSE()),"")</f>
        <v/>
      </c>
      <c r="H207" s="1" t="str">
        <f aca="false">IFERROR(VLOOKUP(A207,'Pass 2'!$A:$S,MATCH("Jun 2026 Referring Domains",'Pass 2'!$1:$1,0),FALSE()),"")</f>
        <v/>
      </c>
    </row>
    <row r="208" customFormat="false" ht="15" hidden="false" customHeight="true" outlineLevel="0" collapsed="false">
      <c r="B208" s="1" t="str">
        <f aca="false">IFERROR(VLOOKUP(A208,'Pass 2'!$A:$S,MATCH("Category",'Pass 2'!$1:$1,0),FALSE()),"")</f>
        <v/>
      </c>
      <c r="C208" s="1" t="str">
        <f aca="false">IFERROR(VLOOKUP(A208,'Pass 1 Archive'!$A:$AD,MATCH("LinkedIn Employee Count",'Pass 1 Archive'!$1:$1,0),FALSE()),"")</f>
        <v/>
      </c>
      <c r="D208" s="1" t="str">
        <f aca="false">IFERROR(VLOOKUP(A208,'Pass 2'!$A:$S,MATCH("Jan 2025 Traffic",'Pass 2'!$1:$1,0),FALSE()),"")</f>
        <v/>
      </c>
      <c r="E208" s="1" t="str">
        <f aca="false">IFERROR(VLOOKUP(A208,'Pass 2'!$A:$S,MATCH("Jun 2026 Traffic",'Pass 2'!$1:$1,0),FALSE()),"")</f>
        <v/>
      </c>
      <c r="F208" s="1" t="str">
        <f aca="false">IFERROR(VLOOKUP(A208,'Pass 2'!$A:$S,MATCH("Traffic % Change",'Pass 2'!$1:$1,0),FALSE()),"")</f>
        <v/>
      </c>
      <c r="G208" s="1" t="str">
        <f aca="false">IFERROR(VLOOKUP(A208,'Pass 2'!$A:$S,MATCH("Jan 2025 Referring Domains",'Pass 2'!$1:$1,0),FALSE()),"")</f>
        <v/>
      </c>
      <c r="H208" s="1" t="str">
        <f aca="false">IFERROR(VLOOKUP(A208,'Pass 2'!$A:$S,MATCH("Jun 2026 Referring Domains",'Pass 2'!$1:$1,0),FALSE()),"")</f>
        <v/>
      </c>
    </row>
    <row r="209" customFormat="false" ht="15" hidden="false" customHeight="true" outlineLevel="0" collapsed="false">
      <c r="B209" s="1" t="str">
        <f aca="false">IFERROR(VLOOKUP(A209,'Pass 2'!$A:$S,MATCH("Category",'Pass 2'!$1:$1,0),FALSE()),"")</f>
        <v/>
      </c>
      <c r="C209" s="1" t="str">
        <f aca="false">IFERROR(VLOOKUP(A209,'Pass 1 Archive'!$A:$AD,MATCH("LinkedIn Employee Count",'Pass 1 Archive'!$1:$1,0),FALSE()),"")</f>
        <v/>
      </c>
      <c r="D209" s="1" t="str">
        <f aca="false">IFERROR(VLOOKUP(A209,'Pass 2'!$A:$S,MATCH("Jan 2025 Traffic",'Pass 2'!$1:$1,0),FALSE()),"")</f>
        <v/>
      </c>
      <c r="E209" s="1" t="str">
        <f aca="false">IFERROR(VLOOKUP(A209,'Pass 2'!$A:$S,MATCH("Jun 2026 Traffic",'Pass 2'!$1:$1,0),FALSE()),"")</f>
        <v/>
      </c>
      <c r="F209" s="1" t="str">
        <f aca="false">IFERROR(VLOOKUP(A209,'Pass 2'!$A:$S,MATCH("Traffic % Change",'Pass 2'!$1:$1,0),FALSE()),"")</f>
        <v/>
      </c>
      <c r="G209" s="1" t="str">
        <f aca="false">IFERROR(VLOOKUP(A209,'Pass 2'!$A:$S,MATCH("Jan 2025 Referring Domains",'Pass 2'!$1:$1,0),FALSE()),"")</f>
        <v/>
      </c>
      <c r="H209" s="1" t="str">
        <f aca="false">IFERROR(VLOOKUP(A209,'Pass 2'!$A:$S,MATCH("Jun 2026 Referring Domains",'Pass 2'!$1:$1,0),FALSE()),"")</f>
        <v/>
      </c>
    </row>
    <row r="210" customFormat="false" ht="15" hidden="false" customHeight="true" outlineLevel="0" collapsed="false">
      <c r="B210" s="1" t="str">
        <f aca="false">IFERROR(VLOOKUP(A210,'Pass 2'!$A:$S,MATCH("Category",'Pass 2'!$1:$1,0),FALSE()),"")</f>
        <v/>
      </c>
      <c r="C210" s="1" t="str">
        <f aca="false">IFERROR(VLOOKUP(A210,'Pass 1 Archive'!$A:$AD,MATCH("LinkedIn Employee Count",'Pass 1 Archive'!$1:$1,0),FALSE()),"")</f>
        <v/>
      </c>
      <c r="D210" s="1" t="str">
        <f aca="false">IFERROR(VLOOKUP(A210,'Pass 2'!$A:$S,MATCH("Jan 2025 Traffic",'Pass 2'!$1:$1,0),FALSE()),"")</f>
        <v/>
      </c>
      <c r="E210" s="1" t="str">
        <f aca="false">IFERROR(VLOOKUP(A210,'Pass 2'!$A:$S,MATCH("Jun 2026 Traffic",'Pass 2'!$1:$1,0),FALSE()),"")</f>
        <v/>
      </c>
      <c r="F210" s="1" t="str">
        <f aca="false">IFERROR(VLOOKUP(A210,'Pass 2'!$A:$S,MATCH("Traffic % Change",'Pass 2'!$1:$1,0),FALSE()),"")</f>
        <v/>
      </c>
      <c r="G210" s="1" t="str">
        <f aca="false">IFERROR(VLOOKUP(A210,'Pass 2'!$A:$S,MATCH("Jan 2025 Referring Domains",'Pass 2'!$1:$1,0),FALSE()),"")</f>
        <v/>
      </c>
      <c r="H210" s="1" t="str">
        <f aca="false">IFERROR(VLOOKUP(A210,'Pass 2'!$A:$S,MATCH("Jun 2026 Referring Domains",'Pass 2'!$1:$1,0),FALSE()),"")</f>
        <v/>
      </c>
    </row>
    <row r="211" customFormat="false" ht="15" hidden="false" customHeight="true" outlineLevel="0" collapsed="false">
      <c r="B211" s="1" t="str">
        <f aca="false">IFERROR(VLOOKUP(A211,'Pass 2'!$A:$S,MATCH("Category",'Pass 2'!$1:$1,0),FALSE()),"")</f>
        <v/>
      </c>
      <c r="C211" s="1" t="str">
        <f aca="false">IFERROR(VLOOKUP(A211,'Pass 1 Archive'!$A:$AD,MATCH("LinkedIn Employee Count",'Pass 1 Archive'!$1:$1,0),FALSE()),"")</f>
        <v/>
      </c>
      <c r="D211" s="1" t="str">
        <f aca="false">IFERROR(VLOOKUP(A211,'Pass 2'!$A:$S,MATCH("Jan 2025 Traffic",'Pass 2'!$1:$1,0),FALSE()),"")</f>
        <v/>
      </c>
      <c r="E211" s="1" t="str">
        <f aca="false">IFERROR(VLOOKUP(A211,'Pass 2'!$A:$S,MATCH("Jun 2026 Traffic",'Pass 2'!$1:$1,0),FALSE()),"")</f>
        <v/>
      </c>
      <c r="F211" s="1" t="str">
        <f aca="false">IFERROR(VLOOKUP(A211,'Pass 2'!$A:$S,MATCH("Traffic % Change",'Pass 2'!$1:$1,0),FALSE()),"")</f>
        <v/>
      </c>
      <c r="G211" s="1" t="str">
        <f aca="false">IFERROR(VLOOKUP(A211,'Pass 2'!$A:$S,MATCH("Jan 2025 Referring Domains",'Pass 2'!$1:$1,0),FALSE()),"")</f>
        <v/>
      </c>
      <c r="H211" s="1" t="str">
        <f aca="false">IFERROR(VLOOKUP(A211,'Pass 2'!$A:$S,MATCH("Jun 2026 Referring Domains",'Pass 2'!$1:$1,0),FALSE()),"")</f>
        <v/>
      </c>
    </row>
    <row r="212" customFormat="false" ht="15" hidden="false" customHeight="true" outlineLevel="0" collapsed="false">
      <c r="B212" s="1" t="str">
        <f aca="false">IFERROR(VLOOKUP(A212,'Pass 2'!$A:$S,MATCH("Category",'Pass 2'!$1:$1,0),FALSE()),"")</f>
        <v/>
      </c>
      <c r="C212" s="1" t="str">
        <f aca="false">IFERROR(VLOOKUP(A212,'Pass 1 Archive'!$A:$AD,MATCH("LinkedIn Employee Count",'Pass 1 Archive'!$1:$1,0),FALSE()),"")</f>
        <v/>
      </c>
      <c r="D212" s="1" t="str">
        <f aca="false">IFERROR(VLOOKUP(A212,'Pass 2'!$A:$S,MATCH("Jan 2025 Traffic",'Pass 2'!$1:$1,0),FALSE()),"")</f>
        <v/>
      </c>
      <c r="E212" s="1" t="str">
        <f aca="false">IFERROR(VLOOKUP(A212,'Pass 2'!$A:$S,MATCH("Jun 2026 Traffic",'Pass 2'!$1:$1,0),FALSE()),"")</f>
        <v/>
      </c>
      <c r="F212" s="1" t="str">
        <f aca="false">IFERROR(VLOOKUP(A212,'Pass 2'!$A:$S,MATCH("Traffic % Change",'Pass 2'!$1:$1,0),FALSE()),"")</f>
        <v/>
      </c>
      <c r="G212" s="1" t="str">
        <f aca="false">IFERROR(VLOOKUP(A212,'Pass 2'!$A:$S,MATCH("Jan 2025 Referring Domains",'Pass 2'!$1:$1,0),FALSE()),"")</f>
        <v/>
      </c>
      <c r="H212" s="1" t="str">
        <f aca="false">IFERROR(VLOOKUP(A212,'Pass 2'!$A:$S,MATCH("Jun 2026 Referring Domains",'Pass 2'!$1:$1,0),FALSE()),"")</f>
        <v/>
      </c>
    </row>
    <row r="213" customFormat="false" ht="15" hidden="false" customHeight="true" outlineLevel="0" collapsed="false">
      <c r="B213" s="1" t="str">
        <f aca="false">IFERROR(VLOOKUP(A213,'Pass 2'!$A:$S,MATCH("Category",'Pass 2'!$1:$1,0),FALSE()),"")</f>
        <v/>
      </c>
      <c r="C213" s="1" t="str">
        <f aca="false">IFERROR(VLOOKUP(A213,'Pass 1 Archive'!$A:$AD,MATCH("LinkedIn Employee Count",'Pass 1 Archive'!$1:$1,0),FALSE()),"")</f>
        <v/>
      </c>
      <c r="D213" s="1" t="str">
        <f aca="false">IFERROR(VLOOKUP(A213,'Pass 2'!$A:$S,MATCH("Jan 2025 Traffic",'Pass 2'!$1:$1,0),FALSE()),"")</f>
        <v/>
      </c>
      <c r="E213" s="1" t="str">
        <f aca="false">IFERROR(VLOOKUP(A213,'Pass 2'!$A:$S,MATCH("Jun 2026 Traffic",'Pass 2'!$1:$1,0),FALSE()),"")</f>
        <v/>
      </c>
      <c r="F213" s="1" t="str">
        <f aca="false">IFERROR(VLOOKUP(A213,'Pass 2'!$A:$S,MATCH("Traffic % Change",'Pass 2'!$1:$1,0),FALSE()),"")</f>
        <v/>
      </c>
      <c r="G213" s="1" t="str">
        <f aca="false">IFERROR(VLOOKUP(A213,'Pass 2'!$A:$S,MATCH("Jan 2025 Referring Domains",'Pass 2'!$1:$1,0),FALSE()),"")</f>
        <v/>
      </c>
      <c r="H213" s="1" t="str">
        <f aca="false">IFERROR(VLOOKUP(A213,'Pass 2'!$A:$S,MATCH("Jun 2026 Referring Domains",'Pass 2'!$1:$1,0),FALSE()),"")</f>
        <v/>
      </c>
    </row>
    <row r="214" customFormat="false" ht="15" hidden="false" customHeight="true" outlineLevel="0" collapsed="false">
      <c r="B214" s="1" t="str">
        <f aca="false">IFERROR(VLOOKUP(A214,'Pass 2'!$A:$S,MATCH("Category",'Pass 2'!$1:$1,0),FALSE()),"")</f>
        <v/>
      </c>
      <c r="C214" s="1" t="str">
        <f aca="false">IFERROR(VLOOKUP(A214,'Pass 1 Archive'!$A:$AD,MATCH("LinkedIn Employee Count",'Pass 1 Archive'!$1:$1,0),FALSE()),"")</f>
        <v/>
      </c>
      <c r="D214" s="1" t="str">
        <f aca="false">IFERROR(VLOOKUP(A214,'Pass 2'!$A:$S,MATCH("Jan 2025 Traffic",'Pass 2'!$1:$1,0),FALSE()),"")</f>
        <v/>
      </c>
      <c r="E214" s="1" t="str">
        <f aca="false">IFERROR(VLOOKUP(A214,'Pass 2'!$A:$S,MATCH("Jun 2026 Traffic",'Pass 2'!$1:$1,0),FALSE()),"")</f>
        <v/>
      </c>
      <c r="F214" s="1" t="str">
        <f aca="false">IFERROR(VLOOKUP(A214,'Pass 2'!$A:$S,MATCH("Traffic % Change",'Pass 2'!$1:$1,0),FALSE()),"")</f>
        <v/>
      </c>
      <c r="G214" s="1" t="str">
        <f aca="false">IFERROR(VLOOKUP(A214,'Pass 2'!$A:$S,MATCH("Jan 2025 Referring Domains",'Pass 2'!$1:$1,0),FALSE()),"")</f>
        <v/>
      </c>
      <c r="H214" s="1" t="str">
        <f aca="false">IFERROR(VLOOKUP(A214,'Pass 2'!$A:$S,MATCH("Jun 2026 Referring Domains",'Pass 2'!$1:$1,0),FALSE()),"")</f>
        <v/>
      </c>
    </row>
    <row r="215" customFormat="false" ht="15" hidden="false" customHeight="true" outlineLevel="0" collapsed="false">
      <c r="B215" s="1" t="str">
        <f aca="false">IFERROR(VLOOKUP(A215,'Pass 2'!$A:$S,MATCH("Category",'Pass 2'!$1:$1,0),FALSE()),"")</f>
        <v/>
      </c>
      <c r="C215" s="1" t="str">
        <f aca="false">IFERROR(VLOOKUP(A215,'Pass 1 Archive'!$A:$AD,MATCH("LinkedIn Employee Count",'Pass 1 Archive'!$1:$1,0),FALSE()),"")</f>
        <v/>
      </c>
      <c r="D215" s="1" t="str">
        <f aca="false">IFERROR(VLOOKUP(A215,'Pass 2'!$A:$S,MATCH("Jan 2025 Traffic",'Pass 2'!$1:$1,0),FALSE()),"")</f>
        <v/>
      </c>
      <c r="E215" s="1" t="str">
        <f aca="false">IFERROR(VLOOKUP(A215,'Pass 2'!$A:$S,MATCH("Jun 2026 Traffic",'Pass 2'!$1:$1,0),FALSE()),"")</f>
        <v/>
      </c>
      <c r="F215" s="1" t="str">
        <f aca="false">IFERROR(VLOOKUP(A215,'Pass 2'!$A:$S,MATCH("Traffic % Change",'Pass 2'!$1:$1,0),FALSE()),"")</f>
        <v/>
      </c>
      <c r="G215" s="1" t="str">
        <f aca="false">IFERROR(VLOOKUP(A215,'Pass 2'!$A:$S,MATCH("Jan 2025 Referring Domains",'Pass 2'!$1:$1,0),FALSE()),"")</f>
        <v/>
      </c>
      <c r="H215" s="1" t="str">
        <f aca="false">IFERROR(VLOOKUP(A215,'Pass 2'!$A:$S,MATCH("Jun 2026 Referring Domains",'Pass 2'!$1:$1,0),FALSE()),"")</f>
        <v/>
      </c>
    </row>
    <row r="216" customFormat="false" ht="15" hidden="false" customHeight="true" outlineLevel="0" collapsed="false">
      <c r="B216" s="1" t="str">
        <f aca="false">IFERROR(VLOOKUP(A216,'Pass 2'!$A:$S,MATCH("Category",'Pass 2'!$1:$1,0),FALSE()),"")</f>
        <v/>
      </c>
      <c r="C216" s="1" t="str">
        <f aca="false">IFERROR(VLOOKUP(A216,'Pass 1 Archive'!$A:$AD,MATCH("LinkedIn Employee Count",'Pass 1 Archive'!$1:$1,0),FALSE()),"")</f>
        <v/>
      </c>
      <c r="D216" s="1" t="str">
        <f aca="false">IFERROR(VLOOKUP(A216,'Pass 2'!$A:$S,MATCH("Jan 2025 Traffic",'Pass 2'!$1:$1,0),FALSE()),"")</f>
        <v/>
      </c>
      <c r="E216" s="1" t="str">
        <f aca="false">IFERROR(VLOOKUP(A216,'Pass 2'!$A:$S,MATCH("Jun 2026 Traffic",'Pass 2'!$1:$1,0),FALSE()),"")</f>
        <v/>
      </c>
      <c r="F216" s="1" t="str">
        <f aca="false">IFERROR(VLOOKUP(A216,'Pass 2'!$A:$S,MATCH("Traffic % Change",'Pass 2'!$1:$1,0),FALSE()),"")</f>
        <v/>
      </c>
      <c r="G216" s="1" t="str">
        <f aca="false">IFERROR(VLOOKUP(A216,'Pass 2'!$A:$S,MATCH("Jan 2025 Referring Domains",'Pass 2'!$1:$1,0),FALSE()),"")</f>
        <v/>
      </c>
      <c r="H216" s="1" t="str">
        <f aca="false">IFERROR(VLOOKUP(A216,'Pass 2'!$A:$S,MATCH("Jun 2026 Referring Domains",'Pass 2'!$1:$1,0),FALSE()),"")</f>
        <v/>
      </c>
    </row>
    <row r="217" customFormat="false" ht="15" hidden="false" customHeight="true" outlineLevel="0" collapsed="false">
      <c r="B217" s="1" t="str">
        <f aca="false">IFERROR(VLOOKUP(A217,'Pass 2'!$A:$S,MATCH("Category",'Pass 2'!$1:$1,0),FALSE()),"")</f>
        <v/>
      </c>
      <c r="C217" s="1" t="str">
        <f aca="false">IFERROR(VLOOKUP(A217,'Pass 1 Archive'!$A:$AD,MATCH("LinkedIn Employee Count",'Pass 1 Archive'!$1:$1,0),FALSE()),"")</f>
        <v/>
      </c>
      <c r="D217" s="1" t="str">
        <f aca="false">IFERROR(VLOOKUP(A217,'Pass 2'!$A:$S,MATCH("Jan 2025 Traffic",'Pass 2'!$1:$1,0),FALSE()),"")</f>
        <v/>
      </c>
      <c r="E217" s="1" t="str">
        <f aca="false">IFERROR(VLOOKUP(A217,'Pass 2'!$A:$S,MATCH("Jun 2026 Traffic",'Pass 2'!$1:$1,0),FALSE()),"")</f>
        <v/>
      </c>
      <c r="F217" s="1" t="str">
        <f aca="false">IFERROR(VLOOKUP(A217,'Pass 2'!$A:$S,MATCH("Traffic % Change",'Pass 2'!$1:$1,0),FALSE()),"")</f>
        <v/>
      </c>
      <c r="G217" s="1" t="str">
        <f aca="false">IFERROR(VLOOKUP(A217,'Pass 2'!$A:$S,MATCH("Jan 2025 Referring Domains",'Pass 2'!$1:$1,0),FALSE()),"")</f>
        <v/>
      </c>
      <c r="H217" s="1" t="str">
        <f aca="false">IFERROR(VLOOKUP(A217,'Pass 2'!$A:$S,MATCH("Jun 2026 Referring Domains",'Pass 2'!$1:$1,0),FALSE()),"")</f>
        <v/>
      </c>
    </row>
    <row r="218" customFormat="false" ht="15" hidden="false" customHeight="true" outlineLevel="0" collapsed="false">
      <c r="B218" s="1" t="str">
        <f aca="false">IFERROR(VLOOKUP(A218,'Pass 2'!$A:$S,MATCH("Category",'Pass 2'!$1:$1,0),FALSE()),"")</f>
        <v/>
      </c>
      <c r="C218" s="1" t="str">
        <f aca="false">IFERROR(VLOOKUP(A218,'Pass 1 Archive'!$A:$AD,MATCH("LinkedIn Employee Count",'Pass 1 Archive'!$1:$1,0),FALSE()),"")</f>
        <v/>
      </c>
      <c r="D218" s="1" t="str">
        <f aca="false">IFERROR(VLOOKUP(A218,'Pass 2'!$A:$S,MATCH("Jan 2025 Traffic",'Pass 2'!$1:$1,0),FALSE()),"")</f>
        <v/>
      </c>
      <c r="E218" s="1" t="str">
        <f aca="false">IFERROR(VLOOKUP(A218,'Pass 2'!$A:$S,MATCH("Jun 2026 Traffic",'Pass 2'!$1:$1,0),FALSE()),"")</f>
        <v/>
      </c>
      <c r="F218" s="1" t="str">
        <f aca="false">IFERROR(VLOOKUP(A218,'Pass 2'!$A:$S,MATCH("Traffic % Change",'Pass 2'!$1:$1,0),FALSE()),"")</f>
        <v/>
      </c>
      <c r="G218" s="1" t="str">
        <f aca="false">IFERROR(VLOOKUP(A218,'Pass 2'!$A:$S,MATCH("Jan 2025 Referring Domains",'Pass 2'!$1:$1,0),FALSE()),"")</f>
        <v/>
      </c>
      <c r="H218" s="1" t="str">
        <f aca="false">IFERROR(VLOOKUP(A218,'Pass 2'!$A:$S,MATCH("Jun 2026 Referring Domains",'Pass 2'!$1:$1,0),FALSE()),"")</f>
        <v/>
      </c>
    </row>
    <row r="219" customFormat="false" ht="15" hidden="false" customHeight="true" outlineLevel="0" collapsed="false">
      <c r="B219" s="1" t="str">
        <f aca="false">IFERROR(VLOOKUP(A219,'Pass 2'!$A:$S,MATCH("Category",'Pass 2'!$1:$1,0),FALSE()),"")</f>
        <v/>
      </c>
      <c r="C219" s="1" t="str">
        <f aca="false">IFERROR(VLOOKUP(A219,'Pass 1 Archive'!$A:$AD,MATCH("LinkedIn Employee Count",'Pass 1 Archive'!$1:$1,0),FALSE()),"")</f>
        <v/>
      </c>
      <c r="D219" s="1" t="str">
        <f aca="false">IFERROR(VLOOKUP(A219,'Pass 2'!$A:$S,MATCH("Jan 2025 Traffic",'Pass 2'!$1:$1,0),FALSE()),"")</f>
        <v/>
      </c>
      <c r="E219" s="1" t="str">
        <f aca="false">IFERROR(VLOOKUP(A219,'Pass 2'!$A:$S,MATCH("Jun 2026 Traffic",'Pass 2'!$1:$1,0),FALSE()),"")</f>
        <v/>
      </c>
      <c r="F219" s="1" t="str">
        <f aca="false">IFERROR(VLOOKUP(A219,'Pass 2'!$A:$S,MATCH("Traffic % Change",'Pass 2'!$1:$1,0),FALSE()),"")</f>
        <v/>
      </c>
      <c r="G219" s="1" t="str">
        <f aca="false">IFERROR(VLOOKUP(A219,'Pass 2'!$A:$S,MATCH("Jan 2025 Referring Domains",'Pass 2'!$1:$1,0),FALSE()),"")</f>
        <v/>
      </c>
      <c r="H219" s="1" t="str">
        <f aca="false">IFERROR(VLOOKUP(A219,'Pass 2'!$A:$S,MATCH("Jun 2026 Referring Domains",'Pass 2'!$1:$1,0),FALSE()),"")</f>
        <v/>
      </c>
    </row>
    <row r="220" customFormat="false" ht="15" hidden="false" customHeight="true" outlineLevel="0" collapsed="false">
      <c r="B220" s="1" t="str">
        <f aca="false">IFERROR(VLOOKUP(A220,'Pass 2'!$A:$S,MATCH("Category",'Pass 2'!$1:$1,0),FALSE()),"")</f>
        <v/>
      </c>
      <c r="C220" s="1" t="str">
        <f aca="false">IFERROR(VLOOKUP(A220,'Pass 1 Archive'!$A:$AD,MATCH("LinkedIn Employee Count",'Pass 1 Archive'!$1:$1,0),FALSE()),"")</f>
        <v/>
      </c>
      <c r="D220" s="1" t="str">
        <f aca="false">IFERROR(VLOOKUP(A220,'Pass 2'!$A:$S,MATCH("Jan 2025 Traffic",'Pass 2'!$1:$1,0),FALSE()),"")</f>
        <v/>
      </c>
      <c r="E220" s="1" t="str">
        <f aca="false">IFERROR(VLOOKUP(A220,'Pass 2'!$A:$S,MATCH("Jun 2026 Traffic",'Pass 2'!$1:$1,0),FALSE()),"")</f>
        <v/>
      </c>
      <c r="F220" s="1" t="str">
        <f aca="false">IFERROR(VLOOKUP(A220,'Pass 2'!$A:$S,MATCH("Traffic % Change",'Pass 2'!$1:$1,0),FALSE()),"")</f>
        <v/>
      </c>
      <c r="G220" s="1" t="str">
        <f aca="false">IFERROR(VLOOKUP(A220,'Pass 2'!$A:$S,MATCH("Jan 2025 Referring Domains",'Pass 2'!$1:$1,0),FALSE()),"")</f>
        <v/>
      </c>
      <c r="H220" s="1" t="str">
        <f aca="false">IFERROR(VLOOKUP(A220,'Pass 2'!$A:$S,MATCH("Jun 2026 Referring Domains",'Pass 2'!$1:$1,0),FALSE()),"")</f>
        <v/>
      </c>
    </row>
    <row r="221" customFormat="false" ht="15" hidden="false" customHeight="true" outlineLevel="0" collapsed="false">
      <c r="B221" s="1" t="str">
        <f aca="false">IFERROR(VLOOKUP(A221,'Pass 2'!$A:$S,MATCH("Category",'Pass 2'!$1:$1,0),FALSE()),"")</f>
        <v/>
      </c>
      <c r="C221" s="1" t="str">
        <f aca="false">IFERROR(VLOOKUP(A221,'Pass 1 Archive'!$A:$AD,MATCH("LinkedIn Employee Count",'Pass 1 Archive'!$1:$1,0),FALSE()),"")</f>
        <v/>
      </c>
      <c r="D221" s="1" t="str">
        <f aca="false">IFERROR(VLOOKUP(A221,'Pass 2'!$A:$S,MATCH("Jan 2025 Traffic",'Pass 2'!$1:$1,0),FALSE()),"")</f>
        <v/>
      </c>
      <c r="E221" s="1" t="str">
        <f aca="false">IFERROR(VLOOKUP(A221,'Pass 2'!$A:$S,MATCH("Jun 2026 Traffic",'Pass 2'!$1:$1,0),FALSE()),"")</f>
        <v/>
      </c>
      <c r="F221" s="1" t="str">
        <f aca="false">IFERROR(VLOOKUP(A221,'Pass 2'!$A:$S,MATCH("Traffic % Change",'Pass 2'!$1:$1,0),FALSE()),"")</f>
        <v/>
      </c>
      <c r="G221" s="1" t="str">
        <f aca="false">IFERROR(VLOOKUP(A221,'Pass 2'!$A:$S,MATCH("Jan 2025 Referring Domains",'Pass 2'!$1:$1,0),FALSE()),"")</f>
        <v/>
      </c>
      <c r="H221" s="1" t="str">
        <f aca="false">IFERROR(VLOOKUP(A221,'Pass 2'!$A:$S,MATCH("Jun 2026 Referring Domains",'Pass 2'!$1:$1,0),FALSE()),"")</f>
        <v/>
      </c>
    </row>
    <row r="222" customFormat="false" ht="15" hidden="false" customHeight="true" outlineLevel="0" collapsed="false">
      <c r="B222" s="1" t="str">
        <f aca="false">IFERROR(VLOOKUP(A222,'Pass 2'!$A:$S,MATCH("Category",'Pass 2'!$1:$1,0),FALSE()),"")</f>
        <v/>
      </c>
      <c r="C222" s="1" t="str">
        <f aca="false">IFERROR(VLOOKUP(A222,'Pass 1 Archive'!$A:$AD,MATCH("LinkedIn Employee Count",'Pass 1 Archive'!$1:$1,0),FALSE()),"")</f>
        <v/>
      </c>
      <c r="D222" s="1" t="str">
        <f aca="false">IFERROR(VLOOKUP(A222,'Pass 2'!$A:$S,MATCH("Jan 2025 Traffic",'Pass 2'!$1:$1,0),FALSE()),"")</f>
        <v/>
      </c>
      <c r="E222" s="1" t="str">
        <f aca="false">IFERROR(VLOOKUP(A222,'Pass 2'!$A:$S,MATCH("Jun 2026 Traffic",'Pass 2'!$1:$1,0),FALSE()),"")</f>
        <v/>
      </c>
      <c r="F222" s="1" t="str">
        <f aca="false">IFERROR(VLOOKUP(A222,'Pass 2'!$A:$S,MATCH("Traffic % Change",'Pass 2'!$1:$1,0),FALSE()),"")</f>
        <v/>
      </c>
      <c r="G222" s="1" t="str">
        <f aca="false">IFERROR(VLOOKUP(A222,'Pass 2'!$A:$S,MATCH("Jan 2025 Referring Domains",'Pass 2'!$1:$1,0),FALSE()),"")</f>
        <v/>
      </c>
      <c r="H222" s="1" t="str">
        <f aca="false">IFERROR(VLOOKUP(A222,'Pass 2'!$A:$S,MATCH("Jun 2026 Referring Domains",'Pass 2'!$1:$1,0),FALSE()),"")</f>
        <v/>
      </c>
    </row>
    <row r="223" customFormat="false" ht="15" hidden="false" customHeight="true" outlineLevel="0" collapsed="false">
      <c r="B223" s="1" t="str">
        <f aca="false">IFERROR(VLOOKUP(A223,'Pass 2'!$A:$S,MATCH("Category",'Pass 2'!$1:$1,0),FALSE()),"")</f>
        <v/>
      </c>
      <c r="C223" s="1" t="str">
        <f aca="false">IFERROR(VLOOKUP(A223,'Pass 1 Archive'!$A:$AD,MATCH("LinkedIn Employee Count",'Pass 1 Archive'!$1:$1,0),FALSE()),"")</f>
        <v/>
      </c>
      <c r="D223" s="1" t="str">
        <f aca="false">IFERROR(VLOOKUP(A223,'Pass 2'!$A:$S,MATCH("Jan 2025 Traffic",'Pass 2'!$1:$1,0),FALSE()),"")</f>
        <v/>
      </c>
      <c r="E223" s="1" t="str">
        <f aca="false">IFERROR(VLOOKUP(A223,'Pass 2'!$A:$S,MATCH("Jun 2026 Traffic",'Pass 2'!$1:$1,0),FALSE()),"")</f>
        <v/>
      </c>
      <c r="F223" s="1" t="str">
        <f aca="false">IFERROR(VLOOKUP(A223,'Pass 2'!$A:$S,MATCH("Traffic % Change",'Pass 2'!$1:$1,0),FALSE()),"")</f>
        <v/>
      </c>
      <c r="G223" s="1" t="str">
        <f aca="false">IFERROR(VLOOKUP(A223,'Pass 2'!$A:$S,MATCH("Jan 2025 Referring Domains",'Pass 2'!$1:$1,0),FALSE()),"")</f>
        <v/>
      </c>
      <c r="H223" s="1" t="str">
        <f aca="false">IFERROR(VLOOKUP(A223,'Pass 2'!$A:$S,MATCH("Jun 2026 Referring Domains",'Pass 2'!$1:$1,0),FALSE()),"")</f>
        <v/>
      </c>
    </row>
    <row r="224" customFormat="false" ht="15" hidden="false" customHeight="true" outlineLevel="0" collapsed="false">
      <c r="B224" s="1" t="str">
        <f aca="false">IFERROR(VLOOKUP(A224,'Pass 2'!$A:$S,MATCH("Category",'Pass 2'!$1:$1,0),FALSE()),"")</f>
        <v/>
      </c>
      <c r="C224" s="1" t="str">
        <f aca="false">IFERROR(VLOOKUP(A224,'Pass 1 Archive'!$A:$AD,MATCH("LinkedIn Employee Count",'Pass 1 Archive'!$1:$1,0),FALSE()),"")</f>
        <v/>
      </c>
      <c r="D224" s="1" t="str">
        <f aca="false">IFERROR(VLOOKUP(A224,'Pass 2'!$A:$S,MATCH("Jan 2025 Traffic",'Pass 2'!$1:$1,0),FALSE()),"")</f>
        <v/>
      </c>
      <c r="E224" s="1" t="str">
        <f aca="false">IFERROR(VLOOKUP(A224,'Pass 2'!$A:$S,MATCH("Jun 2026 Traffic",'Pass 2'!$1:$1,0),FALSE()),"")</f>
        <v/>
      </c>
      <c r="F224" s="1" t="str">
        <f aca="false">IFERROR(VLOOKUP(A224,'Pass 2'!$A:$S,MATCH("Traffic % Change",'Pass 2'!$1:$1,0),FALSE()),"")</f>
        <v/>
      </c>
      <c r="G224" s="1" t="str">
        <f aca="false">IFERROR(VLOOKUP(A224,'Pass 2'!$A:$S,MATCH("Jan 2025 Referring Domains",'Pass 2'!$1:$1,0),FALSE()),"")</f>
        <v/>
      </c>
      <c r="H224" s="1" t="str">
        <f aca="false">IFERROR(VLOOKUP(A224,'Pass 2'!$A:$S,MATCH("Jun 2026 Referring Domains",'Pass 2'!$1:$1,0),FALSE()),"")</f>
        <v/>
      </c>
    </row>
    <row r="225" customFormat="false" ht="15" hidden="false" customHeight="true" outlineLevel="0" collapsed="false">
      <c r="B225" s="1" t="str">
        <f aca="false">IFERROR(VLOOKUP(A225,'Pass 2'!$A:$S,MATCH("Category",'Pass 2'!$1:$1,0),FALSE()),"")</f>
        <v/>
      </c>
      <c r="C225" s="1" t="str">
        <f aca="false">IFERROR(VLOOKUP(A225,'Pass 1 Archive'!$A:$AD,MATCH("LinkedIn Employee Count",'Pass 1 Archive'!$1:$1,0),FALSE()),"")</f>
        <v/>
      </c>
      <c r="D225" s="1" t="str">
        <f aca="false">IFERROR(VLOOKUP(A225,'Pass 2'!$A:$S,MATCH("Jan 2025 Traffic",'Pass 2'!$1:$1,0),FALSE()),"")</f>
        <v/>
      </c>
      <c r="E225" s="1" t="str">
        <f aca="false">IFERROR(VLOOKUP(A225,'Pass 2'!$A:$S,MATCH("Jun 2026 Traffic",'Pass 2'!$1:$1,0),FALSE()),"")</f>
        <v/>
      </c>
      <c r="F225" s="1" t="str">
        <f aca="false">IFERROR(VLOOKUP(A225,'Pass 2'!$A:$S,MATCH("Traffic % Change",'Pass 2'!$1:$1,0),FALSE()),"")</f>
        <v/>
      </c>
      <c r="G225" s="1" t="str">
        <f aca="false">IFERROR(VLOOKUP(A225,'Pass 2'!$A:$S,MATCH("Jan 2025 Referring Domains",'Pass 2'!$1:$1,0),FALSE()),"")</f>
        <v/>
      </c>
      <c r="H225" s="1" t="str">
        <f aca="false">IFERROR(VLOOKUP(A225,'Pass 2'!$A:$S,MATCH("Jun 2026 Referring Domains",'Pass 2'!$1:$1,0),FALSE()),"")</f>
        <v/>
      </c>
    </row>
    <row r="226" customFormat="false" ht="15" hidden="false" customHeight="true" outlineLevel="0" collapsed="false">
      <c r="B226" s="1" t="str">
        <f aca="false">IFERROR(VLOOKUP(A226,'Pass 2'!$A:$S,MATCH("Category",'Pass 2'!$1:$1,0),FALSE()),"")</f>
        <v/>
      </c>
      <c r="C226" s="1" t="str">
        <f aca="false">IFERROR(VLOOKUP(A226,'Pass 1 Archive'!$A:$AD,MATCH("LinkedIn Employee Count",'Pass 1 Archive'!$1:$1,0),FALSE()),"")</f>
        <v/>
      </c>
      <c r="D226" s="1" t="str">
        <f aca="false">IFERROR(VLOOKUP(A226,'Pass 2'!$A:$S,MATCH("Jan 2025 Traffic",'Pass 2'!$1:$1,0),FALSE()),"")</f>
        <v/>
      </c>
      <c r="E226" s="1" t="str">
        <f aca="false">IFERROR(VLOOKUP(A226,'Pass 2'!$A:$S,MATCH("Jun 2026 Traffic",'Pass 2'!$1:$1,0),FALSE()),"")</f>
        <v/>
      </c>
      <c r="F226" s="1" t="str">
        <f aca="false">IFERROR(VLOOKUP(A226,'Pass 2'!$A:$S,MATCH("Traffic % Change",'Pass 2'!$1:$1,0),FALSE()),"")</f>
        <v/>
      </c>
      <c r="G226" s="1" t="str">
        <f aca="false">IFERROR(VLOOKUP(A226,'Pass 2'!$A:$S,MATCH("Jan 2025 Referring Domains",'Pass 2'!$1:$1,0),FALSE()),"")</f>
        <v/>
      </c>
      <c r="H226" s="1" t="str">
        <f aca="false">IFERROR(VLOOKUP(A226,'Pass 2'!$A:$S,MATCH("Jun 2026 Referring Domains",'Pass 2'!$1:$1,0),FALSE()),"")</f>
        <v/>
      </c>
    </row>
    <row r="227" customFormat="false" ht="15" hidden="false" customHeight="true" outlineLevel="0" collapsed="false">
      <c r="B227" s="1" t="str">
        <f aca="false">IFERROR(VLOOKUP(A227,'Pass 2'!$A:$S,MATCH("Category",'Pass 2'!$1:$1,0),FALSE()),"")</f>
        <v/>
      </c>
      <c r="C227" s="1" t="str">
        <f aca="false">IFERROR(VLOOKUP(A227,'Pass 1 Archive'!$A:$AD,MATCH("LinkedIn Employee Count",'Pass 1 Archive'!$1:$1,0),FALSE()),"")</f>
        <v/>
      </c>
      <c r="D227" s="1" t="str">
        <f aca="false">IFERROR(VLOOKUP(A227,'Pass 2'!$A:$S,MATCH("Jan 2025 Traffic",'Pass 2'!$1:$1,0),FALSE()),"")</f>
        <v/>
      </c>
      <c r="E227" s="1" t="str">
        <f aca="false">IFERROR(VLOOKUP(A227,'Pass 2'!$A:$S,MATCH("Jun 2026 Traffic",'Pass 2'!$1:$1,0),FALSE()),"")</f>
        <v/>
      </c>
      <c r="F227" s="1" t="str">
        <f aca="false">IFERROR(VLOOKUP(A227,'Pass 2'!$A:$S,MATCH("Traffic % Change",'Pass 2'!$1:$1,0),FALSE()),"")</f>
        <v/>
      </c>
      <c r="G227" s="1" t="str">
        <f aca="false">IFERROR(VLOOKUP(A227,'Pass 2'!$A:$S,MATCH("Jan 2025 Referring Domains",'Pass 2'!$1:$1,0),FALSE()),"")</f>
        <v/>
      </c>
      <c r="H227" s="1" t="str">
        <f aca="false">IFERROR(VLOOKUP(A227,'Pass 2'!$A:$S,MATCH("Jun 2026 Referring Domains",'Pass 2'!$1:$1,0),FALSE()),"")</f>
        <v/>
      </c>
    </row>
    <row r="228" customFormat="false" ht="15" hidden="false" customHeight="true" outlineLevel="0" collapsed="false">
      <c r="B228" s="1" t="str">
        <f aca="false">IFERROR(VLOOKUP(A228,'Pass 2'!$A:$S,MATCH("Category",'Pass 2'!$1:$1,0),FALSE()),"")</f>
        <v/>
      </c>
      <c r="C228" s="1" t="str">
        <f aca="false">IFERROR(VLOOKUP(A228,'Pass 1 Archive'!$A:$AD,MATCH("LinkedIn Employee Count",'Pass 1 Archive'!$1:$1,0),FALSE()),"")</f>
        <v/>
      </c>
      <c r="D228" s="1" t="str">
        <f aca="false">IFERROR(VLOOKUP(A228,'Pass 2'!$A:$S,MATCH("Jan 2025 Traffic",'Pass 2'!$1:$1,0),FALSE()),"")</f>
        <v/>
      </c>
      <c r="E228" s="1" t="str">
        <f aca="false">IFERROR(VLOOKUP(A228,'Pass 2'!$A:$S,MATCH("Jun 2026 Traffic",'Pass 2'!$1:$1,0),FALSE()),"")</f>
        <v/>
      </c>
      <c r="F228" s="1" t="str">
        <f aca="false">IFERROR(VLOOKUP(A228,'Pass 2'!$A:$S,MATCH("Traffic % Change",'Pass 2'!$1:$1,0),FALSE()),"")</f>
        <v/>
      </c>
      <c r="G228" s="1" t="str">
        <f aca="false">IFERROR(VLOOKUP(A228,'Pass 2'!$A:$S,MATCH("Jan 2025 Referring Domains",'Pass 2'!$1:$1,0),FALSE()),"")</f>
        <v/>
      </c>
      <c r="H228" s="1" t="str">
        <f aca="false">IFERROR(VLOOKUP(A228,'Pass 2'!$A:$S,MATCH("Jun 2026 Referring Domains",'Pass 2'!$1:$1,0),FALSE()),"")</f>
        <v/>
      </c>
    </row>
    <row r="229" customFormat="false" ht="15" hidden="false" customHeight="true" outlineLevel="0" collapsed="false">
      <c r="B229" s="1" t="str">
        <f aca="false">IFERROR(VLOOKUP(A229,'Pass 2'!$A:$S,MATCH("Category",'Pass 2'!$1:$1,0),FALSE()),"")</f>
        <v/>
      </c>
      <c r="C229" s="1" t="str">
        <f aca="false">IFERROR(VLOOKUP(A229,'Pass 1 Archive'!$A:$AD,MATCH("LinkedIn Employee Count",'Pass 1 Archive'!$1:$1,0),FALSE()),"")</f>
        <v/>
      </c>
      <c r="D229" s="1" t="str">
        <f aca="false">IFERROR(VLOOKUP(A229,'Pass 2'!$A:$S,MATCH("Jan 2025 Traffic",'Pass 2'!$1:$1,0),FALSE()),"")</f>
        <v/>
      </c>
      <c r="E229" s="1" t="str">
        <f aca="false">IFERROR(VLOOKUP(A229,'Pass 2'!$A:$S,MATCH("Jun 2026 Traffic",'Pass 2'!$1:$1,0),FALSE()),"")</f>
        <v/>
      </c>
      <c r="F229" s="1" t="str">
        <f aca="false">IFERROR(VLOOKUP(A229,'Pass 2'!$A:$S,MATCH("Traffic % Change",'Pass 2'!$1:$1,0),FALSE()),"")</f>
        <v/>
      </c>
      <c r="G229" s="1" t="str">
        <f aca="false">IFERROR(VLOOKUP(A229,'Pass 2'!$A:$S,MATCH("Jan 2025 Referring Domains",'Pass 2'!$1:$1,0),FALSE()),"")</f>
        <v/>
      </c>
      <c r="H229" s="1" t="str">
        <f aca="false">IFERROR(VLOOKUP(A229,'Pass 2'!$A:$S,MATCH("Jun 2026 Referring Domains",'Pass 2'!$1:$1,0),FALSE()),"")</f>
        <v/>
      </c>
    </row>
    <row r="230" customFormat="false" ht="15" hidden="false" customHeight="true" outlineLevel="0" collapsed="false">
      <c r="B230" s="1" t="str">
        <f aca="false">IFERROR(VLOOKUP(A230,'Pass 2'!$A:$S,MATCH("Category",'Pass 2'!$1:$1,0),FALSE()),"")</f>
        <v/>
      </c>
      <c r="C230" s="1" t="str">
        <f aca="false">IFERROR(VLOOKUP(A230,'Pass 1 Archive'!$A:$AD,MATCH("LinkedIn Employee Count",'Pass 1 Archive'!$1:$1,0),FALSE()),"")</f>
        <v/>
      </c>
      <c r="D230" s="1" t="str">
        <f aca="false">IFERROR(VLOOKUP(A230,'Pass 2'!$A:$S,MATCH("Jan 2025 Traffic",'Pass 2'!$1:$1,0),FALSE()),"")</f>
        <v/>
      </c>
      <c r="E230" s="1" t="str">
        <f aca="false">IFERROR(VLOOKUP(A230,'Pass 2'!$A:$S,MATCH("Jun 2026 Traffic",'Pass 2'!$1:$1,0),FALSE()),"")</f>
        <v/>
      </c>
      <c r="F230" s="1" t="str">
        <f aca="false">IFERROR(VLOOKUP(A230,'Pass 2'!$A:$S,MATCH("Traffic % Change",'Pass 2'!$1:$1,0),FALSE()),"")</f>
        <v/>
      </c>
      <c r="G230" s="1" t="str">
        <f aca="false">IFERROR(VLOOKUP(A230,'Pass 2'!$A:$S,MATCH("Jan 2025 Referring Domains",'Pass 2'!$1:$1,0),FALSE()),"")</f>
        <v/>
      </c>
      <c r="H230" s="1" t="str">
        <f aca="false">IFERROR(VLOOKUP(A230,'Pass 2'!$A:$S,MATCH("Jun 2026 Referring Domains",'Pass 2'!$1:$1,0),FALSE()),"")</f>
        <v/>
      </c>
    </row>
    <row r="231" customFormat="false" ht="15" hidden="false" customHeight="true" outlineLevel="0" collapsed="false">
      <c r="B231" s="1" t="str">
        <f aca="false">IFERROR(VLOOKUP(A231,'Pass 2'!$A:$S,MATCH("Category",'Pass 2'!$1:$1,0),FALSE()),"")</f>
        <v/>
      </c>
      <c r="C231" s="1" t="str">
        <f aca="false">IFERROR(VLOOKUP(A231,'Pass 1 Archive'!$A:$AD,MATCH("LinkedIn Employee Count",'Pass 1 Archive'!$1:$1,0),FALSE()),"")</f>
        <v/>
      </c>
      <c r="D231" s="1" t="str">
        <f aca="false">IFERROR(VLOOKUP(A231,'Pass 2'!$A:$S,MATCH("Jan 2025 Traffic",'Pass 2'!$1:$1,0),FALSE()),"")</f>
        <v/>
      </c>
      <c r="E231" s="1" t="str">
        <f aca="false">IFERROR(VLOOKUP(A231,'Pass 2'!$A:$S,MATCH("Jun 2026 Traffic",'Pass 2'!$1:$1,0),FALSE()),"")</f>
        <v/>
      </c>
      <c r="F231" s="1" t="str">
        <f aca="false">IFERROR(VLOOKUP(A231,'Pass 2'!$A:$S,MATCH("Traffic % Change",'Pass 2'!$1:$1,0),FALSE()),"")</f>
        <v/>
      </c>
      <c r="G231" s="1" t="str">
        <f aca="false">IFERROR(VLOOKUP(A231,'Pass 2'!$A:$S,MATCH("Jan 2025 Referring Domains",'Pass 2'!$1:$1,0),FALSE()),"")</f>
        <v/>
      </c>
      <c r="H231" s="1" t="str">
        <f aca="false">IFERROR(VLOOKUP(A231,'Pass 2'!$A:$S,MATCH("Jun 2026 Referring Domains",'Pass 2'!$1:$1,0),FALSE()),"")</f>
        <v/>
      </c>
    </row>
    <row r="232" customFormat="false" ht="15" hidden="false" customHeight="true" outlineLevel="0" collapsed="false">
      <c r="B232" s="1" t="str">
        <f aca="false">IFERROR(VLOOKUP(A232,'Pass 2'!$A:$S,MATCH("Category",'Pass 2'!$1:$1,0),FALSE()),"")</f>
        <v/>
      </c>
      <c r="C232" s="1" t="str">
        <f aca="false">IFERROR(VLOOKUP(A232,'Pass 1 Archive'!$A:$AD,MATCH("LinkedIn Employee Count",'Pass 1 Archive'!$1:$1,0),FALSE()),"")</f>
        <v/>
      </c>
      <c r="D232" s="1" t="str">
        <f aca="false">IFERROR(VLOOKUP(A232,'Pass 2'!$A:$S,MATCH("Jan 2025 Traffic",'Pass 2'!$1:$1,0),FALSE()),"")</f>
        <v/>
      </c>
      <c r="E232" s="1" t="str">
        <f aca="false">IFERROR(VLOOKUP(A232,'Pass 2'!$A:$S,MATCH("Jun 2026 Traffic",'Pass 2'!$1:$1,0),FALSE()),"")</f>
        <v/>
      </c>
      <c r="F232" s="1" t="str">
        <f aca="false">IFERROR(VLOOKUP(A232,'Pass 2'!$A:$S,MATCH("Traffic % Change",'Pass 2'!$1:$1,0),FALSE()),"")</f>
        <v/>
      </c>
      <c r="G232" s="1" t="str">
        <f aca="false">IFERROR(VLOOKUP(A232,'Pass 2'!$A:$S,MATCH("Jan 2025 Referring Domains",'Pass 2'!$1:$1,0),FALSE()),"")</f>
        <v/>
      </c>
      <c r="H232" s="1" t="str">
        <f aca="false">IFERROR(VLOOKUP(A232,'Pass 2'!$A:$S,MATCH("Jun 2026 Referring Domains",'Pass 2'!$1:$1,0),FALSE()),"")</f>
        <v/>
      </c>
    </row>
    <row r="233" customFormat="false" ht="15" hidden="false" customHeight="true" outlineLevel="0" collapsed="false">
      <c r="B233" s="1" t="str">
        <f aca="false">IFERROR(VLOOKUP(A233,'Pass 2'!$A:$S,MATCH("Category",'Pass 2'!$1:$1,0),FALSE()),"")</f>
        <v/>
      </c>
      <c r="C233" s="1" t="str">
        <f aca="false">IFERROR(VLOOKUP(A233,'Pass 1 Archive'!$A:$AD,MATCH("LinkedIn Employee Count",'Pass 1 Archive'!$1:$1,0),FALSE()),"")</f>
        <v/>
      </c>
      <c r="D233" s="1" t="str">
        <f aca="false">IFERROR(VLOOKUP(A233,'Pass 2'!$A:$S,MATCH("Jan 2025 Traffic",'Pass 2'!$1:$1,0),FALSE()),"")</f>
        <v/>
      </c>
      <c r="E233" s="1" t="str">
        <f aca="false">IFERROR(VLOOKUP(A233,'Pass 2'!$A:$S,MATCH("Jun 2026 Traffic",'Pass 2'!$1:$1,0),FALSE()),"")</f>
        <v/>
      </c>
      <c r="F233" s="1" t="str">
        <f aca="false">IFERROR(VLOOKUP(A233,'Pass 2'!$A:$S,MATCH("Traffic % Change",'Pass 2'!$1:$1,0),FALSE()),"")</f>
        <v/>
      </c>
      <c r="G233" s="1" t="str">
        <f aca="false">IFERROR(VLOOKUP(A233,'Pass 2'!$A:$S,MATCH("Jan 2025 Referring Domains",'Pass 2'!$1:$1,0),FALSE()),"")</f>
        <v/>
      </c>
      <c r="H233" s="1" t="str">
        <f aca="false">IFERROR(VLOOKUP(A233,'Pass 2'!$A:$S,MATCH("Jun 2026 Referring Domains",'Pass 2'!$1:$1,0),FALSE()),"")</f>
        <v/>
      </c>
    </row>
    <row r="234" customFormat="false" ht="15" hidden="false" customHeight="true" outlineLevel="0" collapsed="false">
      <c r="B234" s="1" t="str">
        <f aca="false">IFERROR(VLOOKUP(A234,'Pass 2'!$A:$S,MATCH("Category",'Pass 2'!$1:$1,0),FALSE()),"")</f>
        <v/>
      </c>
      <c r="C234" s="1" t="str">
        <f aca="false">IFERROR(VLOOKUP(A234,'Pass 1 Archive'!$A:$AD,MATCH("LinkedIn Employee Count",'Pass 1 Archive'!$1:$1,0),FALSE()),"")</f>
        <v/>
      </c>
      <c r="D234" s="1" t="str">
        <f aca="false">IFERROR(VLOOKUP(A234,'Pass 2'!$A:$S,MATCH("Jan 2025 Traffic",'Pass 2'!$1:$1,0),FALSE()),"")</f>
        <v/>
      </c>
      <c r="E234" s="1" t="str">
        <f aca="false">IFERROR(VLOOKUP(A234,'Pass 2'!$A:$S,MATCH("Jun 2026 Traffic",'Pass 2'!$1:$1,0),FALSE()),"")</f>
        <v/>
      </c>
      <c r="F234" s="1" t="str">
        <f aca="false">IFERROR(VLOOKUP(A234,'Pass 2'!$A:$S,MATCH("Traffic % Change",'Pass 2'!$1:$1,0),FALSE()),"")</f>
        <v/>
      </c>
      <c r="G234" s="1" t="str">
        <f aca="false">IFERROR(VLOOKUP(A234,'Pass 2'!$A:$S,MATCH("Jan 2025 Referring Domains",'Pass 2'!$1:$1,0),FALSE()),"")</f>
        <v/>
      </c>
      <c r="H234" s="1" t="str">
        <f aca="false">IFERROR(VLOOKUP(A234,'Pass 2'!$A:$S,MATCH("Jun 2026 Referring Domains",'Pass 2'!$1:$1,0),FALSE()),"")</f>
        <v/>
      </c>
    </row>
    <row r="235" customFormat="false" ht="15" hidden="false" customHeight="true" outlineLevel="0" collapsed="false">
      <c r="B235" s="1" t="str">
        <f aca="false">IFERROR(VLOOKUP(A235,'Pass 2'!$A:$S,MATCH("Category",'Pass 2'!$1:$1,0),FALSE()),"")</f>
        <v/>
      </c>
      <c r="C235" s="1" t="str">
        <f aca="false">IFERROR(VLOOKUP(A235,'Pass 1 Archive'!$A:$AD,MATCH("LinkedIn Employee Count",'Pass 1 Archive'!$1:$1,0),FALSE()),"")</f>
        <v/>
      </c>
      <c r="D235" s="1" t="str">
        <f aca="false">IFERROR(VLOOKUP(A235,'Pass 2'!$A:$S,MATCH("Jan 2025 Traffic",'Pass 2'!$1:$1,0),FALSE()),"")</f>
        <v/>
      </c>
      <c r="E235" s="1" t="str">
        <f aca="false">IFERROR(VLOOKUP(A235,'Pass 2'!$A:$S,MATCH("Jun 2026 Traffic",'Pass 2'!$1:$1,0),FALSE()),"")</f>
        <v/>
      </c>
      <c r="F235" s="1" t="str">
        <f aca="false">IFERROR(VLOOKUP(A235,'Pass 2'!$A:$S,MATCH("Traffic % Change",'Pass 2'!$1:$1,0),FALSE()),"")</f>
        <v/>
      </c>
      <c r="G235" s="1" t="str">
        <f aca="false">IFERROR(VLOOKUP(A235,'Pass 2'!$A:$S,MATCH("Jan 2025 Referring Domains",'Pass 2'!$1:$1,0),FALSE()),"")</f>
        <v/>
      </c>
      <c r="H235" s="1" t="str">
        <f aca="false">IFERROR(VLOOKUP(A235,'Pass 2'!$A:$S,MATCH("Jun 2026 Referring Domains",'Pass 2'!$1:$1,0),FALSE()),"")</f>
        <v/>
      </c>
    </row>
    <row r="236" customFormat="false" ht="15" hidden="false" customHeight="true" outlineLevel="0" collapsed="false">
      <c r="B236" s="1" t="str">
        <f aca="false">IFERROR(VLOOKUP(A236,'Pass 2'!$A:$S,MATCH("Category",'Pass 2'!$1:$1,0),FALSE()),"")</f>
        <v/>
      </c>
      <c r="C236" s="1" t="str">
        <f aca="false">IFERROR(VLOOKUP(A236,'Pass 1 Archive'!$A:$AD,MATCH("LinkedIn Employee Count",'Pass 1 Archive'!$1:$1,0),FALSE()),"")</f>
        <v/>
      </c>
      <c r="D236" s="1" t="str">
        <f aca="false">IFERROR(VLOOKUP(A236,'Pass 2'!$A:$S,MATCH("Jan 2025 Traffic",'Pass 2'!$1:$1,0),FALSE()),"")</f>
        <v/>
      </c>
      <c r="E236" s="1" t="str">
        <f aca="false">IFERROR(VLOOKUP(A236,'Pass 2'!$A:$S,MATCH("Jun 2026 Traffic",'Pass 2'!$1:$1,0),FALSE()),"")</f>
        <v/>
      </c>
      <c r="F236" s="1" t="str">
        <f aca="false">IFERROR(VLOOKUP(A236,'Pass 2'!$A:$S,MATCH("Traffic % Change",'Pass 2'!$1:$1,0),FALSE()),"")</f>
        <v/>
      </c>
      <c r="G236" s="1" t="str">
        <f aca="false">IFERROR(VLOOKUP(A236,'Pass 2'!$A:$S,MATCH("Jan 2025 Referring Domains",'Pass 2'!$1:$1,0),FALSE()),"")</f>
        <v/>
      </c>
      <c r="H236" s="1" t="str">
        <f aca="false">IFERROR(VLOOKUP(A236,'Pass 2'!$A:$S,MATCH("Jun 2026 Referring Domains",'Pass 2'!$1:$1,0),FALSE()),"")</f>
        <v/>
      </c>
    </row>
    <row r="237" customFormat="false" ht="15" hidden="false" customHeight="true" outlineLevel="0" collapsed="false">
      <c r="B237" s="1" t="str">
        <f aca="false">IFERROR(VLOOKUP(A237,'Pass 2'!$A:$S,MATCH("Category",'Pass 2'!$1:$1,0),FALSE()),"")</f>
        <v/>
      </c>
      <c r="C237" s="1" t="str">
        <f aca="false">IFERROR(VLOOKUP(A237,'Pass 1 Archive'!$A:$AD,MATCH("LinkedIn Employee Count",'Pass 1 Archive'!$1:$1,0),FALSE()),"")</f>
        <v/>
      </c>
      <c r="D237" s="1" t="str">
        <f aca="false">IFERROR(VLOOKUP(A237,'Pass 2'!$A:$S,MATCH("Jan 2025 Traffic",'Pass 2'!$1:$1,0),FALSE()),"")</f>
        <v/>
      </c>
      <c r="E237" s="1" t="str">
        <f aca="false">IFERROR(VLOOKUP(A237,'Pass 2'!$A:$S,MATCH("Jun 2026 Traffic",'Pass 2'!$1:$1,0),FALSE()),"")</f>
        <v/>
      </c>
      <c r="F237" s="1" t="str">
        <f aca="false">IFERROR(VLOOKUP(A237,'Pass 2'!$A:$S,MATCH("Traffic % Change",'Pass 2'!$1:$1,0),FALSE()),"")</f>
        <v/>
      </c>
      <c r="G237" s="1" t="str">
        <f aca="false">IFERROR(VLOOKUP(A237,'Pass 2'!$A:$S,MATCH("Jan 2025 Referring Domains",'Pass 2'!$1:$1,0),FALSE()),"")</f>
        <v/>
      </c>
      <c r="H237" s="1" t="str">
        <f aca="false">IFERROR(VLOOKUP(A237,'Pass 2'!$A:$S,MATCH("Jun 2026 Referring Domains",'Pass 2'!$1:$1,0),FALSE()),"")</f>
        <v/>
      </c>
    </row>
    <row r="238" customFormat="false" ht="15" hidden="false" customHeight="true" outlineLevel="0" collapsed="false">
      <c r="B238" s="1" t="str">
        <f aca="false">IFERROR(VLOOKUP(A238,'Pass 2'!$A:$S,MATCH("Category",'Pass 2'!$1:$1,0),FALSE()),"")</f>
        <v/>
      </c>
      <c r="C238" s="1" t="str">
        <f aca="false">IFERROR(VLOOKUP(A238,'Pass 1 Archive'!$A:$AD,MATCH("LinkedIn Employee Count",'Pass 1 Archive'!$1:$1,0),FALSE()),"")</f>
        <v/>
      </c>
      <c r="D238" s="1" t="str">
        <f aca="false">IFERROR(VLOOKUP(A238,'Pass 2'!$A:$S,MATCH("Jan 2025 Traffic",'Pass 2'!$1:$1,0),FALSE()),"")</f>
        <v/>
      </c>
      <c r="E238" s="1" t="str">
        <f aca="false">IFERROR(VLOOKUP(A238,'Pass 2'!$A:$S,MATCH("Jun 2026 Traffic",'Pass 2'!$1:$1,0),FALSE()),"")</f>
        <v/>
      </c>
      <c r="F238" s="1" t="str">
        <f aca="false">IFERROR(VLOOKUP(A238,'Pass 2'!$A:$S,MATCH("Traffic % Change",'Pass 2'!$1:$1,0),FALSE()),"")</f>
        <v/>
      </c>
      <c r="G238" s="1" t="str">
        <f aca="false">IFERROR(VLOOKUP(A238,'Pass 2'!$A:$S,MATCH("Jan 2025 Referring Domains",'Pass 2'!$1:$1,0),FALSE()),"")</f>
        <v/>
      </c>
      <c r="H238" s="1" t="str">
        <f aca="false">IFERROR(VLOOKUP(A238,'Pass 2'!$A:$S,MATCH("Jun 2026 Referring Domains",'Pass 2'!$1:$1,0),FALSE()),"")</f>
        <v/>
      </c>
    </row>
    <row r="239" customFormat="false" ht="15" hidden="false" customHeight="true" outlineLevel="0" collapsed="false">
      <c r="B239" s="1" t="str">
        <f aca="false">IFERROR(VLOOKUP(A239,'Pass 2'!$A:$S,MATCH("Category",'Pass 2'!$1:$1,0),FALSE()),"")</f>
        <v/>
      </c>
      <c r="C239" s="1" t="str">
        <f aca="false">IFERROR(VLOOKUP(A239,'Pass 1 Archive'!$A:$AD,MATCH("LinkedIn Employee Count",'Pass 1 Archive'!$1:$1,0),FALSE()),"")</f>
        <v/>
      </c>
      <c r="D239" s="1" t="str">
        <f aca="false">IFERROR(VLOOKUP(A239,'Pass 2'!$A:$S,MATCH("Jan 2025 Traffic",'Pass 2'!$1:$1,0),FALSE()),"")</f>
        <v/>
      </c>
      <c r="E239" s="1" t="str">
        <f aca="false">IFERROR(VLOOKUP(A239,'Pass 2'!$A:$S,MATCH("Jun 2026 Traffic",'Pass 2'!$1:$1,0),FALSE()),"")</f>
        <v/>
      </c>
      <c r="F239" s="1" t="str">
        <f aca="false">IFERROR(VLOOKUP(A239,'Pass 2'!$A:$S,MATCH("Traffic % Change",'Pass 2'!$1:$1,0),FALSE()),"")</f>
        <v/>
      </c>
      <c r="G239" s="1" t="str">
        <f aca="false">IFERROR(VLOOKUP(A239,'Pass 2'!$A:$S,MATCH("Jan 2025 Referring Domains",'Pass 2'!$1:$1,0),FALSE()),"")</f>
        <v/>
      </c>
      <c r="H239" s="1" t="str">
        <f aca="false">IFERROR(VLOOKUP(A239,'Pass 2'!$A:$S,MATCH("Jun 2026 Referring Domains",'Pass 2'!$1:$1,0),FALSE()),"")</f>
        <v/>
      </c>
    </row>
    <row r="240" customFormat="false" ht="15" hidden="false" customHeight="true" outlineLevel="0" collapsed="false">
      <c r="B240" s="1" t="str">
        <f aca="false">IFERROR(VLOOKUP(A240,'Pass 2'!$A:$S,MATCH("Category",'Pass 2'!$1:$1,0),FALSE()),"")</f>
        <v/>
      </c>
      <c r="C240" s="1" t="str">
        <f aca="false">IFERROR(VLOOKUP(A240,'Pass 1 Archive'!$A:$AD,MATCH("LinkedIn Employee Count",'Pass 1 Archive'!$1:$1,0),FALSE()),"")</f>
        <v/>
      </c>
      <c r="D240" s="1" t="str">
        <f aca="false">IFERROR(VLOOKUP(A240,'Pass 2'!$A:$S,MATCH("Jan 2025 Traffic",'Pass 2'!$1:$1,0),FALSE()),"")</f>
        <v/>
      </c>
      <c r="E240" s="1" t="str">
        <f aca="false">IFERROR(VLOOKUP(A240,'Pass 2'!$A:$S,MATCH("Jun 2026 Traffic",'Pass 2'!$1:$1,0),FALSE()),"")</f>
        <v/>
      </c>
      <c r="F240" s="1" t="str">
        <f aca="false">IFERROR(VLOOKUP(A240,'Pass 2'!$A:$S,MATCH("Traffic % Change",'Pass 2'!$1:$1,0),FALSE()),"")</f>
        <v/>
      </c>
      <c r="G240" s="1" t="str">
        <f aca="false">IFERROR(VLOOKUP(A240,'Pass 2'!$A:$S,MATCH("Jan 2025 Referring Domains",'Pass 2'!$1:$1,0),FALSE()),"")</f>
        <v/>
      </c>
      <c r="H240" s="1" t="str">
        <f aca="false">IFERROR(VLOOKUP(A240,'Pass 2'!$A:$S,MATCH("Jun 2026 Referring Domains",'Pass 2'!$1:$1,0),FALSE()),"")</f>
        <v/>
      </c>
    </row>
    <row r="241" customFormat="false" ht="15" hidden="false" customHeight="true" outlineLevel="0" collapsed="false">
      <c r="B241" s="1" t="str">
        <f aca="false">IFERROR(VLOOKUP(A241,'Pass 2'!$A:$S,MATCH("Category",'Pass 2'!$1:$1,0),FALSE()),"")</f>
        <v/>
      </c>
      <c r="C241" s="1" t="str">
        <f aca="false">IFERROR(VLOOKUP(A241,'Pass 1 Archive'!$A:$AD,MATCH("LinkedIn Employee Count",'Pass 1 Archive'!$1:$1,0),FALSE()),"")</f>
        <v/>
      </c>
      <c r="D241" s="1" t="str">
        <f aca="false">IFERROR(VLOOKUP(A241,'Pass 2'!$A:$S,MATCH("Jan 2025 Traffic",'Pass 2'!$1:$1,0),FALSE()),"")</f>
        <v/>
      </c>
      <c r="E241" s="1" t="str">
        <f aca="false">IFERROR(VLOOKUP(A241,'Pass 2'!$A:$S,MATCH("Jun 2026 Traffic",'Pass 2'!$1:$1,0),FALSE()),"")</f>
        <v/>
      </c>
      <c r="F241" s="1" t="str">
        <f aca="false">IFERROR(VLOOKUP(A241,'Pass 2'!$A:$S,MATCH("Traffic % Change",'Pass 2'!$1:$1,0),FALSE()),"")</f>
        <v/>
      </c>
      <c r="G241" s="1" t="str">
        <f aca="false">IFERROR(VLOOKUP(A241,'Pass 2'!$A:$S,MATCH("Jan 2025 Referring Domains",'Pass 2'!$1:$1,0),FALSE()),"")</f>
        <v/>
      </c>
      <c r="H241" s="1" t="str">
        <f aca="false">IFERROR(VLOOKUP(A241,'Pass 2'!$A:$S,MATCH("Jun 2026 Referring Domains",'Pass 2'!$1:$1,0),FALSE()),"")</f>
        <v/>
      </c>
    </row>
    <row r="242" customFormat="false" ht="15" hidden="false" customHeight="true" outlineLevel="0" collapsed="false">
      <c r="B242" s="1" t="str">
        <f aca="false">IFERROR(VLOOKUP(A242,'Pass 2'!$A:$S,MATCH("Category",'Pass 2'!$1:$1,0),FALSE()),"")</f>
        <v/>
      </c>
      <c r="C242" s="1" t="str">
        <f aca="false">IFERROR(VLOOKUP(A242,'Pass 1 Archive'!$A:$AD,MATCH("LinkedIn Employee Count",'Pass 1 Archive'!$1:$1,0),FALSE()),"")</f>
        <v/>
      </c>
      <c r="D242" s="1" t="str">
        <f aca="false">IFERROR(VLOOKUP(A242,'Pass 2'!$A:$S,MATCH("Jan 2025 Traffic",'Pass 2'!$1:$1,0),FALSE()),"")</f>
        <v/>
      </c>
      <c r="E242" s="1" t="str">
        <f aca="false">IFERROR(VLOOKUP(A242,'Pass 2'!$A:$S,MATCH("Jun 2026 Traffic",'Pass 2'!$1:$1,0),FALSE()),"")</f>
        <v/>
      </c>
      <c r="F242" s="1" t="str">
        <f aca="false">IFERROR(VLOOKUP(A242,'Pass 2'!$A:$S,MATCH("Traffic % Change",'Pass 2'!$1:$1,0),FALSE()),"")</f>
        <v/>
      </c>
      <c r="G242" s="1" t="str">
        <f aca="false">IFERROR(VLOOKUP(A242,'Pass 2'!$A:$S,MATCH("Jan 2025 Referring Domains",'Pass 2'!$1:$1,0),FALSE()),"")</f>
        <v/>
      </c>
      <c r="H242" s="1" t="str">
        <f aca="false">IFERROR(VLOOKUP(A242,'Pass 2'!$A:$S,MATCH("Jun 2026 Referring Domains",'Pass 2'!$1:$1,0),FALSE()),"")</f>
        <v/>
      </c>
    </row>
    <row r="243" customFormat="false" ht="15" hidden="false" customHeight="true" outlineLevel="0" collapsed="false">
      <c r="B243" s="1" t="str">
        <f aca="false">IFERROR(VLOOKUP(A243,'Pass 2'!$A:$S,MATCH("Category",'Pass 2'!$1:$1,0),FALSE()),"")</f>
        <v/>
      </c>
      <c r="C243" s="1" t="str">
        <f aca="false">IFERROR(VLOOKUP(A243,'Pass 1 Archive'!$A:$AD,MATCH("LinkedIn Employee Count",'Pass 1 Archive'!$1:$1,0),FALSE()),"")</f>
        <v/>
      </c>
      <c r="D243" s="1" t="str">
        <f aca="false">IFERROR(VLOOKUP(A243,'Pass 2'!$A:$S,MATCH("Jan 2025 Traffic",'Pass 2'!$1:$1,0),FALSE()),"")</f>
        <v/>
      </c>
      <c r="E243" s="1" t="str">
        <f aca="false">IFERROR(VLOOKUP(A243,'Pass 2'!$A:$S,MATCH("Jun 2026 Traffic",'Pass 2'!$1:$1,0),FALSE()),"")</f>
        <v/>
      </c>
      <c r="F243" s="1" t="str">
        <f aca="false">IFERROR(VLOOKUP(A243,'Pass 2'!$A:$S,MATCH("Traffic % Change",'Pass 2'!$1:$1,0),FALSE()),"")</f>
        <v/>
      </c>
      <c r="G243" s="1" t="str">
        <f aca="false">IFERROR(VLOOKUP(A243,'Pass 2'!$A:$S,MATCH("Jan 2025 Referring Domains",'Pass 2'!$1:$1,0),FALSE()),"")</f>
        <v/>
      </c>
      <c r="H243" s="1" t="str">
        <f aca="false">IFERROR(VLOOKUP(A243,'Pass 2'!$A:$S,MATCH("Jun 2026 Referring Domains",'Pass 2'!$1:$1,0),FALSE()),"")</f>
        <v/>
      </c>
    </row>
    <row r="244" customFormat="false" ht="15" hidden="false" customHeight="true" outlineLevel="0" collapsed="false">
      <c r="B244" s="1" t="str">
        <f aca="false">IFERROR(VLOOKUP(A244,'Pass 2'!$A:$S,MATCH("Category",'Pass 2'!$1:$1,0),FALSE()),"")</f>
        <v/>
      </c>
      <c r="C244" s="1" t="str">
        <f aca="false">IFERROR(VLOOKUP(A244,'Pass 1 Archive'!$A:$AD,MATCH("LinkedIn Employee Count",'Pass 1 Archive'!$1:$1,0),FALSE()),"")</f>
        <v/>
      </c>
      <c r="D244" s="1" t="str">
        <f aca="false">IFERROR(VLOOKUP(A244,'Pass 2'!$A:$S,MATCH("Jan 2025 Traffic",'Pass 2'!$1:$1,0),FALSE()),"")</f>
        <v/>
      </c>
      <c r="E244" s="1" t="str">
        <f aca="false">IFERROR(VLOOKUP(A244,'Pass 2'!$A:$S,MATCH("Jun 2026 Traffic",'Pass 2'!$1:$1,0),FALSE()),"")</f>
        <v/>
      </c>
      <c r="F244" s="1" t="str">
        <f aca="false">IFERROR(VLOOKUP(A244,'Pass 2'!$A:$S,MATCH("Traffic % Change",'Pass 2'!$1:$1,0),FALSE()),"")</f>
        <v/>
      </c>
      <c r="G244" s="1" t="str">
        <f aca="false">IFERROR(VLOOKUP(A244,'Pass 2'!$A:$S,MATCH("Jan 2025 Referring Domains",'Pass 2'!$1:$1,0),FALSE()),"")</f>
        <v/>
      </c>
      <c r="H244" s="1" t="str">
        <f aca="false">IFERROR(VLOOKUP(A244,'Pass 2'!$A:$S,MATCH("Jun 2026 Referring Domains",'Pass 2'!$1:$1,0),FALSE()),"")</f>
        <v/>
      </c>
    </row>
    <row r="245" customFormat="false" ht="15" hidden="false" customHeight="true" outlineLevel="0" collapsed="false">
      <c r="B245" s="1" t="str">
        <f aca="false">IFERROR(VLOOKUP(A245,'Pass 2'!$A:$S,MATCH("Category",'Pass 2'!$1:$1,0),FALSE()),"")</f>
        <v/>
      </c>
      <c r="C245" s="1" t="str">
        <f aca="false">IFERROR(VLOOKUP(A245,'Pass 1 Archive'!$A:$AD,MATCH("LinkedIn Employee Count",'Pass 1 Archive'!$1:$1,0),FALSE()),"")</f>
        <v/>
      </c>
      <c r="D245" s="1" t="str">
        <f aca="false">IFERROR(VLOOKUP(A245,'Pass 2'!$A:$S,MATCH("Jan 2025 Traffic",'Pass 2'!$1:$1,0),FALSE()),"")</f>
        <v/>
      </c>
      <c r="E245" s="1" t="str">
        <f aca="false">IFERROR(VLOOKUP(A245,'Pass 2'!$A:$S,MATCH("Jun 2026 Traffic",'Pass 2'!$1:$1,0),FALSE()),"")</f>
        <v/>
      </c>
      <c r="F245" s="1" t="str">
        <f aca="false">IFERROR(VLOOKUP(A245,'Pass 2'!$A:$S,MATCH("Traffic % Change",'Pass 2'!$1:$1,0),FALSE()),"")</f>
        <v/>
      </c>
      <c r="G245" s="1" t="str">
        <f aca="false">IFERROR(VLOOKUP(A245,'Pass 2'!$A:$S,MATCH("Jan 2025 Referring Domains",'Pass 2'!$1:$1,0),FALSE()),"")</f>
        <v/>
      </c>
      <c r="H245" s="1" t="str">
        <f aca="false">IFERROR(VLOOKUP(A245,'Pass 2'!$A:$S,MATCH("Jun 2026 Referring Domains",'Pass 2'!$1:$1,0),FALSE()),"")</f>
        <v/>
      </c>
    </row>
    <row r="246" customFormat="false" ht="15" hidden="false" customHeight="true" outlineLevel="0" collapsed="false">
      <c r="B246" s="1" t="str">
        <f aca="false">IFERROR(VLOOKUP(A246,'Pass 2'!$A:$S,MATCH("Category",'Pass 2'!$1:$1,0),FALSE()),"")</f>
        <v/>
      </c>
      <c r="C246" s="1" t="str">
        <f aca="false">IFERROR(VLOOKUP(A246,'Pass 1 Archive'!$A:$AD,MATCH("LinkedIn Employee Count",'Pass 1 Archive'!$1:$1,0),FALSE()),"")</f>
        <v/>
      </c>
      <c r="D246" s="1" t="str">
        <f aca="false">IFERROR(VLOOKUP(A246,'Pass 2'!$A:$S,MATCH("Jan 2025 Traffic",'Pass 2'!$1:$1,0),FALSE()),"")</f>
        <v/>
      </c>
      <c r="E246" s="1" t="str">
        <f aca="false">IFERROR(VLOOKUP(A246,'Pass 2'!$A:$S,MATCH("Jun 2026 Traffic",'Pass 2'!$1:$1,0),FALSE()),"")</f>
        <v/>
      </c>
      <c r="F246" s="1" t="str">
        <f aca="false">IFERROR(VLOOKUP(A246,'Pass 2'!$A:$S,MATCH("Traffic % Change",'Pass 2'!$1:$1,0),FALSE()),"")</f>
        <v/>
      </c>
      <c r="G246" s="1" t="str">
        <f aca="false">IFERROR(VLOOKUP(A246,'Pass 2'!$A:$S,MATCH("Jan 2025 Referring Domains",'Pass 2'!$1:$1,0),FALSE()),"")</f>
        <v/>
      </c>
      <c r="H246" s="1" t="str">
        <f aca="false">IFERROR(VLOOKUP(A246,'Pass 2'!$A:$S,MATCH("Jun 2026 Referring Domains",'Pass 2'!$1:$1,0),FALSE()),"")</f>
        <v/>
      </c>
    </row>
    <row r="247" customFormat="false" ht="15" hidden="false" customHeight="true" outlineLevel="0" collapsed="false">
      <c r="B247" s="1" t="str">
        <f aca="false">IFERROR(VLOOKUP(A247,'Pass 2'!$A:$S,MATCH("Category",'Pass 2'!$1:$1,0),FALSE()),"")</f>
        <v/>
      </c>
      <c r="C247" s="1" t="str">
        <f aca="false">IFERROR(VLOOKUP(A247,'Pass 1 Archive'!$A:$AD,MATCH("LinkedIn Employee Count",'Pass 1 Archive'!$1:$1,0),FALSE()),"")</f>
        <v/>
      </c>
      <c r="D247" s="1" t="str">
        <f aca="false">IFERROR(VLOOKUP(A247,'Pass 2'!$A:$S,MATCH("Jan 2025 Traffic",'Pass 2'!$1:$1,0),FALSE()),"")</f>
        <v/>
      </c>
      <c r="E247" s="1" t="str">
        <f aca="false">IFERROR(VLOOKUP(A247,'Pass 2'!$A:$S,MATCH("Jun 2026 Traffic",'Pass 2'!$1:$1,0),FALSE()),"")</f>
        <v/>
      </c>
      <c r="F247" s="1" t="str">
        <f aca="false">IFERROR(VLOOKUP(A247,'Pass 2'!$A:$S,MATCH("Traffic % Change",'Pass 2'!$1:$1,0),FALSE()),"")</f>
        <v/>
      </c>
      <c r="G247" s="1" t="str">
        <f aca="false">IFERROR(VLOOKUP(A247,'Pass 2'!$A:$S,MATCH("Jan 2025 Referring Domains",'Pass 2'!$1:$1,0),FALSE()),"")</f>
        <v/>
      </c>
      <c r="H247" s="1" t="str">
        <f aca="false">IFERROR(VLOOKUP(A247,'Pass 2'!$A:$S,MATCH("Jun 2026 Referring Domains",'Pass 2'!$1:$1,0),FALSE()),"")</f>
        <v/>
      </c>
    </row>
    <row r="248" customFormat="false" ht="15" hidden="false" customHeight="true" outlineLevel="0" collapsed="false">
      <c r="B248" s="1" t="str">
        <f aca="false">IFERROR(VLOOKUP(A248,'Pass 2'!$A:$S,MATCH("Category",'Pass 2'!$1:$1,0),FALSE()),"")</f>
        <v/>
      </c>
      <c r="C248" s="1" t="str">
        <f aca="false">IFERROR(VLOOKUP(A248,'Pass 1 Archive'!$A:$AD,MATCH("LinkedIn Employee Count",'Pass 1 Archive'!$1:$1,0),FALSE()),"")</f>
        <v/>
      </c>
      <c r="D248" s="1" t="str">
        <f aca="false">IFERROR(VLOOKUP(A248,'Pass 2'!$A:$S,MATCH("Jan 2025 Traffic",'Pass 2'!$1:$1,0),FALSE()),"")</f>
        <v/>
      </c>
      <c r="E248" s="1" t="str">
        <f aca="false">IFERROR(VLOOKUP(A248,'Pass 2'!$A:$S,MATCH("Jun 2026 Traffic",'Pass 2'!$1:$1,0),FALSE()),"")</f>
        <v/>
      </c>
      <c r="F248" s="1" t="str">
        <f aca="false">IFERROR(VLOOKUP(A248,'Pass 2'!$A:$S,MATCH("Traffic % Change",'Pass 2'!$1:$1,0),FALSE()),"")</f>
        <v/>
      </c>
      <c r="G248" s="1" t="str">
        <f aca="false">IFERROR(VLOOKUP(A248,'Pass 2'!$A:$S,MATCH("Jan 2025 Referring Domains",'Pass 2'!$1:$1,0),FALSE()),"")</f>
        <v/>
      </c>
      <c r="H248" s="1" t="str">
        <f aca="false">IFERROR(VLOOKUP(A248,'Pass 2'!$A:$S,MATCH("Jun 2026 Referring Domains",'Pass 2'!$1:$1,0),FALSE()),"")</f>
        <v/>
      </c>
    </row>
    <row r="249" customFormat="false" ht="15" hidden="false" customHeight="true" outlineLevel="0" collapsed="false">
      <c r="B249" s="1" t="str">
        <f aca="false">IFERROR(VLOOKUP(A249,'Pass 2'!$A:$S,MATCH("Category",'Pass 2'!$1:$1,0),FALSE()),"")</f>
        <v/>
      </c>
      <c r="C249" s="1" t="str">
        <f aca="false">IFERROR(VLOOKUP(A249,'Pass 1 Archive'!$A:$AD,MATCH("LinkedIn Employee Count",'Pass 1 Archive'!$1:$1,0),FALSE()),"")</f>
        <v/>
      </c>
      <c r="D249" s="1" t="str">
        <f aca="false">IFERROR(VLOOKUP(A249,'Pass 2'!$A:$S,MATCH("Jan 2025 Traffic",'Pass 2'!$1:$1,0),FALSE()),"")</f>
        <v/>
      </c>
      <c r="E249" s="1" t="str">
        <f aca="false">IFERROR(VLOOKUP(A249,'Pass 2'!$A:$S,MATCH("Jun 2026 Traffic",'Pass 2'!$1:$1,0),FALSE()),"")</f>
        <v/>
      </c>
      <c r="F249" s="1" t="str">
        <f aca="false">IFERROR(VLOOKUP(A249,'Pass 2'!$A:$S,MATCH("Traffic % Change",'Pass 2'!$1:$1,0),FALSE()),"")</f>
        <v/>
      </c>
      <c r="G249" s="1" t="str">
        <f aca="false">IFERROR(VLOOKUP(A249,'Pass 2'!$A:$S,MATCH("Jan 2025 Referring Domains",'Pass 2'!$1:$1,0),FALSE()),"")</f>
        <v/>
      </c>
      <c r="H249" s="1" t="str">
        <f aca="false">IFERROR(VLOOKUP(A249,'Pass 2'!$A:$S,MATCH("Jun 2026 Referring Domains",'Pass 2'!$1:$1,0),FALSE()),"")</f>
        <v/>
      </c>
    </row>
    <row r="250" customFormat="false" ht="15" hidden="false" customHeight="true" outlineLevel="0" collapsed="false">
      <c r="B250" s="1" t="str">
        <f aca="false">IFERROR(VLOOKUP(A250,'Pass 2'!$A:$S,MATCH("Category",'Pass 2'!$1:$1,0),FALSE()),"")</f>
        <v/>
      </c>
      <c r="C250" s="1" t="str">
        <f aca="false">IFERROR(VLOOKUP(A250,'Pass 1 Archive'!$A:$AD,MATCH("LinkedIn Employee Count",'Pass 1 Archive'!$1:$1,0),FALSE()),"")</f>
        <v/>
      </c>
      <c r="D250" s="1" t="str">
        <f aca="false">IFERROR(VLOOKUP(A250,'Pass 2'!$A:$S,MATCH("Jan 2025 Traffic",'Pass 2'!$1:$1,0),FALSE()),"")</f>
        <v/>
      </c>
      <c r="E250" s="1" t="str">
        <f aca="false">IFERROR(VLOOKUP(A250,'Pass 2'!$A:$S,MATCH("Jun 2026 Traffic",'Pass 2'!$1:$1,0),FALSE()),"")</f>
        <v/>
      </c>
      <c r="F250" s="1" t="str">
        <f aca="false">IFERROR(VLOOKUP(A250,'Pass 2'!$A:$S,MATCH("Traffic % Change",'Pass 2'!$1:$1,0),FALSE()),"")</f>
        <v/>
      </c>
      <c r="G250" s="1" t="str">
        <f aca="false">IFERROR(VLOOKUP(A250,'Pass 2'!$A:$S,MATCH("Jan 2025 Referring Domains",'Pass 2'!$1:$1,0),FALSE()),"")</f>
        <v/>
      </c>
      <c r="H250" s="1" t="str">
        <f aca="false">IFERROR(VLOOKUP(A250,'Pass 2'!$A:$S,MATCH("Jun 2026 Referring Domains",'Pass 2'!$1:$1,0),FALSE()),"")</f>
        <v/>
      </c>
    </row>
    <row r="251" customFormat="false" ht="15" hidden="false" customHeight="true" outlineLevel="0" collapsed="false">
      <c r="B251" s="1" t="str">
        <f aca="false">IFERROR(VLOOKUP(A251,'Pass 2'!$A:$S,MATCH("Category",'Pass 2'!$1:$1,0),FALSE()),"")</f>
        <v/>
      </c>
      <c r="C251" s="1" t="str">
        <f aca="false">IFERROR(VLOOKUP(A251,'Pass 1 Archive'!$A:$AD,MATCH("LinkedIn Employee Count",'Pass 1 Archive'!$1:$1,0),FALSE()),"")</f>
        <v/>
      </c>
      <c r="D251" s="1" t="str">
        <f aca="false">IFERROR(VLOOKUP(A251,'Pass 2'!$A:$S,MATCH("Jan 2025 Traffic",'Pass 2'!$1:$1,0),FALSE()),"")</f>
        <v/>
      </c>
      <c r="E251" s="1" t="str">
        <f aca="false">IFERROR(VLOOKUP(A251,'Pass 2'!$A:$S,MATCH("Jun 2026 Traffic",'Pass 2'!$1:$1,0),FALSE()),"")</f>
        <v/>
      </c>
      <c r="F251" s="1" t="str">
        <f aca="false">IFERROR(VLOOKUP(A251,'Pass 2'!$A:$S,MATCH("Traffic % Change",'Pass 2'!$1:$1,0),FALSE()),"")</f>
        <v/>
      </c>
      <c r="G251" s="1" t="str">
        <f aca="false">IFERROR(VLOOKUP(A251,'Pass 2'!$A:$S,MATCH("Jan 2025 Referring Domains",'Pass 2'!$1:$1,0),FALSE()),"")</f>
        <v/>
      </c>
      <c r="H251" s="1" t="str">
        <f aca="false">IFERROR(VLOOKUP(A251,'Pass 2'!$A:$S,MATCH("Jun 2026 Referring Domains",'Pass 2'!$1:$1,0),FALSE()),"")</f>
        <v/>
      </c>
    </row>
    <row r="252" customFormat="false" ht="15" hidden="false" customHeight="true" outlineLevel="0" collapsed="false">
      <c r="B252" s="1" t="str">
        <f aca="false">IFERROR(VLOOKUP(A252,'Pass 2'!$A:$S,MATCH("Category",'Pass 2'!$1:$1,0),FALSE()),"")</f>
        <v/>
      </c>
      <c r="C252" s="1" t="str">
        <f aca="false">IFERROR(VLOOKUP(A252,'Pass 1 Archive'!$A:$AD,MATCH("LinkedIn Employee Count",'Pass 1 Archive'!$1:$1,0),FALSE()),"")</f>
        <v/>
      </c>
      <c r="D252" s="1" t="str">
        <f aca="false">IFERROR(VLOOKUP(A252,'Pass 2'!$A:$S,MATCH("Jan 2025 Traffic",'Pass 2'!$1:$1,0),FALSE()),"")</f>
        <v/>
      </c>
      <c r="E252" s="1" t="str">
        <f aca="false">IFERROR(VLOOKUP(A252,'Pass 2'!$A:$S,MATCH("Jun 2026 Traffic",'Pass 2'!$1:$1,0),FALSE()),"")</f>
        <v/>
      </c>
      <c r="F252" s="1" t="str">
        <f aca="false">IFERROR(VLOOKUP(A252,'Pass 2'!$A:$S,MATCH("Traffic % Change",'Pass 2'!$1:$1,0),FALSE()),"")</f>
        <v/>
      </c>
      <c r="G252" s="1" t="str">
        <f aca="false">IFERROR(VLOOKUP(A252,'Pass 2'!$A:$S,MATCH("Jan 2025 Referring Domains",'Pass 2'!$1:$1,0),FALSE()),"")</f>
        <v/>
      </c>
      <c r="H252" s="1" t="str">
        <f aca="false">IFERROR(VLOOKUP(A252,'Pass 2'!$A:$S,MATCH("Jun 2026 Referring Domains",'Pass 2'!$1:$1,0),FALSE()),"")</f>
        <v/>
      </c>
    </row>
    <row r="253" customFormat="false" ht="15" hidden="false" customHeight="true" outlineLevel="0" collapsed="false">
      <c r="B253" s="1" t="str">
        <f aca="false">IFERROR(VLOOKUP(A253,'Pass 2'!$A:$S,MATCH("Category",'Pass 2'!$1:$1,0),FALSE()),"")</f>
        <v/>
      </c>
      <c r="C253" s="1" t="str">
        <f aca="false">IFERROR(VLOOKUP(A253,'Pass 1 Archive'!$A:$AD,MATCH("LinkedIn Employee Count",'Pass 1 Archive'!$1:$1,0),FALSE()),"")</f>
        <v/>
      </c>
      <c r="D253" s="1" t="str">
        <f aca="false">IFERROR(VLOOKUP(A253,'Pass 2'!$A:$S,MATCH("Jan 2025 Traffic",'Pass 2'!$1:$1,0),FALSE()),"")</f>
        <v/>
      </c>
      <c r="E253" s="1" t="str">
        <f aca="false">IFERROR(VLOOKUP(A253,'Pass 2'!$A:$S,MATCH("Jun 2026 Traffic",'Pass 2'!$1:$1,0),FALSE()),"")</f>
        <v/>
      </c>
      <c r="F253" s="1" t="str">
        <f aca="false">IFERROR(VLOOKUP(A253,'Pass 2'!$A:$S,MATCH("Traffic % Change",'Pass 2'!$1:$1,0),FALSE()),"")</f>
        <v/>
      </c>
      <c r="G253" s="1" t="str">
        <f aca="false">IFERROR(VLOOKUP(A253,'Pass 2'!$A:$S,MATCH("Jan 2025 Referring Domains",'Pass 2'!$1:$1,0),FALSE()),"")</f>
        <v/>
      </c>
      <c r="H253" s="1" t="str">
        <f aca="false">IFERROR(VLOOKUP(A253,'Pass 2'!$A:$S,MATCH("Jun 2026 Referring Domains",'Pass 2'!$1:$1,0),FALSE()),"")</f>
        <v/>
      </c>
    </row>
    <row r="254" customFormat="false" ht="15" hidden="false" customHeight="true" outlineLevel="0" collapsed="false">
      <c r="B254" s="1" t="str">
        <f aca="false">IFERROR(VLOOKUP(A254,'Pass 2'!$A:$S,MATCH("Category",'Pass 2'!$1:$1,0),FALSE()),"")</f>
        <v/>
      </c>
      <c r="C254" s="1" t="str">
        <f aca="false">IFERROR(VLOOKUP(A254,'Pass 1 Archive'!$A:$AD,MATCH("LinkedIn Employee Count",'Pass 1 Archive'!$1:$1,0),FALSE()),"")</f>
        <v/>
      </c>
      <c r="D254" s="1" t="str">
        <f aca="false">IFERROR(VLOOKUP(A254,'Pass 2'!$A:$S,MATCH("Jan 2025 Traffic",'Pass 2'!$1:$1,0),FALSE()),"")</f>
        <v/>
      </c>
      <c r="E254" s="1" t="str">
        <f aca="false">IFERROR(VLOOKUP(A254,'Pass 2'!$A:$S,MATCH("Jun 2026 Traffic",'Pass 2'!$1:$1,0),FALSE()),"")</f>
        <v/>
      </c>
      <c r="F254" s="1" t="str">
        <f aca="false">IFERROR(VLOOKUP(A254,'Pass 2'!$A:$S,MATCH("Traffic % Change",'Pass 2'!$1:$1,0),FALSE()),"")</f>
        <v/>
      </c>
      <c r="G254" s="1" t="str">
        <f aca="false">IFERROR(VLOOKUP(A254,'Pass 2'!$A:$S,MATCH("Jan 2025 Referring Domains",'Pass 2'!$1:$1,0),FALSE()),"")</f>
        <v/>
      </c>
      <c r="H254" s="1" t="str">
        <f aca="false">IFERROR(VLOOKUP(A254,'Pass 2'!$A:$S,MATCH("Jun 2026 Referring Domains",'Pass 2'!$1:$1,0),FALSE()),"")</f>
        <v/>
      </c>
    </row>
    <row r="255" customFormat="false" ht="15" hidden="false" customHeight="true" outlineLevel="0" collapsed="false">
      <c r="B255" s="1" t="str">
        <f aca="false">IFERROR(VLOOKUP(A255,'Pass 2'!$A:$S,MATCH("Category",'Pass 2'!$1:$1,0),FALSE()),"")</f>
        <v/>
      </c>
      <c r="C255" s="1" t="str">
        <f aca="false">IFERROR(VLOOKUP(A255,'Pass 1 Archive'!$A:$AD,MATCH("LinkedIn Employee Count",'Pass 1 Archive'!$1:$1,0),FALSE()),"")</f>
        <v/>
      </c>
      <c r="D255" s="1" t="str">
        <f aca="false">IFERROR(VLOOKUP(A255,'Pass 2'!$A:$S,MATCH("Jan 2025 Traffic",'Pass 2'!$1:$1,0),FALSE()),"")</f>
        <v/>
      </c>
      <c r="E255" s="1" t="str">
        <f aca="false">IFERROR(VLOOKUP(A255,'Pass 2'!$A:$S,MATCH("Jun 2026 Traffic",'Pass 2'!$1:$1,0),FALSE()),"")</f>
        <v/>
      </c>
      <c r="F255" s="1" t="str">
        <f aca="false">IFERROR(VLOOKUP(A255,'Pass 2'!$A:$S,MATCH("Traffic % Change",'Pass 2'!$1:$1,0),FALSE()),"")</f>
        <v/>
      </c>
      <c r="G255" s="1" t="str">
        <f aca="false">IFERROR(VLOOKUP(A255,'Pass 2'!$A:$S,MATCH("Jan 2025 Referring Domains",'Pass 2'!$1:$1,0),FALSE()),"")</f>
        <v/>
      </c>
      <c r="H255" s="1" t="str">
        <f aca="false">IFERROR(VLOOKUP(A255,'Pass 2'!$A:$S,MATCH("Jun 2026 Referring Domains",'Pass 2'!$1:$1,0),FALSE()),"")</f>
        <v/>
      </c>
    </row>
    <row r="256" customFormat="false" ht="15" hidden="false" customHeight="true" outlineLevel="0" collapsed="false">
      <c r="B256" s="1" t="str">
        <f aca="false">IFERROR(VLOOKUP(A256,'Pass 2'!$A:$S,MATCH("Category",'Pass 2'!$1:$1,0),FALSE()),"")</f>
        <v/>
      </c>
      <c r="C256" s="1" t="str">
        <f aca="false">IFERROR(VLOOKUP(A256,'Pass 1 Archive'!$A:$AD,MATCH("LinkedIn Employee Count",'Pass 1 Archive'!$1:$1,0),FALSE()),"")</f>
        <v/>
      </c>
      <c r="D256" s="1" t="str">
        <f aca="false">IFERROR(VLOOKUP(A256,'Pass 2'!$A:$S,MATCH("Jan 2025 Traffic",'Pass 2'!$1:$1,0),FALSE()),"")</f>
        <v/>
      </c>
      <c r="E256" s="1" t="str">
        <f aca="false">IFERROR(VLOOKUP(A256,'Pass 2'!$A:$S,MATCH("Jun 2026 Traffic",'Pass 2'!$1:$1,0),FALSE()),"")</f>
        <v/>
      </c>
      <c r="F256" s="1" t="str">
        <f aca="false">IFERROR(VLOOKUP(A256,'Pass 2'!$A:$S,MATCH("Traffic % Change",'Pass 2'!$1:$1,0),FALSE()),"")</f>
        <v/>
      </c>
      <c r="G256" s="1" t="str">
        <f aca="false">IFERROR(VLOOKUP(A256,'Pass 2'!$A:$S,MATCH("Jan 2025 Referring Domains",'Pass 2'!$1:$1,0),FALSE()),"")</f>
        <v/>
      </c>
      <c r="H256" s="1" t="str">
        <f aca="false">IFERROR(VLOOKUP(A256,'Pass 2'!$A:$S,MATCH("Jun 2026 Referring Domains",'Pass 2'!$1:$1,0),FALSE()),"")</f>
        <v/>
      </c>
    </row>
    <row r="257" customFormat="false" ht="15" hidden="false" customHeight="true" outlineLevel="0" collapsed="false">
      <c r="B257" s="1" t="str">
        <f aca="false">IFERROR(VLOOKUP(A257,'Pass 2'!$A:$S,MATCH("Category",'Pass 2'!$1:$1,0),FALSE()),"")</f>
        <v/>
      </c>
      <c r="C257" s="1" t="str">
        <f aca="false">IFERROR(VLOOKUP(A257,'Pass 1 Archive'!$A:$AD,MATCH("LinkedIn Employee Count",'Pass 1 Archive'!$1:$1,0),FALSE()),"")</f>
        <v/>
      </c>
      <c r="D257" s="1" t="str">
        <f aca="false">IFERROR(VLOOKUP(A257,'Pass 2'!$A:$S,MATCH("Jan 2025 Traffic",'Pass 2'!$1:$1,0),FALSE()),"")</f>
        <v/>
      </c>
      <c r="E257" s="1" t="str">
        <f aca="false">IFERROR(VLOOKUP(A257,'Pass 2'!$A:$S,MATCH("Jun 2026 Traffic",'Pass 2'!$1:$1,0),FALSE()),"")</f>
        <v/>
      </c>
      <c r="F257" s="1" t="str">
        <f aca="false">IFERROR(VLOOKUP(A257,'Pass 2'!$A:$S,MATCH("Traffic % Change",'Pass 2'!$1:$1,0),FALSE()),"")</f>
        <v/>
      </c>
      <c r="G257" s="1" t="str">
        <f aca="false">IFERROR(VLOOKUP(A257,'Pass 2'!$A:$S,MATCH("Jan 2025 Referring Domains",'Pass 2'!$1:$1,0),FALSE()),"")</f>
        <v/>
      </c>
      <c r="H257" s="1" t="str">
        <f aca="false">IFERROR(VLOOKUP(A257,'Pass 2'!$A:$S,MATCH("Jun 2026 Referring Domains",'Pass 2'!$1:$1,0),FALSE()),"")</f>
        <v/>
      </c>
    </row>
    <row r="258" customFormat="false" ht="15" hidden="false" customHeight="true" outlineLevel="0" collapsed="false">
      <c r="B258" s="1" t="str">
        <f aca="false">IFERROR(VLOOKUP(A258,'Pass 2'!$A:$S,MATCH("Category",'Pass 2'!$1:$1,0),FALSE()),"")</f>
        <v/>
      </c>
      <c r="C258" s="1" t="str">
        <f aca="false">IFERROR(VLOOKUP(A258,'Pass 1 Archive'!$A:$AD,MATCH("LinkedIn Employee Count",'Pass 1 Archive'!$1:$1,0),FALSE()),"")</f>
        <v/>
      </c>
      <c r="D258" s="1" t="str">
        <f aca="false">IFERROR(VLOOKUP(A258,'Pass 2'!$A:$S,MATCH("Jan 2025 Traffic",'Pass 2'!$1:$1,0),FALSE()),"")</f>
        <v/>
      </c>
      <c r="E258" s="1" t="str">
        <f aca="false">IFERROR(VLOOKUP(A258,'Pass 2'!$A:$S,MATCH("Jun 2026 Traffic",'Pass 2'!$1:$1,0),FALSE()),"")</f>
        <v/>
      </c>
      <c r="F258" s="1" t="str">
        <f aca="false">IFERROR(VLOOKUP(A258,'Pass 2'!$A:$S,MATCH("Traffic % Change",'Pass 2'!$1:$1,0),FALSE()),"")</f>
        <v/>
      </c>
      <c r="G258" s="1" t="str">
        <f aca="false">IFERROR(VLOOKUP(A258,'Pass 2'!$A:$S,MATCH("Jan 2025 Referring Domains",'Pass 2'!$1:$1,0),FALSE()),"")</f>
        <v/>
      </c>
      <c r="H258" s="1" t="str">
        <f aca="false">IFERROR(VLOOKUP(A258,'Pass 2'!$A:$S,MATCH("Jun 2026 Referring Domains",'Pass 2'!$1:$1,0),FALSE()),"")</f>
        <v/>
      </c>
    </row>
    <row r="259" customFormat="false" ht="15" hidden="false" customHeight="true" outlineLevel="0" collapsed="false">
      <c r="B259" s="1" t="str">
        <f aca="false">IFERROR(VLOOKUP(A259,'Pass 2'!$A:$S,MATCH("Category",'Pass 2'!$1:$1,0),FALSE()),"")</f>
        <v/>
      </c>
      <c r="C259" s="1" t="str">
        <f aca="false">IFERROR(VLOOKUP(A259,'Pass 1 Archive'!$A:$AD,MATCH("LinkedIn Employee Count",'Pass 1 Archive'!$1:$1,0),FALSE()),"")</f>
        <v/>
      </c>
      <c r="D259" s="1" t="str">
        <f aca="false">IFERROR(VLOOKUP(A259,'Pass 2'!$A:$S,MATCH("Jan 2025 Traffic",'Pass 2'!$1:$1,0),FALSE()),"")</f>
        <v/>
      </c>
      <c r="E259" s="1" t="str">
        <f aca="false">IFERROR(VLOOKUP(A259,'Pass 2'!$A:$S,MATCH("Jun 2026 Traffic",'Pass 2'!$1:$1,0),FALSE()),"")</f>
        <v/>
      </c>
      <c r="F259" s="1" t="str">
        <f aca="false">IFERROR(VLOOKUP(A259,'Pass 2'!$A:$S,MATCH("Traffic % Change",'Pass 2'!$1:$1,0),FALSE()),"")</f>
        <v/>
      </c>
      <c r="G259" s="1" t="str">
        <f aca="false">IFERROR(VLOOKUP(A259,'Pass 2'!$A:$S,MATCH("Jan 2025 Referring Domains",'Pass 2'!$1:$1,0),FALSE()),"")</f>
        <v/>
      </c>
      <c r="H259" s="1" t="str">
        <f aca="false">IFERROR(VLOOKUP(A259,'Pass 2'!$A:$S,MATCH("Jun 2026 Referring Domains",'Pass 2'!$1:$1,0),FALSE()),"")</f>
        <v/>
      </c>
    </row>
    <row r="260" customFormat="false" ht="15" hidden="false" customHeight="true" outlineLevel="0" collapsed="false">
      <c r="B260" s="1" t="str">
        <f aca="false">IFERROR(VLOOKUP(A260,'Pass 2'!$A:$S,MATCH("Category",'Pass 2'!$1:$1,0),FALSE()),"")</f>
        <v/>
      </c>
      <c r="C260" s="1" t="str">
        <f aca="false">IFERROR(VLOOKUP(A260,'Pass 1 Archive'!$A:$AD,MATCH("LinkedIn Employee Count",'Pass 1 Archive'!$1:$1,0),FALSE()),"")</f>
        <v/>
      </c>
      <c r="D260" s="1" t="str">
        <f aca="false">IFERROR(VLOOKUP(A260,'Pass 2'!$A:$S,MATCH("Jan 2025 Traffic",'Pass 2'!$1:$1,0),FALSE()),"")</f>
        <v/>
      </c>
      <c r="E260" s="1" t="str">
        <f aca="false">IFERROR(VLOOKUP(A260,'Pass 2'!$A:$S,MATCH("Jun 2026 Traffic",'Pass 2'!$1:$1,0),FALSE()),"")</f>
        <v/>
      </c>
      <c r="F260" s="1" t="str">
        <f aca="false">IFERROR(VLOOKUP(A260,'Pass 2'!$A:$S,MATCH("Traffic % Change",'Pass 2'!$1:$1,0),FALSE()),"")</f>
        <v/>
      </c>
      <c r="G260" s="1" t="str">
        <f aca="false">IFERROR(VLOOKUP(A260,'Pass 2'!$A:$S,MATCH("Jan 2025 Referring Domains",'Pass 2'!$1:$1,0),FALSE()),"")</f>
        <v/>
      </c>
      <c r="H260" s="1" t="str">
        <f aca="false">IFERROR(VLOOKUP(A260,'Pass 2'!$A:$S,MATCH("Jun 2026 Referring Domains",'Pass 2'!$1:$1,0),FALSE()),"")</f>
        <v/>
      </c>
    </row>
    <row r="261" customFormat="false" ht="15" hidden="false" customHeight="true" outlineLevel="0" collapsed="false">
      <c r="B261" s="1" t="str">
        <f aca="false">IFERROR(VLOOKUP(A261,'Pass 2'!$A:$S,MATCH("Category",'Pass 2'!$1:$1,0),FALSE()),"")</f>
        <v/>
      </c>
      <c r="C261" s="1" t="str">
        <f aca="false">IFERROR(VLOOKUP(A261,'Pass 1 Archive'!$A:$AD,MATCH("LinkedIn Employee Count",'Pass 1 Archive'!$1:$1,0),FALSE()),"")</f>
        <v/>
      </c>
      <c r="D261" s="1" t="str">
        <f aca="false">IFERROR(VLOOKUP(A261,'Pass 2'!$A:$S,MATCH("Jan 2025 Traffic",'Pass 2'!$1:$1,0),FALSE()),"")</f>
        <v/>
      </c>
      <c r="E261" s="1" t="str">
        <f aca="false">IFERROR(VLOOKUP(A261,'Pass 2'!$A:$S,MATCH("Jun 2026 Traffic",'Pass 2'!$1:$1,0),FALSE()),"")</f>
        <v/>
      </c>
      <c r="F261" s="1" t="str">
        <f aca="false">IFERROR(VLOOKUP(A261,'Pass 2'!$A:$S,MATCH("Traffic % Change",'Pass 2'!$1:$1,0),FALSE()),"")</f>
        <v/>
      </c>
      <c r="G261" s="1" t="str">
        <f aca="false">IFERROR(VLOOKUP(A261,'Pass 2'!$A:$S,MATCH("Jan 2025 Referring Domains",'Pass 2'!$1:$1,0),FALSE()),"")</f>
        <v/>
      </c>
      <c r="H261" s="1" t="str">
        <f aca="false">IFERROR(VLOOKUP(A261,'Pass 2'!$A:$S,MATCH("Jun 2026 Referring Domains",'Pass 2'!$1:$1,0),FALSE()),"")</f>
        <v/>
      </c>
    </row>
    <row r="262" customFormat="false" ht="15" hidden="false" customHeight="true" outlineLevel="0" collapsed="false">
      <c r="B262" s="1" t="str">
        <f aca="false">IFERROR(VLOOKUP(A262,'Pass 2'!$A:$S,MATCH("Category",'Pass 2'!$1:$1,0),FALSE()),"")</f>
        <v/>
      </c>
      <c r="C262" s="1" t="str">
        <f aca="false">IFERROR(VLOOKUP(A262,'Pass 1 Archive'!$A:$AD,MATCH("LinkedIn Employee Count",'Pass 1 Archive'!$1:$1,0),FALSE()),"")</f>
        <v/>
      </c>
      <c r="D262" s="1" t="str">
        <f aca="false">IFERROR(VLOOKUP(A262,'Pass 2'!$A:$S,MATCH("Jan 2025 Traffic",'Pass 2'!$1:$1,0),FALSE()),"")</f>
        <v/>
      </c>
      <c r="E262" s="1" t="str">
        <f aca="false">IFERROR(VLOOKUP(A262,'Pass 2'!$A:$S,MATCH("Jun 2026 Traffic",'Pass 2'!$1:$1,0),FALSE()),"")</f>
        <v/>
      </c>
      <c r="F262" s="1" t="str">
        <f aca="false">IFERROR(VLOOKUP(A262,'Pass 2'!$A:$S,MATCH("Traffic % Change",'Pass 2'!$1:$1,0),FALSE()),"")</f>
        <v/>
      </c>
      <c r="G262" s="1" t="str">
        <f aca="false">IFERROR(VLOOKUP(A262,'Pass 2'!$A:$S,MATCH("Jan 2025 Referring Domains",'Pass 2'!$1:$1,0),FALSE()),"")</f>
        <v/>
      </c>
      <c r="H262" s="1" t="str">
        <f aca="false">IFERROR(VLOOKUP(A262,'Pass 2'!$A:$S,MATCH("Jun 2026 Referring Domains",'Pass 2'!$1:$1,0),FALSE()),"")</f>
        <v/>
      </c>
    </row>
    <row r="263" customFormat="false" ht="15" hidden="false" customHeight="true" outlineLevel="0" collapsed="false">
      <c r="B263" s="1" t="str">
        <f aca="false">IFERROR(VLOOKUP(A263,'Pass 2'!$A:$S,MATCH("Category",'Pass 2'!$1:$1,0),FALSE()),"")</f>
        <v/>
      </c>
      <c r="C263" s="1" t="str">
        <f aca="false">IFERROR(VLOOKUP(A263,'Pass 1 Archive'!$A:$AD,MATCH("LinkedIn Employee Count",'Pass 1 Archive'!$1:$1,0),FALSE()),"")</f>
        <v/>
      </c>
      <c r="D263" s="1" t="str">
        <f aca="false">IFERROR(VLOOKUP(A263,'Pass 2'!$A:$S,MATCH("Jan 2025 Traffic",'Pass 2'!$1:$1,0),FALSE()),"")</f>
        <v/>
      </c>
      <c r="E263" s="1" t="str">
        <f aca="false">IFERROR(VLOOKUP(A263,'Pass 2'!$A:$S,MATCH("Jun 2026 Traffic",'Pass 2'!$1:$1,0),FALSE()),"")</f>
        <v/>
      </c>
      <c r="F263" s="1" t="str">
        <f aca="false">IFERROR(VLOOKUP(A263,'Pass 2'!$A:$S,MATCH("Traffic % Change",'Pass 2'!$1:$1,0),FALSE()),"")</f>
        <v/>
      </c>
      <c r="G263" s="1" t="str">
        <f aca="false">IFERROR(VLOOKUP(A263,'Pass 2'!$A:$S,MATCH("Jan 2025 Referring Domains",'Pass 2'!$1:$1,0),FALSE()),"")</f>
        <v/>
      </c>
      <c r="H263" s="1" t="str">
        <f aca="false">IFERROR(VLOOKUP(A263,'Pass 2'!$A:$S,MATCH("Jun 2026 Referring Domains",'Pass 2'!$1:$1,0),FALSE()),"")</f>
        <v/>
      </c>
    </row>
    <row r="264" customFormat="false" ht="15" hidden="false" customHeight="true" outlineLevel="0" collapsed="false">
      <c r="B264" s="1" t="str">
        <f aca="false">IFERROR(VLOOKUP(A264,'Pass 2'!$A:$S,MATCH("Category",'Pass 2'!$1:$1,0),FALSE()),"")</f>
        <v/>
      </c>
      <c r="C264" s="1" t="str">
        <f aca="false">IFERROR(VLOOKUP(A264,'Pass 1 Archive'!$A:$AD,MATCH("LinkedIn Employee Count",'Pass 1 Archive'!$1:$1,0),FALSE()),"")</f>
        <v/>
      </c>
      <c r="D264" s="1" t="str">
        <f aca="false">IFERROR(VLOOKUP(A264,'Pass 2'!$A:$S,MATCH("Jan 2025 Traffic",'Pass 2'!$1:$1,0),FALSE()),"")</f>
        <v/>
      </c>
      <c r="E264" s="1" t="str">
        <f aca="false">IFERROR(VLOOKUP(A264,'Pass 2'!$A:$S,MATCH("Jun 2026 Traffic",'Pass 2'!$1:$1,0),FALSE()),"")</f>
        <v/>
      </c>
      <c r="F264" s="1" t="str">
        <f aca="false">IFERROR(VLOOKUP(A264,'Pass 2'!$A:$S,MATCH("Traffic % Change",'Pass 2'!$1:$1,0),FALSE()),"")</f>
        <v/>
      </c>
      <c r="G264" s="1" t="str">
        <f aca="false">IFERROR(VLOOKUP(A264,'Pass 2'!$A:$S,MATCH("Jan 2025 Referring Domains",'Pass 2'!$1:$1,0),FALSE()),"")</f>
        <v/>
      </c>
      <c r="H264" s="1" t="str">
        <f aca="false">IFERROR(VLOOKUP(A264,'Pass 2'!$A:$S,MATCH("Jun 2026 Referring Domains",'Pass 2'!$1:$1,0),FALSE()),"")</f>
        <v/>
      </c>
    </row>
    <row r="265" customFormat="false" ht="15" hidden="false" customHeight="true" outlineLevel="0" collapsed="false">
      <c r="B265" s="1" t="str">
        <f aca="false">IFERROR(VLOOKUP(A265,'Pass 2'!$A:$S,MATCH("Category",'Pass 2'!$1:$1,0),FALSE()),"")</f>
        <v/>
      </c>
      <c r="C265" s="1" t="str">
        <f aca="false">IFERROR(VLOOKUP(A265,'Pass 1 Archive'!$A:$AD,MATCH("LinkedIn Employee Count",'Pass 1 Archive'!$1:$1,0),FALSE()),"")</f>
        <v/>
      </c>
      <c r="D265" s="1" t="str">
        <f aca="false">IFERROR(VLOOKUP(A265,'Pass 2'!$A:$S,MATCH("Jan 2025 Traffic",'Pass 2'!$1:$1,0),FALSE()),"")</f>
        <v/>
      </c>
      <c r="E265" s="1" t="str">
        <f aca="false">IFERROR(VLOOKUP(A265,'Pass 2'!$A:$S,MATCH("Jun 2026 Traffic",'Pass 2'!$1:$1,0),FALSE()),"")</f>
        <v/>
      </c>
      <c r="F265" s="1" t="str">
        <f aca="false">IFERROR(VLOOKUP(A265,'Pass 2'!$A:$S,MATCH("Traffic % Change",'Pass 2'!$1:$1,0),FALSE()),"")</f>
        <v/>
      </c>
      <c r="G265" s="1" t="str">
        <f aca="false">IFERROR(VLOOKUP(A265,'Pass 2'!$A:$S,MATCH("Jan 2025 Referring Domains",'Pass 2'!$1:$1,0),FALSE()),"")</f>
        <v/>
      </c>
      <c r="H265" s="1" t="str">
        <f aca="false">IFERROR(VLOOKUP(A265,'Pass 2'!$A:$S,MATCH("Jun 2026 Referring Domains",'Pass 2'!$1:$1,0),FALSE()),"")</f>
        <v/>
      </c>
    </row>
    <row r="266" customFormat="false" ht="15" hidden="false" customHeight="true" outlineLevel="0" collapsed="false">
      <c r="B266" s="1" t="str">
        <f aca="false">IFERROR(VLOOKUP(A266,'Pass 2'!$A:$S,MATCH("Category",'Pass 2'!$1:$1,0),FALSE()),"")</f>
        <v/>
      </c>
      <c r="C266" s="1" t="str">
        <f aca="false">IFERROR(VLOOKUP(A266,'Pass 1 Archive'!$A:$AD,MATCH("LinkedIn Employee Count",'Pass 1 Archive'!$1:$1,0),FALSE()),"")</f>
        <v/>
      </c>
      <c r="D266" s="1" t="str">
        <f aca="false">IFERROR(VLOOKUP(A266,'Pass 2'!$A:$S,MATCH("Jan 2025 Traffic",'Pass 2'!$1:$1,0),FALSE()),"")</f>
        <v/>
      </c>
      <c r="E266" s="1" t="str">
        <f aca="false">IFERROR(VLOOKUP(A266,'Pass 2'!$A:$S,MATCH("Jun 2026 Traffic",'Pass 2'!$1:$1,0),FALSE()),"")</f>
        <v/>
      </c>
      <c r="F266" s="1" t="str">
        <f aca="false">IFERROR(VLOOKUP(A266,'Pass 2'!$A:$S,MATCH("Traffic % Change",'Pass 2'!$1:$1,0),FALSE()),"")</f>
        <v/>
      </c>
      <c r="G266" s="1" t="str">
        <f aca="false">IFERROR(VLOOKUP(A266,'Pass 2'!$A:$S,MATCH("Jan 2025 Referring Domains",'Pass 2'!$1:$1,0),FALSE()),"")</f>
        <v/>
      </c>
      <c r="H266" s="1" t="str">
        <f aca="false">IFERROR(VLOOKUP(A266,'Pass 2'!$A:$S,MATCH("Jun 2026 Referring Domains",'Pass 2'!$1:$1,0),FALSE()),"")</f>
        <v/>
      </c>
    </row>
    <row r="267" customFormat="false" ht="15" hidden="false" customHeight="true" outlineLevel="0" collapsed="false">
      <c r="B267" s="1" t="str">
        <f aca="false">IFERROR(VLOOKUP(A267,'Pass 2'!$A:$S,MATCH("Category",'Pass 2'!$1:$1,0),FALSE()),"")</f>
        <v/>
      </c>
      <c r="C267" s="1" t="str">
        <f aca="false">IFERROR(VLOOKUP(A267,'Pass 1 Archive'!$A:$AD,MATCH("LinkedIn Employee Count",'Pass 1 Archive'!$1:$1,0),FALSE()),"")</f>
        <v/>
      </c>
      <c r="D267" s="1" t="str">
        <f aca="false">IFERROR(VLOOKUP(A267,'Pass 2'!$A:$S,MATCH("Jan 2025 Traffic",'Pass 2'!$1:$1,0),FALSE()),"")</f>
        <v/>
      </c>
      <c r="E267" s="1" t="str">
        <f aca="false">IFERROR(VLOOKUP(A267,'Pass 2'!$A:$S,MATCH("Jun 2026 Traffic",'Pass 2'!$1:$1,0),FALSE()),"")</f>
        <v/>
      </c>
      <c r="F267" s="1" t="str">
        <f aca="false">IFERROR(VLOOKUP(A267,'Pass 2'!$A:$S,MATCH("Traffic % Change",'Pass 2'!$1:$1,0),FALSE()),"")</f>
        <v/>
      </c>
      <c r="G267" s="1" t="str">
        <f aca="false">IFERROR(VLOOKUP(A267,'Pass 2'!$A:$S,MATCH("Jan 2025 Referring Domains",'Pass 2'!$1:$1,0),FALSE()),"")</f>
        <v/>
      </c>
      <c r="H267" s="1" t="str">
        <f aca="false">IFERROR(VLOOKUP(A267,'Pass 2'!$A:$S,MATCH("Jun 2026 Referring Domains",'Pass 2'!$1:$1,0),FALSE()),"")</f>
        <v/>
      </c>
    </row>
    <row r="268" customFormat="false" ht="15" hidden="false" customHeight="true" outlineLevel="0" collapsed="false">
      <c r="B268" s="1" t="str">
        <f aca="false">IFERROR(VLOOKUP(A268,'Pass 2'!$A:$S,MATCH("Category",'Pass 2'!$1:$1,0),FALSE()),"")</f>
        <v/>
      </c>
      <c r="C268" s="1" t="str">
        <f aca="false">IFERROR(VLOOKUP(A268,'Pass 1 Archive'!$A:$AD,MATCH("LinkedIn Employee Count",'Pass 1 Archive'!$1:$1,0),FALSE()),"")</f>
        <v/>
      </c>
      <c r="D268" s="1" t="str">
        <f aca="false">IFERROR(VLOOKUP(A268,'Pass 2'!$A:$S,MATCH("Jan 2025 Traffic",'Pass 2'!$1:$1,0),FALSE()),"")</f>
        <v/>
      </c>
      <c r="E268" s="1" t="str">
        <f aca="false">IFERROR(VLOOKUP(A268,'Pass 2'!$A:$S,MATCH("Jun 2026 Traffic",'Pass 2'!$1:$1,0),FALSE()),"")</f>
        <v/>
      </c>
      <c r="F268" s="1" t="str">
        <f aca="false">IFERROR(VLOOKUP(A268,'Pass 2'!$A:$S,MATCH("Traffic % Change",'Pass 2'!$1:$1,0),FALSE()),"")</f>
        <v/>
      </c>
      <c r="G268" s="1" t="str">
        <f aca="false">IFERROR(VLOOKUP(A268,'Pass 2'!$A:$S,MATCH("Jan 2025 Referring Domains",'Pass 2'!$1:$1,0),FALSE()),"")</f>
        <v/>
      </c>
      <c r="H268" s="1" t="str">
        <f aca="false">IFERROR(VLOOKUP(A268,'Pass 2'!$A:$S,MATCH("Jun 2026 Referring Domains",'Pass 2'!$1:$1,0),FALSE()),"")</f>
        <v/>
      </c>
    </row>
    <row r="269" customFormat="false" ht="15" hidden="false" customHeight="true" outlineLevel="0" collapsed="false">
      <c r="B269" s="1" t="str">
        <f aca="false">IFERROR(VLOOKUP(A269,'Pass 2'!$A:$S,MATCH("Category",'Pass 2'!$1:$1,0),FALSE()),"")</f>
        <v/>
      </c>
      <c r="C269" s="1" t="str">
        <f aca="false">IFERROR(VLOOKUP(A269,'Pass 1 Archive'!$A:$AD,MATCH("LinkedIn Employee Count",'Pass 1 Archive'!$1:$1,0),FALSE()),"")</f>
        <v/>
      </c>
      <c r="D269" s="1" t="str">
        <f aca="false">IFERROR(VLOOKUP(A269,'Pass 2'!$A:$S,MATCH("Jan 2025 Traffic",'Pass 2'!$1:$1,0),FALSE()),"")</f>
        <v/>
      </c>
      <c r="E269" s="1" t="str">
        <f aca="false">IFERROR(VLOOKUP(A269,'Pass 2'!$A:$S,MATCH("Jun 2026 Traffic",'Pass 2'!$1:$1,0),FALSE()),"")</f>
        <v/>
      </c>
      <c r="F269" s="1" t="str">
        <f aca="false">IFERROR(VLOOKUP(A269,'Pass 2'!$A:$S,MATCH("Traffic % Change",'Pass 2'!$1:$1,0),FALSE()),"")</f>
        <v/>
      </c>
      <c r="G269" s="1" t="str">
        <f aca="false">IFERROR(VLOOKUP(A269,'Pass 2'!$A:$S,MATCH("Jan 2025 Referring Domains",'Pass 2'!$1:$1,0),FALSE()),"")</f>
        <v/>
      </c>
      <c r="H269" s="1" t="str">
        <f aca="false">IFERROR(VLOOKUP(A269,'Pass 2'!$A:$S,MATCH("Jun 2026 Referring Domains",'Pass 2'!$1:$1,0),FALSE()),"")</f>
        <v/>
      </c>
    </row>
    <row r="270" customFormat="false" ht="15" hidden="false" customHeight="true" outlineLevel="0" collapsed="false">
      <c r="B270" s="1" t="str">
        <f aca="false">IFERROR(VLOOKUP(A270,'Pass 2'!$A:$S,MATCH("Category",'Pass 2'!$1:$1,0),FALSE()),"")</f>
        <v/>
      </c>
      <c r="C270" s="1" t="str">
        <f aca="false">IFERROR(VLOOKUP(A270,'Pass 1 Archive'!$A:$AD,MATCH("LinkedIn Employee Count",'Pass 1 Archive'!$1:$1,0),FALSE()),"")</f>
        <v/>
      </c>
      <c r="D270" s="1" t="str">
        <f aca="false">IFERROR(VLOOKUP(A270,'Pass 2'!$A:$S,MATCH("Jan 2025 Traffic",'Pass 2'!$1:$1,0),FALSE()),"")</f>
        <v/>
      </c>
      <c r="E270" s="1" t="str">
        <f aca="false">IFERROR(VLOOKUP(A270,'Pass 2'!$A:$S,MATCH("Jun 2026 Traffic",'Pass 2'!$1:$1,0),FALSE()),"")</f>
        <v/>
      </c>
      <c r="F270" s="1" t="str">
        <f aca="false">IFERROR(VLOOKUP(A270,'Pass 2'!$A:$S,MATCH("Traffic % Change",'Pass 2'!$1:$1,0),FALSE()),"")</f>
        <v/>
      </c>
      <c r="G270" s="1" t="str">
        <f aca="false">IFERROR(VLOOKUP(A270,'Pass 2'!$A:$S,MATCH("Jan 2025 Referring Domains",'Pass 2'!$1:$1,0),FALSE()),"")</f>
        <v/>
      </c>
      <c r="H270" s="1" t="str">
        <f aca="false">IFERROR(VLOOKUP(A270,'Pass 2'!$A:$S,MATCH("Jun 2026 Referring Domains",'Pass 2'!$1:$1,0),FALSE()),"")</f>
        <v/>
      </c>
    </row>
    <row r="271" customFormat="false" ht="15" hidden="false" customHeight="true" outlineLevel="0" collapsed="false">
      <c r="B271" s="1" t="str">
        <f aca="false">IFERROR(VLOOKUP(A271,'Pass 2'!$A:$S,MATCH("Category",'Pass 2'!$1:$1,0),FALSE()),"")</f>
        <v/>
      </c>
      <c r="C271" s="1" t="str">
        <f aca="false">IFERROR(VLOOKUP(A271,'Pass 1 Archive'!$A:$AD,MATCH("LinkedIn Employee Count",'Pass 1 Archive'!$1:$1,0),FALSE()),"")</f>
        <v/>
      </c>
      <c r="D271" s="1" t="str">
        <f aca="false">IFERROR(VLOOKUP(A271,'Pass 2'!$A:$S,MATCH("Jan 2025 Traffic",'Pass 2'!$1:$1,0),FALSE()),"")</f>
        <v/>
      </c>
      <c r="E271" s="1" t="str">
        <f aca="false">IFERROR(VLOOKUP(A271,'Pass 2'!$A:$S,MATCH("Jun 2026 Traffic",'Pass 2'!$1:$1,0),FALSE()),"")</f>
        <v/>
      </c>
      <c r="F271" s="1" t="str">
        <f aca="false">IFERROR(VLOOKUP(A271,'Pass 2'!$A:$S,MATCH("Traffic % Change",'Pass 2'!$1:$1,0),FALSE()),"")</f>
        <v/>
      </c>
      <c r="G271" s="1" t="str">
        <f aca="false">IFERROR(VLOOKUP(A271,'Pass 2'!$A:$S,MATCH("Jan 2025 Referring Domains",'Pass 2'!$1:$1,0),FALSE()),"")</f>
        <v/>
      </c>
      <c r="H271" s="1" t="str">
        <f aca="false">IFERROR(VLOOKUP(A271,'Pass 2'!$A:$S,MATCH("Jun 2026 Referring Domains",'Pass 2'!$1:$1,0),FALSE()),"")</f>
        <v/>
      </c>
    </row>
    <row r="272" customFormat="false" ht="15" hidden="false" customHeight="true" outlineLevel="0" collapsed="false">
      <c r="B272" s="1" t="str">
        <f aca="false">IFERROR(VLOOKUP(A272,'Pass 2'!$A:$S,MATCH("Category",'Pass 2'!$1:$1,0),FALSE()),"")</f>
        <v/>
      </c>
      <c r="C272" s="1" t="str">
        <f aca="false">IFERROR(VLOOKUP(A272,'Pass 1 Archive'!$A:$AD,MATCH("LinkedIn Employee Count",'Pass 1 Archive'!$1:$1,0),FALSE()),"")</f>
        <v/>
      </c>
      <c r="D272" s="1" t="str">
        <f aca="false">IFERROR(VLOOKUP(A272,'Pass 2'!$A:$S,MATCH("Jan 2025 Traffic",'Pass 2'!$1:$1,0),FALSE()),"")</f>
        <v/>
      </c>
      <c r="E272" s="1" t="str">
        <f aca="false">IFERROR(VLOOKUP(A272,'Pass 2'!$A:$S,MATCH("Jun 2026 Traffic",'Pass 2'!$1:$1,0),FALSE()),"")</f>
        <v/>
      </c>
      <c r="F272" s="1" t="str">
        <f aca="false">IFERROR(VLOOKUP(A272,'Pass 2'!$A:$S,MATCH("Traffic % Change",'Pass 2'!$1:$1,0),FALSE()),"")</f>
        <v/>
      </c>
      <c r="G272" s="1" t="str">
        <f aca="false">IFERROR(VLOOKUP(A272,'Pass 2'!$A:$S,MATCH("Jan 2025 Referring Domains",'Pass 2'!$1:$1,0),FALSE()),"")</f>
        <v/>
      </c>
      <c r="H272" s="1" t="str">
        <f aca="false">IFERROR(VLOOKUP(A272,'Pass 2'!$A:$S,MATCH("Jun 2026 Referring Domains",'Pass 2'!$1:$1,0),FALSE()),"")</f>
        <v/>
      </c>
    </row>
    <row r="273" customFormat="false" ht="15" hidden="false" customHeight="true" outlineLevel="0" collapsed="false">
      <c r="B273" s="1" t="str">
        <f aca="false">IFERROR(VLOOKUP(A273,'Pass 2'!$A:$S,MATCH("Category",'Pass 2'!$1:$1,0),FALSE()),"")</f>
        <v/>
      </c>
      <c r="C273" s="1" t="str">
        <f aca="false">IFERROR(VLOOKUP(A273,'Pass 1 Archive'!$A:$AD,MATCH("LinkedIn Employee Count",'Pass 1 Archive'!$1:$1,0),FALSE()),"")</f>
        <v/>
      </c>
      <c r="D273" s="1" t="str">
        <f aca="false">IFERROR(VLOOKUP(A273,'Pass 2'!$A:$S,MATCH("Jan 2025 Traffic",'Pass 2'!$1:$1,0),FALSE()),"")</f>
        <v/>
      </c>
      <c r="E273" s="1" t="str">
        <f aca="false">IFERROR(VLOOKUP(A273,'Pass 2'!$A:$S,MATCH("Jun 2026 Traffic",'Pass 2'!$1:$1,0),FALSE()),"")</f>
        <v/>
      </c>
      <c r="F273" s="1" t="str">
        <f aca="false">IFERROR(VLOOKUP(A273,'Pass 2'!$A:$S,MATCH("Traffic % Change",'Pass 2'!$1:$1,0),FALSE()),"")</f>
        <v/>
      </c>
      <c r="G273" s="1" t="str">
        <f aca="false">IFERROR(VLOOKUP(A273,'Pass 2'!$A:$S,MATCH("Jan 2025 Referring Domains",'Pass 2'!$1:$1,0),FALSE()),"")</f>
        <v/>
      </c>
      <c r="H273" s="1" t="str">
        <f aca="false">IFERROR(VLOOKUP(A273,'Pass 2'!$A:$S,MATCH("Jun 2026 Referring Domains",'Pass 2'!$1:$1,0),FALSE()),"")</f>
        <v/>
      </c>
    </row>
    <row r="274" customFormat="false" ht="15" hidden="false" customHeight="true" outlineLevel="0" collapsed="false">
      <c r="B274" s="1" t="str">
        <f aca="false">IFERROR(VLOOKUP(A274,'Pass 2'!$A:$S,MATCH("Category",'Pass 2'!$1:$1,0),FALSE()),"")</f>
        <v/>
      </c>
      <c r="C274" s="1" t="str">
        <f aca="false">IFERROR(VLOOKUP(A274,'Pass 1 Archive'!$A:$AD,MATCH("LinkedIn Employee Count",'Pass 1 Archive'!$1:$1,0),FALSE()),"")</f>
        <v/>
      </c>
      <c r="D274" s="1" t="str">
        <f aca="false">IFERROR(VLOOKUP(A274,'Pass 2'!$A:$S,MATCH("Jan 2025 Traffic",'Pass 2'!$1:$1,0),FALSE()),"")</f>
        <v/>
      </c>
      <c r="E274" s="1" t="str">
        <f aca="false">IFERROR(VLOOKUP(A274,'Pass 2'!$A:$S,MATCH("Jun 2026 Traffic",'Pass 2'!$1:$1,0),FALSE()),"")</f>
        <v/>
      </c>
      <c r="F274" s="1" t="str">
        <f aca="false">IFERROR(VLOOKUP(A274,'Pass 2'!$A:$S,MATCH("Traffic % Change",'Pass 2'!$1:$1,0),FALSE()),"")</f>
        <v/>
      </c>
      <c r="G274" s="1" t="str">
        <f aca="false">IFERROR(VLOOKUP(A274,'Pass 2'!$A:$S,MATCH("Jan 2025 Referring Domains",'Pass 2'!$1:$1,0),FALSE()),"")</f>
        <v/>
      </c>
      <c r="H274" s="1" t="str">
        <f aca="false">IFERROR(VLOOKUP(A274,'Pass 2'!$A:$S,MATCH("Jun 2026 Referring Domains",'Pass 2'!$1:$1,0),FALSE()),"")</f>
        <v/>
      </c>
    </row>
    <row r="275" customFormat="false" ht="15" hidden="false" customHeight="true" outlineLevel="0" collapsed="false">
      <c r="B275" s="1" t="str">
        <f aca="false">IFERROR(VLOOKUP(A275,'Pass 2'!$A:$S,MATCH("Category",'Pass 2'!$1:$1,0),FALSE()),"")</f>
        <v/>
      </c>
      <c r="C275" s="1" t="str">
        <f aca="false">IFERROR(VLOOKUP(A275,'Pass 1 Archive'!$A:$AD,MATCH("LinkedIn Employee Count",'Pass 1 Archive'!$1:$1,0),FALSE()),"")</f>
        <v/>
      </c>
      <c r="D275" s="1" t="str">
        <f aca="false">IFERROR(VLOOKUP(A275,'Pass 2'!$A:$S,MATCH("Jan 2025 Traffic",'Pass 2'!$1:$1,0),FALSE()),"")</f>
        <v/>
      </c>
      <c r="E275" s="1" t="str">
        <f aca="false">IFERROR(VLOOKUP(A275,'Pass 2'!$A:$S,MATCH("Jun 2026 Traffic",'Pass 2'!$1:$1,0),FALSE()),"")</f>
        <v/>
      </c>
      <c r="F275" s="1" t="str">
        <f aca="false">IFERROR(VLOOKUP(A275,'Pass 2'!$A:$S,MATCH("Traffic % Change",'Pass 2'!$1:$1,0),FALSE()),"")</f>
        <v/>
      </c>
      <c r="G275" s="1" t="str">
        <f aca="false">IFERROR(VLOOKUP(A275,'Pass 2'!$A:$S,MATCH("Jan 2025 Referring Domains",'Pass 2'!$1:$1,0),FALSE()),"")</f>
        <v/>
      </c>
      <c r="H275" s="1" t="str">
        <f aca="false">IFERROR(VLOOKUP(A275,'Pass 2'!$A:$S,MATCH("Jun 2026 Referring Domains",'Pass 2'!$1:$1,0),FALSE()),"")</f>
        <v/>
      </c>
    </row>
    <row r="276" customFormat="false" ht="15" hidden="false" customHeight="true" outlineLevel="0" collapsed="false">
      <c r="B276" s="1" t="str">
        <f aca="false">IFERROR(VLOOKUP(A276,'Pass 2'!$A:$S,MATCH("Category",'Pass 2'!$1:$1,0),FALSE()),"")</f>
        <v/>
      </c>
      <c r="C276" s="1" t="str">
        <f aca="false">IFERROR(VLOOKUP(A276,'Pass 1 Archive'!$A:$AD,MATCH("LinkedIn Employee Count",'Pass 1 Archive'!$1:$1,0),FALSE()),"")</f>
        <v/>
      </c>
      <c r="D276" s="1" t="str">
        <f aca="false">IFERROR(VLOOKUP(A276,'Pass 2'!$A:$S,MATCH("Jan 2025 Traffic",'Pass 2'!$1:$1,0),FALSE()),"")</f>
        <v/>
      </c>
      <c r="E276" s="1" t="str">
        <f aca="false">IFERROR(VLOOKUP(A276,'Pass 2'!$A:$S,MATCH("Jun 2026 Traffic",'Pass 2'!$1:$1,0),FALSE()),"")</f>
        <v/>
      </c>
      <c r="F276" s="1" t="str">
        <f aca="false">IFERROR(VLOOKUP(A276,'Pass 2'!$A:$S,MATCH("Traffic % Change",'Pass 2'!$1:$1,0),FALSE()),"")</f>
        <v/>
      </c>
      <c r="G276" s="1" t="str">
        <f aca="false">IFERROR(VLOOKUP(A276,'Pass 2'!$A:$S,MATCH("Jan 2025 Referring Domains",'Pass 2'!$1:$1,0),FALSE()),"")</f>
        <v/>
      </c>
      <c r="H276" s="1" t="str">
        <f aca="false">IFERROR(VLOOKUP(A276,'Pass 2'!$A:$S,MATCH("Jun 2026 Referring Domains",'Pass 2'!$1:$1,0),FALSE()),"")</f>
        <v/>
      </c>
    </row>
    <row r="277" customFormat="false" ht="15" hidden="false" customHeight="true" outlineLevel="0" collapsed="false">
      <c r="B277" s="1" t="str">
        <f aca="false">IFERROR(VLOOKUP(A277,'Pass 2'!$A:$S,MATCH("Category",'Pass 2'!$1:$1,0),FALSE()),"")</f>
        <v/>
      </c>
      <c r="C277" s="1" t="str">
        <f aca="false">IFERROR(VLOOKUP(A277,'Pass 1 Archive'!$A:$AD,MATCH("LinkedIn Employee Count",'Pass 1 Archive'!$1:$1,0),FALSE()),"")</f>
        <v/>
      </c>
      <c r="D277" s="1" t="str">
        <f aca="false">IFERROR(VLOOKUP(A277,'Pass 2'!$A:$S,MATCH("Jan 2025 Traffic",'Pass 2'!$1:$1,0),FALSE()),"")</f>
        <v/>
      </c>
      <c r="E277" s="1" t="str">
        <f aca="false">IFERROR(VLOOKUP(A277,'Pass 2'!$A:$S,MATCH("Jun 2026 Traffic",'Pass 2'!$1:$1,0),FALSE()),"")</f>
        <v/>
      </c>
      <c r="F277" s="1" t="str">
        <f aca="false">IFERROR(VLOOKUP(A277,'Pass 2'!$A:$S,MATCH("Traffic % Change",'Pass 2'!$1:$1,0),FALSE()),"")</f>
        <v/>
      </c>
      <c r="G277" s="1" t="str">
        <f aca="false">IFERROR(VLOOKUP(A277,'Pass 2'!$A:$S,MATCH("Jan 2025 Referring Domains",'Pass 2'!$1:$1,0),FALSE()),"")</f>
        <v/>
      </c>
      <c r="H277" s="1" t="str">
        <f aca="false">IFERROR(VLOOKUP(A277,'Pass 2'!$A:$S,MATCH("Jun 2026 Referring Domains",'Pass 2'!$1:$1,0),FALSE()),"")</f>
        <v/>
      </c>
    </row>
    <row r="278" customFormat="false" ht="15" hidden="false" customHeight="true" outlineLevel="0" collapsed="false">
      <c r="B278" s="1" t="str">
        <f aca="false">IFERROR(VLOOKUP(A278,'Pass 2'!$A:$S,MATCH("Category",'Pass 2'!$1:$1,0),FALSE()),"")</f>
        <v/>
      </c>
      <c r="C278" s="1" t="str">
        <f aca="false">IFERROR(VLOOKUP(A278,'Pass 1 Archive'!$A:$AD,MATCH("LinkedIn Employee Count",'Pass 1 Archive'!$1:$1,0),FALSE()),"")</f>
        <v/>
      </c>
      <c r="D278" s="1" t="str">
        <f aca="false">IFERROR(VLOOKUP(A278,'Pass 2'!$A:$S,MATCH("Jan 2025 Traffic",'Pass 2'!$1:$1,0),FALSE()),"")</f>
        <v/>
      </c>
      <c r="E278" s="1" t="str">
        <f aca="false">IFERROR(VLOOKUP(A278,'Pass 2'!$A:$S,MATCH("Jun 2026 Traffic",'Pass 2'!$1:$1,0),FALSE()),"")</f>
        <v/>
      </c>
      <c r="F278" s="1" t="str">
        <f aca="false">IFERROR(VLOOKUP(A278,'Pass 2'!$A:$S,MATCH("Traffic % Change",'Pass 2'!$1:$1,0),FALSE()),"")</f>
        <v/>
      </c>
      <c r="G278" s="1" t="str">
        <f aca="false">IFERROR(VLOOKUP(A278,'Pass 2'!$A:$S,MATCH("Jan 2025 Referring Domains",'Pass 2'!$1:$1,0),FALSE()),"")</f>
        <v/>
      </c>
      <c r="H278" s="1" t="str">
        <f aca="false">IFERROR(VLOOKUP(A278,'Pass 2'!$A:$S,MATCH("Jun 2026 Referring Domains",'Pass 2'!$1:$1,0),FALSE()),"")</f>
        <v/>
      </c>
    </row>
    <row r="279" customFormat="false" ht="15" hidden="false" customHeight="true" outlineLevel="0" collapsed="false">
      <c r="B279" s="1" t="str">
        <f aca="false">IFERROR(VLOOKUP(A279,'Pass 2'!$A:$S,MATCH("Category",'Pass 2'!$1:$1,0),FALSE()),"")</f>
        <v/>
      </c>
      <c r="C279" s="1" t="str">
        <f aca="false">IFERROR(VLOOKUP(A279,'Pass 1 Archive'!$A:$AD,MATCH("LinkedIn Employee Count",'Pass 1 Archive'!$1:$1,0),FALSE()),"")</f>
        <v/>
      </c>
      <c r="D279" s="1" t="str">
        <f aca="false">IFERROR(VLOOKUP(A279,'Pass 2'!$A:$S,MATCH("Jan 2025 Traffic",'Pass 2'!$1:$1,0),FALSE()),"")</f>
        <v/>
      </c>
      <c r="E279" s="1" t="str">
        <f aca="false">IFERROR(VLOOKUP(A279,'Pass 2'!$A:$S,MATCH("Jun 2026 Traffic",'Pass 2'!$1:$1,0),FALSE()),"")</f>
        <v/>
      </c>
      <c r="F279" s="1" t="str">
        <f aca="false">IFERROR(VLOOKUP(A279,'Pass 2'!$A:$S,MATCH("Traffic % Change",'Pass 2'!$1:$1,0),FALSE()),"")</f>
        <v/>
      </c>
      <c r="G279" s="1" t="str">
        <f aca="false">IFERROR(VLOOKUP(A279,'Pass 2'!$A:$S,MATCH("Jan 2025 Referring Domains",'Pass 2'!$1:$1,0),FALSE()),"")</f>
        <v/>
      </c>
      <c r="H279" s="1" t="str">
        <f aca="false">IFERROR(VLOOKUP(A279,'Pass 2'!$A:$S,MATCH("Jun 2026 Referring Domains",'Pass 2'!$1:$1,0),FALSE()),"")</f>
        <v/>
      </c>
    </row>
    <row r="280" customFormat="false" ht="15" hidden="false" customHeight="true" outlineLevel="0" collapsed="false">
      <c r="B280" s="1" t="str">
        <f aca="false">IFERROR(VLOOKUP(A280,'Pass 2'!$A:$S,MATCH("Category",'Pass 2'!$1:$1,0),FALSE()),"")</f>
        <v/>
      </c>
      <c r="C280" s="1" t="str">
        <f aca="false">IFERROR(VLOOKUP(A280,'Pass 1 Archive'!$A:$AD,MATCH("LinkedIn Employee Count",'Pass 1 Archive'!$1:$1,0),FALSE()),"")</f>
        <v/>
      </c>
      <c r="D280" s="1" t="str">
        <f aca="false">IFERROR(VLOOKUP(A280,'Pass 2'!$A:$S,MATCH("Jan 2025 Traffic",'Pass 2'!$1:$1,0),FALSE()),"")</f>
        <v/>
      </c>
      <c r="E280" s="1" t="str">
        <f aca="false">IFERROR(VLOOKUP(A280,'Pass 2'!$A:$S,MATCH("Jun 2026 Traffic",'Pass 2'!$1:$1,0),FALSE()),"")</f>
        <v/>
      </c>
      <c r="F280" s="1" t="str">
        <f aca="false">IFERROR(VLOOKUP(A280,'Pass 2'!$A:$S,MATCH("Traffic % Change",'Pass 2'!$1:$1,0),FALSE()),"")</f>
        <v/>
      </c>
      <c r="G280" s="1" t="str">
        <f aca="false">IFERROR(VLOOKUP(A280,'Pass 2'!$A:$S,MATCH("Jan 2025 Referring Domains",'Pass 2'!$1:$1,0),FALSE()),"")</f>
        <v/>
      </c>
      <c r="H280" s="1" t="str">
        <f aca="false">IFERROR(VLOOKUP(A280,'Pass 2'!$A:$S,MATCH("Jun 2026 Referring Domains",'Pass 2'!$1:$1,0),FALSE()),"")</f>
        <v/>
      </c>
    </row>
    <row r="281" customFormat="false" ht="15" hidden="false" customHeight="true" outlineLevel="0" collapsed="false">
      <c r="B281" s="1" t="str">
        <f aca="false">IFERROR(VLOOKUP(A281,'Pass 2'!$A:$S,MATCH("Category",'Pass 2'!$1:$1,0),FALSE()),"")</f>
        <v/>
      </c>
      <c r="C281" s="1" t="str">
        <f aca="false">IFERROR(VLOOKUP(A281,'Pass 1 Archive'!$A:$AD,MATCH("LinkedIn Employee Count",'Pass 1 Archive'!$1:$1,0),FALSE()),"")</f>
        <v/>
      </c>
      <c r="D281" s="1" t="str">
        <f aca="false">IFERROR(VLOOKUP(A281,'Pass 2'!$A:$S,MATCH("Jan 2025 Traffic",'Pass 2'!$1:$1,0),FALSE()),"")</f>
        <v/>
      </c>
      <c r="E281" s="1" t="str">
        <f aca="false">IFERROR(VLOOKUP(A281,'Pass 2'!$A:$S,MATCH("Jun 2026 Traffic",'Pass 2'!$1:$1,0),FALSE()),"")</f>
        <v/>
      </c>
      <c r="F281" s="1" t="str">
        <f aca="false">IFERROR(VLOOKUP(A281,'Pass 2'!$A:$S,MATCH("Traffic % Change",'Pass 2'!$1:$1,0),FALSE()),"")</f>
        <v/>
      </c>
      <c r="G281" s="1" t="str">
        <f aca="false">IFERROR(VLOOKUP(A281,'Pass 2'!$A:$S,MATCH("Jan 2025 Referring Domains",'Pass 2'!$1:$1,0),FALSE()),"")</f>
        <v/>
      </c>
      <c r="H281" s="1" t="str">
        <f aca="false">IFERROR(VLOOKUP(A281,'Pass 2'!$A:$S,MATCH("Jun 2026 Referring Domains",'Pass 2'!$1:$1,0),FALSE()),"")</f>
        <v/>
      </c>
    </row>
    <row r="282" customFormat="false" ht="15" hidden="false" customHeight="true" outlineLevel="0" collapsed="false">
      <c r="B282" s="1" t="str">
        <f aca="false">IFERROR(VLOOKUP(A282,'Pass 2'!$A:$S,MATCH("Category",'Pass 2'!$1:$1,0),FALSE()),"")</f>
        <v/>
      </c>
      <c r="C282" s="1" t="str">
        <f aca="false">IFERROR(VLOOKUP(A282,'Pass 1 Archive'!$A:$AD,MATCH("LinkedIn Employee Count",'Pass 1 Archive'!$1:$1,0),FALSE()),"")</f>
        <v/>
      </c>
      <c r="D282" s="1" t="str">
        <f aca="false">IFERROR(VLOOKUP(A282,'Pass 2'!$A:$S,MATCH("Jan 2025 Traffic",'Pass 2'!$1:$1,0),FALSE()),"")</f>
        <v/>
      </c>
      <c r="E282" s="1" t="str">
        <f aca="false">IFERROR(VLOOKUP(A282,'Pass 2'!$A:$S,MATCH("Jun 2026 Traffic",'Pass 2'!$1:$1,0),FALSE()),"")</f>
        <v/>
      </c>
      <c r="F282" s="1" t="str">
        <f aca="false">IFERROR(VLOOKUP(A282,'Pass 2'!$A:$S,MATCH("Traffic % Change",'Pass 2'!$1:$1,0),FALSE()),"")</f>
        <v/>
      </c>
      <c r="G282" s="1" t="str">
        <f aca="false">IFERROR(VLOOKUP(A282,'Pass 2'!$A:$S,MATCH("Jan 2025 Referring Domains",'Pass 2'!$1:$1,0),FALSE()),"")</f>
        <v/>
      </c>
      <c r="H282" s="1" t="str">
        <f aca="false">IFERROR(VLOOKUP(A282,'Pass 2'!$A:$S,MATCH("Jun 2026 Referring Domains",'Pass 2'!$1:$1,0),FALSE()),"")</f>
        <v/>
      </c>
    </row>
    <row r="283" customFormat="false" ht="15" hidden="false" customHeight="true" outlineLevel="0" collapsed="false">
      <c r="B283" s="1" t="str">
        <f aca="false">IFERROR(VLOOKUP(A283,'Pass 2'!$A:$S,MATCH("Category",'Pass 2'!$1:$1,0),FALSE()),"")</f>
        <v/>
      </c>
      <c r="C283" s="1" t="str">
        <f aca="false">IFERROR(VLOOKUP(A283,'Pass 1 Archive'!$A:$AD,MATCH("LinkedIn Employee Count",'Pass 1 Archive'!$1:$1,0),FALSE()),"")</f>
        <v/>
      </c>
      <c r="D283" s="1" t="str">
        <f aca="false">IFERROR(VLOOKUP(A283,'Pass 2'!$A:$S,MATCH("Jan 2025 Traffic",'Pass 2'!$1:$1,0),FALSE()),"")</f>
        <v/>
      </c>
      <c r="E283" s="1" t="str">
        <f aca="false">IFERROR(VLOOKUP(A283,'Pass 2'!$A:$S,MATCH("Jun 2026 Traffic",'Pass 2'!$1:$1,0),FALSE()),"")</f>
        <v/>
      </c>
      <c r="F283" s="1" t="str">
        <f aca="false">IFERROR(VLOOKUP(A283,'Pass 2'!$A:$S,MATCH("Traffic % Change",'Pass 2'!$1:$1,0),FALSE()),"")</f>
        <v/>
      </c>
      <c r="G283" s="1" t="str">
        <f aca="false">IFERROR(VLOOKUP(A283,'Pass 2'!$A:$S,MATCH("Jan 2025 Referring Domains",'Pass 2'!$1:$1,0),FALSE()),"")</f>
        <v/>
      </c>
      <c r="H283" s="1" t="str">
        <f aca="false">IFERROR(VLOOKUP(A283,'Pass 2'!$A:$S,MATCH("Jun 2026 Referring Domains",'Pass 2'!$1:$1,0),FALSE()),"")</f>
        <v/>
      </c>
    </row>
    <row r="284" customFormat="false" ht="15" hidden="false" customHeight="true" outlineLevel="0" collapsed="false">
      <c r="B284" s="1" t="str">
        <f aca="false">IFERROR(VLOOKUP(A284,'Pass 2'!$A:$S,MATCH("Category",'Pass 2'!$1:$1,0),FALSE()),"")</f>
        <v/>
      </c>
      <c r="C284" s="1" t="str">
        <f aca="false">IFERROR(VLOOKUP(A284,'Pass 1 Archive'!$A:$AD,MATCH("LinkedIn Employee Count",'Pass 1 Archive'!$1:$1,0),FALSE()),"")</f>
        <v/>
      </c>
      <c r="D284" s="1" t="str">
        <f aca="false">IFERROR(VLOOKUP(A284,'Pass 2'!$A:$S,MATCH("Jan 2025 Traffic",'Pass 2'!$1:$1,0),FALSE()),"")</f>
        <v/>
      </c>
      <c r="E284" s="1" t="str">
        <f aca="false">IFERROR(VLOOKUP(A284,'Pass 2'!$A:$S,MATCH("Jun 2026 Traffic",'Pass 2'!$1:$1,0),FALSE()),"")</f>
        <v/>
      </c>
      <c r="F284" s="1" t="str">
        <f aca="false">IFERROR(VLOOKUP(A284,'Pass 2'!$A:$S,MATCH("Traffic % Change",'Pass 2'!$1:$1,0),FALSE()),"")</f>
        <v/>
      </c>
      <c r="G284" s="1" t="str">
        <f aca="false">IFERROR(VLOOKUP(A284,'Pass 2'!$A:$S,MATCH("Jan 2025 Referring Domains",'Pass 2'!$1:$1,0),FALSE()),"")</f>
        <v/>
      </c>
      <c r="H284" s="1" t="str">
        <f aca="false">IFERROR(VLOOKUP(A284,'Pass 2'!$A:$S,MATCH("Jun 2026 Referring Domains",'Pass 2'!$1:$1,0),FALSE()),"")</f>
        <v/>
      </c>
    </row>
    <row r="285" customFormat="false" ht="15" hidden="false" customHeight="true" outlineLevel="0" collapsed="false">
      <c r="B285" s="1" t="str">
        <f aca="false">IFERROR(VLOOKUP(A285,'Pass 2'!$A:$S,MATCH("Category",'Pass 2'!$1:$1,0),FALSE()),"")</f>
        <v/>
      </c>
      <c r="C285" s="1" t="str">
        <f aca="false">IFERROR(VLOOKUP(A285,'Pass 1 Archive'!$A:$AD,MATCH("LinkedIn Employee Count",'Pass 1 Archive'!$1:$1,0),FALSE()),"")</f>
        <v/>
      </c>
      <c r="D285" s="1" t="str">
        <f aca="false">IFERROR(VLOOKUP(A285,'Pass 2'!$A:$S,MATCH("Jan 2025 Traffic",'Pass 2'!$1:$1,0),FALSE()),"")</f>
        <v/>
      </c>
      <c r="E285" s="1" t="str">
        <f aca="false">IFERROR(VLOOKUP(A285,'Pass 2'!$A:$S,MATCH("Jun 2026 Traffic",'Pass 2'!$1:$1,0),FALSE()),"")</f>
        <v/>
      </c>
      <c r="F285" s="1" t="str">
        <f aca="false">IFERROR(VLOOKUP(A285,'Pass 2'!$A:$S,MATCH("Traffic % Change",'Pass 2'!$1:$1,0),FALSE()),"")</f>
        <v/>
      </c>
      <c r="G285" s="1" t="str">
        <f aca="false">IFERROR(VLOOKUP(A285,'Pass 2'!$A:$S,MATCH("Jan 2025 Referring Domains",'Pass 2'!$1:$1,0),FALSE()),"")</f>
        <v/>
      </c>
      <c r="H285" s="1" t="str">
        <f aca="false">IFERROR(VLOOKUP(A285,'Pass 2'!$A:$S,MATCH("Jun 2026 Referring Domains",'Pass 2'!$1:$1,0),FALSE()),"")</f>
        <v/>
      </c>
    </row>
    <row r="286" customFormat="false" ht="15" hidden="false" customHeight="true" outlineLevel="0" collapsed="false">
      <c r="B286" s="1" t="str">
        <f aca="false">IFERROR(VLOOKUP(A286,'Pass 2'!$A:$S,MATCH("Category",'Pass 2'!$1:$1,0),FALSE()),"")</f>
        <v/>
      </c>
      <c r="C286" s="1" t="str">
        <f aca="false">IFERROR(VLOOKUP(A286,'Pass 1 Archive'!$A:$AD,MATCH("LinkedIn Employee Count",'Pass 1 Archive'!$1:$1,0),FALSE()),"")</f>
        <v/>
      </c>
      <c r="D286" s="1" t="str">
        <f aca="false">IFERROR(VLOOKUP(A286,'Pass 2'!$A:$S,MATCH("Jan 2025 Traffic",'Pass 2'!$1:$1,0),FALSE()),"")</f>
        <v/>
      </c>
      <c r="E286" s="1" t="str">
        <f aca="false">IFERROR(VLOOKUP(A286,'Pass 2'!$A:$S,MATCH("Jun 2026 Traffic",'Pass 2'!$1:$1,0),FALSE()),"")</f>
        <v/>
      </c>
      <c r="F286" s="1" t="str">
        <f aca="false">IFERROR(VLOOKUP(A286,'Pass 2'!$A:$S,MATCH("Traffic % Change",'Pass 2'!$1:$1,0),FALSE()),"")</f>
        <v/>
      </c>
      <c r="G286" s="1" t="str">
        <f aca="false">IFERROR(VLOOKUP(A286,'Pass 2'!$A:$S,MATCH("Jan 2025 Referring Domains",'Pass 2'!$1:$1,0),FALSE()),"")</f>
        <v/>
      </c>
      <c r="H286" s="1" t="str">
        <f aca="false">IFERROR(VLOOKUP(A286,'Pass 2'!$A:$S,MATCH("Jun 2026 Referring Domains",'Pass 2'!$1:$1,0),FALSE()),"")</f>
        <v/>
      </c>
    </row>
    <row r="287" customFormat="false" ht="15" hidden="false" customHeight="true" outlineLevel="0" collapsed="false">
      <c r="B287" s="1" t="str">
        <f aca="false">IFERROR(VLOOKUP(A287,'Pass 2'!$A:$S,MATCH("Category",'Pass 2'!$1:$1,0),FALSE()),"")</f>
        <v/>
      </c>
      <c r="C287" s="1" t="str">
        <f aca="false">IFERROR(VLOOKUP(A287,'Pass 1 Archive'!$A:$AD,MATCH("LinkedIn Employee Count",'Pass 1 Archive'!$1:$1,0),FALSE()),"")</f>
        <v/>
      </c>
      <c r="D287" s="1" t="str">
        <f aca="false">IFERROR(VLOOKUP(A287,'Pass 2'!$A:$S,MATCH("Jan 2025 Traffic",'Pass 2'!$1:$1,0),FALSE()),"")</f>
        <v/>
      </c>
      <c r="E287" s="1" t="str">
        <f aca="false">IFERROR(VLOOKUP(A287,'Pass 2'!$A:$S,MATCH("Jun 2026 Traffic",'Pass 2'!$1:$1,0),FALSE()),"")</f>
        <v/>
      </c>
      <c r="F287" s="1" t="str">
        <f aca="false">IFERROR(VLOOKUP(A287,'Pass 2'!$A:$S,MATCH("Traffic % Change",'Pass 2'!$1:$1,0),FALSE()),"")</f>
        <v/>
      </c>
      <c r="G287" s="1" t="str">
        <f aca="false">IFERROR(VLOOKUP(A287,'Pass 2'!$A:$S,MATCH("Jan 2025 Referring Domains",'Pass 2'!$1:$1,0),FALSE()),"")</f>
        <v/>
      </c>
      <c r="H287" s="1" t="str">
        <f aca="false">IFERROR(VLOOKUP(A287,'Pass 2'!$A:$S,MATCH("Jun 2026 Referring Domains",'Pass 2'!$1:$1,0),FALSE()),"")</f>
        <v/>
      </c>
    </row>
    <row r="288" customFormat="false" ht="15" hidden="false" customHeight="true" outlineLevel="0" collapsed="false">
      <c r="B288" s="1" t="str">
        <f aca="false">IFERROR(VLOOKUP(A288,'Pass 2'!$A:$S,MATCH("Category",'Pass 2'!$1:$1,0),FALSE()),"")</f>
        <v/>
      </c>
      <c r="C288" s="1" t="str">
        <f aca="false">IFERROR(VLOOKUP(A288,'Pass 1 Archive'!$A:$AD,MATCH("LinkedIn Employee Count",'Pass 1 Archive'!$1:$1,0),FALSE()),"")</f>
        <v/>
      </c>
      <c r="D288" s="1" t="str">
        <f aca="false">IFERROR(VLOOKUP(A288,'Pass 2'!$A:$S,MATCH("Jan 2025 Traffic",'Pass 2'!$1:$1,0),FALSE()),"")</f>
        <v/>
      </c>
      <c r="E288" s="1" t="str">
        <f aca="false">IFERROR(VLOOKUP(A288,'Pass 2'!$A:$S,MATCH("Jun 2026 Traffic",'Pass 2'!$1:$1,0),FALSE()),"")</f>
        <v/>
      </c>
      <c r="F288" s="1" t="str">
        <f aca="false">IFERROR(VLOOKUP(A288,'Pass 2'!$A:$S,MATCH("Traffic % Change",'Pass 2'!$1:$1,0),FALSE()),"")</f>
        <v/>
      </c>
      <c r="G288" s="1" t="str">
        <f aca="false">IFERROR(VLOOKUP(A288,'Pass 2'!$A:$S,MATCH("Jan 2025 Referring Domains",'Pass 2'!$1:$1,0),FALSE()),"")</f>
        <v/>
      </c>
      <c r="H288" s="1" t="str">
        <f aca="false">IFERROR(VLOOKUP(A288,'Pass 2'!$A:$S,MATCH("Jun 2026 Referring Domains",'Pass 2'!$1:$1,0),FALSE()),"")</f>
        <v/>
      </c>
    </row>
    <row r="289" customFormat="false" ht="15" hidden="false" customHeight="true" outlineLevel="0" collapsed="false">
      <c r="B289" s="1" t="str">
        <f aca="false">IFERROR(VLOOKUP(A289,'Pass 2'!$A:$S,MATCH("Category",'Pass 2'!$1:$1,0),FALSE()),"")</f>
        <v/>
      </c>
      <c r="C289" s="1" t="str">
        <f aca="false">IFERROR(VLOOKUP(A289,'Pass 1 Archive'!$A:$AD,MATCH("LinkedIn Employee Count",'Pass 1 Archive'!$1:$1,0),FALSE()),"")</f>
        <v/>
      </c>
      <c r="D289" s="1" t="str">
        <f aca="false">IFERROR(VLOOKUP(A289,'Pass 2'!$A:$S,MATCH("Jan 2025 Traffic",'Pass 2'!$1:$1,0),FALSE()),"")</f>
        <v/>
      </c>
      <c r="E289" s="1" t="str">
        <f aca="false">IFERROR(VLOOKUP(A289,'Pass 2'!$A:$S,MATCH("Jun 2026 Traffic",'Pass 2'!$1:$1,0),FALSE()),"")</f>
        <v/>
      </c>
      <c r="F289" s="1" t="str">
        <f aca="false">IFERROR(VLOOKUP(A289,'Pass 2'!$A:$S,MATCH("Traffic % Change",'Pass 2'!$1:$1,0),FALSE()),"")</f>
        <v/>
      </c>
      <c r="G289" s="1" t="str">
        <f aca="false">IFERROR(VLOOKUP(A289,'Pass 2'!$A:$S,MATCH("Jan 2025 Referring Domains",'Pass 2'!$1:$1,0),FALSE()),"")</f>
        <v/>
      </c>
      <c r="H289" s="1" t="str">
        <f aca="false">IFERROR(VLOOKUP(A289,'Pass 2'!$A:$S,MATCH("Jun 2026 Referring Domains",'Pass 2'!$1:$1,0),FALSE()),"")</f>
        <v/>
      </c>
    </row>
    <row r="290" customFormat="false" ht="15" hidden="false" customHeight="true" outlineLevel="0" collapsed="false">
      <c r="B290" s="1" t="str">
        <f aca="false">IFERROR(VLOOKUP(A290,'Pass 2'!$A:$S,MATCH("Category",'Pass 2'!$1:$1,0),FALSE()),"")</f>
        <v/>
      </c>
      <c r="C290" s="1" t="str">
        <f aca="false">IFERROR(VLOOKUP(A290,'Pass 1 Archive'!$A:$AD,MATCH("LinkedIn Employee Count",'Pass 1 Archive'!$1:$1,0),FALSE()),"")</f>
        <v/>
      </c>
      <c r="D290" s="1" t="str">
        <f aca="false">IFERROR(VLOOKUP(A290,'Pass 2'!$A:$S,MATCH("Jan 2025 Traffic",'Pass 2'!$1:$1,0),FALSE()),"")</f>
        <v/>
      </c>
      <c r="E290" s="1" t="str">
        <f aca="false">IFERROR(VLOOKUP(A290,'Pass 2'!$A:$S,MATCH("Jun 2026 Traffic",'Pass 2'!$1:$1,0),FALSE()),"")</f>
        <v/>
      </c>
      <c r="F290" s="1" t="str">
        <f aca="false">IFERROR(VLOOKUP(A290,'Pass 2'!$A:$S,MATCH("Traffic % Change",'Pass 2'!$1:$1,0),FALSE()),"")</f>
        <v/>
      </c>
      <c r="G290" s="1" t="str">
        <f aca="false">IFERROR(VLOOKUP(A290,'Pass 2'!$A:$S,MATCH("Jan 2025 Referring Domains",'Pass 2'!$1:$1,0),FALSE()),"")</f>
        <v/>
      </c>
      <c r="H290" s="1" t="str">
        <f aca="false">IFERROR(VLOOKUP(A290,'Pass 2'!$A:$S,MATCH("Jun 2026 Referring Domains",'Pass 2'!$1:$1,0),FALSE()),"")</f>
        <v/>
      </c>
    </row>
    <row r="291" customFormat="false" ht="15" hidden="false" customHeight="true" outlineLevel="0" collapsed="false">
      <c r="B291" s="1" t="str">
        <f aca="false">IFERROR(VLOOKUP(A291,'Pass 2'!$A:$S,MATCH("Category",'Pass 2'!$1:$1,0),FALSE()),"")</f>
        <v/>
      </c>
      <c r="C291" s="1" t="str">
        <f aca="false">IFERROR(VLOOKUP(A291,'Pass 1 Archive'!$A:$AD,MATCH("LinkedIn Employee Count",'Pass 1 Archive'!$1:$1,0),FALSE()),"")</f>
        <v/>
      </c>
      <c r="D291" s="1" t="str">
        <f aca="false">IFERROR(VLOOKUP(A291,'Pass 2'!$A:$S,MATCH("Jan 2025 Traffic",'Pass 2'!$1:$1,0),FALSE()),"")</f>
        <v/>
      </c>
      <c r="E291" s="1" t="str">
        <f aca="false">IFERROR(VLOOKUP(A291,'Pass 2'!$A:$S,MATCH("Jun 2026 Traffic",'Pass 2'!$1:$1,0),FALSE()),"")</f>
        <v/>
      </c>
      <c r="F291" s="1" t="str">
        <f aca="false">IFERROR(VLOOKUP(A291,'Pass 2'!$A:$S,MATCH("Traffic % Change",'Pass 2'!$1:$1,0),FALSE()),"")</f>
        <v/>
      </c>
      <c r="G291" s="1" t="str">
        <f aca="false">IFERROR(VLOOKUP(A291,'Pass 2'!$A:$S,MATCH("Jan 2025 Referring Domains",'Pass 2'!$1:$1,0),FALSE()),"")</f>
        <v/>
      </c>
      <c r="H291" s="1" t="str">
        <f aca="false">IFERROR(VLOOKUP(A291,'Pass 2'!$A:$S,MATCH("Jun 2026 Referring Domains",'Pass 2'!$1:$1,0),FALSE()),"")</f>
        <v/>
      </c>
    </row>
    <row r="292" customFormat="false" ht="15" hidden="false" customHeight="true" outlineLevel="0" collapsed="false">
      <c r="B292" s="1" t="str">
        <f aca="false">IFERROR(VLOOKUP(A292,'Pass 2'!$A:$S,MATCH("Category",'Pass 2'!$1:$1,0),FALSE()),"")</f>
        <v/>
      </c>
      <c r="C292" s="1" t="str">
        <f aca="false">IFERROR(VLOOKUP(A292,'Pass 1 Archive'!$A:$AD,MATCH("LinkedIn Employee Count",'Pass 1 Archive'!$1:$1,0),FALSE()),"")</f>
        <v/>
      </c>
      <c r="D292" s="1" t="str">
        <f aca="false">IFERROR(VLOOKUP(A292,'Pass 2'!$A:$S,MATCH("Jan 2025 Traffic",'Pass 2'!$1:$1,0),FALSE()),"")</f>
        <v/>
      </c>
      <c r="E292" s="1" t="str">
        <f aca="false">IFERROR(VLOOKUP(A292,'Pass 2'!$A:$S,MATCH("Jun 2026 Traffic",'Pass 2'!$1:$1,0),FALSE()),"")</f>
        <v/>
      </c>
      <c r="F292" s="1" t="str">
        <f aca="false">IFERROR(VLOOKUP(A292,'Pass 2'!$A:$S,MATCH("Traffic % Change",'Pass 2'!$1:$1,0),FALSE()),"")</f>
        <v/>
      </c>
      <c r="G292" s="1" t="str">
        <f aca="false">IFERROR(VLOOKUP(A292,'Pass 2'!$A:$S,MATCH("Jan 2025 Referring Domains",'Pass 2'!$1:$1,0),FALSE()),"")</f>
        <v/>
      </c>
      <c r="H292" s="1" t="str">
        <f aca="false">IFERROR(VLOOKUP(A292,'Pass 2'!$A:$S,MATCH("Jun 2026 Referring Domains",'Pass 2'!$1:$1,0),FALSE()),"")</f>
        <v/>
      </c>
    </row>
    <row r="293" customFormat="false" ht="15" hidden="false" customHeight="true" outlineLevel="0" collapsed="false">
      <c r="B293" s="1" t="str">
        <f aca="false">IFERROR(VLOOKUP(A293,'Pass 2'!$A:$S,MATCH("Category",'Pass 2'!$1:$1,0),FALSE()),"")</f>
        <v/>
      </c>
      <c r="C293" s="1" t="str">
        <f aca="false">IFERROR(VLOOKUP(A293,'Pass 1 Archive'!$A:$AD,MATCH("LinkedIn Employee Count",'Pass 1 Archive'!$1:$1,0),FALSE()),"")</f>
        <v/>
      </c>
      <c r="D293" s="1" t="str">
        <f aca="false">IFERROR(VLOOKUP(A293,'Pass 2'!$A:$S,MATCH("Jan 2025 Traffic",'Pass 2'!$1:$1,0),FALSE()),"")</f>
        <v/>
      </c>
      <c r="E293" s="1" t="str">
        <f aca="false">IFERROR(VLOOKUP(A293,'Pass 2'!$A:$S,MATCH("Jun 2026 Traffic",'Pass 2'!$1:$1,0),FALSE()),"")</f>
        <v/>
      </c>
      <c r="F293" s="1" t="str">
        <f aca="false">IFERROR(VLOOKUP(A293,'Pass 2'!$A:$S,MATCH("Traffic % Change",'Pass 2'!$1:$1,0),FALSE()),"")</f>
        <v/>
      </c>
      <c r="G293" s="1" t="str">
        <f aca="false">IFERROR(VLOOKUP(A293,'Pass 2'!$A:$S,MATCH("Jan 2025 Referring Domains",'Pass 2'!$1:$1,0),FALSE()),"")</f>
        <v/>
      </c>
      <c r="H293" s="1" t="str">
        <f aca="false">IFERROR(VLOOKUP(A293,'Pass 2'!$A:$S,MATCH("Jun 2026 Referring Domains",'Pass 2'!$1:$1,0),FALSE()),"")</f>
        <v/>
      </c>
    </row>
    <row r="294" customFormat="false" ht="15" hidden="false" customHeight="true" outlineLevel="0" collapsed="false">
      <c r="B294" s="1" t="str">
        <f aca="false">IFERROR(VLOOKUP(A294,'Pass 2'!$A:$S,MATCH("Category",'Pass 2'!$1:$1,0),FALSE()),"")</f>
        <v/>
      </c>
      <c r="C294" s="1" t="str">
        <f aca="false">IFERROR(VLOOKUP(A294,'Pass 1 Archive'!$A:$AD,MATCH("LinkedIn Employee Count",'Pass 1 Archive'!$1:$1,0),FALSE()),"")</f>
        <v/>
      </c>
      <c r="D294" s="1" t="str">
        <f aca="false">IFERROR(VLOOKUP(A294,'Pass 2'!$A:$S,MATCH("Jan 2025 Traffic",'Pass 2'!$1:$1,0),FALSE()),"")</f>
        <v/>
      </c>
      <c r="E294" s="1" t="str">
        <f aca="false">IFERROR(VLOOKUP(A294,'Pass 2'!$A:$S,MATCH("Jun 2026 Traffic",'Pass 2'!$1:$1,0),FALSE()),"")</f>
        <v/>
      </c>
      <c r="F294" s="1" t="str">
        <f aca="false">IFERROR(VLOOKUP(A294,'Pass 2'!$A:$S,MATCH("Traffic % Change",'Pass 2'!$1:$1,0),FALSE()),"")</f>
        <v/>
      </c>
      <c r="G294" s="1" t="str">
        <f aca="false">IFERROR(VLOOKUP(A294,'Pass 2'!$A:$S,MATCH("Jan 2025 Referring Domains",'Pass 2'!$1:$1,0),FALSE()),"")</f>
        <v/>
      </c>
      <c r="H294" s="1" t="str">
        <f aca="false">IFERROR(VLOOKUP(A294,'Pass 2'!$A:$S,MATCH("Jun 2026 Referring Domains",'Pass 2'!$1:$1,0),FALSE()),"")</f>
        <v/>
      </c>
    </row>
    <row r="295" customFormat="false" ht="15" hidden="false" customHeight="true" outlineLevel="0" collapsed="false">
      <c r="B295" s="1" t="str">
        <f aca="false">IFERROR(VLOOKUP(A295,'Pass 2'!$A:$S,MATCH("Category",'Pass 2'!$1:$1,0),FALSE()),"")</f>
        <v/>
      </c>
      <c r="C295" s="1" t="str">
        <f aca="false">IFERROR(VLOOKUP(A295,'Pass 1 Archive'!$A:$AD,MATCH("LinkedIn Employee Count",'Pass 1 Archive'!$1:$1,0),FALSE()),"")</f>
        <v/>
      </c>
      <c r="D295" s="1" t="str">
        <f aca="false">IFERROR(VLOOKUP(A295,'Pass 2'!$A:$S,MATCH("Jan 2025 Traffic",'Pass 2'!$1:$1,0),FALSE()),"")</f>
        <v/>
      </c>
      <c r="E295" s="1" t="str">
        <f aca="false">IFERROR(VLOOKUP(A295,'Pass 2'!$A:$S,MATCH("Jun 2026 Traffic",'Pass 2'!$1:$1,0),FALSE()),"")</f>
        <v/>
      </c>
      <c r="F295" s="1" t="str">
        <f aca="false">IFERROR(VLOOKUP(A295,'Pass 2'!$A:$S,MATCH("Traffic % Change",'Pass 2'!$1:$1,0),FALSE()),"")</f>
        <v/>
      </c>
      <c r="G295" s="1" t="str">
        <f aca="false">IFERROR(VLOOKUP(A295,'Pass 2'!$A:$S,MATCH("Jan 2025 Referring Domains",'Pass 2'!$1:$1,0),FALSE()),"")</f>
        <v/>
      </c>
      <c r="H295" s="1" t="str">
        <f aca="false">IFERROR(VLOOKUP(A295,'Pass 2'!$A:$S,MATCH("Jun 2026 Referring Domains",'Pass 2'!$1:$1,0),FALSE()),"")</f>
        <v/>
      </c>
    </row>
    <row r="296" customFormat="false" ht="15" hidden="false" customHeight="true" outlineLevel="0" collapsed="false">
      <c r="B296" s="1" t="str">
        <f aca="false">IFERROR(VLOOKUP(A296,'Pass 2'!$A:$S,MATCH("Category",'Pass 2'!$1:$1,0),FALSE()),"")</f>
        <v/>
      </c>
      <c r="C296" s="1" t="str">
        <f aca="false">IFERROR(VLOOKUP(A296,'Pass 1 Archive'!$A:$AD,MATCH("LinkedIn Employee Count",'Pass 1 Archive'!$1:$1,0),FALSE()),"")</f>
        <v/>
      </c>
      <c r="D296" s="1" t="str">
        <f aca="false">IFERROR(VLOOKUP(A296,'Pass 2'!$A:$S,MATCH("Jan 2025 Traffic",'Pass 2'!$1:$1,0),FALSE()),"")</f>
        <v/>
      </c>
      <c r="E296" s="1" t="str">
        <f aca="false">IFERROR(VLOOKUP(A296,'Pass 2'!$A:$S,MATCH("Jun 2026 Traffic",'Pass 2'!$1:$1,0),FALSE()),"")</f>
        <v/>
      </c>
      <c r="F296" s="1" t="str">
        <f aca="false">IFERROR(VLOOKUP(A296,'Pass 2'!$A:$S,MATCH("Traffic % Change",'Pass 2'!$1:$1,0),FALSE()),"")</f>
        <v/>
      </c>
      <c r="G296" s="1" t="str">
        <f aca="false">IFERROR(VLOOKUP(A296,'Pass 2'!$A:$S,MATCH("Jan 2025 Referring Domains",'Pass 2'!$1:$1,0),FALSE()),"")</f>
        <v/>
      </c>
      <c r="H296" s="1" t="str">
        <f aca="false">IFERROR(VLOOKUP(A296,'Pass 2'!$A:$S,MATCH("Jun 2026 Referring Domains",'Pass 2'!$1:$1,0),FALSE()),"")</f>
        <v/>
      </c>
    </row>
    <row r="297" customFormat="false" ht="15" hidden="false" customHeight="true" outlineLevel="0" collapsed="false">
      <c r="B297" s="1" t="str">
        <f aca="false">IFERROR(VLOOKUP(A297,'Pass 2'!$A:$S,MATCH("Category",'Pass 2'!$1:$1,0),FALSE()),"")</f>
        <v/>
      </c>
      <c r="C297" s="1" t="str">
        <f aca="false">IFERROR(VLOOKUP(A297,'Pass 1 Archive'!$A:$AD,MATCH("LinkedIn Employee Count",'Pass 1 Archive'!$1:$1,0),FALSE()),"")</f>
        <v/>
      </c>
      <c r="D297" s="1" t="str">
        <f aca="false">IFERROR(VLOOKUP(A297,'Pass 2'!$A:$S,MATCH("Jan 2025 Traffic",'Pass 2'!$1:$1,0),FALSE()),"")</f>
        <v/>
      </c>
      <c r="E297" s="1" t="str">
        <f aca="false">IFERROR(VLOOKUP(A297,'Pass 2'!$A:$S,MATCH("Jun 2026 Traffic",'Pass 2'!$1:$1,0),FALSE()),"")</f>
        <v/>
      </c>
      <c r="F297" s="1" t="str">
        <f aca="false">IFERROR(VLOOKUP(A297,'Pass 2'!$A:$S,MATCH("Traffic % Change",'Pass 2'!$1:$1,0),FALSE()),"")</f>
        <v/>
      </c>
      <c r="G297" s="1" t="str">
        <f aca="false">IFERROR(VLOOKUP(A297,'Pass 2'!$A:$S,MATCH("Jan 2025 Referring Domains",'Pass 2'!$1:$1,0),FALSE()),"")</f>
        <v/>
      </c>
      <c r="H297" s="1" t="str">
        <f aca="false">IFERROR(VLOOKUP(A297,'Pass 2'!$A:$S,MATCH("Jun 2026 Referring Domains",'Pass 2'!$1:$1,0),FALSE()),"")</f>
        <v/>
      </c>
    </row>
    <row r="298" customFormat="false" ht="15" hidden="false" customHeight="true" outlineLevel="0" collapsed="false">
      <c r="B298" s="1" t="str">
        <f aca="false">IFERROR(VLOOKUP(A298,'Pass 2'!$A:$S,MATCH("Category",'Pass 2'!$1:$1,0),FALSE()),"")</f>
        <v/>
      </c>
      <c r="C298" s="1" t="str">
        <f aca="false">IFERROR(VLOOKUP(A298,'Pass 1 Archive'!$A:$AD,MATCH("LinkedIn Employee Count",'Pass 1 Archive'!$1:$1,0),FALSE()),"")</f>
        <v/>
      </c>
      <c r="D298" s="1" t="str">
        <f aca="false">IFERROR(VLOOKUP(A298,'Pass 2'!$A:$S,MATCH("Jan 2025 Traffic",'Pass 2'!$1:$1,0),FALSE()),"")</f>
        <v/>
      </c>
      <c r="E298" s="1" t="str">
        <f aca="false">IFERROR(VLOOKUP(A298,'Pass 2'!$A:$S,MATCH("Jun 2026 Traffic",'Pass 2'!$1:$1,0),FALSE()),"")</f>
        <v/>
      </c>
      <c r="F298" s="1" t="str">
        <f aca="false">IFERROR(VLOOKUP(A298,'Pass 2'!$A:$S,MATCH("Traffic % Change",'Pass 2'!$1:$1,0),FALSE()),"")</f>
        <v/>
      </c>
      <c r="G298" s="1" t="str">
        <f aca="false">IFERROR(VLOOKUP(A298,'Pass 2'!$A:$S,MATCH("Jan 2025 Referring Domains",'Pass 2'!$1:$1,0),FALSE()),"")</f>
        <v/>
      </c>
      <c r="H298" s="1" t="str">
        <f aca="false">IFERROR(VLOOKUP(A298,'Pass 2'!$A:$S,MATCH("Jun 2026 Referring Domains",'Pass 2'!$1:$1,0),FALSE()),"")</f>
        <v/>
      </c>
    </row>
    <row r="299" customFormat="false" ht="15" hidden="false" customHeight="true" outlineLevel="0" collapsed="false">
      <c r="B299" s="1" t="str">
        <f aca="false">IFERROR(VLOOKUP(A299,'Pass 2'!$A:$S,MATCH("Category",'Pass 2'!$1:$1,0),FALSE()),"")</f>
        <v/>
      </c>
      <c r="C299" s="1" t="str">
        <f aca="false">IFERROR(VLOOKUP(A299,'Pass 1 Archive'!$A:$AD,MATCH("LinkedIn Employee Count",'Pass 1 Archive'!$1:$1,0),FALSE()),"")</f>
        <v/>
      </c>
      <c r="D299" s="1" t="str">
        <f aca="false">IFERROR(VLOOKUP(A299,'Pass 2'!$A:$S,MATCH("Jan 2025 Traffic",'Pass 2'!$1:$1,0),FALSE()),"")</f>
        <v/>
      </c>
      <c r="E299" s="1" t="str">
        <f aca="false">IFERROR(VLOOKUP(A299,'Pass 2'!$A:$S,MATCH("Jun 2026 Traffic",'Pass 2'!$1:$1,0),FALSE()),"")</f>
        <v/>
      </c>
      <c r="F299" s="1" t="str">
        <f aca="false">IFERROR(VLOOKUP(A299,'Pass 2'!$A:$S,MATCH("Traffic % Change",'Pass 2'!$1:$1,0),FALSE()),"")</f>
        <v/>
      </c>
      <c r="G299" s="1" t="str">
        <f aca="false">IFERROR(VLOOKUP(A299,'Pass 2'!$A:$S,MATCH("Jan 2025 Referring Domains",'Pass 2'!$1:$1,0),FALSE()),"")</f>
        <v/>
      </c>
      <c r="H299" s="1" t="str">
        <f aca="false">IFERROR(VLOOKUP(A299,'Pass 2'!$A:$S,MATCH("Jun 2026 Referring Domains",'Pass 2'!$1:$1,0),FALSE()),"")</f>
        <v/>
      </c>
    </row>
    <row r="300" customFormat="false" ht="15" hidden="false" customHeight="true" outlineLevel="0" collapsed="false">
      <c r="B300" s="1" t="str">
        <f aca="false">IFERROR(VLOOKUP(A300,'Pass 2'!$A:$S,MATCH("Category",'Pass 2'!$1:$1,0),FALSE()),"")</f>
        <v/>
      </c>
      <c r="C300" s="1" t="str">
        <f aca="false">IFERROR(VLOOKUP(A300,'Pass 1 Archive'!$A:$AD,MATCH("LinkedIn Employee Count",'Pass 1 Archive'!$1:$1,0),FALSE()),"")</f>
        <v/>
      </c>
      <c r="D300" s="1" t="str">
        <f aca="false">IFERROR(VLOOKUP(A300,'Pass 2'!$A:$S,MATCH("Jan 2025 Traffic",'Pass 2'!$1:$1,0),FALSE()),"")</f>
        <v/>
      </c>
      <c r="E300" s="1" t="str">
        <f aca="false">IFERROR(VLOOKUP(A300,'Pass 2'!$A:$S,MATCH("Jun 2026 Traffic",'Pass 2'!$1:$1,0),FALSE()),"")</f>
        <v/>
      </c>
      <c r="F300" s="1" t="str">
        <f aca="false">IFERROR(VLOOKUP(A300,'Pass 2'!$A:$S,MATCH("Traffic % Change",'Pass 2'!$1:$1,0),FALSE()),"")</f>
        <v/>
      </c>
      <c r="G300" s="1" t="str">
        <f aca="false">IFERROR(VLOOKUP(A300,'Pass 2'!$A:$S,MATCH("Jan 2025 Referring Domains",'Pass 2'!$1:$1,0),FALSE()),"")</f>
        <v/>
      </c>
      <c r="H300" s="1" t="str">
        <f aca="false">IFERROR(VLOOKUP(A300,'Pass 2'!$A:$S,MATCH("Jun 2026 Referring Domains",'Pass 2'!$1:$1,0),FALSE()),"")</f>
        <v/>
      </c>
    </row>
    <row r="301" customFormat="false" ht="15" hidden="false" customHeight="true" outlineLevel="0" collapsed="false">
      <c r="B301" s="1" t="str">
        <f aca="false">IFERROR(VLOOKUP(A301,'Pass 2'!$A:$S,MATCH("Category",'Pass 2'!$1:$1,0),FALSE()),"")</f>
        <v/>
      </c>
      <c r="C301" s="1" t="str">
        <f aca="false">IFERROR(VLOOKUP(A301,'Pass 1 Archive'!$A:$AD,MATCH("LinkedIn Employee Count",'Pass 1 Archive'!$1:$1,0),FALSE()),"")</f>
        <v/>
      </c>
      <c r="D301" s="1" t="str">
        <f aca="false">IFERROR(VLOOKUP(A301,'Pass 2'!$A:$S,MATCH("Jan 2025 Traffic",'Pass 2'!$1:$1,0),FALSE()),"")</f>
        <v/>
      </c>
      <c r="E301" s="1" t="str">
        <f aca="false">IFERROR(VLOOKUP(A301,'Pass 2'!$A:$S,MATCH("Jun 2026 Traffic",'Pass 2'!$1:$1,0),FALSE()),"")</f>
        <v/>
      </c>
      <c r="F301" s="1" t="str">
        <f aca="false">IFERROR(VLOOKUP(A301,'Pass 2'!$A:$S,MATCH("Traffic % Change",'Pass 2'!$1:$1,0),FALSE()),"")</f>
        <v/>
      </c>
      <c r="G301" s="1" t="str">
        <f aca="false">IFERROR(VLOOKUP(A301,'Pass 2'!$A:$S,MATCH("Jan 2025 Referring Domains",'Pass 2'!$1:$1,0),FALSE()),"")</f>
        <v/>
      </c>
      <c r="H301" s="1" t="str">
        <f aca="false">IFERROR(VLOOKUP(A301,'Pass 2'!$A:$S,MATCH("Jun 2026 Referring Domains",'Pass 2'!$1:$1,0),FALSE()),"")</f>
        <v/>
      </c>
    </row>
    <row r="302" customFormat="false" ht="15" hidden="false" customHeight="true" outlineLevel="0" collapsed="false">
      <c r="B302" s="1" t="str">
        <f aca="false">IFERROR(VLOOKUP(A302,'Pass 2'!$A:$S,MATCH("Category",'Pass 2'!$1:$1,0),FALSE()),"")</f>
        <v/>
      </c>
      <c r="C302" s="1" t="str">
        <f aca="false">IFERROR(VLOOKUP(A302,'Pass 1 Archive'!$A:$AD,MATCH("LinkedIn Employee Count",'Pass 1 Archive'!$1:$1,0),FALSE()),"")</f>
        <v/>
      </c>
      <c r="D302" s="1" t="str">
        <f aca="false">IFERROR(VLOOKUP(A302,'Pass 2'!$A:$S,MATCH("Jan 2025 Traffic",'Pass 2'!$1:$1,0),FALSE()),"")</f>
        <v/>
      </c>
      <c r="E302" s="1" t="str">
        <f aca="false">IFERROR(VLOOKUP(A302,'Pass 2'!$A:$S,MATCH("Jun 2026 Traffic",'Pass 2'!$1:$1,0),FALSE()),"")</f>
        <v/>
      </c>
      <c r="F302" s="1" t="str">
        <f aca="false">IFERROR(VLOOKUP(A302,'Pass 2'!$A:$S,MATCH("Traffic % Change",'Pass 2'!$1:$1,0),FALSE()),"")</f>
        <v/>
      </c>
      <c r="G302" s="1" t="str">
        <f aca="false">IFERROR(VLOOKUP(A302,'Pass 2'!$A:$S,MATCH("Jan 2025 Referring Domains",'Pass 2'!$1:$1,0),FALSE()),"")</f>
        <v/>
      </c>
      <c r="H302" s="1" t="str">
        <f aca="false">IFERROR(VLOOKUP(A302,'Pass 2'!$A:$S,MATCH("Jun 2026 Referring Domains",'Pass 2'!$1:$1,0),FALSE()),"")</f>
        <v/>
      </c>
    </row>
    <row r="303" customFormat="false" ht="15" hidden="false" customHeight="true" outlineLevel="0" collapsed="false">
      <c r="B303" s="1" t="str">
        <f aca="false">IFERROR(VLOOKUP(A303,'Pass 2'!$A:$S,MATCH("Category",'Pass 2'!$1:$1,0),FALSE()),"")</f>
        <v/>
      </c>
      <c r="C303" s="1" t="str">
        <f aca="false">IFERROR(VLOOKUP(A303,'Pass 1 Archive'!$A:$AD,MATCH("LinkedIn Employee Count",'Pass 1 Archive'!$1:$1,0),FALSE()),"")</f>
        <v/>
      </c>
      <c r="D303" s="1" t="str">
        <f aca="false">IFERROR(VLOOKUP(A303,'Pass 2'!$A:$S,MATCH("Jan 2025 Traffic",'Pass 2'!$1:$1,0),FALSE()),"")</f>
        <v/>
      </c>
      <c r="E303" s="1" t="str">
        <f aca="false">IFERROR(VLOOKUP(A303,'Pass 2'!$A:$S,MATCH("Jun 2026 Traffic",'Pass 2'!$1:$1,0),FALSE()),"")</f>
        <v/>
      </c>
      <c r="F303" s="1" t="str">
        <f aca="false">IFERROR(VLOOKUP(A303,'Pass 2'!$A:$S,MATCH("Traffic % Change",'Pass 2'!$1:$1,0),FALSE()),"")</f>
        <v/>
      </c>
      <c r="G303" s="1" t="str">
        <f aca="false">IFERROR(VLOOKUP(A303,'Pass 2'!$A:$S,MATCH("Jan 2025 Referring Domains",'Pass 2'!$1:$1,0),FALSE()),"")</f>
        <v/>
      </c>
      <c r="H303" s="1" t="str">
        <f aca="false">IFERROR(VLOOKUP(A303,'Pass 2'!$A:$S,MATCH("Jun 2026 Referring Domains",'Pass 2'!$1:$1,0),FALSE()),"")</f>
        <v/>
      </c>
    </row>
    <row r="304" customFormat="false" ht="15" hidden="false" customHeight="true" outlineLevel="0" collapsed="false">
      <c r="B304" s="1" t="str">
        <f aca="false">IFERROR(VLOOKUP(A304,'Pass 2'!$A:$S,MATCH("Category",'Pass 2'!$1:$1,0),FALSE()),"")</f>
        <v/>
      </c>
      <c r="C304" s="1" t="str">
        <f aca="false">IFERROR(VLOOKUP(A304,'Pass 1 Archive'!$A:$AD,MATCH("LinkedIn Employee Count",'Pass 1 Archive'!$1:$1,0),FALSE()),"")</f>
        <v/>
      </c>
      <c r="D304" s="1" t="str">
        <f aca="false">IFERROR(VLOOKUP(A304,'Pass 2'!$A:$S,MATCH("Jan 2025 Traffic",'Pass 2'!$1:$1,0),FALSE()),"")</f>
        <v/>
      </c>
      <c r="E304" s="1" t="str">
        <f aca="false">IFERROR(VLOOKUP(A304,'Pass 2'!$A:$S,MATCH("Jun 2026 Traffic",'Pass 2'!$1:$1,0),FALSE()),"")</f>
        <v/>
      </c>
      <c r="F304" s="1" t="str">
        <f aca="false">IFERROR(VLOOKUP(A304,'Pass 2'!$A:$S,MATCH("Traffic % Change",'Pass 2'!$1:$1,0),FALSE()),"")</f>
        <v/>
      </c>
      <c r="G304" s="1" t="str">
        <f aca="false">IFERROR(VLOOKUP(A304,'Pass 2'!$A:$S,MATCH("Jan 2025 Referring Domains",'Pass 2'!$1:$1,0),FALSE()),"")</f>
        <v/>
      </c>
      <c r="H304" s="1" t="str">
        <f aca="false">IFERROR(VLOOKUP(A304,'Pass 2'!$A:$S,MATCH("Jun 2026 Referring Domains",'Pass 2'!$1:$1,0),FALSE()),"")</f>
        <v/>
      </c>
    </row>
    <row r="305" customFormat="false" ht="15" hidden="false" customHeight="true" outlineLevel="0" collapsed="false">
      <c r="B305" s="1" t="str">
        <f aca="false">IFERROR(VLOOKUP(A305,'Pass 2'!$A:$S,MATCH("Category",'Pass 2'!$1:$1,0),FALSE()),"")</f>
        <v/>
      </c>
      <c r="C305" s="1" t="str">
        <f aca="false">IFERROR(VLOOKUP(A305,'Pass 1 Archive'!$A:$AD,MATCH("LinkedIn Employee Count",'Pass 1 Archive'!$1:$1,0),FALSE()),"")</f>
        <v/>
      </c>
      <c r="D305" s="1" t="str">
        <f aca="false">IFERROR(VLOOKUP(A305,'Pass 2'!$A:$S,MATCH("Jan 2025 Traffic",'Pass 2'!$1:$1,0),FALSE()),"")</f>
        <v/>
      </c>
      <c r="E305" s="1" t="str">
        <f aca="false">IFERROR(VLOOKUP(A305,'Pass 2'!$A:$S,MATCH("Jun 2026 Traffic",'Pass 2'!$1:$1,0),FALSE()),"")</f>
        <v/>
      </c>
      <c r="F305" s="1" t="str">
        <f aca="false">IFERROR(VLOOKUP(A305,'Pass 2'!$A:$S,MATCH("Traffic % Change",'Pass 2'!$1:$1,0),FALSE()),"")</f>
        <v/>
      </c>
      <c r="G305" s="1" t="str">
        <f aca="false">IFERROR(VLOOKUP(A305,'Pass 2'!$A:$S,MATCH("Jan 2025 Referring Domains",'Pass 2'!$1:$1,0),FALSE()),"")</f>
        <v/>
      </c>
      <c r="H305" s="1" t="str">
        <f aca="false">IFERROR(VLOOKUP(A305,'Pass 2'!$A:$S,MATCH("Jun 2026 Referring Domains",'Pass 2'!$1:$1,0),FALSE()),"")</f>
        <v/>
      </c>
    </row>
    <row r="306" customFormat="false" ht="15" hidden="false" customHeight="true" outlineLevel="0" collapsed="false">
      <c r="B306" s="1" t="str">
        <f aca="false">IFERROR(VLOOKUP(A306,'Pass 2'!$A:$S,MATCH("Category",'Pass 2'!$1:$1,0),FALSE()),"")</f>
        <v/>
      </c>
      <c r="C306" s="1" t="str">
        <f aca="false">IFERROR(VLOOKUP(A306,'Pass 1 Archive'!$A:$AD,MATCH("LinkedIn Employee Count",'Pass 1 Archive'!$1:$1,0),FALSE()),"")</f>
        <v/>
      </c>
      <c r="D306" s="1" t="str">
        <f aca="false">IFERROR(VLOOKUP(A306,'Pass 2'!$A:$S,MATCH("Jan 2025 Traffic",'Pass 2'!$1:$1,0),FALSE()),"")</f>
        <v/>
      </c>
      <c r="E306" s="1" t="str">
        <f aca="false">IFERROR(VLOOKUP(A306,'Pass 2'!$A:$S,MATCH("Jun 2026 Traffic",'Pass 2'!$1:$1,0),FALSE()),"")</f>
        <v/>
      </c>
      <c r="F306" s="1" t="str">
        <f aca="false">IFERROR(VLOOKUP(A306,'Pass 2'!$A:$S,MATCH("Traffic % Change",'Pass 2'!$1:$1,0),FALSE()),"")</f>
        <v/>
      </c>
      <c r="G306" s="1" t="str">
        <f aca="false">IFERROR(VLOOKUP(A306,'Pass 2'!$A:$S,MATCH("Jan 2025 Referring Domains",'Pass 2'!$1:$1,0),FALSE()),"")</f>
        <v/>
      </c>
      <c r="H306" s="1" t="str">
        <f aca="false">IFERROR(VLOOKUP(A306,'Pass 2'!$A:$S,MATCH("Jun 2026 Referring Domains",'Pass 2'!$1:$1,0),FALSE()),"")</f>
        <v/>
      </c>
    </row>
    <row r="307" customFormat="false" ht="15" hidden="false" customHeight="true" outlineLevel="0" collapsed="false">
      <c r="B307" s="1" t="str">
        <f aca="false">IFERROR(VLOOKUP(A307,'Pass 2'!$A:$S,MATCH("Category",'Pass 2'!$1:$1,0),FALSE()),"")</f>
        <v/>
      </c>
      <c r="C307" s="1" t="str">
        <f aca="false">IFERROR(VLOOKUP(A307,'Pass 1 Archive'!$A:$AD,MATCH("LinkedIn Employee Count",'Pass 1 Archive'!$1:$1,0),FALSE()),"")</f>
        <v/>
      </c>
      <c r="D307" s="1" t="str">
        <f aca="false">IFERROR(VLOOKUP(A307,'Pass 2'!$A:$S,MATCH("Jan 2025 Traffic",'Pass 2'!$1:$1,0),FALSE()),"")</f>
        <v/>
      </c>
      <c r="E307" s="1" t="str">
        <f aca="false">IFERROR(VLOOKUP(A307,'Pass 2'!$A:$S,MATCH("Jun 2026 Traffic",'Pass 2'!$1:$1,0),FALSE()),"")</f>
        <v/>
      </c>
      <c r="F307" s="1" t="str">
        <f aca="false">IFERROR(VLOOKUP(A307,'Pass 2'!$A:$S,MATCH("Traffic % Change",'Pass 2'!$1:$1,0),FALSE()),"")</f>
        <v/>
      </c>
      <c r="G307" s="1" t="str">
        <f aca="false">IFERROR(VLOOKUP(A307,'Pass 2'!$A:$S,MATCH("Jan 2025 Referring Domains",'Pass 2'!$1:$1,0),FALSE()),"")</f>
        <v/>
      </c>
      <c r="H307" s="1" t="str">
        <f aca="false">IFERROR(VLOOKUP(A307,'Pass 2'!$A:$S,MATCH("Jun 2026 Referring Domains",'Pass 2'!$1:$1,0),FALSE()),"")</f>
        <v/>
      </c>
    </row>
    <row r="308" customFormat="false" ht="15" hidden="false" customHeight="true" outlineLevel="0" collapsed="false">
      <c r="B308" s="1" t="str">
        <f aca="false">IFERROR(VLOOKUP(A308,'Pass 2'!$A:$S,MATCH("Category",'Pass 2'!$1:$1,0),FALSE()),"")</f>
        <v/>
      </c>
      <c r="C308" s="1" t="str">
        <f aca="false">IFERROR(VLOOKUP(A308,'Pass 1 Archive'!$A:$AD,MATCH("LinkedIn Employee Count",'Pass 1 Archive'!$1:$1,0),FALSE()),"")</f>
        <v/>
      </c>
      <c r="D308" s="1" t="str">
        <f aca="false">IFERROR(VLOOKUP(A308,'Pass 2'!$A:$S,MATCH("Jan 2025 Traffic",'Pass 2'!$1:$1,0),FALSE()),"")</f>
        <v/>
      </c>
      <c r="E308" s="1" t="str">
        <f aca="false">IFERROR(VLOOKUP(A308,'Pass 2'!$A:$S,MATCH("Jun 2026 Traffic",'Pass 2'!$1:$1,0),FALSE()),"")</f>
        <v/>
      </c>
      <c r="F308" s="1" t="str">
        <f aca="false">IFERROR(VLOOKUP(A308,'Pass 2'!$A:$S,MATCH("Traffic % Change",'Pass 2'!$1:$1,0),FALSE()),"")</f>
        <v/>
      </c>
      <c r="G308" s="1" t="str">
        <f aca="false">IFERROR(VLOOKUP(A308,'Pass 2'!$A:$S,MATCH("Jan 2025 Referring Domains",'Pass 2'!$1:$1,0),FALSE()),"")</f>
        <v/>
      </c>
      <c r="H308" s="1" t="str">
        <f aca="false">IFERROR(VLOOKUP(A308,'Pass 2'!$A:$S,MATCH("Jun 2026 Referring Domains",'Pass 2'!$1:$1,0),FALSE()),"")</f>
        <v/>
      </c>
    </row>
    <row r="309" customFormat="false" ht="15" hidden="false" customHeight="true" outlineLevel="0" collapsed="false">
      <c r="B309" s="1" t="str">
        <f aca="false">IFERROR(VLOOKUP(A309,'Pass 2'!$A:$S,MATCH("Category",'Pass 2'!$1:$1,0),FALSE()),"")</f>
        <v/>
      </c>
      <c r="C309" s="1" t="str">
        <f aca="false">IFERROR(VLOOKUP(A309,'Pass 1 Archive'!$A:$AD,MATCH("LinkedIn Employee Count",'Pass 1 Archive'!$1:$1,0),FALSE()),"")</f>
        <v/>
      </c>
      <c r="D309" s="1" t="str">
        <f aca="false">IFERROR(VLOOKUP(A309,'Pass 2'!$A:$S,MATCH("Jan 2025 Traffic",'Pass 2'!$1:$1,0),FALSE()),"")</f>
        <v/>
      </c>
      <c r="E309" s="1" t="str">
        <f aca="false">IFERROR(VLOOKUP(A309,'Pass 2'!$A:$S,MATCH("Jun 2026 Traffic",'Pass 2'!$1:$1,0),FALSE()),"")</f>
        <v/>
      </c>
      <c r="F309" s="1" t="str">
        <f aca="false">IFERROR(VLOOKUP(A309,'Pass 2'!$A:$S,MATCH("Traffic % Change",'Pass 2'!$1:$1,0),FALSE()),"")</f>
        <v/>
      </c>
      <c r="G309" s="1" t="str">
        <f aca="false">IFERROR(VLOOKUP(A309,'Pass 2'!$A:$S,MATCH("Jan 2025 Referring Domains",'Pass 2'!$1:$1,0),FALSE()),"")</f>
        <v/>
      </c>
      <c r="H309" s="1" t="str">
        <f aca="false">IFERROR(VLOOKUP(A309,'Pass 2'!$A:$S,MATCH("Jun 2026 Referring Domains",'Pass 2'!$1:$1,0),FALSE()),"")</f>
        <v/>
      </c>
    </row>
    <row r="310" customFormat="false" ht="15" hidden="false" customHeight="true" outlineLevel="0" collapsed="false">
      <c r="B310" s="1" t="str">
        <f aca="false">IFERROR(VLOOKUP(A310,'Pass 2'!$A:$S,MATCH("Category",'Pass 2'!$1:$1,0),FALSE()),"")</f>
        <v/>
      </c>
      <c r="C310" s="1" t="str">
        <f aca="false">IFERROR(VLOOKUP(A310,'Pass 1 Archive'!$A:$AD,MATCH("LinkedIn Employee Count",'Pass 1 Archive'!$1:$1,0),FALSE()),"")</f>
        <v/>
      </c>
      <c r="D310" s="1" t="str">
        <f aca="false">IFERROR(VLOOKUP(A310,'Pass 2'!$A:$S,MATCH("Jan 2025 Traffic",'Pass 2'!$1:$1,0),FALSE()),"")</f>
        <v/>
      </c>
      <c r="E310" s="1" t="str">
        <f aca="false">IFERROR(VLOOKUP(A310,'Pass 2'!$A:$S,MATCH("Jun 2026 Traffic",'Pass 2'!$1:$1,0),FALSE()),"")</f>
        <v/>
      </c>
      <c r="F310" s="1" t="str">
        <f aca="false">IFERROR(VLOOKUP(A310,'Pass 2'!$A:$S,MATCH("Traffic % Change",'Pass 2'!$1:$1,0),FALSE()),"")</f>
        <v/>
      </c>
      <c r="G310" s="1" t="str">
        <f aca="false">IFERROR(VLOOKUP(A310,'Pass 2'!$A:$S,MATCH("Jan 2025 Referring Domains",'Pass 2'!$1:$1,0),FALSE()),"")</f>
        <v/>
      </c>
      <c r="H310" s="1" t="str">
        <f aca="false">IFERROR(VLOOKUP(A310,'Pass 2'!$A:$S,MATCH("Jun 2026 Referring Domains",'Pass 2'!$1:$1,0),FALSE()),"")</f>
        <v/>
      </c>
    </row>
    <row r="311" customFormat="false" ht="15" hidden="false" customHeight="true" outlineLevel="0" collapsed="false">
      <c r="B311" s="1" t="str">
        <f aca="false">IFERROR(VLOOKUP(A311,'Pass 2'!$A:$S,MATCH("Category",'Pass 2'!$1:$1,0),FALSE()),"")</f>
        <v/>
      </c>
      <c r="C311" s="1" t="str">
        <f aca="false">IFERROR(VLOOKUP(A311,'Pass 1 Archive'!$A:$AD,MATCH("LinkedIn Employee Count",'Pass 1 Archive'!$1:$1,0),FALSE()),"")</f>
        <v/>
      </c>
      <c r="D311" s="1" t="str">
        <f aca="false">IFERROR(VLOOKUP(A311,'Pass 2'!$A:$S,MATCH("Jan 2025 Traffic",'Pass 2'!$1:$1,0),FALSE()),"")</f>
        <v/>
      </c>
      <c r="E311" s="1" t="str">
        <f aca="false">IFERROR(VLOOKUP(A311,'Pass 2'!$A:$S,MATCH("Jun 2026 Traffic",'Pass 2'!$1:$1,0),FALSE()),"")</f>
        <v/>
      </c>
      <c r="F311" s="1" t="str">
        <f aca="false">IFERROR(VLOOKUP(A311,'Pass 2'!$A:$S,MATCH("Traffic % Change",'Pass 2'!$1:$1,0),FALSE()),"")</f>
        <v/>
      </c>
      <c r="G311" s="1" t="str">
        <f aca="false">IFERROR(VLOOKUP(A311,'Pass 2'!$A:$S,MATCH("Jan 2025 Referring Domains",'Pass 2'!$1:$1,0),FALSE()),"")</f>
        <v/>
      </c>
      <c r="H311" s="1" t="str">
        <f aca="false">IFERROR(VLOOKUP(A311,'Pass 2'!$A:$S,MATCH("Jun 2026 Referring Domains",'Pass 2'!$1:$1,0),FALSE()),"")</f>
        <v/>
      </c>
    </row>
    <row r="312" customFormat="false" ht="15" hidden="false" customHeight="true" outlineLevel="0" collapsed="false">
      <c r="B312" s="1" t="str">
        <f aca="false">IFERROR(VLOOKUP(A312,'Pass 2'!$A:$S,MATCH("Category",'Pass 2'!$1:$1,0),FALSE()),"")</f>
        <v/>
      </c>
      <c r="C312" s="1" t="str">
        <f aca="false">IFERROR(VLOOKUP(A312,'Pass 1 Archive'!$A:$AD,MATCH("LinkedIn Employee Count",'Pass 1 Archive'!$1:$1,0),FALSE()),"")</f>
        <v/>
      </c>
      <c r="D312" s="1" t="str">
        <f aca="false">IFERROR(VLOOKUP(A312,'Pass 2'!$A:$S,MATCH("Jan 2025 Traffic",'Pass 2'!$1:$1,0),FALSE()),"")</f>
        <v/>
      </c>
      <c r="E312" s="1" t="str">
        <f aca="false">IFERROR(VLOOKUP(A312,'Pass 2'!$A:$S,MATCH("Jun 2026 Traffic",'Pass 2'!$1:$1,0),FALSE()),"")</f>
        <v/>
      </c>
      <c r="F312" s="1" t="str">
        <f aca="false">IFERROR(VLOOKUP(A312,'Pass 2'!$A:$S,MATCH("Traffic % Change",'Pass 2'!$1:$1,0),FALSE()),"")</f>
        <v/>
      </c>
      <c r="G312" s="1" t="str">
        <f aca="false">IFERROR(VLOOKUP(A312,'Pass 2'!$A:$S,MATCH("Jan 2025 Referring Domains",'Pass 2'!$1:$1,0),FALSE()),"")</f>
        <v/>
      </c>
      <c r="H312" s="1" t="str">
        <f aca="false">IFERROR(VLOOKUP(A312,'Pass 2'!$A:$S,MATCH("Jun 2026 Referring Domains",'Pass 2'!$1:$1,0),FALSE()),"")</f>
        <v/>
      </c>
    </row>
    <row r="313" customFormat="false" ht="15" hidden="false" customHeight="true" outlineLevel="0" collapsed="false">
      <c r="B313" s="1" t="str">
        <f aca="false">IFERROR(VLOOKUP(A313,'Pass 2'!$A:$S,MATCH("Category",'Pass 2'!$1:$1,0),FALSE()),"")</f>
        <v/>
      </c>
      <c r="C313" s="1" t="str">
        <f aca="false">IFERROR(VLOOKUP(A313,'Pass 1 Archive'!$A:$AD,MATCH("LinkedIn Employee Count",'Pass 1 Archive'!$1:$1,0),FALSE()),"")</f>
        <v/>
      </c>
      <c r="D313" s="1" t="str">
        <f aca="false">IFERROR(VLOOKUP(A313,'Pass 2'!$A:$S,MATCH("Jan 2025 Traffic",'Pass 2'!$1:$1,0),FALSE()),"")</f>
        <v/>
      </c>
      <c r="E313" s="1" t="str">
        <f aca="false">IFERROR(VLOOKUP(A313,'Pass 2'!$A:$S,MATCH("Jun 2026 Traffic",'Pass 2'!$1:$1,0),FALSE()),"")</f>
        <v/>
      </c>
      <c r="F313" s="1" t="str">
        <f aca="false">IFERROR(VLOOKUP(A313,'Pass 2'!$A:$S,MATCH("Traffic % Change",'Pass 2'!$1:$1,0),FALSE()),"")</f>
        <v/>
      </c>
      <c r="G313" s="1" t="str">
        <f aca="false">IFERROR(VLOOKUP(A313,'Pass 2'!$A:$S,MATCH("Jan 2025 Referring Domains",'Pass 2'!$1:$1,0),FALSE()),"")</f>
        <v/>
      </c>
      <c r="H313" s="1" t="str">
        <f aca="false">IFERROR(VLOOKUP(A313,'Pass 2'!$A:$S,MATCH("Jun 2026 Referring Domains",'Pass 2'!$1:$1,0),FALSE()),"")</f>
        <v/>
      </c>
    </row>
    <row r="314" customFormat="false" ht="15" hidden="false" customHeight="true" outlineLevel="0" collapsed="false">
      <c r="B314" s="1" t="str">
        <f aca="false">IFERROR(VLOOKUP(A314,'Pass 2'!$A:$S,MATCH("Category",'Pass 2'!$1:$1,0),FALSE()),"")</f>
        <v/>
      </c>
      <c r="C314" s="1" t="str">
        <f aca="false">IFERROR(VLOOKUP(A314,'Pass 1 Archive'!$A:$AD,MATCH("LinkedIn Employee Count",'Pass 1 Archive'!$1:$1,0),FALSE()),"")</f>
        <v/>
      </c>
      <c r="D314" s="1" t="str">
        <f aca="false">IFERROR(VLOOKUP(A314,'Pass 2'!$A:$S,MATCH("Jan 2025 Traffic",'Pass 2'!$1:$1,0),FALSE()),"")</f>
        <v/>
      </c>
      <c r="E314" s="1" t="str">
        <f aca="false">IFERROR(VLOOKUP(A314,'Pass 2'!$A:$S,MATCH("Jun 2026 Traffic",'Pass 2'!$1:$1,0),FALSE()),"")</f>
        <v/>
      </c>
      <c r="F314" s="1" t="str">
        <f aca="false">IFERROR(VLOOKUP(A314,'Pass 2'!$A:$S,MATCH("Traffic % Change",'Pass 2'!$1:$1,0),FALSE()),"")</f>
        <v/>
      </c>
      <c r="G314" s="1" t="str">
        <f aca="false">IFERROR(VLOOKUP(A314,'Pass 2'!$A:$S,MATCH("Jan 2025 Referring Domains",'Pass 2'!$1:$1,0),FALSE()),"")</f>
        <v/>
      </c>
      <c r="H314" s="1" t="str">
        <f aca="false">IFERROR(VLOOKUP(A314,'Pass 2'!$A:$S,MATCH("Jun 2026 Referring Domains",'Pass 2'!$1:$1,0),FALSE()),"")</f>
        <v/>
      </c>
    </row>
    <row r="315" customFormat="false" ht="15" hidden="false" customHeight="true" outlineLevel="0" collapsed="false">
      <c r="B315" s="1" t="str">
        <f aca="false">IFERROR(VLOOKUP(A315,'Pass 2'!$A:$S,MATCH("Category",'Pass 2'!$1:$1,0),FALSE()),"")</f>
        <v/>
      </c>
      <c r="C315" s="1" t="str">
        <f aca="false">IFERROR(VLOOKUP(A315,'Pass 1 Archive'!$A:$AD,MATCH("LinkedIn Employee Count",'Pass 1 Archive'!$1:$1,0),FALSE()),"")</f>
        <v/>
      </c>
      <c r="D315" s="1" t="str">
        <f aca="false">IFERROR(VLOOKUP(A315,'Pass 2'!$A:$S,MATCH("Jan 2025 Traffic",'Pass 2'!$1:$1,0),FALSE()),"")</f>
        <v/>
      </c>
      <c r="E315" s="1" t="str">
        <f aca="false">IFERROR(VLOOKUP(A315,'Pass 2'!$A:$S,MATCH("Jun 2026 Traffic",'Pass 2'!$1:$1,0),FALSE()),"")</f>
        <v/>
      </c>
      <c r="F315" s="1" t="str">
        <f aca="false">IFERROR(VLOOKUP(A315,'Pass 2'!$A:$S,MATCH("Traffic % Change",'Pass 2'!$1:$1,0),FALSE()),"")</f>
        <v/>
      </c>
      <c r="G315" s="1" t="str">
        <f aca="false">IFERROR(VLOOKUP(A315,'Pass 2'!$A:$S,MATCH("Jan 2025 Referring Domains",'Pass 2'!$1:$1,0),FALSE()),"")</f>
        <v/>
      </c>
      <c r="H315" s="1" t="str">
        <f aca="false">IFERROR(VLOOKUP(A315,'Pass 2'!$A:$S,MATCH("Jun 2026 Referring Domains",'Pass 2'!$1:$1,0),FALSE()),"")</f>
        <v/>
      </c>
    </row>
    <row r="316" customFormat="false" ht="15" hidden="false" customHeight="true" outlineLevel="0" collapsed="false">
      <c r="B316" s="1" t="str">
        <f aca="false">IFERROR(VLOOKUP(A316,'Pass 2'!$A:$S,MATCH("Category",'Pass 2'!$1:$1,0),FALSE()),"")</f>
        <v/>
      </c>
      <c r="C316" s="1" t="str">
        <f aca="false">IFERROR(VLOOKUP(A316,'Pass 1 Archive'!$A:$AD,MATCH("LinkedIn Employee Count",'Pass 1 Archive'!$1:$1,0),FALSE()),"")</f>
        <v/>
      </c>
      <c r="D316" s="1" t="str">
        <f aca="false">IFERROR(VLOOKUP(A316,'Pass 2'!$A:$S,MATCH("Jan 2025 Traffic",'Pass 2'!$1:$1,0),FALSE()),"")</f>
        <v/>
      </c>
      <c r="E316" s="1" t="str">
        <f aca="false">IFERROR(VLOOKUP(A316,'Pass 2'!$A:$S,MATCH("Jun 2026 Traffic",'Pass 2'!$1:$1,0),FALSE()),"")</f>
        <v/>
      </c>
      <c r="F316" s="1" t="str">
        <f aca="false">IFERROR(VLOOKUP(A316,'Pass 2'!$A:$S,MATCH("Traffic % Change",'Pass 2'!$1:$1,0),FALSE()),"")</f>
        <v/>
      </c>
      <c r="G316" s="1" t="str">
        <f aca="false">IFERROR(VLOOKUP(A316,'Pass 2'!$A:$S,MATCH("Jan 2025 Referring Domains",'Pass 2'!$1:$1,0),FALSE()),"")</f>
        <v/>
      </c>
      <c r="H316" s="1" t="str">
        <f aca="false">IFERROR(VLOOKUP(A316,'Pass 2'!$A:$S,MATCH("Jun 2026 Referring Domains",'Pass 2'!$1:$1,0),FALSE()),"")</f>
        <v/>
      </c>
    </row>
    <row r="317" customFormat="false" ht="15" hidden="false" customHeight="true" outlineLevel="0" collapsed="false">
      <c r="B317" s="1" t="str">
        <f aca="false">IFERROR(VLOOKUP(A317,'Pass 2'!$A:$S,MATCH("Category",'Pass 2'!$1:$1,0),FALSE()),"")</f>
        <v/>
      </c>
      <c r="C317" s="1" t="str">
        <f aca="false">IFERROR(VLOOKUP(A317,'Pass 1 Archive'!$A:$AD,MATCH("LinkedIn Employee Count",'Pass 1 Archive'!$1:$1,0),FALSE()),"")</f>
        <v/>
      </c>
      <c r="D317" s="1" t="str">
        <f aca="false">IFERROR(VLOOKUP(A317,'Pass 2'!$A:$S,MATCH("Jan 2025 Traffic",'Pass 2'!$1:$1,0),FALSE()),"")</f>
        <v/>
      </c>
      <c r="E317" s="1" t="str">
        <f aca="false">IFERROR(VLOOKUP(A317,'Pass 2'!$A:$S,MATCH("Jun 2026 Traffic",'Pass 2'!$1:$1,0),FALSE()),"")</f>
        <v/>
      </c>
      <c r="F317" s="1" t="str">
        <f aca="false">IFERROR(VLOOKUP(A317,'Pass 2'!$A:$S,MATCH("Traffic % Change",'Pass 2'!$1:$1,0),FALSE()),"")</f>
        <v/>
      </c>
      <c r="G317" s="1" t="str">
        <f aca="false">IFERROR(VLOOKUP(A317,'Pass 2'!$A:$S,MATCH("Jan 2025 Referring Domains",'Pass 2'!$1:$1,0),FALSE()),"")</f>
        <v/>
      </c>
      <c r="H317" s="1" t="str">
        <f aca="false">IFERROR(VLOOKUP(A317,'Pass 2'!$A:$S,MATCH("Jun 2026 Referring Domains",'Pass 2'!$1:$1,0),FALSE()),"")</f>
        <v/>
      </c>
    </row>
    <row r="318" customFormat="false" ht="15" hidden="false" customHeight="true" outlineLevel="0" collapsed="false">
      <c r="B318" s="1" t="str">
        <f aca="false">IFERROR(VLOOKUP(A318,'Pass 2'!$A:$S,MATCH("Category",'Pass 2'!$1:$1,0),FALSE()),"")</f>
        <v/>
      </c>
      <c r="C318" s="1" t="str">
        <f aca="false">IFERROR(VLOOKUP(A318,'Pass 1 Archive'!$A:$AD,MATCH("LinkedIn Employee Count",'Pass 1 Archive'!$1:$1,0),FALSE()),"")</f>
        <v/>
      </c>
      <c r="D318" s="1" t="str">
        <f aca="false">IFERROR(VLOOKUP(A318,'Pass 2'!$A:$S,MATCH("Jan 2025 Traffic",'Pass 2'!$1:$1,0),FALSE()),"")</f>
        <v/>
      </c>
      <c r="E318" s="1" t="str">
        <f aca="false">IFERROR(VLOOKUP(A318,'Pass 2'!$A:$S,MATCH("Jun 2026 Traffic",'Pass 2'!$1:$1,0),FALSE()),"")</f>
        <v/>
      </c>
      <c r="F318" s="1" t="str">
        <f aca="false">IFERROR(VLOOKUP(A318,'Pass 2'!$A:$S,MATCH("Traffic % Change",'Pass 2'!$1:$1,0),FALSE()),"")</f>
        <v/>
      </c>
      <c r="G318" s="1" t="str">
        <f aca="false">IFERROR(VLOOKUP(A318,'Pass 2'!$A:$S,MATCH("Jan 2025 Referring Domains",'Pass 2'!$1:$1,0),FALSE()),"")</f>
        <v/>
      </c>
      <c r="H318" s="1" t="str">
        <f aca="false">IFERROR(VLOOKUP(A318,'Pass 2'!$A:$S,MATCH("Jun 2026 Referring Domains",'Pass 2'!$1:$1,0),FALSE()),"")</f>
        <v/>
      </c>
    </row>
    <row r="319" customFormat="false" ht="15" hidden="false" customHeight="true" outlineLevel="0" collapsed="false">
      <c r="B319" s="1" t="str">
        <f aca="false">IFERROR(VLOOKUP(A319,'Pass 2'!$A:$S,MATCH("Category",'Pass 2'!$1:$1,0),FALSE()),"")</f>
        <v/>
      </c>
      <c r="C319" s="1" t="str">
        <f aca="false">IFERROR(VLOOKUP(A319,'Pass 1 Archive'!$A:$AD,MATCH("LinkedIn Employee Count",'Pass 1 Archive'!$1:$1,0),FALSE()),"")</f>
        <v/>
      </c>
      <c r="D319" s="1" t="str">
        <f aca="false">IFERROR(VLOOKUP(A319,'Pass 2'!$A:$S,MATCH("Jan 2025 Traffic",'Pass 2'!$1:$1,0),FALSE()),"")</f>
        <v/>
      </c>
      <c r="E319" s="1" t="str">
        <f aca="false">IFERROR(VLOOKUP(A319,'Pass 2'!$A:$S,MATCH("Jun 2026 Traffic",'Pass 2'!$1:$1,0),FALSE()),"")</f>
        <v/>
      </c>
      <c r="F319" s="1" t="str">
        <f aca="false">IFERROR(VLOOKUP(A319,'Pass 2'!$A:$S,MATCH("Traffic % Change",'Pass 2'!$1:$1,0),FALSE()),"")</f>
        <v/>
      </c>
      <c r="G319" s="1" t="str">
        <f aca="false">IFERROR(VLOOKUP(A319,'Pass 2'!$A:$S,MATCH("Jan 2025 Referring Domains",'Pass 2'!$1:$1,0),FALSE()),"")</f>
        <v/>
      </c>
      <c r="H319" s="1" t="str">
        <f aca="false">IFERROR(VLOOKUP(A319,'Pass 2'!$A:$S,MATCH("Jun 2026 Referring Domains",'Pass 2'!$1:$1,0),FALSE()),"")</f>
        <v/>
      </c>
    </row>
    <row r="320" customFormat="false" ht="15" hidden="false" customHeight="true" outlineLevel="0" collapsed="false">
      <c r="B320" s="1" t="str">
        <f aca="false">IFERROR(VLOOKUP(A320,'Pass 2'!$A:$S,MATCH("Category",'Pass 2'!$1:$1,0),FALSE()),"")</f>
        <v/>
      </c>
      <c r="C320" s="1" t="str">
        <f aca="false">IFERROR(VLOOKUP(A320,'Pass 1 Archive'!$A:$AD,MATCH("LinkedIn Employee Count",'Pass 1 Archive'!$1:$1,0),FALSE()),"")</f>
        <v/>
      </c>
      <c r="D320" s="1" t="str">
        <f aca="false">IFERROR(VLOOKUP(A320,'Pass 2'!$A:$S,MATCH("Jan 2025 Traffic",'Pass 2'!$1:$1,0),FALSE()),"")</f>
        <v/>
      </c>
      <c r="E320" s="1" t="str">
        <f aca="false">IFERROR(VLOOKUP(A320,'Pass 2'!$A:$S,MATCH("Jun 2026 Traffic",'Pass 2'!$1:$1,0),FALSE()),"")</f>
        <v/>
      </c>
      <c r="F320" s="1" t="str">
        <f aca="false">IFERROR(VLOOKUP(A320,'Pass 2'!$A:$S,MATCH("Traffic % Change",'Pass 2'!$1:$1,0),FALSE()),"")</f>
        <v/>
      </c>
      <c r="G320" s="1" t="str">
        <f aca="false">IFERROR(VLOOKUP(A320,'Pass 2'!$A:$S,MATCH("Jan 2025 Referring Domains",'Pass 2'!$1:$1,0),FALSE()),"")</f>
        <v/>
      </c>
      <c r="H320" s="1" t="str">
        <f aca="false">IFERROR(VLOOKUP(A320,'Pass 2'!$A:$S,MATCH("Jun 2026 Referring Domains",'Pass 2'!$1:$1,0),FALSE()),"")</f>
        <v/>
      </c>
    </row>
    <row r="321" customFormat="false" ht="15" hidden="false" customHeight="true" outlineLevel="0" collapsed="false">
      <c r="B321" s="1" t="str">
        <f aca="false">IFERROR(VLOOKUP(A321,'Pass 2'!$A:$S,MATCH("Category",'Pass 2'!$1:$1,0),FALSE()),"")</f>
        <v/>
      </c>
      <c r="C321" s="1" t="str">
        <f aca="false">IFERROR(VLOOKUP(A321,'Pass 1 Archive'!$A:$AD,MATCH("LinkedIn Employee Count",'Pass 1 Archive'!$1:$1,0),FALSE()),"")</f>
        <v/>
      </c>
      <c r="D321" s="1" t="str">
        <f aca="false">IFERROR(VLOOKUP(A321,'Pass 2'!$A:$S,MATCH("Jan 2025 Traffic",'Pass 2'!$1:$1,0),FALSE()),"")</f>
        <v/>
      </c>
      <c r="E321" s="1" t="str">
        <f aca="false">IFERROR(VLOOKUP(A321,'Pass 2'!$A:$S,MATCH("Jun 2026 Traffic",'Pass 2'!$1:$1,0),FALSE()),"")</f>
        <v/>
      </c>
      <c r="F321" s="1" t="str">
        <f aca="false">IFERROR(VLOOKUP(A321,'Pass 2'!$A:$S,MATCH("Traffic % Change",'Pass 2'!$1:$1,0),FALSE()),"")</f>
        <v/>
      </c>
      <c r="G321" s="1" t="str">
        <f aca="false">IFERROR(VLOOKUP(A321,'Pass 2'!$A:$S,MATCH("Jan 2025 Referring Domains",'Pass 2'!$1:$1,0),FALSE()),"")</f>
        <v/>
      </c>
      <c r="H321" s="1" t="str">
        <f aca="false">IFERROR(VLOOKUP(A321,'Pass 2'!$A:$S,MATCH("Jun 2026 Referring Domains",'Pass 2'!$1:$1,0),FALSE()),"")</f>
        <v/>
      </c>
    </row>
    <row r="322" customFormat="false" ht="15" hidden="false" customHeight="true" outlineLevel="0" collapsed="false">
      <c r="B322" s="1" t="str">
        <f aca="false">IFERROR(VLOOKUP(A322,'Pass 2'!$A:$S,MATCH("Category",'Pass 2'!$1:$1,0),FALSE()),"")</f>
        <v/>
      </c>
      <c r="C322" s="1" t="str">
        <f aca="false">IFERROR(VLOOKUP(A322,'Pass 1 Archive'!$A:$AD,MATCH("LinkedIn Employee Count",'Pass 1 Archive'!$1:$1,0),FALSE()),"")</f>
        <v/>
      </c>
      <c r="D322" s="1" t="str">
        <f aca="false">IFERROR(VLOOKUP(A322,'Pass 2'!$A:$S,MATCH("Jan 2025 Traffic",'Pass 2'!$1:$1,0),FALSE()),"")</f>
        <v/>
      </c>
      <c r="E322" s="1" t="str">
        <f aca="false">IFERROR(VLOOKUP(A322,'Pass 2'!$A:$S,MATCH("Jun 2026 Traffic",'Pass 2'!$1:$1,0),FALSE()),"")</f>
        <v/>
      </c>
      <c r="F322" s="1" t="str">
        <f aca="false">IFERROR(VLOOKUP(A322,'Pass 2'!$A:$S,MATCH("Traffic % Change",'Pass 2'!$1:$1,0),FALSE()),"")</f>
        <v/>
      </c>
      <c r="G322" s="1" t="str">
        <f aca="false">IFERROR(VLOOKUP(A322,'Pass 2'!$A:$S,MATCH("Jan 2025 Referring Domains",'Pass 2'!$1:$1,0),FALSE()),"")</f>
        <v/>
      </c>
      <c r="H322" s="1" t="str">
        <f aca="false">IFERROR(VLOOKUP(A322,'Pass 2'!$A:$S,MATCH("Jun 2026 Referring Domains",'Pass 2'!$1:$1,0),FALSE()),"")</f>
        <v/>
      </c>
    </row>
    <row r="323" customFormat="false" ht="15" hidden="false" customHeight="true" outlineLevel="0" collapsed="false">
      <c r="B323" s="1" t="str">
        <f aca="false">IFERROR(VLOOKUP(A323,'Pass 2'!$A:$S,MATCH("Category",'Pass 2'!$1:$1,0),FALSE()),"")</f>
        <v/>
      </c>
      <c r="C323" s="1" t="str">
        <f aca="false">IFERROR(VLOOKUP(A323,'Pass 1 Archive'!$A:$AD,MATCH("LinkedIn Employee Count",'Pass 1 Archive'!$1:$1,0),FALSE()),"")</f>
        <v/>
      </c>
      <c r="D323" s="1" t="str">
        <f aca="false">IFERROR(VLOOKUP(A323,'Pass 2'!$A:$S,MATCH("Jan 2025 Traffic",'Pass 2'!$1:$1,0),FALSE()),"")</f>
        <v/>
      </c>
      <c r="E323" s="1" t="str">
        <f aca="false">IFERROR(VLOOKUP(A323,'Pass 2'!$A:$S,MATCH("Jun 2026 Traffic",'Pass 2'!$1:$1,0),FALSE()),"")</f>
        <v/>
      </c>
      <c r="F323" s="1" t="str">
        <f aca="false">IFERROR(VLOOKUP(A323,'Pass 2'!$A:$S,MATCH("Traffic % Change",'Pass 2'!$1:$1,0),FALSE()),"")</f>
        <v/>
      </c>
      <c r="G323" s="1" t="str">
        <f aca="false">IFERROR(VLOOKUP(A323,'Pass 2'!$A:$S,MATCH("Jan 2025 Referring Domains",'Pass 2'!$1:$1,0),FALSE()),"")</f>
        <v/>
      </c>
      <c r="H323" s="1" t="str">
        <f aca="false">IFERROR(VLOOKUP(A323,'Pass 2'!$A:$S,MATCH("Jun 2026 Referring Domains",'Pass 2'!$1:$1,0),FALSE()),"")</f>
        <v/>
      </c>
    </row>
    <row r="324" customFormat="false" ht="15" hidden="false" customHeight="true" outlineLevel="0" collapsed="false">
      <c r="B324" s="1" t="str">
        <f aca="false">IFERROR(VLOOKUP(A324,'Pass 2'!$A:$S,MATCH("Category",'Pass 2'!$1:$1,0),FALSE()),"")</f>
        <v/>
      </c>
      <c r="C324" s="1" t="str">
        <f aca="false">IFERROR(VLOOKUP(A324,'Pass 1 Archive'!$A:$AD,MATCH("LinkedIn Employee Count",'Pass 1 Archive'!$1:$1,0),FALSE()),"")</f>
        <v/>
      </c>
      <c r="D324" s="1" t="str">
        <f aca="false">IFERROR(VLOOKUP(A324,'Pass 2'!$A:$S,MATCH("Jan 2025 Traffic",'Pass 2'!$1:$1,0),FALSE()),"")</f>
        <v/>
      </c>
      <c r="E324" s="1" t="str">
        <f aca="false">IFERROR(VLOOKUP(A324,'Pass 2'!$A:$S,MATCH("Jun 2026 Traffic",'Pass 2'!$1:$1,0),FALSE()),"")</f>
        <v/>
      </c>
      <c r="F324" s="1" t="str">
        <f aca="false">IFERROR(VLOOKUP(A324,'Pass 2'!$A:$S,MATCH("Traffic % Change",'Pass 2'!$1:$1,0),FALSE()),"")</f>
        <v/>
      </c>
      <c r="G324" s="1" t="str">
        <f aca="false">IFERROR(VLOOKUP(A324,'Pass 2'!$A:$S,MATCH("Jan 2025 Referring Domains",'Pass 2'!$1:$1,0),FALSE()),"")</f>
        <v/>
      </c>
      <c r="H324" s="1" t="str">
        <f aca="false">IFERROR(VLOOKUP(A324,'Pass 2'!$A:$S,MATCH("Jun 2026 Referring Domains",'Pass 2'!$1:$1,0),FALSE()),"")</f>
        <v/>
      </c>
    </row>
    <row r="325" customFormat="false" ht="15" hidden="false" customHeight="true" outlineLevel="0" collapsed="false">
      <c r="B325" s="1" t="str">
        <f aca="false">IFERROR(VLOOKUP(A325,'Pass 2'!$A:$S,MATCH("Category",'Pass 2'!$1:$1,0),FALSE()),"")</f>
        <v/>
      </c>
      <c r="C325" s="1" t="str">
        <f aca="false">IFERROR(VLOOKUP(A325,'Pass 1 Archive'!$A:$AD,MATCH("LinkedIn Employee Count",'Pass 1 Archive'!$1:$1,0),FALSE()),"")</f>
        <v/>
      </c>
      <c r="D325" s="1" t="str">
        <f aca="false">IFERROR(VLOOKUP(A325,'Pass 2'!$A:$S,MATCH("Jan 2025 Traffic",'Pass 2'!$1:$1,0),FALSE()),"")</f>
        <v/>
      </c>
      <c r="E325" s="1" t="str">
        <f aca="false">IFERROR(VLOOKUP(A325,'Pass 2'!$A:$S,MATCH("Jun 2026 Traffic",'Pass 2'!$1:$1,0),FALSE()),"")</f>
        <v/>
      </c>
      <c r="F325" s="1" t="str">
        <f aca="false">IFERROR(VLOOKUP(A325,'Pass 2'!$A:$S,MATCH("Traffic % Change",'Pass 2'!$1:$1,0),FALSE()),"")</f>
        <v/>
      </c>
      <c r="G325" s="1" t="str">
        <f aca="false">IFERROR(VLOOKUP(A325,'Pass 2'!$A:$S,MATCH("Jan 2025 Referring Domains",'Pass 2'!$1:$1,0),FALSE()),"")</f>
        <v/>
      </c>
      <c r="H325" s="1" t="str">
        <f aca="false">IFERROR(VLOOKUP(A325,'Pass 2'!$A:$S,MATCH("Jun 2026 Referring Domains",'Pass 2'!$1:$1,0),FALSE()),"")</f>
        <v/>
      </c>
    </row>
    <row r="326" customFormat="false" ht="15" hidden="false" customHeight="true" outlineLevel="0" collapsed="false">
      <c r="B326" s="1" t="str">
        <f aca="false">IFERROR(VLOOKUP(A326,'Pass 2'!$A:$S,MATCH("Category",'Pass 2'!$1:$1,0),FALSE()),"")</f>
        <v/>
      </c>
      <c r="C326" s="1" t="str">
        <f aca="false">IFERROR(VLOOKUP(A326,'Pass 1 Archive'!$A:$AD,MATCH("LinkedIn Employee Count",'Pass 1 Archive'!$1:$1,0),FALSE()),"")</f>
        <v/>
      </c>
      <c r="D326" s="1" t="str">
        <f aca="false">IFERROR(VLOOKUP(A326,'Pass 2'!$A:$S,MATCH("Jan 2025 Traffic",'Pass 2'!$1:$1,0),FALSE()),"")</f>
        <v/>
      </c>
      <c r="E326" s="1" t="str">
        <f aca="false">IFERROR(VLOOKUP(A326,'Pass 2'!$A:$S,MATCH("Jun 2026 Traffic",'Pass 2'!$1:$1,0),FALSE()),"")</f>
        <v/>
      </c>
      <c r="F326" s="1" t="str">
        <f aca="false">IFERROR(VLOOKUP(A326,'Pass 2'!$A:$S,MATCH("Traffic % Change",'Pass 2'!$1:$1,0),FALSE()),"")</f>
        <v/>
      </c>
      <c r="G326" s="1" t="str">
        <f aca="false">IFERROR(VLOOKUP(A326,'Pass 2'!$A:$S,MATCH("Jan 2025 Referring Domains",'Pass 2'!$1:$1,0),FALSE()),"")</f>
        <v/>
      </c>
      <c r="H326" s="1" t="str">
        <f aca="false">IFERROR(VLOOKUP(A326,'Pass 2'!$A:$S,MATCH("Jun 2026 Referring Domains",'Pass 2'!$1:$1,0),FALSE()),"")</f>
        <v/>
      </c>
    </row>
    <row r="327" customFormat="false" ht="15" hidden="false" customHeight="true" outlineLevel="0" collapsed="false">
      <c r="B327" s="1" t="str">
        <f aca="false">IFERROR(VLOOKUP(A327,'Pass 2'!$A:$S,MATCH("Category",'Pass 2'!$1:$1,0),FALSE()),"")</f>
        <v/>
      </c>
      <c r="C327" s="1" t="str">
        <f aca="false">IFERROR(VLOOKUP(A327,'Pass 1 Archive'!$A:$AD,MATCH("LinkedIn Employee Count",'Pass 1 Archive'!$1:$1,0),FALSE()),"")</f>
        <v/>
      </c>
      <c r="D327" s="1" t="str">
        <f aca="false">IFERROR(VLOOKUP(A327,'Pass 2'!$A:$S,MATCH("Jan 2025 Traffic",'Pass 2'!$1:$1,0),FALSE()),"")</f>
        <v/>
      </c>
      <c r="E327" s="1" t="str">
        <f aca="false">IFERROR(VLOOKUP(A327,'Pass 2'!$A:$S,MATCH("Jun 2026 Traffic",'Pass 2'!$1:$1,0),FALSE()),"")</f>
        <v/>
      </c>
      <c r="F327" s="1" t="str">
        <f aca="false">IFERROR(VLOOKUP(A327,'Pass 2'!$A:$S,MATCH("Traffic % Change",'Pass 2'!$1:$1,0),FALSE()),"")</f>
        <v/>
      </c>
      <c r="G327" s="1" t="str">
        <f aca="false">IFERROR(VLOOKUP(A327,'Pass 2'!$A:$S,MATCH("Jan 2025 Referring Domains",'Pass 2'!$1:$1,0),FALSE()),"")</f>
        <v/>
      </c>
      <c r="H327" s="1" t="str">
        <f aca="false">IFERROR(VLOOKUP(A327,'Pass 2'!$A:$S,MATCH("Jun 2026 Referring Domains",'Pass 2'!$1:$1,0),FALSE()),"")</f>
        <v/>
      </c>
    </row>
    <row r="328" customFormat="false" ht="15" hidden="false" customHeight="true" outlineLevel="0" collapsed="false">
      <c r="B328" s="1" t="str">
        <f aca="false">IFERROR(VLOOKUP(A328,'Pass 2'!$A:$S,MATCH("Category",'Pass 2'!$1:$1,0),FALSE()),"")</f>
        <v/>
      </c>
      <c r="C328" s="1" t="str">
        <f aca="false">IFERROR(VLOOKUP(A328,'Pass 1 Archive'!$A:$AD,MATCH("LinkedIn Employee Count",'Pass 1 Archive'!$1:$1,0),FALSE()),"")</f>
        <v/>
      </c>
      <c r="D328" s="1" t="str">
        <f aca="false">IFERROR(VLOOKUP(A328,'Pass 2'!$A:$S,MATCH("Jan 2025 Traffic",'Pass 2'!$1:$1,0),FALSE()),"")</f>
        <v/>
      </c>
      <c r="E328" s="1" t="str">
        <f aca="false">IFERROR(VLOOKUP(A328,'Pass 2'!$A:$S,MATCH("Jun 2026 Traffic",'Pass 2'!$1:$1,0),FALSE()),"")</f>
        <v/>
      </c>
      <c r="F328" s="1" t="str">
        <f aca="false">IFERROR(VLOOKUP(A328,'Pass 2'!$A:$S,MATCH("Traffic % Change",'Pass 2'!$1:$1,0),FALSE()),"")</f>
        <v/>
      </c>
      <c r="G328" s="1" t="str">
        <f aca="false">IFERROR(VLOOKUP(A328,'Pass 2'!$A:$S,MATCH("Jan 2025 Referring Domains",'Pass 2'!$1:$1,0),FALSE()),"")</f>
        <v/>
      </c>
      <c r="H328" s="1" t="str">
        <f aca="false">IFERROR(VLOOKUP(A328,'Pass 2'!$A:$S,MATCH("Jun 2026 Referring Domains",'Pass 2'!$1:$1,0),FALSE()),"")</f>
        <v/>
      </c>
    </row>
    <row r="329" customFormat="false" ht="15" hidden="false" customHeight="true" outlineLevel="0" collapsed="false">
      <c r="B329" s="1" t="str">
        <f aca="false">IFERROR(VLOOKUP(A329,'Pass 2'!$A:$S,MATCH("Category",'Pass 2'!$1:$1,0),FALSE()),"")</f>
        <v/>
      </c>
      <c r="C329" s="1" t="str">
        <f aca="false">IFERROR(VLOOKUP(A329,'Pass 1 Archive'!$A:$AD,MATCH("LinkedIn Employee Count",'Pass 1 Archive'!$1:$1,0),FALSE()),"")</f>
        <v/>
      </c>
      <c r="D329" s="1" t="str">
        <f aca="false">IFERROR(VLOOKUP(A329,'Pass 2'!$A:$S,MATCH("Jan 2025 Traffic",'Pass 2'!$1:$1,0),FALSE()),"")</f>
        <v/>
      </c>
      <c r="E329" s="1" t="str">
        <f aca="false">IFERROR(VLOOKUP(A329,'Pass 2'!$A:$S,MATCH("Jun 2026 Traffic",'Pass 2'!$1:$1,0),FALSE()),"")</f>
        <v/>
      </c>
      <c r="F329" s="1" t="str">
        <f aca="false">IFERROR(VLOOKUP(A329,'Pass 2'!$A:$S,MATCH("Traffic % Change",'Pass 2'!$1:$1,0),FALSE()),"")</f>
        <v/>
      </c>
      <c r="G329" s="1" t="str">
        <f aca="false">IFERROR(VLOOKUP(A329,'Pass 2'!$A:$S,MATCH("Jan 2025 Referring Domains",'Pass 2'!$1:$1,0),FALSE()),"")</f>
        <v/>
      </c>
      <c r="H329" s="1" t="str">
        <f aca="false">IFERROR(VLOOKUP(A329,'Pass 2'!$A:$S,MATCH("Jun 2026 Referring Domains",'Pass 2'!$1:$1,0),FALSE()),"")</f>
        <v/>
      </c>
    </row>
    <row r="330" customFormat="false" ht="15" hidden="false" customHeight="true" outlineLevel="0" collapsed="false">
      <c r="B330" s="1" t="str">
        <f aca="false">IFERROR(VLOOKUP(A330,'Pass 2'!$A:$S,MATCH("Category",'Pass 2'!$1:$1,0),FALSE()),"")</f>
        <v/>
      </c>
      <c r="C330" s="1" t="str">
        <f aca="false">IFERROR(VLOOKUP(A330,'Pass 1 Archive'!$A:$AD,MATCH("LinkedIn Employee Count",'Pass 1 Archive'!$1:$1,0),FALSE()),"")</f>
        <v/>
      </c>
      <c r="D330" s="1" t="str">
        <f aca="false">IFERROR(VLOOKUP(A330,'Pass 2'!$A:$S,MATCH("Jan 2025 Traffic",'Pass 2'!$1:$1,0),FALSE()),"")</f>
        <v/>
      </c>
      <c r="E330" s="1" t="str">
        <f aca="false">IFERROR(VLOOKUP(A330,'Pass 2'!$A:$S,MATCH("Jun 2026 Traffic",'Pass 2'!$1:$1,0),FALSE()),"")</f>
        <v/>
      </c>
      <c r="F330" s="1" t="str">
        <f aca="false">IFERROR(VLOOKUP(A330,'Pass 2'!$A:$S,MATCH("Traffic % Change",'Pass 2'!$1:$1,0),FALSE()),"")</f>
        <v/>
      </c>
      <c r="G330" s="1" t="str">
        <f aca="false">IFERROR(VLOOKUP(A330,'Pass 2'!$A:$S,MATCH("Jan 2025 Referring Domains",'Pass 2'!$1:$1,0),FALSE()),"")</f>
        <v/>
      </c>
      <c r="H330" s="1" t="str">
        <f aca="false">IFERROR(VLOOKUP(A330,'Pass 2'!$A:$S,MATCH("Jun 2026 Referring Domains",'Pass 2'!$1:$1,0),FALSE()),"")</f>
        <v/>
      </c>
    </row>
    <row r="331" customFormat="false" ht="15" hidden="false" customHeight="true" outlineLevel="0" collapsed="false">
      <c r="B331" s="1" t="str">
        <f aca="false">IFERROR(VLOOKUP(A331,'Pass 2'!$A:$S,MATCH("Category",'Pass 2'!$1:$1,0),FALSE()),"")</f>
        <v/>
      </c>
      <c r="C331" s="1" t="str">
        <f aca="false">IFERROR(VLOOKUP(A331,'Pass 1 Archive'!$A:$AD,MATCH("LinkedIn Employee Count",'Pass 1 Archive'!$1:$1,0),FALSE()),"")</f>
        <v/>
      </c>
      <c r="D331" s="1" t="str">
        <f aca="false">IFERROR(VLOOKUP(A331,'Pass 2'!$A:$S,MATCH("Jan 2025 Traffic",'Pass 2'!$1:$1,0),FALSE()),"")</f>
        <v/>
      </c>
      <c r="E331" s="1" t="str">
        <f aca="false">IFERROR(VLOOKUP(A331,'Pass 2'!$A:$S,MATCH("Jun 2026 Traffic",'Pass 2'!$1:$1,0),FALSE()),"")</f>
        <v/>
      </c>
      <c r="F331" s="1" t="str">
        <f aca="false">IFERROR(VLOOKUP(A331,'Pass 2'!$A:$S,MATCH("Traffic % Change",'Pass 2'!$1:$1,0),FALSE()),"")</f>
        <v/>
      </c>
      <c r="G331" s="1" t="str">
        <f aca="false">IFERROR(VLOOKUP(A331,'Pass 2'!$A:$S,MATCH("Jan 2025 Referring Domains",'Pass 2'!$1:$1,0),FALSE()),"")</f>
        <v/>
      </c>
      <c r="H331" s="1" t="str">
        <f aca="false">IFERROR(VLOOKUP(A331,'Pass 2'!$A:$S,MATCH("Jun 2026 Referring Domains",'Pass 2'!$1:$1,0),FALSE()),"")</f>
        <v/>
      </c>
    </row>
    <row r="332" customFormat="false" ht="15" hidden="false" customHeight="true" outlineLevel="0" collapsed="false">
      <c r="B332" s="1" t="str">
        <f aca="false">IFERROR(VLOOKUP(A332,'Pass 2'!$A:$S,MATCH("Category",'Pass 2'!$1:$1,0),FALSE()),"")</f>
        <v/>
      </c>
      <c r="C332" s="1" t="str">
        <f aca="false">IFERROR(VLOOKUP(A332,'Pass 1 Archive'!$A:$AD,MATCH("LinkedIn Employee Count",'Pass 1 Archive'!$1:$1,0),FALSE()),"")</f>
        <v/>
      </c>
      <c r="D332" s="1" t="str">
        <f aca="false">IFERROR(VLOOKUP(A332,'Pass 2'!$A:$S,MATCH("Jan 2025 Traffic",'Pass 2'!$1:$1,0),FALSE()),"")</f>
        <v/>
      </c>
      <c r="E332" s="1" t="str">
        <f aca="false">IFERROR(VLOOKUP(A332,'Pass 2'!$A:$S,MATCH("Jun 2026 Traffic",'Pass 2'!$1:$1,0),FALSE()),"")</f>
        <v/>
      </c>
      <c r="F332" s="1" t="str">
        <f aca="false">IFERROR(VLOOKUP(A332,'Pass 2'!$A:$S,MATCH("Traffic % Change",'Pass 2'!$1:$1,0),FALSE()),"")</f>
        <v/>
      </c>
      <c r="G332" s="1" t="str">
        <f aca="false">IFERROR(VLOOKUP(A332,'Pass 2'!$A:$S,MATCH("Jan 2025 Referring Domains",'Pass 2'!$1:$1,0),FALSE()),"")</f>
        <v/>
      </c>
      <c r="H332" s="1" t="str">
        <f aca="false">IFERROR(VLOOKUP(A332,'Pass 2'!$A:$S,MATCH("Jun 2026 Referring Domains",'Pass 2'!$1:$1,0),FALSE()),"")</f>
        <v/>
      </c>
    </row>
    <row r="333" customFormat="false" ht="15" hidden="false" customHeight="true" outlineLevel="0" collapsed="false">
      <c r="B333" s="1" t="str">
        <f aca="false">IFERROR(VLOOKUP(A333,'Pass 2'!$A:$S,MATCH("Category",'Pass 2'!$1:$1,0),FALSE()),"")</f>
        <v/>
      </c>
      <c r="C333" s="1" t="str">
        <f aca="false">IFERROR(VLOOKUP(A333,'Pass 1 Archive'!$A:$AD,MATCH("LinkedIn Employee Count",'Pass 1 Archive'!$1:$1,0),FALSE()),"")</f>
        <v/>
      </c>
      <c r="D333" s="1" t="str">
        <f aca="false">IFERROR(VLOOKUP(A333,'Pass 2'!$A:$S,MATCH("Jan 2025 Traffic",'Pass 2'!$1:$1,0),FALSE()),"")</f>
        <v/>
      </c>
      <c r="E333" s="1" t="str">
        <f aca="false">IFERROR(VLOOKUP(A333,'Pass 2'!$A:$S,MATCH("Jun 2026 Traffic",'Pass 2'!$1:$1,0),FALSE()),"")</f>
        <v/>
      </c>
      <c r="F333" s="1" t="str">
        <f aca="false">IFERROR(VLOOKUP(A333,'Pass 2'!$A:$S,MATCH("Traffic % Change",'Pass 2'!$1:$1,0),FALSE()),"")</f>
        <v/>
      </c>
      <c r="G333" s="1" t="str">
        <f aca="false">IFERROR(VLOOKUP(A333,'Pass 2'!$A:$S,MATCH("Jan 2025 Referring Domains",'Pass 2'!$1:$1,0),FALSE()),"")</f>
        <v/>
      </c>
      <c r="H333" s="1" t="str">
        <f aca="false">IFERROR(VLOOKUP(A333,'Pass 2'!$A:$S,MATCH("Jun 2026 Referring Domains",'Pass 2'!$1:$1,0),FALSE()),"")</f>
        <v/>
      </c>
    </row>
    <row r="334" customFormat="false" ht="15" hidden="false" customHeight="true" outlineLevel="0" collapsed="false">
      <c r="B334" s="1" t="str">
        <f aca="false">IFERROR(VLOOKUP(A334,'Pass 2'!$A:$S,MATCH("Category",'Pass 2'!$1:$1,0),FALSE()),"")</f>
        <v/>
      </c>
      <c r="C334" s="1" t="str">
        <f aca="false">IFERROR(VLOOKUP(A334,'Pass 1 Archive'!$A:$AD,MATCH("LinkedIn Employee Count",'Pass 1 Archive'!$1:$1,0),FALSE()),"")</f>
        <v/>
      </c>
      <c r="D334" s="1" t="str">
        <f aca="false">IFERROR(VLOOKUP(A334,'Pass 2'!$A:$S,MATCH("Jan 2025 Traffic",'Pass 2'!$1:$1,0),FALSE()),"")</f>
        <v/>
      </c>
      <c r="E334" s="1" t="str">
        <f aca="false">IFERROR(VLOOKUP(A334,'Pass 2'!$A:$S,MATCH("Jun 2026 Traffic",'Pass 2'!$1:$1,0),FALSE()),"")</f>
        <v/>
      </c>
      <c r="F334" s="1" t="str">
        <f aca="false">IFERROR(VLOOKUP(A334,'Pass 2'!$A:$S,MATCH("Traffic % Change",'Pass 2'!$1:$1,0),FALSE()),"")</f>
        <v/>
      </c>
      <c r="G334" s="1" t="str">
        <f aca="false">IFERROR(VLOOKUP(A334,'Pass 2'!$A:$S,MATCH("Jan 2025 Referring Domains",'Pass 2'!$1:$1,0),FALSE()),"")</f>
        <v/>
      </c>
      <c r="H334" s="1" t="str">
        <f aca="false">IFERROR(VLOOKUP(A334,'Pass 2'!$A:$S,MATCH("Jun 2026 Referring Domains",'Pass 2'!$1:$1,0),FALSE()),"")</f>
        <v/>
      </c>
    </row>
    <row r="335" customFormat="false" ht="15" hidden="false" customHeight="true" outlineLevel="0" collapsed="false">
      <c r="B335" s="1" t="str">
        <f aca="false">IFERROR(VLOOKUP(A335,'Pass 2'!$A:$S,MATCH("Category",'Pass 2'!$1:$1,0),FALSE()),"")</f>
        <v/>
      </c>
      <c r="C335" s="1" t="str">
        <f aca="false">IFERROR(VLOOKUP(A335,'Pass 1 Archive'!$A:$AD,MATCH("LinkedIn Employee Count",'Pass 1 Archive'!$1:$1,0),FALSE()),"")</f>
        <v/>
      </c>
      <c r="D335" s="1" t="str">
        <f aca="false">IFERROR(VLOOKUP(A335,'Pass 2'!$A:$S,MATCH("Jan 2025 Traffic",'Pass 2'!$1:$1,0),FALSE()),"")</f>
        <v/>
      </c>
      <c r="E335" s="1" t="str">
        <f aca="false">IFERROR(VLOOKUP(A335,'Pass 2'!$A:$S,MATCH("Jun 2026 Traffic",'Pass 2'!$1:$1,0),FALSE()),"")</f>
        <v/>
      </c>
      <c r="F335" s="1" t="str">
        <f aca="false">IFERROR(VLOOKUP(A335,'Pass 2'!$A:$S,MATCH("Traffic % Change",'Pass 2'!$1:$1,0),FALSE()),"")</f>
        <v/>
      </c>
      <c r="G335" s="1" t="str">
        <f aca="false">IFERROR(VLOOKUP(A335,'Pass 2'!$A:$S,MATCH("Jan 2025 Referring Domains",'Pass 2'!$1:$1,0),FALSE()),"")</f>
        <v/>
      </c>
      <c r="H335" s="1" t="str">
        <f aca="false">IFERROR(VLOOKUP(A335,'Pass 2'!$A:$S,MATCH("Jun 2026 Referring Domains",'Pass 2'!$1:$1,0),FALSE()),"")</f>
        <v/>
      </c>
    </row>
    <row r="336" customFormat="false" ht="15" hidden="false" customHeight="true" outlineLevel="0" collapsed="false">
      <c r="B336" s="1" t="str">
        <f aca="false">IFERROR(VLOOKUP(A336,'Pass 2'!$A:$S,MATCH("Category",'Pass 2'!$1:$1,0),FALSE()),"")</f>
        <v/>
      </c>
      <c r="C336" s="1" t="str">
        <f aca="false">IFERROR(VLOOKUP(A336,'Pass 1 Archive'!$A:$AD,MATCH("LinkedIn Employee Count",'Pass 1 Archive'!$1:$1,0),FALSE()),"")</f>
        <v/>
      </c>
      <c r="D336" s="1" t="str">
        <f aca="false">IFERROR(VLOOKUP(A336,'Pass 2'!$A:$S,MATCH("Jan 2025 Traffic",'Pass 2'!$1:$1,0),FALSE()),"")</f>
        <v/>
      </c>
      <c r="E336" s="1" t="str">
        <f aca="false">IFERROR(VLOOKUP(A336,'Pass 2'!$A:$S,MATCH("Jun 2026 Traffic",'Pass 2'!$1:$1,0),FALSE()),"")</f>
        <v/>
      </c>
      <c r="F336" s="1" t="str">
        <f aca="false">IFERROR(VLOOKUP(A336,'Pass 2'!$A:$S,MATCH("Traffic % Change",'Pass 2'!$1:$1,0),FALSE()),"")</f>
        <v/>
      </c>
      <c r="G336" s="1" t="str">
        <f aca="false">IFERROR(VLOOKUP(A336,'Pass 2'!$A:$S,MATCH("Jan 2025 Referring Domains",'Pass 2'!$1:$1,0),FALSE()),"")</f>
        <v/>
      </c>
      <c r="H336" s="1" t="str">
        <f aca="false">IFERROR(VLOOKUP(A336,'Pass 2'!$A:$S,MATCH("Jun 2026 Referring Domains",'Pass 2'!$1:$1,0),FALSE()),"")</f>
        <v/>
      </c>
    </row>
    <row r="337" customFormat="false" ht="15" hidden="false" customHeight="true" outlineLevel="0" collapsed="false">
      <c r="B337" s="1" t="str">
        <f aca="false">IFERROR(VLOOKUP(A337,'Pass 2'!$A:$S,MATCH("Category",'Pass 2'!$1:$1,0),FALSE()),"")</f>
        <v/>
      </c>
      <c r="C337" s="1" t="str">
        <f aca="false">IFERROR(VLOOKUP(A337,'Pass 1 Archive'!$A:$AD,MATCH("LinkedIn Employee Count",'Pass 1 Archive'!$1:$1,0),FALSE()),"")</f>
        <v/>
      </c>
      <c r="D337" s="1" t="str">
        <f aca="false">IFERROR(VLOOKUP(A337,'Pass 2'!$A:$S,MATCH("Jan 2025 Traffic",'Pass 2'!$1:$1,0),FALSE()),"")</f>
        <v/>
      </c>
      <c r="E337" s="1" t="str">
        <f aca="false">IFERROR(VLOOKUP(A337,'Pass 2'!$A:$S,MATCH("Jun 2026 Traffic",'Pass 2'!$1:$1,0),FALSE()),"")</f>
        <v/>
      </c>
      <c r="F337" s="1" t="str">
        <f aca="false">IFERROR(VLOOKUP(A337,'Pass 2'!$A:$S,MATCH("Traffic % Change",'Pass 2'!$1:$1,0),FALSE()),"")</f>
        <v/>
      </c>
      <c r="G337" s="1" t="str">
        <f aca="false">IFERROR(VLOOKUP(A337,'Pass 2'!$A:$S,MATCH("Jan 2025 Referring Domains",'Pass 2'!$1:$1,0),FALSE()),"")</f>
        <v/>
      </c>
      <c r="H337" s="1" t="str">
        <f aca="false">IFERROR(VLOOKUP(A337,'Pass 2'!$A:$S,MATCH("Jun 2026 Referring Domains",'Pass 2'!$1:$1,0),FALSE()),"")</f>
        <v/>
      </c>
    </row>
    <row r="338" customFormat="false" ht="15" hidden="false" customHeight="true" outlineLevel="0" collapsed="false">
      <c r="B338" s="1" t="str">
        <f aca="false">IFERROR(VLOOKUP(A338,'Pass 2'!$A:$S,MATCH("Category",'Pass 2'!$1:$1,0),FALSE()),"")</f>
        <v/>
      </c>
      <c r="C338" s="1" t="str">
        <f aca="false">IFERROR(VLOOKUP(A338,'Pass 1 Archive'!$A:$AD,MATCH("LinkedIn Employee Count",'Pass 1 Archive'!$1:$1,0),FALSE()),"")</f>
        <v/>
      </c>
      <c r="D338" s="1" t="str">
        <f aca="false">IFERROR(VLOOKUP(A338,'Pass 2'!$A:$S,MATCH("Jan 2025 Traffic",'Pass 2'!$1:$1,0),FALSE()),"")</f>
        <v/>
      </c>
      <c r="E338" s="1" t="str">
        <f aca="false">IFERROR(VLOOKUP(A338,'Pass 2'!$A:$S,MATCH("Jun 2026 Traffic",'Pass 2'!$1:$1,0),FALSE()),"")</f>
        <v/>
      </c>
      <c r="F338" s="1" t="str">
        <f aca="false">IFERROR(VLOOKUP(A338,'Pass 2'!$A:$S,MATCH("Traffic % Change",'Pass 2'!$1:$1,0),FALSE()),"")</f>
        <v/>
      </c>
      <c r="G338" s="1" t="str">
        <f aca="false">IFERROR(VLOOKUP(A338,'Pass 2'!$A:$S,MATCH("Jan 2025 Referring Domains",'Pass 2'!$1:$1,0),FALSE()),"")</f>
        <v/>
      </c>
      <c r="H338" s="1" t="str">
        <f aca="false">IFERROR(VLOOKUP(A338,'Pass 2'!$A:$S,MATCH("Jun 2026 Referring Domains",'Pass 2'!$1:$1,0),FALSE()),"")</f>
        <v/>
      </c>
    </row>
    <row r="339" customFormat="false" ht="15" hidden="false" customHeight="true" outlineLevel="0" collapsed="false">
      <c r="B339" s="1" t="str">
        <f aca="false">IFERROR(VLOOKUP(A339,'Pass 2'!$A:$S,MATCH("Category",'Pass 2'!$1:$1,0),FALSE()),"")</f>
        <v/>
      </c>
      <c r="C339" s="1" t="str">
        <f aca="false">IFERROR(VLOOKUP(A339,'Pass 1 Archive'!$A:$AD,MATCH("LinkedIn Employee Count",'Pass 1 Archive'!$1:$1,0),FALSE()),"")</f>
        <v/>
      </c>
      <c r="D339" s="1" t="str">
        <f aca="false">IFERROR(VLOOKUP(A339,'Pass 2'!$A:$S,MATCH("Jan 2025 Traffic",'Pass 2'!$1:$1,0),FALSE()),"")</f>
        <v/>
      </c>
      <c r="E339" s="1" t="str">
        <f aca="false">IFERROR(VLOOKUP(A339,'Pass 2'!$A:$S,MATCH("Jun 2026 Traffic",'Pass 2'!$1:$1,0),FALSE()),"")</f>
        <v/>
      </c>
      <c r="F339" s="1" t="str">
        <f aca="false">IFERROR(VLOOKUP(A339,'Pass 2'!$A:$S,MATCH("Traffic % Change",'Pass 2'!$1:$1,0),FALSE()),"")</f>
        <v/>
      </c>
      <c r="G339" s="1" t="str">
        <f aca="false">IFERROR(VLOOKUP(A339,'Pass 2'!$A:$S,MATCH("Jan 2025 Referring Domains",'Pass 2'!$1:$1,0),FALSE()),"")</f>
        <v/>
      </c>
      <c r="H339" s="1" t="str">
        <f aca="false">IFERROR(VLOOKUP(A339,'Pass 2'!$A:$S,MATCH("Jun 2026 Referring Domains",'Pass 2'!$1:$1,0),FALSE()),"")</f>
        <v/>
      </c>
    </row>
    <row r="340" customFormat="false" ht="15" hidden="false" customHeight="true" outlineLevel="0" collapsed="false">
      <c r="B340" s="1" t="str">
        <f aca="false">IFERROR(VLOOKUP(A340,'Pass 2'!$A:$S,MATCH("Category",'Pass 2'!$1:$1,0),FALSE()),"")</f>
        <v/>
      </c>
      <c r="C340" s="1" t="str">
        <f aca="false">IFERROR(VLOOKUP(A340,'Pass 1 Archive'!$A:$AD,MATCH("LinkedIn Employee Count",'Pass 1 Archive'!$1:$1,0),FALSE()),"")</f>
        <v/>
      </c>
      <c r="D340" s="1" t="str">
        <f aca="false">IFERROR(VLOOKUP(A340,'Pass 2'!$A:$S,MATCH("Jan 2025 Traffic",'Pass 2'!$1:$1,0),FALSE()),"")</f>
        <v/>
      </c>
      <c r="E340" s="1" t="str">
        <f aca="false">IFERROR(VLOOKUP(A340,'Pass 2'!$A:$S,MATCH("Jun 2026 Traffic",'Pass 2'!$1:$1,0),FALSE()),"")</f>
        <v/>
      </c>
      <c r="F340" s="1" t="str">
        <f aca="false">IFERROR(VLOOKUP(A340,'Pass 2'!$A:$S,MATCH("Traffic % Change",'Pass 2'!$1:$1,0),FALSE()),"")</f>
        <v/>
      </c>
      <c r="G340" s="1" t="str">
        <f aca="false">IFERROR(VLOOKUP(A340,'Pass 2'!$A:$S,MATCH("Jan 2025 Referring Domains",'Pass 2'!$1:$1,0),FALSE()),"")</f>
        <v/>
      </c>
      <c r="H340" s="1" t="str">
        <f aca="false">IFERROR(VLOOKUP(A340,'Pass 2'!$A:$S,MATCH("Jun 2026 Referring Domains",'Pass 2'!$1:$1,0),FALSE()),"")</f>
        <v/>
      </c>
    </row>
    <row r="341" customFormat="false" ht="15" hidden="false" customHeight="true" outlineLevel="0" collapsed="false">
      <c r="B341" s="1" t="str">
        <f aca="false">IFERROR(VLOOKUP(A341,'Pass 2'!$A:$S,MATCH("Category",'Pass 2'!$1:$1,0),FALSE()),"")</f>
        <v/>
      </c>
      <c r="C341" s="1" t="str">
        <f aca="false">IFERROR(VLOOKUP(A341,'Pass 1 Archive'!$A:$AD,MATCH("LinkedIn Employee Count",'Pass 1 Archive'!$1:$1,0),FALSE()),"")</f>
        <v/>
      </c>
      <c r="D341" s="1" t="str">
        <f aca="false">IFERROR(VLOOKUP(A341,'Pass 2'!$A:$S,MATCH("Jan 2025 Traffic",'Pass 2'!$1:$1,0),FALSE()),"")</f>
        <v/>
      </c>
      <c r="E341" s="1" t="str">
        <f aca="false">IFERROR(VLOOKUP(A341,'Pass 2'!$A:$S,MATCH("Jun 2026 Traffic",'Pass 2'!$1:$1,0),FALSE()),"")</f>
        <v/>
      </c>
      <c r="F341" s="1" t="str">
        <f aca="false">IFERROR(VLOOKUP(A341,'Pass 2'!$A:$S,MATCH("Traffic % Change",'Pass 2'!$1:$1,0),FALSE()),"")</f>
        <v/>
      </c>
      <c r="G341" s="1" t="str">
        <f aca="false">IFERROR(VLOOKUP(A341,'Pass 2'!$A:$S,MATCH("Jan 2025 Referring Domains",'Pass 2'!$1:$1,0),FALSE()),"")</f>
        <v/>
      </c>
      <c r="H341" s="1" t="str">
        <f aca="false">IFERROR(VLOOKUP(A341,'Pass 2'!$A:$S,MATCH("Jun 2026 Referring Domains",'Pass 2'!$1:$1,0),FALSE()),"")</f>
        <v/>
      </c>
    </row>
    <row r="342" customFormat="false" ht="15" hidden="false" customHeight="true" outlineLevel="0" collapsed="false">
      <c r="B342" s="1" t="str">
        <f aca="false">IFERROR(VLOOKUP(A342,'Pass 2'!$A:$S,MATCH("Category",'Pass 2'!$1:$1,0),FALSE()),"")</f>
        <v/>
      </c>
      <c r="C342" s="1" t="str">
        <f aca="false">IFERROR(VLOOKUP(A342,'Pass 1 Archive'!$A:$AD,MATCH("LinkedIn Employee Count",'Pass 1 Archive'!$1:$1,0),FALSE()),"")</f>
        <v/>
      </c>
      <c r="D342" s="1" t="str">
        <f aca="false">IFERROR(VLOOKUP(A342,'Pass 2'!$A:$S,MATCH("Jan 2025 Traffic",'Pass 2'!$1:$1,0),FALSE()),"")</f>
        <v/>
      </c>
      <c r="E342" s="1" t="str">
        <f aca="false">IFERROR(VLOOKUP(A342,'Pass 2'!$A:$S,MATCH("Jun 2026 Traffic",'Pass 2'!$1:$1,0),FALSE()),"")</f>
        <v/>
      </c>
      <c r="F342" s="1" t="str">
        <f aca="false">IFERROR(VLOOKUP(A342,'Pass 2'!$A:$S,MATCH("Traffic % Change",'Pass 2'!$1:$1,0),FALSE()),"")</f>
        <v/>
      </c>
      <c r="G342" s="1" t="str">
        <f aca="false">IFERROR(VLOOKUP(A342,'Pass 2'!$A:$S,MATCH("Jan 2025 Referring Domains",'Pass 2'!$1:$1,0),FALSE()),"")</f>
        <v/>
      </c>
      <c r="H342" s="1" t="str">
        <f aca="false">IFERROR(VLOOKUP(A342,'Pass 2'!$A:$S,MATCH("Jun 2026 Referring Domains",'Pass 2'!$1:$1,0),FALSE()),"")</f>
        <v/>
      </c>
    </row>
    <row r="343" customFormat="false" ht="15" hidden="false" customHeight="true" outlineLevel="0" collapsed="false">
      <c r="B343" s="1" t="str">
        <f aca="false">IFERROR(VLOOKUP(A343,'Pass 2'!$A:$S,MATCH("Category",'Pass 2'!$1:$1,0),FALSE()),"")</f>
        <v/>
      </c>
      <c r="C343" s="1" t="str">
        <f aca="false">IFERROR(VLOOKUP(A343,'Pass 1 Archive'!$A:$AD,MATCH("LinkedIn Employee Count",'Pass 1 Archive'!$1:$1,0),FALSE()),"")</f>
        <v/>
      </c>
      <c r="D343" s="1" t="str">
        <f aca="false">IFERROR(VLOOKUP(A343,'Pass 2'!$A:$S,MATCH("Jan 2025 Traffic",'Pass 2'!$1:$1,0),FALSE()),"")</f>
        <v/>
      </c>
      <c r="E343" s="1" t="str">
        <f aca="false">IFERROR(VLOOKUP(A343,'Pass 2'!$A:$S,MATCH("Jun 2026 Traffic",'Pass 2'!$1:$1,0),FALSE()),"")</f>
        <v/>
      </c>
      <c r="F343" s="1" t="str">
        <f aca="false">IFERROR(VLOOKUP(A343,'Pass 2'!$A:$S,MATCH("Traffic % Change",'Pass 2'!$1:$1,0),FALSE()),"")</f>
        <v/>
      </c>
      <c r="G343" s="1" t="str">
        <f aca="false">IFERROR(VLOOKUP(A343,'Pass 2'!$A:$S,MATCH("Jan 2025 Referring Domains",'Pass 2'!$1:$1,0),FALSE()),"")</f>
        <v/>
      </c>
      <c r="H343" s="1" t="str">
        <f aca="false">IFERROR(VLOOKUP(A343,'Pass 2'!$A:$S,MATCH("Jun 2026 Referring Domains",'Pass 2'!$1:$1,0),FALSE()),"")</f>
        <v/>
      </c>
    </row>
    <row r="344" customFormat="false" ht="15" hidden="false" customHeight="true" outlineLevel="0" collapsed="false">
      <c r="B344" s="1" t="str">
        <f aca="false">IFERROR(VLOOKUP(A344,'Pass 2'!$A:$S,MATCH("Category",'Pass 2'!$1:$1,0),FALSE()),"")</f>
        <v/>
      </c>
      <c r="C344" s="1" t="str">
        <f aca="false">IFERROR(VLOOKUP(A344,'Pass 1 Archive'!$A:$AD,MATCH("LinkedIn Employee Count",'Pass 1 Archive'!$1:$1,0),FALSE()),"")</f>
        <v/>
      </c>
      <c r="D344" s="1" t="str">
        <f aca="false">IFERROR(VLOOKUP(A344,'Pass 2'!$A:$S,MATCH("Jan 2025 Traffic",'Pass 2'!$1:$1,0),FALSE()),"")</f>
        <v/>
      </c>
      <c r="E344" s="1" t="str">
        <f aca="false">IFERROR(VLOOKUP(A344,'Pass 2'!$A:$S,MATCH("Jun 2026 Traffic",'Pass 2'!$1:$1,0),FALSE()),"")</f>
        <v/>
      </c>
      <c r="F344" s="1" t="str">
        <f aca="false">IFERROR(VLOOKUP(A344,'Pass 2'!$A:$S,MATCH("Traffic % Change",'Pass 2'!$1:$1,0),FALSE()),"")</f>
        <v/>
      </c>
      <c r="G344" s="1" t="str">
        <f aca="false">IFERROR(VLOOKUP(A344,'Pass 2'!$A:$S,MATCH("Jan 2025 Referring Domains",'Pass 2'!$1:$1,0),FALSE()),"")</f>
        <v/>
      </c>
      <c r="H344" s="1" t="str">
        <f aca="false">IFERROR(VLOOKUP(A344,'Pass 2'!$A:$S,MATCH("Jun 2026 Referring Domains",'Pass 2'!$1:$1,0),FALSE()),"")</f>
        <v/>
      </c>
    </row>
    <row r="345" customFormat="false" ht="15" hidden="false" customHeight="true" outlineLevel="0" collapsed="false">
      <c r="B345" s="1" t="str">
        <f aca="false">IFERROR(VLOOKUP(A345,'Pass 2'!$A:$S,MATCH("Category",'Pass 2'!$1:$1,0),FALSE()),"")</f>
        <v/>
      </c>
      <c r="C345" s="1" t="str">
        <f aca="false">IFERROR(VLOOKUP(A345,'Pass 1 Archive'!$A:$AD,MATCH("LinkedIn Employee Count",'Pass 1 Archive'!$1:$1,0),FALSE()),"")</f>
        <v/>
      </c>
      <c r="D345" s="1" t="str">
        <f aca="false">IFERROR(VLOOKUP(A345,'Pass 2'!$A:$S,MATCH("Jan 2025 Traffic",'Pass 2'!$1:$1,0),FALSE()),"")</f>
        <v/>
      </c>
      <c r="E345" s="1" t="str">
        <f aca="false">IFERROR(VLOOKUP(A345,'Pass 2'!$A:$S,MATCH("Jun 2026 Traffic",'Pass 2'!$1:$1,0),FALSE()),"")</f>
        <v/>
      </c>
      <c r="F345" s="1" t="str">
        <f aca="false">IFERROR(VLOOKUP(A345,'Pass 2'!$A:$S,MATCH("Traffic % Change",'Pass 2'!$1:$1,0),FALSE()),"")</f>
        <v/>
      </c>
      <c r="G345" s="1" t="str">
        <f aca="false">IFERROR(VLOOKUP(A345,'Pass 2'!$A:$S,MATCH("Jan 2025 Referring Domains",'Pass 2'!$1:$1,0),FALSE()),"")</f>
        <v/>
      </c>
      <c r="H345" s="1" t="str">
        <f aca="false">IFERROR(VLOOKUP(A345,'Pass 2'!$A:$S,MATCH("Jun 2026 Referring Domains",'Pass 2'!$1:$1,0),FALSE()),"")</f>
        <v/>
      </c>
    </row>
    <row r="346" customFormat="false" ht="15" hidden="false" customHeight="true" outlineLevel="0" collapsed="false">
      <c r="B346" s="1" t="str">
        <f aca="false">IFERROR(VLOOKUP(A346,'Pass 2'!$A:$S,MATCH("Category",'Pass 2'!$1:$1,0),FALSE()),"")</f>
        <v/>
      </c>
      <c r="C346" s="1" t="str">
        <f aca="false">IFERROR(VLOOKUP(A346,'Pass 1 Archive'!$A:$AD,MATCH("LinkedIn Employee Count",'Pass 1 Archive'!$1:$1,0),FALSE()),"")</f>
        <v/>
      </c>
      <c r="D346" s="1" t="str">
        <f aca="false">IFERROR(VLOOKUP(A346,'Pass 2'!$A:$S,MATCH("Jan 2025 Traffic",'Pass 2'!$1:$1,0),FALSE()),"")</f>
        <v/>
      </c>
      <c r="E346" s="1" t="str">
        <f aca="false">IFERROR(VLOOKUP(A346,'Pass 2'!$A:$S,MATCH("Jun 2026 Traffic",'Pass 2'!$1:$1,0),FALSE()),"")</f>
        <v/>
      </c>
      <c r="F346" s="1" t="str">
        <f aca="false">IFERROR(VLOOKUP(A346,'Pass 2'!$A:$S,MATCH("Traffic % Change",'Pass 2'!$1:$1,0),FALSE()),"")</f>
        <v/>
      </c>
      <c r="G346" s="1" t="str">
        <f aca="false">IFERROR(VLOOKUP(A346,'Pass 2'!$A:$S,MATCH("Jan 2025 Referring Domains",'Pass 2'!$1:$1,0),FALSE()),"")</f>
        <v/>
      </c>
      <c r="H346" s="1" t="str">
        <f aca="false">IFERROR(VLOOKUP(A346,'Pass 2'!$A:$S,MATCH("Jun 2026 Referring Domains",'Pass 2'!$1:$1,0),FALSE()),"")</f>
        <v/>
      </c>
    </row>
    <row r="347" customFormat="false" ht="15" hidden="false" customHeight="true" outlineLevel="0" collapsed="false">
      <c r="B347" s="1" t="str">
        <f aca="false">IFERROR(VLOOKUP(A347,'Pass 2'!$A:$S,MATCH("Category",'Pass 2'!$1:$1,0),FALSE()),"")</f>
        <v/>
      </c>
      <c r="C347" s="1" t="str">
        <f aca="false">IFERROR(VLOOKUP(A347,'Pass 1 Archive'!$A:$AD,MATCH("LinkedIn Employee Count",'Pass 1 Archive'!$1:$1,0),FALSE()),"")</f>
        <v/>
      </c>
      <c r="D347" s="1" t="str">
        <f aca="false">IFERROR(VLOOKUP(A347,'Pass 2'!$A:$S,MATCH("Jan 2025 Traffic",'Pass 2'!$1:$1,0),FALSE()),"")</f>
        <v/>
      </c>
      <c r="E347" s="1" t="str">
        <f aca="false">IFERROR(VLOOKUP(A347,'Pass 2'!$A:$S,MATCH("Jun 2026 Traffic",'Pass 2'!$1:$1,0),FALSE()),"")</f>
        <v/>
      </c>
      <c r="F347" s="1" t="str">
        <f aca="false">IFERROR(VLOOKUP(A347,'Pass 2'!$A:$S,MATCH("Traffic % Change",'Pass 2'!$1:$1,0),FALSE()),"")</f>
        <v/>
      </c>
      <c r="G347" s="1" t="str">
        <f aca="false">IFERROR(VLOOKUP(A347,'Pass 2'!$A:$S,MATCH("Jan 2025 Referring Domains",'Pass 2'!$1:$1,0),FALSE()),"")</f>
        <v/>
      </c>
      <c r="H347" s="1" t="str">
        <f aca="false">IFERROR(VLOOKUP(A347,'Pass 2'!$A:$S,MATCH("Jun 2026 Referring Domains",'Pass 2'!$1:$1,0),FALSE()),"")</f>
        <v/>
      </c>
    </row>
    <row r="348" customFormat="false" ht="15" hidden="false" customHeight="true" outlineLevel="0" collapsed="false">
      <c r="B348" s="1" t="str">
        <f aca="false">IFERROR(VLOOKUP(A348,'Pass 2'!$A:$S,MATCH("Category",'Pass 2'!$1:$1,0),FALSE()),"")</f>
        <v/>
      </c>
      <c r="C348" s="1" t="str">
        <f aca="false">IFERROR(VLOOKUP(A348,'Pass 1 Archive'!$A:$AD,MATCH("LinkedIn Employee Count",'Pass 1 Archive'!$1:$1,0),FALSE()),"")</f>
        <v/>
      </c>
      <c r="D348" s="1" t="str">
        <f aca="false">IFERROR(VLOOKUP(A348,'Pass 2'!$A:$S,MATCH("Jan 2025 Traffic",'Pass 2'!$1:$1,0),FALSE()),"")</f>
        <v/>
      </c>
      <c r="E348" s="1" t="str">
        <f aca="false">IFERROR(VLOOKUP(A348,'Pass 2'!$A:$S,MATCH("Jun 2026 Traffic",'Pass 2'!$1:$1,0),FALSE()),"")</f>
        <v/>
      </c>
      <c r="F348" s="1" t="str">
        <f aca="false">IFERROR(VLOOKUP(A348,'Pass 2'!$A:$S,MATCH("Traffic % Change",'Pass 2'!$1:$1,0),FALSE()),"")</f>
        <v/>
      </c>
      <c r="G348" s="1" t="str">
        <f aca="false">IFERROR(VLOOKUP(A348,'Pass 2'!$A:$S,MATCH("Jan 2025 Referring Domains",'Pass 2'!$1:$1,0),FALSE()),"")</f>
        <v/>
      </c>
      <c r="H348" s="1" t="str">
        <f aca="false">IFERROR(VLOOKUP(A348,'Pass 2'!$A:$S,MATCH("Jun 2026 Referring Domains",'Pass 2'!$1:$1,0),FALSE()),"")</f>
        <v/>
      </c>
    </row>
    <row r="349" customFormat="false" ht="15" hidden="false" customHeight="true" outlineLevel="0" collapsed="false">
      <c r="B349" s="1" t="str">
        <f aca="false">IFERROR(VLOOKUP(A349,'Pass 2'!$A:$S,MATCH("Category",'Pass 2'!$1:$1,0),FALSE()),"")</f>
        <v/>
      </c>
      <c r="C349" s="1" t="str">
        <f aca="false">IFERROR(VLOOKUP(A349,'Pass 1 Archive'!$A:$AD,MATCH("LinkedIn Employee Count",'Pass 1 Archive'!$1:$1,0),FALSE()),"")</f>
        <v/>
      </c>
      <c r="D349" s="1" t="str">
        <f aca="false">IFERROR(VLOOKUP(A349,'Pass 2'!$A:$S,MATCH("Jan 2025 Traffic",'Pass 2'!$1:$1,0),FALSE()),"")</f>
        <v/>
      </c>
      <c r="E349" s="1" t="str">
        <f aca="false">IFERROR(VLOOKUP(A349,'Pass 2'!$A:$S,MATCH("Jun 2026 Traffic",'Pass 2'!$1:$1,0),FALSE()),"")</f>
        <v/>
      </c>
      <c r="F349" s="1" t="str">
        <f aca="false">IFERROR(VLOOKUP(A349,'Pass 2'!$A:$S,MATCH("Traffic % Change",'Pass 2'!$1:$1,0),FALSE()),"")</f>
        <v/>
      </c>
      <c r="G349" s="1" t="str">
        <f aca="false">IFERROR(VLOOKUP(A349,'Pass 2'!$A:$S,MATCH("Jan 2025 Referring Domains",'Pass 2'!$1:$1,0),FALSE()),"")</f>
        <v/>
      </c>
      <c r="H349" s="1" t="str">
        <f aca="false">IFERROR(VLOOKUP(A349,'Pass 2'!$A:$S,MATCH("Jun 2026 Referring Domains",'Pass 2'!$1:$1,0),FALSE()),"")</f>
        <v/>
      </c>
    </row>
    <row r="350" customFormat="false" ht="15" hidden="false" customHeight="true" outlineLevel="0" collapsed="false">
      <c r="B350" s="1" t="str">
        <f aca="false">IFERROR(VLOOKUP(A350,'Pass 2'!$A:$S,MATCH("Category",'Pass 2'!$1:$1,0),FALSE()),"")</f>
        <v/>
      </c>
      <c r="C350" s="1" t="str">
        <f aca="false">IFERROR(VLOOKUP(A350,'Pass 1 Archive'!$A:$AD,MATCH("LinkedIn Employee Count",'Pass 1 Archive'!$1:$1,0),FALSE()),"")</f>
        <v/>
      </c>
      <c r="D350" s="1" t="str">
        <f aca="false">IFERROR(VLOOKUP(A350,'Pass 2'!$A:$S,MATCH("Jan 2025 Traffic",'Pass 2'!$1:$1,0),FALSE()),"")</f>
        <v/>
      </c>
      <c r="E350" s="1" t="str">
        <f aca="false">IFERROR(VLOOKUP(A350,'Pass 2'!$A:$S,MATCH("Jun 2026 Traffic",'Pass 2'!$1:$1,0),FALSE()),"")</f>
        <v/>
      </c>
      <c r="F350" s="1" t="str">
        <f aca="false">IFERROR(VLOOKUP(A350,'Pass 2'!$A:$S,MATCH("Traffic % Change",'Pass 2'!$1:$1,0),FALSE()),"")</f>
        <v/>
      </c>
      <c r="G350" s="1" t="str">
        <f aca="false">IFERROR(VLOOKUP(A350,'Pass 2'!$A:$S,MATCH("Jan 2025 Referring Domains",'Pass 2'!$1:$1,0),FALSE()),"")</f>
        <v/>
      </c>
      <c r="H350" s="1" t="str">
        <f aca="false">IFERROR(VLOOKUP(A350,'Pass 2'!$A:$S,MATCH("Jun 2026 Referring Domains",'Pass 2'!$1:$1,0),FALSE()),"")</f>
        <v/>
      </c>
    </row>
    <row r="351" customFormat="false" ht="15" hidden="false" customHeight="true" outlineLevel="0" collapsed="false">
      <c r="B351" s="1" t="str">
        <f aca="false">IFERROR(VLOOKUP(A351,'Pass 2'!$A:$S,MATCH("Category",'Pass 2'!$1:$1,0),FALSE()),"")</f>
        <v/>
      </c>
      <c r="C351" s="1" t="str">
        <f aca="false">IFERROR(VLOOKUP(A351,'Pass 1 Archive'!$A:$AD,MATCH("LinkedIn Employee Count",'Pass 1 Archive'!$1:$1,0),FALSE()),"")</f>
        <v/>
      </c>
      <c r="D351" s="1" t="str">
        <f aca="false">IFERROR(VLOOKUP(A351,'Pass 2'!$A:$S,MATCH("Jan 2025 Traffic",'Pass 2'!$1:$1,0),FALSE()),"")</f>
        <v/>
      </c>
      <c r="E351" s="1" t="str">
        <f aca="false">IFERROR(VLOOKUP(A351,'Pass 2'!$A:$S,MATCH("Jun 2026 Traffic",'Pass 2'!$1:$1,0),FALSE()),"")</f>
        <v/>
      </c>
      <c r="F351" s="1" t="str">
        <f aca="false">IFERROR(VLOOKUP(A351,'Pass 2'!$A:$S,MATCH("Traffic % Change",'Pass 2'!$1:$1,0),FALSE()),"")</f>
        <v/>
      </c>
      <c r="G351" s="1" t="str">
        <f aca="false">IFERROR(VLOOKUP(A351,'Pass 2'!$A:$S,MATCH("Jan 2025 Referring Domains",'Pass 2'!$1:$1,0),FALSE()),"")</f>
        <v/>
      </c>
      <c r="H351" s="1" t="str">
        <f aca="false">IFERROR(VLOOKUP(A351,'Pass 2'!$A:$S,MATCH("Jun 2026 Referring Domains",'Pass 2'!$1:$1,0),FALSE()),"")</f>
        <v/>
      </c>
    </row>
    <row r="352" customFormat="false" ht="15" hidden="false" customHeight="true" outlineLevel="0" collapsed="false">
      <c r="B352" s="1" t="str">
        <f aca="false">IFERROR(VLOOKUP(A352,'Pass 2'!$A:$S,MATCH("Category",'Pass 2'!$1:$1,0),FALSE()),"")</f>
        <v/>
      </c>
      <c r="C352" s="1" t="str">
        <f aca="false">IFERROR(VLOOKUP(A352,'Pass 1 Archive'!$A:$AD,MATCH("LinkedIn Employee Count",'Pass 1 Archive'!$1:$1,0),FALSE()),"")</f>
        <v/>
      </c>
      <c r="D352" s="1" t="str">
        <f aca="false">IFERROR(VLOOKUP(A352,'Pass 2'!$A:$S,MATCH("Jan 2025 Traffic",'Pass 2'!$1:$1,0),FALSE()),"")</f>
        <v/>
      </c>
      <c r="E352" s="1" t="str">
        <f aca="false">IFERROR(VLOOKUP(A352,'Pass 2'!$A:$S,MATCH("Jun 2026 Traffic",'Pass 2'!$1:$1,0),FALSE()),"")</f>
        <v/>
      </c>
      <c r="F352" s="1" t="str">
        <f aca="false">IFERROR(VLOOKUP(A352,'Pass 2'!$A:$S,MATCH("Traffic % Change",'Pass 2'!$1:$1,0),FALSE()),"")</f>
        <v/>
      </c>
      <c r="G352" s="1" t="str">
        <f aca="false">IFERROR(VLOOKUP(A352,'Pass 2'!$A:$S,MATCH("Jan 2025 Referring Domains",'Pass 2'!$1:$1,0),FALSE()),"")</f>
        <v/>
      </c>
      <c r="H352" s="1" t="str">
        <f aca="false">IFERROR(VLOOKUP(A352,'Pass 2'!$A:$S,MATCH("Jun 2026 Referring Domains",'Pass 2'!$1:$1,0),FALSE()),"")</f>
        <v/>
      </c>
    </row>
    <row r="353" customFormat="false" ht="15" hidden="false" customHeight="true" outlineLevel="0" collapsed="false">
      <c r="B353" s="1" t="str">
        <f aca="false">IFERROR(VLOOKUP(A353,'Pass 2'!$A:$S,MATCH("Category",'Pass 2'!$1:$1,0),FALSE()),"")</f>
        <v/>
      </c>
      <c r="C353" s="1" t="str">
        <f aca="false">IFERROR(VLOOKUP(A353,'Pass 1 Archive'!$A:$AD,MATCH("LinkedIn Employee Count",'Pass 1 Archive'!$1:$1,0),FALSE()),"")</f>
        <v/>
      </c>
      <c r="D353" s="1" t="str">
        <f aca="false">IFERROR(VLOOKUP(A353,'Pass 2'!$A:$S,MATCH("Jan 2025 Traffic",'Pass 2'!$1:$1,0),FALSE()),"")</f>
        <v/>
      </c>
      <c r="E353" s="1" t="str">
        <f aca="false">IFERROR(VLOOKUP(A353,'Pass 2'!$A:$S,MATCH("Jun 2026 Traffic",'Pass 2'!$1:$1,0),FALSE()),"")</f>
        <v/>
      </c>
      <c r="F353" s="1" t="str">
        <f aca="false">IFERROR(VLOOKUP(A353,'Pass 2'!$A:$S,MATCH("Traffic % Change",'Pass 2'!$1:$1,0),FALSE()),"")</f>
        <v/>
      </c>
      <c r="G353" s="1" t="str">
        <f aca="false">IFERROR(VLOOKUP(A353,'Pass 2'!$A:$S,MATCH("Jan 2025 Referring Domains",'Pass 2'!$1:$1,0),FALSE()),"")</f>
        <v/>
      </c>
      <c r="H353" s="1" t="str">
        <f aca="false">IFERROR(VLOOKUP(A353,'Pass 2'!$A:$S,MATCH("Jun 2026 Referring Domains",'Pass 2'!$1:$1,0),FALSE()),"")</f>
        <v/>
      </c>
    </row>
    <row r="354" customFormat="false" ht="15" hidden="false" customHeight="true" outlineLevel="0" collapsed="false">
      <c r="B354" s="1" t="str">
        <f aca="false">IFERROR(VLOOKUP(A354,'Pass 2'!$A:$S,MATCH("Category",'Pass 2'!$1:$1,0),FALSE()),"")</f>
        <v/>
      </c>
      <c r="C354" s="1" t="str">
        <f aca="false">IFERROR(VLOOKUP(A354,'Pass 1 Archive'!$A:$AD,MATCH("LinkedIn Employee Count",'Pass 1 Archive'!$1:$1,0),FALSE()),"")</f>
        <v/>
      </c>
      <c r="D354" s="1" t="str">
        <f aca="false">IFERROR(VLOOKUP(A354,'Pass 2'!$A:$S,MATCH("Jan 2025 Traffic",'Pass 2'!$1:$1,0),FALSE()),"")</f>
        <v/>
      </c>
      <c r="E354" s="1" t="str">
        <f aca="false">IFERROR(VLOOKUP(A354,'Pass 2'!$A:$S,MATCH("Jun 2026 Traffic",'Pass 2'!$1:$1,0),FALSE()),"")</f>
        <v/>
      </c>
      <c r="F354" s="1" t="str">
        <f aca="false">IFERROR(VLOOKUP(A354,'Pass 2'!$A:$S,MATCH("Traffic % Change",'Pass 2'!$1:$1,0),FALSE()),"")</f>
        <v/>
      </c>
      <c r="G354" s="1" t="str">
        <f aca="false">IFERROR(VLOOKUP(A354,'Pass 2'!$A:$S,MATCH("Jan 2025 Referring Domains",'Pass 2'!$1:$1,0),FALSE()),"")</f>
        <v/>
      </c>
      <c r="H354" s="1" t="str">
        <f aca="false">IFERROR(VLOOKUP(A354,'Pass 2'!$A:$S,MATCH("Jun 2026 Referring Domains",'Pass 2'!$1:$1,0),FALSE()),"")</f>
        <v/>
      </c>
    </row>
    <row r="355" customFormat="false" ht="15" hidden="false" customHeight="true" outlineLevel="0" collapsed="false">
      <c r="B355" s="1" t="str">
        <f aca="false">IFERROR(VLOOKUP(A355,'Pass 2'!$A:$S,MATCH("Category",'Pass 2'!$1:$1,0),FALSE()),"")</f>
        <v/>
      </c>
      <c r="C355" s="1" t="str">
        <f aca="false">IFERROR(VLOOKUP(A355,'Pass 1 Archive'!$A:$AD,MATCH("LinkedIn Employee Count",'Pass 1 Archive'!$1:$1,0),FALSE()),"")</f>
        <v/>
      </c>
      <c r="D355" s="1" t="str">
        <f aca="false">IFERROR(VLOOKUP(A355,'Pass 2'!$A:$S,MATCH("Jan 2025 Traffic",'Pass 2'!$1:$1,0),FALSE()),"")</f>
        <v/>
      </c>
      <c r="E355" s="1" t="str">
        <f aca="false">IFERROR(VLOOKUP(A355,'Pass 2'!$A:$S,MATCH("Jun 2026 Traffic",'Pass 2'!$1:$1,0),FALSE()),"")</f>
        <v/>
      </c>
      <c r="F355" s="1" t="str">
        <f aca="false">IFERROR(VLOOKUP(A355,'Pass 2'!$A:$S,MATCH("Traffic % Change",'Pass 2'!$1:$1,0),FALSE()),"")</f>
        <v/>
      </c>
      <c r="G355" s="1" t="str">
        <f aca="false">IFERROR(VLOOKUP(A355,'Pass 2'!$A:$S,MATCH("Jan 2025 Referring Domains",'Pass 2'!$1:$1,0),FALSE()),"")</f>
        <v/>
      </c>
      <c r="H355" s="1" t="str">
        <f aca="false">IFERROR(VLOOKUP(A355,'Pass 2'!$A:$S,MATCH("Jun 2026 Referring Domains",'Pass 2'!$1:$1,0),FALSE()),"")</f>
        <v/>
      </c>
    </row>
    <row r="356" customFormat="false" ht="15" hidden="false" customHeight="true" outlineLevel="0" collapsed="false">
      <c r="B356" s="1" t="str">
        <f aca="false">IFERROR(VLOOKUP(A356,'Pass 2'!$A:$S,MATCH("Category",'Pass 2'!$1:$1,0),FALSE()),"")</f>
        <v/>
      </c>
      <c r="C356" s="1" t="str">
        <f aca="false">IFERROR(VLOOKUP(A356,'Pass 1 Archive'!$A:$AD,MATCH("LinkedIn Employee Count",'Pass 1 Archive'!$1:$1,0),FALSE()),"")</f>
        <v/>
      </c>
      <c r="D356" s="1" t="str">
        <f aca="false">IFERROR(VLOOKUP(A356,'Pass 2'!$A:$S,MATCH("Jan 2025 Traffic",'Pass 2'!$1:$1,0),FALSE()),"")</f>
        <v/>
      </c>
      <c r="E356" s="1" t="str">
        <f aca="false">IFERROR(VLOOKUP(A356,'Pass 2'!$A:$S,MATCH("Jun 2026 Traffic",'Pass 2'!$1:$1,0),FALSE()),"")</f>
        <v/>
      </c>
      <c r="F356" s="1" t="str">
        <f aca="false">IFERROR(VLOOKUP(A356,'Pass 2'!$A:$S,MATCH("Traffic % Change",'Pass 2'!$1:$1,0),FALSE()),"")</f>
        <v/>
      </c>
      <c r="G356" s="1" t="str">
        <f aca="false">IFERROR(VLOOKUP(A356,'Pass 2'!$A:$S,MATCH("Jan 2025 Referring Domains",'Pass 2'!$1:$1,0),FALSE()),"")</f>
        <v/>
      </c>
      <c r="H356" s="1" t="str">
        <f aca="false">IFERROR(VLOOKUP(A356,'Pass 2'!$A:$S,MATCH("Jun 2026 Referring Domains",'Pass 2'!$1:$1,0),FALSE()),"")</f>
        <v/>
      </c>
    </row>
    <row r="357" customFormat="false" ht="15" hidden="false" customHeight="true" outlineLevel="0" collapsed="false">
      <c r="B357" s="1" t="str">
        <f aca="false">IFERROR(VLOOKUP(A357,'Pass 2'!$A:$S,MATCH("Category",'Pass 2'!$1:$1,0),FALSE()),"")</f>
        <v/>
      </c>
      <c r="C357" s="1" t="str">
        <f aca="false">IFERROR(VLOOKUP(A357,'Pass 1 Archive'!$A:$AD,MATCH("LinkedIn Employee Count",'Pass 1 Archive'!$1:$1,0),FALSE()),"")</f>
        <v/>
      </c>
      <c r="D357" s="1" t="str">
        <f aca="false">IFERROR(VLOOKUP(A357,'Pass 2'!$A:$S,MATCH("Jan 2025 Traffic",'Pass 2'!$1:$1,0),FALSE()),"")</f>
        <v/>
      </c>
      <c r="E357" s="1" t="str">
        <f aca="false">IFERROR(VLOOKUP(A357,'Pass 2'!$A:$S,MATCH("Jun 2026 Traffic",'Pass 2'!$1:$1,0),FALSE()),"")</f>
        <v/>
      </c>
      <c r="F357" s="1" t="str">
        <f aca="false">IFERROR(VLOOKUP(A357,'Pass 2'!$A:$S,MATCH("Traffic % Change",'Pass 2'!$1:$1,0),FALSE()),"")</f>
        <v/>
      </c>
      <c r="G357" s="1" t="str">
        <f aca="false">IFERROR(VLOOKUP(A357,'Pass 2'!$A:$S,MATCH("Jan 2025 Referring Domains",'Pass 2'!$1:$1,0),FALSE()),"")</f>
        <v/>
      </c>
      <c r="H357" s="1" t="str">
        <f aca="false">IFERROR(VLOOKUP(A357,'Pass 2'!$A:$S,MATCH("Jun 2026 Referring Domains",'Pass 2'!$1:$1,0),FALSE()),"")</f>
        <v/>
      </c>
    </row>
    <row r="358" customFormat="false" ht="15" hidden="false" customHeight="true" outlineLevel="0" collapsed="false">
      <c r="B358" s="1" t="str">
        <f aca="false">IFERROR(VLOOKUP(A358,'Pass 2'!$A:$S,MATCH("Category",'Pass 2'!$1:$1,0),FALSE()),"")</f>
        <v/>
      </c>
      <c r="C358" s="1" t="str">
        <f aca="false">IFERROR(VLOOKUP(A358,'Pass 1 Archive'!$A:$AD,MATCH("LinkedIn Employee Count",'Pass 1 Archive'!$1:$1,0),FALSE()),"")</f>
        <v/>
      </c>
      <c r="D358" s="1" t="str">
        <f aca="false">IFERROR(VLOOKUP(A358,'Pass 2'!$A:$S,MATCH("Jan 2025 Traffic",'Pass 2'!$1:$1,0),FALSE()),"")</f>
        <v/>
      </c>
      <c r="E358" s="1" t="str">
        <f aca="false">IFERROR(VLOOKUP(A358,'Pass 2'!$A:$S,MATCH("Jun 2026 Traffic",'Pass 2'!$1:$1,0),FALSE()),"")</f>
        <v/>
      </c>
      <c r="F358" s="1" t="str">
        <f aca="false">IFERROR(VLOOKUP(A358,'Pass 2'!$A:$S,MATCH("Traffic % Change",'Pass 2'!$1:$1,0),FALSE()),"")</f>
        <v/>
      </c>
      <c r="G358" s="1" t="str">
        <f aca="false">IFERROR(VLOOKUP(A358,'Pass 2'!$A:$S,MATCH("Jan 2025 Referring Domains",'Pass 2'!$1:$1,0),FALSE()),"")</f>
        <v/>
      </c>
      <c r="H358" s="1" t="str">
        <f aca="false">IFERROR(VLOOKUP(A358,'Pass 2'!$A:$S,MATCH("Jun 2026 Referring Domains",'Pass 2'!$1:$1,0),FALSE()),"")</f>
        <v/>
      </c>
    </row>
    <row r="359" customFormat="false" ht="15" hidden="false" customHeight="true" outlineLevel="0" collapsed="false">
      <c r="B359" s="1" t="str">
        <f aca="false">IFERROR(VLOOKUP(A359,'Pass 2'!$A:$S,MATCH("Category",'Pass 2'!$1:$1,0),FALSE()),"")</f>
        <v/>
      </c>
      <c r="C359" s="1" t="str">
        <f aca="false">IFERROR(VLOOKUP(A359,'Pass 1 Archive'!$A:$AD,MATCH("LinkedIn Employee Count",'Pass 1 Archive'!$1:$1,0),FALSE()),"")</f>
        <v/>
      </c>
      <c r="D359" s="1" t="str">
        <f aca="false">IFERROR(VLOOKUP(A359,'Pass 2'!$A:$S,MATCH("Jan 2025 Traffic",'Pass 2'!$1:$1,0),FALSE()),"")</f>
        <v/>
      </c>
      <c r="E359" s="1" t="str">
        <f aca="false">IFERROR(VLOOKUP(A359,'Pass 2'!$A:$S,MATCH("Jun 2026 Traffic",'Pass 2'!$1:$1,0),FALSE()),"")</f>
        <v/>
      </c>
      <c r="F359" s="1" t="str">
        <f aca="false">IFERROR(VLOOKUP(A359,'Pass 2'!$A:$S,MATCH("Traffic % Change",'Pass 2'!$1:$1,0),FALSE()),"")</f>
        <v/>
      </c>
      <c r="G359" s="1" t="str">
        <f aca="false">IFERROR(VLOOKUP(A359,'Pass 2'!$A:$S,MATCH("Jan 2025 Referring Domains",'Pass 2'!$1:$1,0),FALSE()),"")</f>
        <v/>
      </c>
      <c r="H359" s="1" t="str">
        <f aca="false">IFERROR(VLOOKUP(A359,'Pass 2'!$A:$S,MATCH("Jun 2026 Referring Domains",'Pass 2'!$1:$1,0),FALSE()),"")</f>
        <v/>
      </c>
    </row>
    <row r="360" customFormat="false" ht="15" hidden="false" customHeight="true" outlineLevel="0" collapsed="false">
      <c r="B360" s="1" t="str">
        <f aca="false">IFERROR(VLOOKUP(A360,'Pass 2'!$A:$S,MATCH("Category",'Pass 2'!$1:$1,0),FALSE()),"")</f>
        <v/>
      </c>
      <c r="C360" s="1" t="str">
        <f aca="false">IFERROR(VLOOKUP(A360,'Pass 1 Archive'!$A:$AD,MATCH("LinkedIn Employee Count",'Pass 1 Archive'!$1:$1,0),FALSE()),"")</f>
        <v/>
      </c>
      <c r="D360" s="1" t="str">
        <f aca="false">IFERROR(VLOOKUP(A360,'Pass 2'!$A:$S,MATCH("Jan 2025 Traffic",'Pass 2'!$1:$1,0),FALSE()),"")</f>
        <v/>
      </c>
      <c r="E360" s="1" t="str">
        <f aca="false">IFERROR(VLOOKUP(A360,'Pass 2'!$A:$S,MATCH("Jun 2026 Traffic",'Pass 2'!$1:$1,0),FALSE()),"")</f>
        <v/>
      </c>
      <c r="F360" s="1" t="str">
        <f aca="false">IFERROR(VLOOKUP(A360,'Pass 2'!$A:$S,MATCH("Traffic % Change",'Pass 2'!$1:$1,0),FALSE()),"")</f>
        <v/>
      </c>
      <c r="G360" s="1" t="str">
        <f aca="false">IFERROR(VLOOKUP(A360,'Pass 2'!$A:$S,MATCH("Jan 2025 Referring Domains",'Pass 2'!$1:$1,0),FALSE()),"")</f>
        <v/>
      </c>
      <c r="H360" s="1" t="str">
        <f aca="false">IFERROR(VLOOKUP(A360,'Pass 2'!$A:$S,MATCH("Jun 2026 Referring Domains",'Pass 2'!$1:$1,0),FALSE()),"")</f>
        <v/>
      </c>
    </row>
    <row r="361" customFormat="false" ht="15" hidden="false" customHeight="true" outlineLevel="0" collapsed="false">
      <c r="B361" s="1" t="str">
        <f aca="false">IFERROR(VLOOKUP(A361,'Pass 2'!$A:$S,MATCH("Category",'Pass 2'!$1:$1,0),FALSE()),"")</f>
        <v/>
      </c>
      <c r="C361" s="1" t="str">
        <f aca="false">IFERROR(VLOOKUP(A361,'Pass 1 Archive'!$A:$AD,MATCH("LinkedIn Employee Count",'Pass 1 Archive'!$1:$1,0),FALSE()),"")</f>
        <v/>
      </c>
      <c r="D361" s="1" t="str">
        <f aca="false">IFERROR(VLOOKUP(A361,'Pass 2'!$A:$S,MATCH("Jan 2025 Traffic",'Pass 2'!$1:$1,0),FALSE()),"")</f>
        <v/>
      </c>
      <c r="E361" s="1" t="str">
        <f aca="false">IFERROR(VLOOKUP(A361,'Pass 2'!$A:$S,MATCH("Jun 2026 Traffic",'Pass 2'!$1:$1,0),FALSE()),"")</f>
        <v/>
      </c>
      <c r="F361" s="1" t="str">
        <f aca="false">IFERROR(VLOOKUP(A361,'Pass 2'!$A:$S,MATCH("Traffic % Change",'Pass 2'!$1:$1,0),FALSE()),"")</f>
        <v/>
      </c>
      <c r="G361" s="1" t="str">
        <f aca="false">IFERROR(VLOOKUP(A361,'Pass 2'!$A:$S,MATCH("Jan 2025 Referring Domains",'Pass 2'!$1:$1,0),FALSE()),"")</f>
        <v/>
      </c>
      <c r="H361" s="1" t="str">
        <f aca="false">IFERROR(VLOOKUP(A361,'Pass 2'!$A:$S,MATCH("Jun 2026 Referring Domains",'Pass 2'!$1:$1,0),FALSE()),"")</f>
        <v/>
      </c>
    </row>
    <row r="362" customFormat="false" ht="15" hidden="false" customHeight="true" outlineLevel="0" collapsed="false">
      <c r="B362" s="1" t="str">
        <f aca="false">IFERROR(VLOOKUP(A362,'Pass 2'!$A:$S,MATCH("Category",'Pass 2'!$1:$1,0),FALSE()),"")</f>
        <v/>
      </c>
      <c r="C362" s="1" t="str">
        <f aca="false">IFERROR(VLOOKUP(A362,'Pass 1 Archive'!$A:$AD,MATCH("LinkedIn Employee Count",'Pass 1 Archive'!$1:$1,0),FALSE()),"")</f>
        <v/>
      </c>
      <c r="D362" s="1" t="str">
        <f aca="false">IFERROR(VLOOKUP(A362,'Pass 2'!$A:$S,MATCH("Jan 2025 Traffic",'Pass 2'!$1:$1,0),FALSE()),"")</f>
        <v/>
      </c>
      <c r="E362" s="1" t="str">
        <f aca="false">IFERROR(VLOOKUP(A362,'Pass 2'!$A:$S,MATCH("Jun 2026 Traffic",'Pass 2'!$1:$1,0),FALSE()),"")</f>
        <v/>
      </c>
      <c r="F362" s="1" t="str">
        <f aca="false">IFERROR(VLOOKUP(A362,'Pass 2'!$A:$S,MATCH("Traffic % Change",'Pass 2'!$1:$1,0),FALSE()),"")</f>
        <v/>
      </c>
      <c r="G362" s="1" t="str">
        <f aca="false">IFERROR(VLOOKUP(A362,'Pass 2'!$A:$S,MATCH("Jan 2025 Referring Domains",'Pass 2'!$1:$1,0),FALSE()),"")</f>
        <v/>
      </c>
      <c r="H362" s="1" t="str">
        <f aca="false">IFERROR(VLOOKUP(A362,'Pass 2'!$A:$S,MATCH("Jun 2026 Referring Domains",'Pass 2'!$1:$1,0),FALSE()),"")</f>
        <v/>
      </c>
    </row>
    <row r="363" customFormat="false" ht="15" hidden="false" customHeight="true" outlineLevel="0" collapsed="false">
      <c r="B363" s="1" t="str">
        <f aca="false">IFERROR(VLOOKUP(A363,'Pass 2'!$A:$S,MATCH("Category",'Pass 2'!$1:$1,0),FALSE()),"")</f>
        <v/>
      </c>
      <c r="C363" s="1" t="str">
        <f aca="false">IFERROR(VLOOKUP(A363,'Pass 1 Archive'!$A:$AD,MATCH("LinkedIn Employee Count",'Pass 1 Archive'!$1:$1,0),FALSE()),"")</f>
        <v/>
      </c>
      <c r="D363" s="1" t="str">
        <f aca="false">IFERROR(VLOOKUP(A363,'Pass 2'!$A:$S,MATCH("Jan 2025 Traffic",'Pass 2'!$1:$1,0),FALSE()),"")</f>
        <v/>
      </c>
      <c r="E363" s="1" t="str">
        <f aca="false">IFERROR(VLOOKUP(A363,'Pass 2'!$A:$S,MATCH("Jun 2026 Traffic",'Pass 2'!$1:$1,0),FALSE()),"")</f>
        <v/>
      </c>
      <c r="F363" s="1" t="str">
        <f aca="false">IFERROR(VLOOKUP(A363,'Pass 2'!$A:$S,MATCH("Traffic % Change",'Pass 2'!$1:$1,0),FALSE()),"")</f>
        <v/>
      </c>
      <c r="G363" s="1" t="str">
        <f aca="false">IFERROR(VLOOKUP(A363,'Pass 2'!$A:$S,MATCH("Jan 2025 Referring Domains",'Pass 2'!$1:$1,0),FALSE()),"")</f>
        <v/>
      </c>
      <c r="H363" s="1" t="str">
        <f aca="false">IFERROR(VLOOKUP(A363,'Pass 2'!$A:$S,MATCH("Jun 2026 Referring Domains",'Pass 2'!$1:$1,0),FALSE()),"")</f>
        <v/>
      </c>
    </row>
    <row r="364" customFormat="false" ht="15" hidden="false" customHeight="true" outlineLevel="0" collapsed="false">
      <c r="B364" s="1" t="str">
        <f aca="false">IFERROR(VLOOKUP(A364,'Pass 2'!$A:$S,MATCH("Category",'Pass 2'!$1:$1,0),FALSE()),"")</f>
        <v/>
      </c>
      <c r="C364" s="1" t="str">
        <f aca="false">IFERROR(VLOOKUP(A364,'Pass 1 Archive'!$A:$AD,MATCH("LinkedIn Employee Count",'Pass 1 Archive'!$1:$1,0),FALSE()),"")</f>
        <v/>
      </c>
      <c r="D364" s="1" t="str">
        <f aca="false">IFERROR(VLOOKUP(A364,'Pass 2'!$A:$S,MATCH("Jan 2025 Traffic",'Pass 2'!$1:$1,0),FALSE()),"")</f>
        <v/>
      </c>
      <c r="E364" s="1" t="str">
        <f aca="false">IFERROR(VLOOKUP(A364,'Pass 2'!$A:$S,MATCH("Jun 2026 Traffic",'Pass 2'!$1:$1,0),FALSE()),"")</f>
        <v/>
      </c>
      <c r="F364" s="1" t="str">
        <f aca="false">IFERROR(VLOOKUP(A364,'Pass 2'!$A:$S,MATCH("Traffic % Change",'Pass 2'!$1:$1,0),FALSE()),"")</f>
        <v/>
      </c>
      <c r="G364" s="1" t="str">
        <f aca="false">IFERROR(VLOOKUP(A364,'Pass 2'!$A:$S,MATCH("Jan 2025 Referring Domains",'Pass 2'!$1:$1,0),FALSE()),"")</f>
        <v/>
      </c>
      <c r="H364" s="1" t="str">
        <f aca="false">IFERROR(VLOOKUP(A364,'Pass 2'!$A:$S,MATCH("Jun 2026 Referring Domains",'Pass 2'!$1:$1,0),FALSE()),"")</f>
        <v/>
      </c>
    </row>
    <row r="365" customFormat="false" ht="15" hidden="false" customHeight="true" outlineLevel="0" collapsed="false">
      <c r="B365" s="1" t="str">
        <f aca="false">IFERROR(VLOOKUP(A365,'Pass 2'!$A:$S,MATCH("Category",'Pass 2'!$1:$1,0),FALSE()),"")</f>
        <v/>
      </c>
      <c r="C365" s="1" t="str">
        <f aca="false">IFERROR(VLOOKUP(A365,'Pass 1 Archive'!$A:$AD,MATCH("LinkedIn Employee Count",'Pass 1 Archive'!$1:$1,0),FALSE()),"")</f>
        <v/>
      </c>
      <c r="D365" s="1" t="str">
        <f aca="false">IFERROR(VLOOKUP(A365,'Pass 2'!$A:$S,MATCH("Jan 2025 Traffic",'Pass 2'!$1:$1,0),FALSE()),"")</f>
        <v/>
      </c>
      <c r="E365" s="1" t="str">
        <f aca="false">IFERROR(VLOOKUP(A365,'Pass 2'!$A:$S,MATCH("Jun 2026 Traffic",'Pass 2'!$1:$1,0),FALSE()),"")</f>
        <v/>
      </c>
      <c r="F365" s="1" t="str">
        <f aca="false">IFERROR(VLOOKUP(A365,'Pass 2'!$A:$S,MATCH("Traffic % Change",'Pass 2'!$1:$1,0),FALSE()),"")</f>
        <v/>
      </c>
      <c r="G365" s="1" t="str">
        <f aca="false">IFERROR(VLOOKUP(A365,'Pass 2'!$A:$S,MATCH("Jan 2025 Referring Domains",'Pass 2'!$1:$1,0),FALSE()),"")</f>
        <v/>
      </c>
      <c r="H365" s="1" t="str">
        <f aca="false">IFERROR(VLOOKUP(A365,'Pass 2'!$A:$S,MATCH("Jun 2026 Referring Domains",'Pass 2'!$1:$1,0),FALSE()),"")</f>
        <v/>
      </c>
    </row>
    <row r="366" customFormat="false" ht="15" hidden="false" customHeight="true" outlineLevel="0" collapsed="false">
      <c r="B366" s="1" t="str">
        <f aca="false">IFERROR(VLOOKUP(A366,'Pass 2'!$A:$S,MATCH("Category",'Pass 2'!$1:$1,0),FALSE()),"")</f>
        <v/>
      </c>
      <c r="C366" s="1" t="str">
        <f aca="false">IFERROR(VLOOKUP(A366,'Pass 1 Archive'!$A:$AD,MATCH("LinkedIn Employee Count",'Pass 1 Archive'!$1:$1,0),FALSE()),"")</f>
        <v/>
      </c>
      <c r="D366" s="1" t="str">
        <f aca="false">IFERROR(VLOOKUP(A366,'Pass 2'!$A:$S,MATCH("Jan 2025 Traffic",'Pass 2'!$1:$1,0),FALSE()),"")</f>
        <v/>
      </c>
      <c r="E366" s="1" t="str">
        <f aca="false">IFERROR(VLOOKUP(A366,'Pass 2'!$A:$S,MATCH("Jun 2026 Traffic",'Pass 2'!$1:$1,0),FALSE()),"")</f>
        <v/>
      </c>
      <c r="F366" s="1" t="str">
        <f aca="false">IFERROR(VLOOKUP(A366,'Pass 2'!$A:$S,MATCH("Traffic % Change",'Pass 2'!$1:$1,0),FALSE()),"")</f>
        <v/>
      </c>
      <c r="G366" s="1" t="str">
        <f aca="false">IFERROR(VLOOKUP(A366,'Pass 2'!$A:$S,MATCH("Jan 2025 Referring Domains",'Pass 2'!$1:$1,0),FALSE()),"")</f>
        <v/>
      </c>
      <c r="H366" s="1" t="str">
        <f aca="false">IFERROR(VLOOKUP(A366,'Pass 2'!$A:$S,MATCH("Jun 2026 Referring Domains",'Pass 2'!$1:$1,0),FALSE()),"")</f>
        <v/>
      </c>
    </row>
    <row r="367" customFormat="false" ht="15" hidden="false" customHeight="true" outlineLevel="0" collapsed="false">
      <c r="B367" s="1" t="str">
        <f aca="false">IFERROR(VLOOKUP(A367,'Pass 2'!$A:$S,MATCH("Category",'Pass 2'!$1:$1,0),FALSE()),"")</f>
        <v/>
      </c>
      <c r="C367" s="1" t="str">
        <f aca="false">IFERROR(VLOOKUP(A367,'Pass 1 Archive'!$A:$AD,MATCH("LinkedIn Employee Count",'Pass 1 Archive'!$1:$1,0),FALSE()),"")</f>
        <v/>
      </c>
      <c r="D367" s="1" t="str">
        <f aca="false">IFERROR(VLOOKUP(A367,'Pass 2'!$A:$S,MATCH("Jan 2025 Traffic",'Pass 2'!$1:$1,0),FALSE()),"")</f>
        <v/>
      </c>
      <c r="E367" s="1" t="str">
        <f aca="false">IFERROR(VLOOKUP(A367,'Pass 2'!$A:$S,MATCH("Jun 2026 Traffic",'Pass 2'!$1:$1,0),FALSE()),"")</f>
        <v/>
      </c>
      <c r="F367" s="1" t="str">
        <f aca="false">IFERROR(VLOOKUP(A367,'Pass 2'!$A:$S,MATCH("Traffic % Change",'Pass 2'!$1:$1,0),FALSE()),"")</f>
        <v/>
      </c>
      <c r="G367" s="1" t="str">
        <f aca="false">IFERROR(VLOOKUP(A367,'Pass 2'!$A:$S,MATCH("Jan 2025 Referring Domains",'Pass 2'!$1:$1,0),FALSE()),"")</f>
        <v/>
      </c>
      <c r="H367" s="1" t="str">
        <f aca="false">IFERROR(VLOOKUP(A367,'Pass 2'!$A:$S,MATCH("Jun 2026 Referring Domains",'Pass 2'!$1:$1,0),FALSE()),"")</f>
        <v/>
      </c>
    </row>
    <row r="368" customFormat="false" ht="15" hidden="false" customHeight="true" outlineLevel="0" collapsed="false">
      <c r="B368" s="1" t="str">
        <f aca="false">IFERROR(VLOOKUP(A368,'Pass 2'!$A:$S,MATCH("Category",'Pass 2'!$1:$1,0),FALSE()),"")</f>
        <v/>
      </c>
      <c r="C368" s="1" t="str">
        <f aca="false">IFERROR(VLOOKUP(A368,'Pass 1 Archive'!$A:$AD,MATCH("LinkedIn Employee Count",'Pass 1 Archive'!$1:$1,0),FALSE()),"")</f>
        <v/>
      </c>
      <c r="D368" s="1" t="str">
        <f aca="false">IFERROR(VLOOKUP(A368,'Pass 2'!$A:$S,MATCH("Jan 2025 Traffic",'Pass 2'!$1:$1,0),FALSE()),"")</f>
        <v/>
      </c>
      <c r="E368" s="1" t="str">
        <f aca="false">IFERROR(VLOOKUP(A368,'Pass 2'!$A:$S,MATCH("Jun 2026 Traffic",'Pass 2'!$1:$1,0),FALSE()),"")</f>
        <v/>
      </c>
      <c r="F368" s="1" t="str">
        <f aca="false">IFERROR(VLOOKUP(A368,'Pass 2'!$A:$S,MATCH("Traffic % Change",'Pass 2'!$1:$1,0),FALSE()),"")</f>
        <v/>
      </c>
      <c r="G368" s="1" t="str">
        <f aca="false">IFERROR(VLOOKUP(A368,'Pass 2'!$A:$S,MATCH("Jan 2025 Referring Domains",'Pass 2'!$1:$1,0),FALSE()),"")</f>
        <v/>
      </c>
      <c r="H368" s="1" t="str">
        <f aca="false">IFERROR(VLOOKUP(A368,'Pass 2'!$A:$S,MATCH("Jun 2026 Referring Domains",'Pass 2'!$1:$1,0),FALSE()),"")</f>
        <v/>
      </c>
    </row>
    <row r="369" customFormat="false" ht="15" hidden="false" customHeight="true" outlineLevel="0" collapsed="false">
      <c r="B369" s="1" t="str">
        <f aca="false">IFERROR(VLOOKUP(A369,'Pass 2'!$A:$S,MATCH("Category",'Pass 2'!$1:$1,0),FALSE()),"")</f>
        <v/>
      </c>
      <c r="C369" s="1" t="str">
        <f aca="false">IFERROR(VLOOKUP(A369,'Pass 1 Archive'!$A:$AD,MATCH("LinkedIn Employee Count",'Pass 1 Archive'!$1:$1,0),FALSE()),"")</f>
        <v/>
      </c>
      <c r="D369" s="1" t="str">
        <f aca="false">IFERROR(VLOOKUP(A369,'Pass 2'!$A:$S,MATCH("Jan 2025 Traffic",'Pass 2'!$1:$1,0),FALSE()),"")</f>
        <v/>
      </c>
      <c r="E369" s="1" t="str">
        <f aca="false">IFERROR(VLOOKUP(A369,'Pass 2'!$A:$S,MATCH("Jun 2026 Traffic",'Pass 2'!$1:$1,0),FALSE()),"")</f>
        <v/>
      </c>
      <c r="F369" s="1" t="str">
        <f aca="false">IFERROR(VLOOKUP(A369,'Pass 2'!$A:$S,MATCH("Traffic % Change",'Pass 2'!$1:$1,0),FALSE()),"")</f>
        <v/>
      </c>
      <c r="G369" s="1" t="str">
        <f aca="false">IFERROR(VLOOKUP(A369,'Pass 2'!$A:$S,MATCH("Jan 2025 Referring Domains",'Pass 2'!$1:$1,0),FALSE()),"")</f>
        <v/>
      </c>
      <c r="H369" s="1" t="str">
        <f aca="false">IFERROR(VLOOKUP(A369,'Pass 2'!$A:$S,MATCH("Jun 2026 Referring Domains",'Pass 2'!$1:$1,0),FALSE()),"")</f>
        <v/>
      </c>
    </row>
    <row r="370" customFormat="false" ht="15" hidden="false" customHeight="true" outlineLevel="0" collapsed="false">
      <c r="B370" s="1" t="str">
        <f aca="false">IFERROR(VLOOKUP(A370,'Pass 2'!$A:$S,MATCH("Category",'Pass 2'!$1:$1,0),FALSE()),"")</f>
        <v/>
      </c>
      <c r="C370" s="1" t="str">
        <f aca="false">IFERROR(VLOOKUP(A370,'Pass 1 Archive'!$A:$AD,MATCH("LinkedIn Employee Count",'Pass 1 Archive'!$1:$1,0),FALSE()),"")</f>
        <v/>
      </c>
      <c r="D370" s="1" t="str">
        <f aca="false">IFERROR(VLOOKUP(A370,'Pass 2'!$A:$S,MATCH("Jan 2025 Traffic",'Pass 2'!$1:$1,0),FALSE()),"")</f>
        <v/>
      </c>
      <c r="E370" s="1" t="str">
        <f aca="false">IFERROR(VLOOKUP(A370,'Pass 2'!$A:$S,MATCH("Jun 2026 Traffic",'Pass 2'!$1:$1,0),FALSE()),"")</f>
        <v/>
      </c>
      <c r="F370" s="1" t="str">
        <f aca="false">IFERROR(VLOOKUP(A370,'Pass 2'!$A:$S,MATCH("Traffic % Change",'Pass 2'!$1:$1,0),FALSE()),"")</f>
        <v/>
      </c>
      <c r="G370" s="1" t="str">
        <f aca="false">IFERROR(VLOOKUP(A370,'Pass 2'!$A:$S,MATCH("Jan 2025 Referring Domains",'Pass 2'!$1:$1,0),FALSE()),"")</f>
        <v/>
      </c>
      <c r="H370" s="1" t="str">
        <f aca="false">IFERROR(VLOOKUP(A370,'Pass 2'!$A:$S,MATCH("Jun 2026 Referring Domains",'Pass 2'!$1:$1,0),FALSE()),"")</f>
        <v/>
      </c>
    </row>
    <row r="371" customFormat="false" ht="15" hidden="false" customHeight="true" outlineLevel="0" collapsed="false">
      <c r="B371" s="1" t="str">
        <f aca="false">IFERROR(VLOOKUP(A371,'Pass 2'!$A:$S,MATCH("Category",'Pass 2'!$1:$1,0),FALSE()),"")</f>
        <v/>
      </c>
      <c r="C371" s="1" t="str">
        <f aca="false">IFERROR(VLOOKUP(A371,'Pass 1 Archive'!$A:$AD,MATCH("LinkedIn Employee Count",'Pass 1 Archive'!$1:$1,0),FALSE()),"")</f>
        <v/>
      </c>
      <c r="D371" s="1" t="str">
        <f aca="false">IFERROR(VLOOKUP(A371,'Pass 2'!$A:$S,MATCH("Jan 2025 Traffic",'Pass 2'!$1:$1,0),FALSE()),"")</f>
        <v/>
      </c>
      <c r="E371" s="1" t="str">
        <f aca="false">IFERROR(VLOOKUP(A371,'Pass 2'!$A:$S,MATCH("Jun 2026 Traffic",'Pass 2'!$1:$1,0),FALSE()),"")</f>
        <v/>
      </c>
      <c r="F371" s="1" t="str">
        <f aca="false">IFERROR(VLOOKUP(A371,'Pass 2'!$A:$S,MATCH("Traffic % Change",'Pass 2'!$1:$1,0),FALSE()),"")</f>
        <v/>
      </c>
      <c r="G371" s="1" t="str">
        <f aca="false">IFERROR(VLOOKUP(A371,'Pass 2'!$A:$S,MATCH("Jan 2025 Referring Domains",'Pass 2'!$1:$1,0),FALSE()),"")</f>
        <v/>
      </c>
      <c r="H371" s="1" t="str">
        <f aca="false">IFERROR(VLOOKUP(A371,'Pass 2'!$A:$S,MATCH("Jun 2026 Referring Domains",'Pass 2'!$1:$1,0),FALSE()),"")</f>
        <v/>
      </c>
    </row>
    <row r="372" customFormat="false" ht="15" hidden="false" customHeight="true" outlineLevel="0" collapsed="false">
      <c r="B372" s="1" t="str">
        <f aca="false">IFERROR(VLOOKUP(A372,'Pass 2'!$A:$S,MATCH("Category",'Pass 2'!$1:$1,0),FALSE()),"")</f>
        <v/>
      </c>
      <c r="C372" s="1" t="str">
        <f aca="false">IFERROR(VLOOKUP(A372,'Pass 1 Archive'!$A:$AD,MATCH("LinkedIn Employee Count",'Pass 1 Archive'!$1:$1,0),FALSE()),"")</f>
        <v/>
      </c>
      <c r="D372" s="1" t="str">
        <f aca="false">IFERROR(VLOOKUP(A372,'Pass 2'!$A:$S,MATCH("Jan 2025 Traffic",'Pass 2'!$1:$1,0),FALSE()),"")</f>
        <v/>
      </c>
      <c r="E372" s="1" t="str">
        <f aca="false">IFERROR(VLOOKUP(A372,'Pass 2'!$A:$S,MATCH("Jun 2026 Traffic",'Pass 2'!$1:$1,0),FALSE()),"")</f>
        <v/>
      </c>
      <c r="F372" s="1" t="str">
        <f aca="false">IFERROR(VLOOKUP(A372,'Pass 2'!$A:$S,MATCH("Traffic % Change",'Pass 2'!$1:$1,0),FALSE()),"")</f>
        <v/>
      </c>
      <c r="G372" s="1" t="str">
        <f aca="false">IFERROR(VLOOKUP(A372,'Pass 2'!$A:$S,MATCH("Jan 2025 Referring Domains",'Pass 2'!$1:$1,0),FALSE()),"")</f>
        <v/>
      </c>
      <c r="H372" s="1" t="str">
        <f aca="false">IFERROR(VLOOKUP(A372,'Pass 2'!$A:$S,MATCH("Jun 2026 Referring Domains",'Pass 2'!$1:$1,0),FALSE()),"")</f>
        <v/>
      </c>
    </row>
    <row r="373" customFormat="false" ht="15" hidden="false" customHeight="true" outlineLevel="0" collapsed="false">
      <c r="B373" s="1" t="str">
        <f aca="false">IFERROR(VLOOKUP(A373,'Pass 2'!$A:$S,MATCH("Category",'Pass 2'!$1:$1,0),FALSE()),"")</f>
        <v/>
      </c>
      <c r="C373" s="1" t="str">
        <f aca="false">IFERROR(VLOOKUP(A373,'Pass 1 Archive'!$A:$AD,MATCH("LinkedIn Employee Count",'Pass 1 Archive'!$1:$1,0),FALSE()),"")</f>
        <v/>
      </c>
      <c r="D373" s="1" t="str">
        <f aca="false">IFERROR(VLOOKUP(A373,'Pass 2'!$A:$S,MATCH("Jan 2025 Traffic",'Pass 2'!$1:$1,0),FALSE()),"")</f>
        <v/>
      </c>
      <c r="E373" s="1" t="str">
        <f aca="false">IFERROR(VLOOKUP(A373,'Pass 2'!$A:$S,MATCH("Jun 2026 Traffic",'Pass 2'!$1:$1,0),FALSE()),"")</f>
        <v/>
      </c>
      <c r="F373" s="1" t="str">
        <f aca="false">IFERROR(VLOOKUP(A373,'Pass 2'!$A:$S,MATCH("Traffic % Change",'Pass 2'!$1:$1,0),FALSE()),"")</f>
        <v/>
      </c>
      <c r="G373" s="1" t="str">
        <f aca="false">IFERROR(VLOOKUP(A373,'Pass 2'!$A:$S,MATCH("Jan 2025 Referring Domains",'Pass 2'!$1:$1,0),FALSE()),"")</f>
        <v/>
      </c>
      <c r="H373" s="1" t="str">
        <f aca="false">IFERROR(VLOOKUP(A373,'Pass 2'!$A:$S,MATCH("Jun 2026 Referring Domains",'Pass 2'!$1:$1,0),FALSE()),"")</f>
        <v/>
      </c>
    </row>
    <row r="374" customFormat="false" ht="15" hidden="false" customHeight="true" outlineLevel="0" collapsed="false">
      <c r="B374" s="1" t="str">
        <f aca="false">IFERROR(VLOOKUP(A374,'Pass 2'!$A:$S,MATCH("Category",'Pass 2'!$1:$1,0),FALSE()),"")</f>
        <v/>
      </c>
      <c r="C374" s="1" t="str">
        <f aca="false">IFERROR(VLOOKUP(A374,'Pass 1 Archive'!$A:$AD,MATCH("LinkedIn Employee Count",'Pass 1 Archive'!$1:$1,0),FALSE()),"")</f>
        <v/>
      </c>
      <c r="D374" s="1" t="str">
        <f aca="false">IFERROR(VLOOKUP(A374,'Pass 2'!$A:$S,MATCH("Jan 2025 Traffic",'Pass 2'!$1:$1,0),FALSE()),"")</f>
        <v/>
      </c>
      <c r="E374" s="1" t="str">
        <f aca="false">IFERROR(VLOOKUP(A374,'Pass 2'!$A:$S,MATCH("Jun 2026 Traffic",'Pass 2'!$1:$1,0),FALSE()),"")</f>
        <v/>
      </c>
      <c r="F374" s="1" t="str">
        <f aca="false">IFERROR(VLOOKUP(A374,'Pass 2'!$A:$S,MATCH("Traffic % Change",'Pass 2'!$1:$1,0),FALSE()),"")</f>
        <v/>
      </c>
      <c r="G374" s="1" t="str">
        <f aca="false">IFERROR(VLOOKUP(A374,'Pass 2'!$A:$S,MATCH("Jan 2025 Referring Domains",'Pass 2'!$1:$1,0),FALSE()),"")</f>
        <v/>
      </c>
      <c r="H374" s="1" t="str">
        <f aca="false">IFERROR(VLOOKUP(A374,'Pass 2'!$A:$S,MATCH("Jun 2026 Referring Domains",'Pass 2'!$1:$1,0),FALSE()),"")</f>
        <v/>
      </c>
    </row>
    <row r="375" customFormat="false" ht="15" hidden="false" customHeight="true" outlineLevel="0" collapsed="false">
      <c r="B375" s="1" t="str">
        <f aca="false">IFERROR(VLOOKUP(A375,'Pass 2'!$A:$S,MATCH("Category",'Pass 2'!$1:$1,0),FALSE()),"")</f>
        <v/>
      </c>
      <c r="C375" s="1" t="str">
        <f aca="false">IFERROR(VLOOKUP(A375,'Pass 1 Archive'!$A:$AD,MATCH("LinkedIn Employee Count",'Pass 1 Archive'!$1:$1,0),FALSE()),"")</f>
        <v/>
      </c>
      <c r="D375" s="1" t="str">
        <f aca="false">IFERROR(VLOOKUP(A375,'Pass 2'!$A:$S,MATCH("Jan 2025 Traffic",'Pass 2'!$1:$1,0),FALSE()),"")</f>
        <v/>
      </c>
      <c r="E375" s="1" t="str">
        <f aca="false">IFERROR(VLOOKUP(A375,'Pass 2'!$A:$S,MATCH("Jun 2026 Traffic",'Pass 2'!$1:$1,0),FALSE()),"")</f>
        <v/>
      </c>
      <c r="F375" s="1" t="str">
        <f aca="false">IFERROR(VLOOKUP(A375,'Pass 2'!$A:$S,MATCH("Traffic % Change",'Pass 2'!$1:$1,0),FALSE()),"")</f>
        <v/>
      </c>
      <c r="G375" s="1" t="str">
        <f aca="false">IFERROR(VLOOKUP(A375,'Pass 2'!$A:$S,MATCH("Jan 2025 Referring Domains",'Pass 2'!$1:$1,0),FALSE()),"")</f>
        <v/>
      </c>
      <c r="H375" s="1" t="str">
        <f aca="false">IFERROR(VLOOKUP(A375,'Pass 2'!$A:$S,MATCH("Jun 2026 Referring Domains",'Pass 2'!$1:$1,0),FALSE()),"")</f>
        <v/>
      </c>
    </row>
    <row r="376" customFormat="false" ht="15" hidden="false" customHeight="true" outlineLevel="0" collapsed="false">
      <c r="B376" s="1" t="str">
        <f aca="false">IFERROR(VLOOKUP(A376,'Pass 2'!$A:$S,MATCH("Category",'Pass 2'!$1:$1,0),FALSE()),"")</f>
        <v/>
      </c>
      <c r="C376" s="1" t="str">
        <f aca="false">IFERROR(VLOOKUP(A376,'Pass 1 Archive'!$A:$AD,MATCH("LinkedIn Employee Count",'Pass 1 Archive'!$1:$1,0),FALSE()),"")</f>
        <v/>
      </c>
      <c r="D376" s="1" t="str">
        <f aca="false">IFERROR(VLOOKUP(A376,'Pass 2'!$A:$S,MATCH("Jan 2025 Traffic",'Pass 2'!$1:$1,0),FALSE()),"")</f>
        <v/>
      </c>
      <c r="E376" s="1" t="str">
        <f aca="false">IFERROR(VLOOKUP(A376,'Pass 2'!$A:$S,MATCH("Jun 2026 Traffic",'Pass 2'!$1:$1,0),FALSE()),"")</f>
        <v/>
      </c>
      <c r="F376" s="1" t="str">
        <f aca="false">IFERROR(VLOOKUP(A376,'Pass 2'!$A:$S,MATCH("Traffic % Change",'Pass 2'!$1:$1,0),FALSE()),"")</f>
        <v/>
      </c>
      <c r="G376" s="1" t="str">
        <f aca="false">IFERROR(VLOOKUP(A376,'Pass 2'!$A:$S,MATCH("Jan 2025 Referring Domains",'Pass 2'!$1:$1,0),FALSE()),"")</f>
        <v/>
      </c>
      <c r="H376" s="1" t="str">
        <f aca="false">IFERROR(VLOOKUP(A376,'Pass 2'!$A:$S,MATCH("Jun 2026 Referring Domains",'Pass 2'!$1:$1,0),FALSE()),"")</f>
        <v/>
      </c>
    </row>
    <row r="377" customFormat="false" ht="15" hidden="false" customHeight="true" outlineLevel="0" collapsed="false">
      <c r="B377" s="1" t="str">
        <f aca="false">IFERROR(VLOOKUP(A377,'Pass 2'!$A:$S,MATCH("Category",'Pass 2'!$1:$1,0),FALSE()),"")</f>
        <v/>
      </c>
      <c r="C377" s="1" t="str">
        <f aca="false">IFERROR(VLOOKUP(A377,'Pass 1 Archive'!$A:$AD,MATCH("LinkedIn Employee Count",'Pass 1 Archive'!$1:$1,0),FALSE()),"")</f>
        <v/>
      </c>
      <c r="D377" s="1" t="str">
        <f aca="false">IFERROR(VLOOKUP(A377,'Pass 2'!$A:$S,MATCH("Jan 2025 Traffic",'Pass 2'!$1:$1,0),FALSE()),"")</f>
        <v/>
      </c>
      <c r="E377" s="1" t="str">
        <f aca="false">IFERROR(VLOOKUP(A377,'Pass 2'!$A:$S,MATCH("Jun 2026 Traffic",'Pass 2'!$1:$1,0),FALSE()),"")</f>
        <v/>
      </c>
      <c r="F377" s="1" t="str">
        <f aca="false">IFERROR(VLOOKUP(A377,'Pass 2'!$A:$S,MATCH("Traffic % Change",'Pass 2'!$1:$1,0),FALSE()),"")</f>
        <v/>
      </c>
      <c r="G377" s="1" t="str">
        <f aca="false">IFERROR(VLOOKUP(A377,'Pass 2'!$A:$S,MATCH("Jan 2025 Referring Domains",'Pass 2'!$1:$1,0),FALSE()),"")</f>
        <v/>
      </c>
      <c r="H377" s="1" t="str">
        <f aca="false">IFERROR(VLOOKUP(A377,'Pass 2'!$A:$S,MATCH("Jun 2026 Referring Domains",'Pass 2'!$1:$1,0),FALSE()),"")</f>
        <v/>
      </c>
    </row>
    <row r="378" customFormat="false" ht="15" hidden="false" customHeight="true" outlineLevel="0" collapsed="false">
      <c r="B378" s="1" t="str">
        <f aca="false">IFERROR(VLOOKUP(A378,'Pass 2'!$A:$S,MATCH("Category",'Pass 2'!$1:$1,0),FALSE()),"")</f>
        <v/>
      </c>
      <c r="C378" s="1" t="str">
        <f aca="false">IFERROR(VLOOKUP(A378,'Pass 1 Archive'!$A:$AD,MATCH("LinkedIn Employee Count",'Pass 1 Archive'!$1:$1,0),FALSE()),"")</f>
        <v/>
      </c>
      <c r="D378" s="1" t="str">
        <f aca="false">IFERROR(VLOOKUP(A378,'Pass 2'!$A:$S,MATCH("Jan 2025 Traffic",'Pass 2'!$1:$1,0),FALSE()),"")</f>
        <v/>
      </c>
      <c r="E378" s="1" t="str">
        <f aca="false">IFERROR(VLOOKUP(A378,'Pass 2'!$A:$S,MATCH("Jun 2026 Traffic",'Pass 2'!$1:$1,0),FALSE()),"")</f>
        <v/>
      </c>
      <c r="F378" s="1" t="str">
        <f aca="false">IFERROR(VLOOKUP(A378,'Pass 2'!$A:$S,MATCH("Traffic % Change",'Pass 2'!$1:$1,0),FALSE()),"")</f>
        <v/>
      </c>
      <c r="G378" s="1" t="str">
        <f aca="false">IFERROR(VLOOKUP(A378,'Pass 2'!$A:$S,MATCH("Jan 2025 Referring Domains",'Pass 2'!$1:$1,0),FALSE()),"")</f>
        <v/>
      </c>
      <c r="H378" s="1" t="str">
        <f aca="false">IFERROR(VLOOKUP(A378,'Pass 2'!$A:$S,MATCH("Jun 2026 Referring Domains",'Pass 2'!$1:$1,0),FALSE()),"")</f>
        <v/>
      </c>
    </row>
    <row r="379" customFormat="false" ht="15" hidden="false" customHeight="true" outlineLevel="0" collapsed="false">
      <c r="B379" s="1" t="str">
        <f aca="false">IFERROR(VLOOKUP(A379,'Pass 2'!$A:$S,MATCH("Category",'Pass 2'!$1:$1,0),FALSE()),"")</f>
        <v/>
      </c>
      <c r="C379" s="1" t="str">
        <f aca="false">IFERROR(VLOOKUP(A379,'Pass 1 Archive'!$A:$AD,MATCH("LinkedIn Employee Count",'Pass 1 Archive'!$1:$1,0),FALSE()),"")</f>
        <v/>
      </c>
      <c r="D379" s="1" t="str">
        <f aca="false">IFERROR(VLOOKUP(A379,'Pass 2'!$A:$S,MATCH("Jan 2025 Traffic",'Pass 2'!$1:$1,0),FALSE()),"")</f>
        <v/>
      </c>
      <c r="E379" s="1" t="str">
        <f aca="false">IFERROR(VLOOKUP(A379,'Pass 2'!$A:$S,MATCH("Jun 2026 Traffic",'Pass 2'!$1:$1,0),FALSE()),"")</f>
        <v/>
      </c>
      <c r="F379" s="1" t="str">
        <f aca="false">IFERROR(VLOOKUP(A379,'Pass 2'!$A:$S,MATCH("Traffic % Change",'Pass 2'!$1:$1,0),FALSE()),"")</f>
        <v/>
      </c>
      <c r="G379" s="1" t="str">
        <f aca="false">IFERROR(VLOOKUP(A379,'Pass 2'!$A:$S,MATCH("Jan 2025 Referring Domains",'Pass 2'!$1:$1,0),FALSE()),"")</f>
        <v/>
      </c>
      <c r="H379" s="1" t="str">
        <f aca="false">IFERROR(VLOOKUP(A379,'Pass 2'!$A:$S,MATCH("Jun 2026 Referring Domains",'Pass 2'!$1:$1,0),FALSE()),"")</f>
        <v/>
      </c>
    </row>
    <row r="380" customFormat="false" ht="15" hidden="false" customHeight="true" outlineLevel="0" collapsed="false">
      <c r="B380" s="1" t="str">
        <f aca="false">IFERROR(VLOOKUP(A380,'Pass 2'!$A:$S,MATCH("Category",'Pass 2'!$1:$1,0),FALSE()),"")</f>
        <v/>
      </c>
      <c r="C380" s="1" t="str">
        <f aca="false">IFERROR(VLOOKUP(A380,'Pass 1 Archive'!$A:$AD,MATCH("LinkedIn Employee Count",'Pass 1 Archive'!$1:$1,0),FALSE()),"")</f>
        <v/>
      </c>
      <c r="D380" s="1" t="str">
        <f aca="false">IFERROR(VLOOKUP(A380,'Pass 2'!$A:$S,MATCH("Jan 2025 Traffic",'Pass 2'!$1:$1,0),FALSE()),"")</f>
        <v/>
      </c>
      <c r="E380" s="1" t="str">
        <f aca="false">IFERROR(VLOOKUP(A380,'Pass 2'!$A:$S,MATCH("Jun 2026 Traffic",'Pass 2'!$1:$1,0),FALSE()),"")</f>
        <v/>
      </c>
      <c r="F380" s="1" t="str">
        <f aca="false">IFERROR(VLOOKUP(A380,'Pass 2'!$A:$S,MATCH("Traffic % Change",'Pass 2'!$1:$1,0),FALSE()),"")</f>
        <v/>
      </c>
      <c r="G380" s="1" t="str">
        <f aca="false">IFERROR(VLOOKUP(A380,'Pass 2'!$A:$S,MATCH("Jan 2025 Referring Domains",'Pass 2'!$1:$1,0),FALSE()),"")</f>
        <v/>
      </c>
      <c r="H380" s="1" t="str">
        <f aca="false">IFERROR(VLOOKUP(A380,'Pass 2'!$A:$S,MATCH("Jun 2026 Referring Domains",'Pass 2'!$1:$1,0),FALSE()),"")</f>
        <v/>
      </c>
    </row>
    <row r="381" customFormat="false" ht="15" hidden="false" customHeight="true" outlineLevel="0" collapsed="false">
      <c r="B381" s="1" t="str">
        <f aca="false">IFERROR(VLOOKUP(A381,'Pass 2'!$A:$S,MATCH("Category",'Pass 2'!$1:$1,0),FALSE()),"")</f>
        <v/>
      </c>
      <c r="C381" s="1" t="str">
        <f aca="false">IFERROR(VLOOKUP(A381,'Pass 1 Archive'!$A:$AD,MATCH("LinkedIn Employee Count",'Pass 1 Archive'!$1:$1,0),FALSE()),"")</f>
        <v/>
      </c>
      <c r="D381" s="1" t="str">
        <f aca="false">IFERROR(VLOOKUP(A381,'Pass 2'!$A:$S,MATCH("Jan 2025 Traffic",'Pass 2'!$1:$1,0),FALSE()),"")</f>
        <v/>
      </c>
      <c r="E381" s="1" t="str">
        <f aca="false">IFERROR(VLOOKUP(A381,'Pass 2'!$A:$S,MATCH("Jun 2026 Traffic",'Pass 2'!$1:$1,0),FALSE()),"")</f>
        <v/>
      </c>
      <c r="F381" s="1" t="str">
        <f aca="false">IFERROR(VLOOKUP(A381,'Pass 2'!$A:$S,MATCH("Traffic % Change",'Pass 2'!$1:$1,0),FALSE()),"")</f>
        <v/>
      </c>
      <c r="G381" s="1" t="str">
        <f aca="false">IFERROR(VLOOKUP(A381,'Pass 2'!$A:$S,MATCH("Jan 2025 Referring Domains",'Pass 2'!$1:$1,0),FALSE()),"")</f>
        <v/>
      </c>
      <c r="H381" s="1" t="str">
        <f aca="false">IFERROR(VLOOKUP(A381,'Pass 2'!$A:$S,MATCH("Jun 2026 Referring Domains",'Pass 2'!$1:$1,0),FALSE()),"")</f>
        <v/>
      </c>
    </row>
    <row r="382" customFormat="false" ht="15" hidden="false" customHeight="true" outlineLevel="0" collapsed="false">
      <c r="B382" s="1" t="str">
        <f aca="false">IFERROR(VLOOKUP(A382,'Pass 2'!$A:$S,MATCH("Category",'Pass 2'!$1:$1,0),FALSE()),"")</f>
        <v/>
      </c>
      <c r="C382" s="1" t="str">
        <f aca="false">IFERROR(VLOOKUP(A382,'Pass 1 Archive'!$A:$AD,MATCH("LinkedIn Employee Count",'Pass 1 Archive'!$1:$1,0),FALSE()),"")</f>
        <v/>
      </c>
      <c r="D382" s="1" t="str">
        <f aca="false">IFERROR(VLOOKUP(A382,'Pass 2'!$A:$S,MATCH("Jan 2025 Traffic",'Pass 2'!$1:$1,0),FALSE()),"")</f>
        <v/>
      </c>
      <c r="E382" s="1" t="str">
        <f aca="false">IFERROR(VLOOKUP(A382,'Pass 2'!$A:$S,MATCH("Jun 2026 Traffic",'Pass 2'!$1:$1,0),FALSE()),"")</f>
        <v/>
      </c>
      <c r="F382" s="1" t="str">
        <f aca="false">IFERROR(VLOOKUP(A382,'Pass 2'!$A:$S,MATCH("Traffic % Change",'Pass 2'!$1:$1,0),FALSE()),"")</f>
        <v/>
      </c>
      <c r="G382" s="1" t="str">
        <f aca="false">IFERROR(VLOOKUP(A382,'Pass 2'!$A:$S,MATCH("Jan 2025 Referring Domains",'Pass 2'!$1:$1,0),FALSE()),"")</f>
        <v/>
      </c>
      <c r="H382" s="1" t="str">
        <f aca="false">IFERROR(VLOOKUP(A382,'Pass 2'!$A:$S,MATCH("Jun 2026 Referring Domains",'Pass 2'!$1:$1,0),FALSE()),"")</f>
        <v/>
      </c>
    </row>
    <row r="383" customFormat="false" ht="15" hidden="false" customHeight="true" outlineLevel="0" collapsed="false">
      <c r="B383" s="1" t="str">
        <f aca="false">IFERROR(VLOOKUP(A383,'Pass 2'!$A:$S,MATCH("Category",'Pass 2'!$1:$1,0),FALSE()),"")</f>
        <v/>
      </c>
      <c r="C383" s="1" t="str">
        <f aca="false">IFERROR(VLOOKUP(A383,'Pass 1 Archive'!$A:$AD,MATCH("LinkedIn Employee Count",'Pass 1 Archive'!$1:$1,0),FALSE()),"")</f>
        <v/>
      </c>
      <c r="D383" s="1" t="str">
        <f aca="false">IFERROR(VLOOKUP(A383,'Pass 2'!$A:$S,MATCH("Jan 2025 Traffic",'Pass 2'!$1:$1,0),FALSE()),"")</f>
        <v/>
      </c>
      <c r="E383" s="1" t="str">
        <f aca="false">IFERROR(VLOOKUP(A383,'Pass 2'!$A:$S,MATCH("Jun 2026 Traffic",'Pass 2'!$1:$1,0),FALSE()),"")</f>
        <v/>
      </c>
      <c r="F383" s="1" t="str">
        <f aca="false">IFERROR(VLOOKUP(A383,'Pass 2'!$A:$S,MATCH("Traffic % Change",'Pass 2'!$1:$1,0),FALSE()),"")</f>
        <v/>
      </c>
      <c r="G383" s="1" t="str">
        <f aca="false">IFERROR(VLOOKUP(A383,'Pass 2'!$A:$S,MATCH("Jan 2025 Referring Domains",'Pass 2'!$1:$1,0),FALSE()),"")</f>
        <v/>
      </c>
      <c r="H383" s="1" t="str">
        <f aca="false">IFERROR(VLOOKUP(A383,'Pass 2'!$A:$S,MATCH("Jun 2026 Referring Domains",'Pass 2'!$1:$1,0),FALSE()),"")</f>
        <v/>
      </c>
    </row>
    <row r="384" customFormat="false" ht="15" hidden="false" customHeight="true" outlineLevel="0" collapsed="false">
      <c r="B384" s="1" t="str">
        <f aca="false">IFERROR(VLOOKUP(A384,'Pass 2'!$A:$S,MATCH("Category",'Pass 2'!$1:$1,0),FALSE()),"")</f>
        <v/>
      </c>
      <c r="C384" s="1" t="str">
        <f aca="false">IFERROR(VLOOKUP(A384,'Pass 1 Archive'!$A:$AD,MATCH("LinkedIn Employee Count",'Pass 1 Archive'!$1:$1,0),FALSE()),"")</f>
        <v/>
      </c>
      <c r="D384" s="1" t="str">
        <f aca="false">IFERROR(VLOOKUP(A384,'Pass 2'!$A:$S,MATCH("Jan 2025 Traffic",'Pass 2'!$1:$1,0),FALSE()),"")</f>
        <v/>
      </c>
      <c r="E384" s="1" t="str">
        <f aca="false">IFERROR(VLOOKUP(A384,'Pass 2'!$A:$S,MATCH("Jun 2026 Traffic",'Pass 2'!$1:$1,0),FALSE()),"")</f>
        <v/>
      </c>
      <c r="F384" s="1" t="str">
        <f aca="false">IFERROR(VLOOKUP(A384,'Pass 2'!$A:$S,MATCH("Traffic % Change",'Pass 2'!$1:$1,0),FALSE()),"")</f>
        <v/>
      </c>
      <c r="G384" s="1" t="str">
        <f aca="false">IFERROR(VLOOKUP(A384,'Pass 2'!$A:$S,MATCH("Jan 2025 Referring Domains",'Pass 2'!$1:$1,0),FALSE()),"")</f>
        <v/>
      </c>
      <c r="H384" s="1" t="str">
        <f aca="false">IFERROR(VLOOKUP(A384,'Pass 2'!$A:$S,MATCH("Jun 2026 Referring Domains",'Pass 2'!$1:$1,0),FALSE()),"")</f>
        <v/>
      </c>
    </row>
    <row r="385" customFormat="false" ht="15" hidden="false" customHeight="true" outlineLevel="0" collapsed="false">
      <c r="B385" s="1" t="str">
        <f aca="false">IFERROR(VLOOKUP(A385,'Pass 2'!$A:$S,MATCH("Category",'Pass 2'!$1:$1,0),FALSE()),"")</f>
        <v/>
      </c>
      <c r="C385" s="1" t="str">
        <f aca="false">IFERROR(VLOOKUP(A385,'Pass 1 Archive'!$A:$AD,MATCH("LinkedIn Employee Count",'Pass 1 Archive'!$1:$1,0),FALSE()),"")</f>
        <v/>
      </c>
      <c r="D385" s="1" t="str">
        <f aca="false">IFERROR(VLOOKUP(A385,'Pass 2'!$A:$S,MATCH("Jan 2025 Traffic",'Pass 2'!$1:$1,0),FALSE()),"")</f>
        <v/>
      </c>
      <c r="E385" s="1" t="str">
        <f aca="false">IFERROR(VLOOKUP(A385,'Pass 2'!$A:$S,MATCH("Jun 2026 Traffic",'Pass 2'!$1:$1,0),FALSE()),"")</f>
        <v/>
      </c>
      <c r="F385" s="1" t="str">
        <f aca="false">IFERROR(VLOOKUP(A385,'Pass 2'!$A:$S,MATCH("Traffic % Change",'Pass 2'!$1:$1,0),FALSE()),"")</f>
        <v/>
      </c>
      <c r="G385" s="1" t="str">
        <f aca="false">IFERROR(VLOOKUP(A385,'Pass 2'!$A:$S,MATCH("Jan 2025 Referring Domains",'Pass 2'!$1:$1,0),FALSE()),"")</f>
        <v/>
      </c>
      <c r="H385" s="1" t="str">
        <f aca="false">IFERROR(VLOOKUP(A385,'Pass 2'!$A:$S,MATCH("Jun 2026 Referring Domains",'Pass 2'!$1:$1,0),FALSE()),"")</f>
        <v/>
      </c>
    </row>
    <row r="386" customFormat="false" ht="15" hidden="false" customHeight="true" outlineLevel="0" collapsed="false">
      <c r="B386" s="1" t="str">
        <f aca="false">IFERROR(VLOOKUP(A386,'Pass 2'!$A:$S,MATCH("Category",'Pass 2'!$1:$1,0),FALSE()),"")</f>
        <v/>
      </c>
      <c r="C386" s="1" t="str">
        <f aca="false">IFERROR(VLOOKUP(A386,'Pass 1 Archive'!$A:$AD,MATCH("LinkedIn Employee Count",'Pass 1 Archive'!$1:$1,0),FALSE()),"")</f>
        <v/>
      </c>
      <c r="D386" s="1" t="str">
        <f aca="false">IFERROR(VLOOKUP(A386,'Pass 2'!$A:$S,MATCH("Jan 2025 Traffic",'Pass 2'!$1:$1,0),FALSE()),"")</f>
        <v/>
      </c>
      <c r="E386" s="1" t="str">
        <f aca="false">IFERROR(VLOOKUP(A386,'Pass 2'!$A:$S,MATCH("Jun 2026 Traffic",'Pass 2'!$1:$1,0),FALSE()),"")</f>
        <v/>
      </c>
      <c r="F386" s="1" t="str">
        <f aca="false">IFERROR(VLOOKUP(A386,'Pass 2'!$A:$S,MATCH("Traffic % Change",'Pass 2'!$1:$1,0),FALSE()),"")</f>
        <v/>
      </c>
      <c r="G386" s="1" t="str">
        <f aca="false">IFERROR(VLOOKUP(A386,'Pass 2'!$A:$S,MATCH("Jan 2025 Referring Domains",'Pass 2'!$1:$1,0),FALSE()),"")</f>
        <v/>
      </c>
      <c r="H386" s="1" t="str">
        <f aca="false">IFERROR(VLOOKUP(A386,'Pass 2'!$A:$S,MATCH("Jun 2026 Referring Domains",'Pass 2'!$1:$1,0),FALSE()),"")</f>
        <v/>
      </c>
    </row>
    <row r="387" customFormat="false" ht="15" hidden="false" customHeight="true" outlineLevel="0" collapsed="false">
      <c r="B387" s="1" t="str">
        <f aca="false">IFERROR(VLOOKUP(A387,'Pass 2'!$A:$S,MATCH("Category",'Pass 2'!$1:$1,0),FALSE()),"")</f>
        <v/>
      </c>
      <c r="C387" s="1" t="str">
        <f aca="false">IFERROR(VLOOKUP(A387,'Pass 1 Archive'!$A:$AD,MATCH("LinkedIn Employee Count",'Pass 1 Archive'!$1:$1,0),FALSE()),"")</f>
        <v/>
      </c>
      <c r="D387" s="1" t="str">
        <f aca="false">IFERROR(VLOOKUP(A387,'Pass 2'!$A:$S,MATCH("Jan 2025 Traffic",'Pass 2'!$1:$1,0),FALSE()),"")</f>
        <v/>
      </c>
      <c r="E387" s="1" t="str">
        <f aca="false">IFERROR(VLOOKUP(A387,'Pass 2'!$A:$S,MATCH("Jun 2026 Traffic",'Pass 2'!$1:$1,0),FALSE()),"")</f>
        <v/>
      </c>
      <c r="F387" s="1" t="str">
        <f aca="false">IFERROR(VLOOKUP(A387,'Pass 2'!$A:$S,MATCH("Traffic % Change",'Pass 2'!$1:$1,0),FALSE()),"")</f>
        <v/>
      </c>
      <c r="G387" s="1" t="str">
        <f aca="false">IFERROR(VLOOKUP(A387,'Pass 2'!$A:$S,MATCH("Jan 2025 Referring Domains",'Pass 2'!$1:$1,0),FALSE()),"")</f>
        <v/>
      </c>
      <c r="H387" s="1" t="str">
        <f aca="false">IFERROR(VLOOKUP(A387,'Pass 2'!$A:$S,MATCH("Jun 2026 Referring Domains",'Pass 2'!$1:$1,0),FALSE()),"")</f>
        <v/>
      </c>
    </row>
    <row r="388" customFormat="false" ht="15" hidden="false" customHeight="true" outlineLevel="0" collapsed="false">
      <c r="B388" s="1" t="str">
        <f aca="false">IFERROR(VLOOKUP(A388,'Pass 2'!$A:$S,MATCH("Category",'Pass 2'!$1:$1,0),FALSE()),"")</f>
        <v/>
      </c>
      <c r="C388" s="1" t="str">
        <f aca="false">IFERROR(VLOOKUP(A388,'Pass 1 Archive'!$A:$AD,MATCH("LinkedIn Employee Count",'Pass 1 Archive'!$1:$1,0),FALSE()),"")</f>
        <v/>
      </c>
      <c r="D388" s="1" t="str">
        <f aca="false">IFERROR(VLOOKUP(A388,'Pass 2'!$A:$S,MATCH("Jan 2025 Traffic",'Pass 2'!$1:$1,0),FALSE()),"")</f>
        <v/>
      </c>
      <c r="E388" s="1" t="str">
        <f aca="false">IFERROR(VLOOKUP(A388,'Pass 2'!$A:$S,MATCH("Jun 2026 Traffic",'Pass 2'!$1:$1,0),FALSE()),"")</f>
        <v/>
      </c>
      <c r="F388" s="1" t="str">
        <f aca="false">IFERROR(VLOOKUP(A388,'Pass 2'!$A:$S,MATCH("Traffic % Change",'Pass 2'!$1:$1,0),FALSE()),"")</f>
        <v/>
      </c>
      <c r="G388" s="1" t="str">
        <f aca="false">IFERROR(VLOOKUP(A388,'Pass 2'!$A:$S,MATCH("Jan 2025 Referring Domains",'Pass 2'!$1:$1,0),FALSE()),"")</f>
        <v/>
      </c>
      <c r="H388" s="1" t="str">
        <f aca="false">IFERROR(VLOOKUP(A388,'Pass 2'!$A:$S,MATCH("Jun 2026 Referring Domains",'Pass 2'!$1:$1,0),FALSE()),"")</f>
        <v/>
      </c>
    </row>
    <row r="389" customFormat="false" ht="15" hidden="false" customHeight="true" outlineLevel="0" collapsed="false">
      <c r="B389" s="1" t="str">
        <f aca="false">IFERROR(VLOOKUP(A389,'Pass 2'!$A:$S,MATCH("Category",'Pass 2'!$1:$1,0),FALSE()),"")</f>
        <v/>
      </c>
      <c r="C389" s="1" t="str">
        <f aca="false">IFERROR(VLOOKUP(A389,'Pass 1 Archive'!$A:$AD,MATCH("LinkedIn Employee Count",'Pass 1 Archive'!$1:$1,0),FALSE()),"")</f>
        <v/>
      </c>
      <c r="D389" s="1" t="str">
        <f aca="false">IFERROR(VLOOKUP(A389,'Pass 2'!$A:$S,MATCH("Jan 2025 Traffic",'Pass 2'!$1:$1,0),FALSE()),"")</f>
        <v/>
      </c>
      <c r="E389" s="1" t="str">
        <f aca="false">IFERROR(VLOOKUP(A389,'Pass 2'!$A:$S,MATCH("Jun 2026 Traffic",'Pass 2'!$1:$1,0),FALSE()),"")</f>
        <v/>
      </c>
      <c r="F389" s="1" t="str">
        <f aca="false">IFERROR(VLOOKUP(A389,'Pass 2'!$A:$S,MATCH("Traffic % Change",'Pass 2'!$1:$1,0),FALSE()),"")</f>
        <v/>
      </c>
      <c r="G389" s="1" t="str">
        <f aca="false">IFERROR(VLOOKUP(A389,'Pass 2'!$A:$S,MATCH("Jan 2025 Referring Domains",'Pass 2'!$1:$1,0),FALSE()),"")</f>
        <v/>
      </c>
      <c r="H389" s="1" t="str">
        <f aca="false">IFERROR(VLOOKUP(A389,'Pass 2'!$A:$S,MATCH("Jun 2026 Referring Domains",'Pass 2'!$1:$1,0),FALSE()),"")</f>
        <v/>
      </c>
    </row>
    <row r="390" customFormat="false" ht="15" hidden="false" customHeight="true" outlineLevel="0" collapsed="false">
      <c r="B390" s="1" t="str">
        <f aca="false">IFERROR(VLOOKUP(A390,'Pass 2'!$A:$S,MATCH("Category",'Pass 2'!$1:$1,0),FALSE()),"")</f>
        <v/>
      </c>
      <c r="C390" s="1" t="str">
        <f aca="false">IFERROR(VLOOKUP(A390,'Pass 1 Archive'!$A:$AD,MATCH("LinkedIn Employee Count",'Pass 1 Archive'!$1:$1,0),FALSE()),"")</f>
        <v/>
      </c>
      <c r="D390" s="1" t="str">
        <f aca="false">IFERROR(VLOOKUP(A390,'Pass 2'!$A:$S,MATCH("Jan 2025 Traffic",'Pass 2'!$1:$1,0),FALSE()),"")</f>
        <v/>
      </c>
      <c r="E390" s="1" t="str">
        <f aca="false">IFERROR(VLOOKUP(A390,'Pass 2'!$A:$S,MATCH("Jun 2026 Traffic",'Pass 2'!$1:$1,0),FALSE()),"")</f>
        <v/>
      </c>
      <c r="F390" s="1" t="str">
        <f aca="false">IFERROR(VLOOKUP(A390,'Pass 2'!$A:$S,MATCH("Traffic % Change",'Pass 2'!$1:$1,0),FALSE()),"")</f>
        <v/>
      </c>
      <c r="G390" s="1" t="str">
        <f aca="false">IFERROR(VLOOKUP(A390,'Pass 2'!$A:$S,MATCH("Jan 2025 Referring Domains",'Pass 2'!$1:$1,0),FALSE()),"")</f>
        <v/>
      </c>
      <c r="H390" s="1" t="str">
        <f aca="false">IFERROR(VLOOKUP(A390,'Pass 2'!$A:$S,MATCH("Jun 2026 Referring Domains",'Pass 2'!$1:$1,0),FALSE()),"")</f>
        <v/>
      </c>
    </row>
    <row r="391" customFormat="false" ht="15" hidden="false" customHeight="true" outlineLevel="0" collapsed="false">
      <c r="B391" s="1" t="str">
        <f aca="false">IFERROR(VLOOKUP(A391,'Pass 2'!$A:$S,MATCH("Category",'Pass 2'!$1:$1,0),FALSE()),"")</f>
        <v/>
      </c>
      <c r="C391" s="1" t="str">
        <f aca="false">IFERROR(VLOOKUP(A391,'Pass 1 Archive'!$A:$AD,MATCH("LinkedIn Employee Count",'Pass 1 Archive'!$1:$1,0),FALSE()),"")</f>
        <v/>
      </c>
      <c r="D391" s="1" t="str">
        <f aca="false">IFERROR(VLOOKUP(A391,'Pass 2'!$A:$S,MATCH("Jan 2025 Traffic",'Pass 2'!$1:$1,0),FALSE()),"")</f>
        <v/>
      </c>
      <c r="E391" s="1" t="str">
        <f aca="false">IFERROR(VLOOKUP(A391,'Pass 2'!$A:$S,MATCH("Jun 2026 Traffic",'Pass 2'!$1:$1,0),FALSE()),"")</f>
        <v/>
      </c>
      <c r="F391" s="1" t="str">
        <f aca="false">IFERROR(VLOOKUP(A391,'Pass 2'!$A:$S,MATCH("Traffic % Change",'Pass 2'!$1:$1,0),FALSE()),"")</f>
        <v/>
      </c>
      <c r="G391" s="1" t="str">
        <f aca="false">IFERROR(VLOOKUP(A391,'Pass 2'!$A:$S,MATCH("Jan 2025 Referring Domains",'Pass 2'!$1:$1,0),FALSE()),"")</f>
        <v/>
      </c>
      <c r="H391" s="1" t="str">
        <f aca="false">IFERROR(VLOOKUP(A391,'Pass 2'!$A:$S,MATCH("Jun 2026 Referring Domains",'Pass 2'!$1:$1,0),FALSE()),"")</f>
        <v/>
      </c>
    </row>
    <row r="392" customFormat="false" ht="15" hidden="false" customHeight="true" outlineLevel="0" collapsed="false">
      <c r="B392" s="1" t="str">
        <f aca="false">IFERROR(VLOOKUP(A392,'Pass 2'!$A:$S,MATCH("Category",'Pass 2'!$1:$1,0),FALSE()),"")</f>
        <v/>
      </c>
      <c r="C392" s="1" t="str">
        <f aca="false">IFERROR(VLOOKUP(A392,'Pass 1 Archive'!$A:$AD,MATCH("LinkedIn Employee Count",'Pass 1 Archive'!$1:$1,0),FALSE()),"")</f>
        <v/>
      </c>
      <c r="D392" s="1" t="str">
        <f aca="false">IFERROR(VLOOKUP(A392,'Pass 2'!$A:$S,MATCH("Jan 2025 Traffic",'Pass 2'!$1:$1,0),FALSE()),"")</f>
        <v/>
      </c>
      <c r="E392" s="1" t="str">
        <f aca="false">IFERROR(VLOOKUP(A392,'Pass 2'!$A:$S,MATCH("Jun 2026 Traffic",'Pass 2'!$1:$1,0),FALSE()),"")</f>
        <v/>
      </c>
      <c r="F392" s="1" t="str">
        <f aca="false">IFERROR(VLOOKUP(A392,'Pass 2'!$A:$S,MATCH("Traffic % Change",'Pass 2'!$1:$1,0),FALSE()),"")</f>
        <v/>
      </c>
      <c r="G392" s="1" t="str">
        <f aca="false">IFERROR(VLOOKUP(A392,'Pass 2'!$A:$S,MATCH("Jan 2025 Referring Domains",'Pass 2'!$1:$1,0),FALSE()),"")</f>
        <v/>
      </c>
      <c r="H392" s="1" t="str">
        <f aca="false">IFERROR(VLOOKUP(A392,'Pass 2'!$A:$S,MATCH("Jun 2026 Referring Domains",'Pass 2'!$1:$1,0),FALSE()),"")</f>
        <v/>
      </c>
    </row>
    <row r="393" customFormat="false" ht="15" hidden="false" customHeight="true" outlineLevel="0" collapsed="false">
      <c r="B393" s="1" t="str">
        <f aca="false">IFERROR(VLOOKUP(A393,'Pass 2'!$A:$S,MATCH("Category",'Pass 2'!$1:$1,0),FALSE()),"")</f>
        <v/>
      </c>
      <c r="C393" s="1" t="str">
        <f aca="false">IFERROR(VLOOKUP(A393,'Pass 1 Archive'!$A:$AD,MATCH("LinkedIn Employee Count",'Pass 1 Archive'!$1:$1,0),FALSE()),"")</f>
        <v/>
      </c>
      <c r="D393" s="1" t="str">
        <f aca="false">IFERROR(VLOOKUP(A393,'Pass 2'!$A:$S,MATCH("Jan 2025 Traffic",'Pass 2'!$1:$1,0),FALSE()),"")</f>
        <v/>
      </c>
      <c r="E393" s="1" t="str">
        <f aca="false">IFERROR(VLOOKUP(A393,'Pass 2'!$A:$S,MATCH("Jun 2026 Traffic",'Pass 2'!$1:$1,0),FALSE()),"")</f>
        <v/>
      </c>
      <c r="F393" s="1" t="str">
        <f aca="false">IFERROR(VLOOKUP(A393,'Pass 2'!$A:$S,MATCH("Traffic % Change",'Pass 2'!$1:$1,0),FALSE()),"")</f>
        <v/>
      </c>
      <c r="G393" s="1" t="str">
        <f aca="false">IFERROR(VLOOKUP(A393,'Pass 2'!$A:$S,MATCH("Jan 2025 Referring Domains",'Pass 2'!$1:$1,0),FALSE()),"")</f>
        <v/>
      </c>
      <c r="H393" s="1" t="str">
        <f aca="false">IFERROR(VLOOKUP(A393,'Pass 2'!$A:$S,MATCH("Jun 2026 Referring Domains",'Pass 2'!$1:$1,0),FALSE()),"")</f>
        <v/>
      </c>
    </row>
    <row r="394" customFormat="false" ht="15" hidden="false" customHeight="true" outlineLevel="0" collapsed="false">
      <c r="B394" s="1" t="str">
        <f aca="false">IFERROR(VLOOKUP(A394,'Pass 2'!$A:$S,MATCH("Category",'Pass 2'!$1:$1,0),FALSE()),"")</f>
        <v/>
      </c>
      <c r="C394" s="1" t="str">
        <f aca="false">IFERROR(VLOOKUP(A394,'Pass 1 Archive'!$A:$AD,MATCH("LinkedIn Employee Count",'Pass 1 Archive'!$1:$1,0),FALSE()),"")</f>
        <v/>
      </c>
      <c r="D394" s="1" t="str">
        <f aca="false">IFERROR(VLOOKUP(A394,'Pass 2'!$A:$S,MATCH("Jan 2025 Traffic",'Pass 2'!$1:$1,0),FALSE()),"")</f>
        <v/>
      </c>
      <c r="E394" s="1" t="str">
        <f aca="false">IFERROR(VLOOKUP(A394,'Pass 2'!$A:$S,MATCH("Jun 2026 Traffic",'Pass 2'!$1:$1,0),FALSE()),"")</f>
        <v/>
      </c>
      <c r="F394" s="1" t="str">
        <f aca="false">IFERROR(VLOOKUP(A394,'Pass 2'!$A:$S,MATCH("Traffic % Change",'Pass 2'!$1:$1,0),FALSE()),"")</f>
        <v/>
      </c>
      <c r="G394" s="1" t="str">
        <f aca="false">IFERROR(VLOOKUP(A394,'Pass 2'!$A:$S,MATCH("Jan 2025 Referring Domains",'Pass 2'!$1:$1,0),FALSE()),"")</f>
        <v/>
      </c>
      <c r="H394" s="1" t="str">
        <f aca="false">IFERROR(VLOOKUP(A394,'Pass 2'!$A:$S,MATCH("Jun 2026 Referring Domains",'Pass 2'!$1:$1,0),FALSE()),"")</f>
        <v/>
      </c>
    </row>
    <row r="395" customFormat="false" ht="15" hidden="false" customHeight="true" outlineLevel="0" collapsed="false">
      <c r="B395" s="1" t="str">
        <f aca="false">IFERROR(VLOOKUP(A395,'Pass 2'!$A:$S,MATCH("Category",'Pass 2'!$1:$1,0),FALSE()),"")</f>
        <v/>
      </c>
      <c r="C395" s="1" t="str">
        <f aca="false">IFERROR(VLOOKUP(A395,'Pass 1 Archive'!$A:$AD,MATCH("LinkedIn Employee Count",'Pass 1 Archive'!$1:$1,0),FALSE()),"")</f>
        <v/>
      </c>
      <c r="D395" s="1" t="str">
        <f aca="false">IFERROR(VLOOKUP(A395,'Pass 2'!$A:$S,MATCH("Jan 2025 Traffic",'Pass 2'!$1:$1,0),FALSE()),"")</f>
        <v/>
      </c>
      <c r="E395" s="1" t="str">
        <f aca="false">IFERROR(VLOOKUP(A395,'Pass 2'!$A:$S,MATCH("Jun 2026 Traffic",'Pass 2'!$1:$1,0),FALSE()),"")</f>
        <v/>
      </c>
      <c r="F395" s="1" t="str">
        <f aca="false">IFERROR(VLOOKUP(A395,'Pass 2'!$A:$S,MATCH("Traffic % Change",'Pass 2'!$1:$1,0),FALSE()),"")</f>
        <v/>
      </c>
      <c r="G395" s="1" t="str">
        <f aca="false">IFERROR(VLOOKUP(A395,'Pass 2'!$A:$S,MATCH("Jan 2025 Referring Domains",'Pass 2'!$1:$1,0),FALSE()),"")</f>
        <v/>
      </c>
      <c r="H395" s="1" t="str">
        <f aca="false">IFERROR(VLOOKUP(A395,'Pass 2'!$A:$S,MATCH("Jun 2026 Referring Domains",'Pass 2'!$1:$1,0),FALSE()),"")</f>
        <v/>
      </c>
    </row>
    <row r="396" customFormat="false" ht="15" hidden="false" customHeight="true" outlineLevel="0" collapsed="false">
      <c r="B396" s="1" t="str">
        <f aca="false">IFERROR(VLOOKUP(A396,'Pass 2'!$A:$S,MATCH("Category",'Pass 2'!$1:$1,0),FALSE()),"")</f>
        <v/>
      </c>
      <c r="C396" s="1" t="str">
        <f aca="false">IFERROR(VLOOKUP(A396,'Pass 1 Archive'!$A:$AD,MATCH("LinkedIn Employee Count",'Pass 1 Archive'!$1:$1,0),FALSE()),"")</f>
        <v/>
      </c>
      <c r="D396" s="1" t="str">
        <f aca="false">IFERROR(VLOOKUP(A396,'Pass 2'!$A:$S,MATCH("Jan 2025 Traffic",'Pass 2'!$1:$1,0),FALSE()),"")</f>
        <v/>
      </c>
      <c r="E396" s="1" t="str">
        <f aca="false">IFERROR(VLOOKUP(A396,'Pass 2'!$A:$S,MATCH("Jun 2026 Traffic",'Pass 2'!$1:$1,0),FALSE()),"")</f>
        <v/>
      </c>
      <c r="F396" s="1" t="str">
        <f aca="false">IFERROR(VLOOKUP(A396,'Pass 2'!$A:$S,MATCH("Traffic % Change",'Pass 2'!$1:$1,0),FALSE()),"")</f>
        <v/>
      </c>
      <c r="G396" s="1" t="str">
        <f aca="false">IFERROR(VLOOKUP(A396,'Pass 2'!$A:$S,MATCH("Jan 2025 Referring Domains",'Pass 2'!$1:$1,0),FALSE()),"")</f>
        <v/>
      </c>
      <c r="H396" s="1" t="str">
        <f aca="false">IFERROR(VLOOKUP(A396,'Pass 2'!$A:$S,MATCH("Jun 2026 Referring Domains",'Pass 2'!$1:$1,0),FALSE()),"")</f>
        <v/>
      </c>
    </row>
    <row r="397" customFormat="false" ht="15" hidden="false" customHeight="true" outlineLevel="0" collapsed="false">
      <c r="B397" s="1" t="str">
        <f aca="false">IFERROR(VLOOKUP(A397,'Pass 2'!$A:$S,MATCH("Category",'Pass 2'!$1:$1,0),FALSE()),"")</f>
        <v/>
      </c>
      <c r="C397" s="1" t="str">
        <f aca="false">IFERROR(VLOOKUP(A397,'Pass 1 Archive'!$A:$AD,MATCH("LinkedIn Employee Count",'Pass 1 Archive'!$1:$1,0),FALSE()),"")</f>
        <v/>
      </c>
      <c r="D397" s="1" t="str">
        <f aca="false">IFERROR(VLOOKUP(A397,'Pass 2'!$A:$S,MATCH("Jan 2025 Traffic",'Pass 2'!$1:$1,0),FALSE()),"")</f>
        <v/>
      </c>
      <c r="E397" s="1" t="str">
        <f aca="false">IFERROR(VLOOKUP(A397,'Pass 2'!$A:$S,MATCH("Jun 2026 Traffic",'Pass 2'!$1:$1,0),FALSE()),"")</f>
        <v/>
      </c>
      <c r="F397" s="1" t="str">
        <f aca="false">IFERROR(VLOOKUP(A397,'Pass 2'!$A:$S,MATCH("Traffic % Change",'Pass 2'!$1:$1,0),FALSE()),"")</f>
        <v/>
      </c>
      <c r="G397" s="1" t="str">
        <f aca="false">IFERROR(VLOOKUP(A397,'Pass 2'!$A:$S,MATCH("Jan 2025 Referring Domains",'Pass 2'!$1:$1,0),FALSE()),"")</f>
        <v/>
      </c>
      <c r="H397" s="1" t="str">
        <f aca="false">IFERROR(VLOOKUP(A397,'Pass 2'!$A:$S,MATCH("Jun 2026 Referring Domains",'Pass 2'!$1:$1,0),FALSE()),"")</f>
        <v/>
      </c>
    </row>
    <row r="398" customFormat="false" ht="15" hidden="false" customHeight="true" outlineLevel="0" collapsed="false">
      <c r="B398" s="1" t="str">
        <f aca="false">IFERROR(VLOOKUP(A398,'Pass 2'!$A:$S,MATCH("Category",'Pass 2'!$1:$1,0),FALSE()),"")</f>
        <v/>
      </c>
      <c r="C398" s="1" t="str">
        <f aca="false">IFERROR(VLOOKUP(A398,'Pass 1 Archive'!$A:$AD,MATCH("LinkedIn Employee Count",'Pass 1 Archive'!$1:$1,0),FALSE()),"")</f>
        <v/>
      </c>
      <c r="D398" s="1" t="str">
        <f aca="false">IFERROR(VLOOKUP(A398,'Pass 2'!$A:$S,MATCH("Jan 2025 Traffic",'Pass 2'!$1:$1,0),FALSE()),"")</f>
        <v/>
      </c>
      <c r="E398" s="1" t="str">
        <f aca="false">IFERROR(VLOOKUP(A398,'Pass 2'!$A:$S,MATCH("Jun 2026 Traffic",'Pass 2'!$1:$1,0),FALSE()),"")</f>
        <v/>
      </c>
      <c r="F398" s="1" t="str">
        <f aca="false">IFERROR(VLOOKUP(A398,'Pass 2'!$A:$S,MATCH("Traffic % Change",'Pass 2'!$1:$1,0),FALSE()),"")</f>
        <v/>
      </c>
      <c r="G398" s="1" t="str">
        <f aca="false">IFERROR(VLOOKUP(A398,'Pass 2'!$A:$S,MATCH("Jan 2025 Referring Domains",'Pass 2'!$1:$1,0),FALSE()),"")</f>
        <v/>
      </c>
      <c r="H398" s="1" t="str">
        <f aca="false">IFERROR(VLOOKUP(A398,'Pass 2'!$A:$S,MATCH("Jun 2026 Referring Domains",'Pass 2'!$1:$1,0),FALSE()),"")</f>
        <v/>
      </c>
    </row>
    <row r="399" customFormat="false" ht="15" hidden="false" customHeight="true" outlineLevel="0" collapsed="false">
      <c r="B399" s="1" t="str">
        <f aca="false">IFERROR(VLOOKUP(A399,'Pass 2'!$A:$S,MATCH("Category",'Pass 2'!$1:$1,0),FALSE()),"")</f>
        <v/>
      </c>
      <c r="C399" s="1" t="str">
        <f aca="false">IFERROR(VLOOKUP(A399,'Pass 1 Archive'!$A:$AD,MATCH("LinkedIn Employee Count",'Pass 1 Archive'!$1:$1,0),FALSE()),"")</f>
        <v/>
      </c>
      <c r="D399" s="1" t="str">
        <f aca="false">IFERROR(VLOOKUP(A399,'Pass 2'!$A:$S,MATCH("Jan 2025 Traffic",'Pass 2'!$1:$1,0),FALSE()),"")</f>
        <v/>
      </c>
      <c r="E399" s="1" t="str">
        <f aca="false">IFERROR(VLOOKUP(A399,'Pass 2'!$A:$S,MATCH("Jun 2026 Traffic",'Pass 2'!$1:$1,0),FALSE()),"")</f>
        <v/>
      </c>
      <c r="F399" s="1" t="str">
        <f aca="false">IFERROR(VLOOKUP(A399,'Pass 2'!$A:$S,MATCH("Traffic % Change",'Pass 2'!$1:$1,0),FALSE()),"")</f>
        <v/>
      </c>
      <c r="G399" s="1" t="str">
        <f aca="false">IFERROR(VLOOKUP(A399,'Pass 2'!$A:$S,MATCH("Jan 2025 Referring Domains",'Pass 2'!$1:$1,0),FALSE()),"")</f>
        <v/>
      </c>
      <c r="H399" s="1" t="str">
        <f aca="false">IFERROR(VLOOKUP(A399,'Pass 2'!$A:$S,MATCH("Jun 2026 Referring Domains",'Pass 2'!$1:$1,0),FALSE()),"")</f>
        <v/>
      </c>
    </row>
    <row r="400" customFormat="false" ht="15" hidden="false" customHeight="true" outlineLevel="0" collapsed="false">
      <c r="B400" s="1" t="str">
        <f aca="false">IFERROR(VLOOKUP(A400,'Pass 2'!$A:$S,MATCH("Category",'Pass 2'!$1:$1,0),FALSE()),"")</f>
        <v/>
      </c>
      <c r="C400" s="1" t="str">
        <f aca="false">IFERROR(VLOOKUP(A400,'Pass 1 Archive'!$A:$AD,MATCH("LinkedIn Employee Count",'Pass 1 Archive'!$1:$1,0),FALSE()),"")</f>
        <v/>
      </c>
      <c r="D400" s="1" t="str">
        <f aca="false">IFERROR(VLOOKUP(A400,'Pass 2'!$A:$S,MATCH("Jan 2025 Traffic",'Pass 2'!$1:$1,0),FALSE()),"")</f>
        <v/>
      </c>
      <c r="E400" s="1" t="str">
        <f aca="false">IFERROR(VLOOKUP(A400,'Pass 2'!$A:$S,MATCH("Jun 2026 Traffic",'Pass 2'!$1:$1,0),FALSE()),"")</f>
        <v/>
      </c>
      <c r="F400" s="1" t="str">
        <f aca="false">IFERROR(VLOOKUP(A400,'Pass 2'!$A:$S,MATCH("Traffic % Change",'Pass 2'!$1:$1,0),FALSE()),"")</f>
        <v/>
      </c>
      <c r="G400" s="1" t="str">
        <f aca="false">IFERROR(VLOOKUP(A400,'Pass 2'!$A:$S,MATCH("Jan 2025 Referring Domains",'Pass 2'!$1:$1,0),FALSE()),"")</f>
        <v/>
      </c>
      <c r="H400" s="1" t="str">
        <f aca="false">IFERROR(VLOOKUP(A400,'Pass 2'!$A:$S,MATCH("Jun 2026 Referring Domains",'Pass 2'!$1:$1,0),FALSE()),"")</f>
        <v/>
      </c>
    </row>
    <row r="401" customFormat="false" ht="15" hidden="false" customHeight="true" outlineLevel="0" collapsed="false">
      <c r="B401" s="1" t="str">
        <f aca="false">IFERROR(VLOOKUP(A401,'Pass 2'!$A:$S,MATCH("Category",'Pass 2'!$1:$1,0),FALSE()),"")</f>
        <v/>
      </c>
      <c r="C401" s="1" t="str">
        <f aca="false">IFERROR(VLOOKUP(A401,'Pass 1 Archive'!$A:$AD,MATCH("LinkedIn Employee Count",'Pass 1 Archive'!$1:$1,0),FALSE()),"")</f>
        <v/>
      </c>
      <c r="D401" s="1" t="str">
        <f aca="false">IFERROR(VLOOKUP(A401,'Pass 2'!$A:$S,MATCH("Jan 2025 Traffic",'Pass 2'!$1:$1,0),FALSE()),"")</f>
        <v/>
      </c>
      <c r="E401" s="1" t="str">
        <f aca="false">IFERROR(VLOOKUP(A401,'Pass 2'!$A:$S,MATCH("Jun 2026 Traffic",'Pass 2'!$1:$1,0),FALSE()),"")</f>
        <v/>
      </c>
      <c r="F401" s="1" t="str">
        <f aca="false">IFERROR(VLOOKUP(A401,'Pass 2'!$A:$S,MATCH("Traffic % Change",'Pass 2'!$1:$1,0),FALSE()),"")</f>
        <v/>
      </c>
      <c r="G401" s="1" t="str">
        <f aca="false">IFERROR(VLOOKUP(A401,'Pass 2'!$A:$S,MATCH("Jan 2025 Referring Domains",'Pass 2'!$1:$1,0),FALSE()),"")</f>
        <v/>
      </c>
      <c r="H401" s="1" t="str">
        <f aca="false">IFERROR(VLOOKUP(A401,'Pass 2'!$A:$S,MATCH("Jun 2026 Referring Domains",'Pass 2'!$1:$1,0),FALSE()),"")</f>
        <v/>
      </c>
    </row>
    <row r="402" customFormat="false" ht="15" hidden="false" customHeight="true" outlineLevel="0" collapsed="false">
      <c r="B402" s="1" t="str">
        <f aca="false">IFERROR(VLOOKUP(A402,'Pass 2'!$A:$S,MATCH("Category",'Pass 2'!$1:$1,0),FALSE()),"")</f>
        <v/>
      </c>
      <c r="C402" s="1" t="str">
        <f aca="false">IFERROR(VLOOKUP(A402,'Pass 1 Archive'!$A:$AD,MATCH("LinkedIn Employee Count",'Pass 1 Archive'!$1:$1,0),FALSE()),"")</f>
        <v/>
      </c>
      <c r="D402" s="1" t="str">
        <f aca="false">IFERROR(VLOOKUP(A402,'Pass 2'!$A:$S,MATCH("Jan 2025 Traffic",'Pass 2'!$1:$1,0),FALSE()),"")</f>
        <v/>
      </c>
      <c r="E402" s="1" t="str">
        <f aca="false">IFERROR(VLOOKUP(A402,'Pass 2'!$A:$S,MATCH("Jun 2026 Traffic",'Pass 2'!$1:$1,0),FALSE()),"")</f>
        <v/>
      </c>
      <c r="F402" s="1" t="str">
        <f aca="false">IFERROR(VLOOKUP(A402,'Pass 2'!$A:$S,MATCH("Traffic % Change",'Pass 2'!$1:$1,0),FALSE()),"")</f>
        <v/>
      </c>
      <c r="G402" s="1" t="str">
        <f aca="false">IFERROR(VLOOKUP(A402,'Pass 2'!$A:$S,MATCH("Jan 2025 Referring Domains",'Pass 2'!$1:$1,0),FALSE()),"")</f>
        <v/>
      </c>
      <c r="H402" s="1" t="str">
        <f aca="false">IFERROR(VLOOKUP(A402,'Pass 2'!$A:$S,MATCH("Jun 2026 Referring Domains",'Pass 2'!$1:$1,0),FALSE()),"")</f>
        <v/>
      </c>
    </row>
    <row r="403" customFormat="false" ht="15" hidden="false" customHeight="true" outlineLevel="0" collapsed="false">
      <c r="B403" s="1" t="str">
        <f aca="false">IFERROR(VLOOKUP(A403,'Pass 2'!$A:$S,MATCH("Category",'Pass 2'!$1:$1,0),FALSE()),"")</f>
        <v/>
      </c>
      <c r="C403" s="1" t="str">
        <f aca="false">IFERROR(VLOOKUP(A403,'Pass 1 Archive'!$A:$AD,MATCH("LinkedIn Employee Count",'Pass 1 Archive'!$1:$1,0),FALSE()),"")</f>
        <v/>
      </c>
      <c r="D403" s="1" t="str">
        <f aca="false">IFERROR(VLOOKUP(A403,'Pass 2'!$A:$S,MATCH("Jan 2025 Traffic",'Pass 2'!$1:$1,0),FALSE()),"")</f>
        <v/>
      </c>
      <c r="E403" s="1" t="str">
        <f aca="false">IFERROR(VLOOKUP(A403,'Pass 2'!$A:$S,MATCH("Jun 2026 Traffic",'Pass 2'!$1:$1,0),FALSE()),"")</f>
        <v/>
      </c>
      <c r="F403" s="1" t="str">
        <f aca="false">IFERROR(VLOOKUP(A403,'Pass 2'!$A:$S,MATCH("Traffic % Change",'Pass 2'!$1:$1,0),FALSE()),"")</f>
        <v/>
      </c>
      <c r="G403" s="1" t="str">
        <f aca="false">IFERROR(VLOOKUP(A403,'Pass 2'!$A:$S,MATCH("Jan 2025 Referring Domains",'Pass 2'!$1:$1,0),FALSE()),"")</f>
        <v/>
      </c>
      <c r="H403" s="1" t="str">
        <f aca="false">IFERROR(VLOOKUP(A403,'Pass 2'!$A:$S,MATCH("Jun 2026 Referring Domains",'Pass 2'!$1:$1,0),FALSE()),"")</f>
        <v/>
      </c>
    </row>
    <row r="404" customFormat="false" ht="15" hidden="false" customHeight="true" outlineLevel="0" collapsed="false">
      <c r="B404" s="1" t="str">
        <f aca="false">IFERROR(VLOOKUP(A404,'Pass 2'!$A:$S,MATCH("Category",'Pass 2'!$1:$1,0),FALSE()),"")</f>
        <v/>
      </c>
      <c r="C404" s="1" t="str">
        <f aca="false">IFERROR(VLOOKUP(A404,'Pass 1 Archive'!$A:$AD,MATCH("LinkedIn Employee Count",'Pass 1 Archive'!$1:$1,0),FALSE()),"")</f>
        <v/>
      </c>
      <c r="D404" s="1" t="str">
        <f aca="false">IFERROR(VLOOKUP(A404,'Pass 2'!$A:$S,MATCH("Jan 2025 Traffic",'Pass 2'!$1:$1,0),FALSE()),"")</f>
        <v/>
      </c>
      <c r="E404" s="1" t="str">
        <f aca="false">IFERROR(VLOOKUP(A404,'Pass 2'!$A:$S,MATCH("Jun 2026 Traffic",'Pass 2'!$1:$1,0),FALSE()),"")</f>
        <v/>
      </c>
      <c r="F404" s="1" t="str">
        <f aca="false">IFERROR(VLOOKUP(A404,'Pass 2'!$A:$S,MATCH("Traffic % Change",'Pass 2'!$1:$1,0),FALSE()),"")</f>
        <v/>
      </c>
      <c r="G404" s="1" t="str">
        <f aca="false">IFERROR(VLOOKUP(A404,'Pass 2'!$A:$S,MATCH("Jan 2025 Referring Domains",'Pass 2'!$1:$1,0),FALSE()),"")</f>
        <v/>
      </c>
      <c r="H404" s="1" t="str">
        <f aca="false">IFERROR(VLOOKUP(A404,'Pass 2'!$A:$S,MATCH("Jun 2026 Referring Domains",'Pass 2'!$1:$1,0),FALSE()),"")</f>
        <v/>
      </c>
    </row>
    <row r="405" customFormat="false" ht="15" hidden="false" customHeight="true" outlineLevel="0" collapsed="false">
      <c r="B405" s="1" t="str">
        <f aca="false">IFERROR(VLOOKUP(A405,'Pass 2'!$A:$S,MATCH("Category",'Pass 2'!$1:$1,0),FALSE()),"")</f>
        <v/>
      </c>
      <c r="C405" s="1" t="str">
        <f aca="false">IFERROR(VLOOKUP(A405,'Pass 1 Archive'!$A:$AD,MATCH("LinkedIn Employee Count",'Pass 1 Archive'!$1:$1,0),FALSE()),"")</f>
        <v/>
      </c>
      <c r="D405" s="1" t="str">
        <f aca="false">IFERROR(VLOOKUP(A405,'Pass 2'!$A:$S,MATCH("Jan 2025 Traffic",'Pass 2'!$1:$1,0),FALSE()),"")</f>
        <v/>
      </c>
      <c r="E405" s="1" t="str">
        <f aca="false">IFERROR(VLOOKUP(A405,'Pass 2'!$A:$S,MATCH("Jun 2026 Traffic",'Pass 2'!$1:$1,0),FALSE()),"")</f>
        <v/>
      </c>
      <c r="F405" s="1" t="str">
        <f aca="false">IFERROR(VLOOKUP(A405,'Pass 2'!$A:$S,MATCH("Traffic % Change",'Pass 2'!$1:$1,0),FALSE()),"")</f>
        <v/>
      </c>
      <c r="G405" s="1" t="str">
        <f aca="false">IFERROR(VLOOKUP(A405,'Pass 2'!$A:$S,MATCH("Jan 2025 Referring Domains",'Pass 2'!$1:$1,0),FALSE()),"")</f>
        <v/>
      </c>
      <c r="H405" s="1" t="str">
        <f aca="false">IFERROR(VLOOKUP(A405,'Pass 2'!$A:$S,MATCH("Jun 2026 Referring Domains",'Pass 2'!$1:$1,0),FALSE()),"")</f>
        <v/>
      </c>
    </row>
    <row r="406" customFormat="false" ht="15" hidden="false" customHeight="true" outlineLevel="0" collapsed="false">
      <c r="B406" s="1" t="str">
        <f aca="false">IFERROR(VLOOKUP(A406,'Pass 2'!$A:$S,MATCH("Category",'Pass 2'!$1:$1,0),FALSE()),"")</f>
        <v/>
      </c>
      <c r="C406" s="1" t="str">
        <f aca="false">IFERROR(VLOOKUP(A406,'Pass 1 Archive'!$A:$AD,MATCH("LinkedIn Employee Count",'Pass 1 Archive'!$1:$1,0),FALSE()),"")</f>
        <v/>
      </c>
      <c r="D406" s="1" t="str">
        <f aca="false">IFERROR(VLOOKUP(A406,'Pass 2'!$A:$S,MATCH("Jan 2025 Traffic",'Pass 2'!$1:$1,0),FALSE()),"")</f>
        <v/>
      </c>
      <c r="E406" s="1" t="str">
        <f aca="false">IFERROR(VLOOKUP(A406,'Pass 2'!$A:$S,MATCH("Jun 2026 Traffic",'Pass 2'!$1:$1,0),FALSE()),"")</f>
        <v/>
      </c>
      <c r="F406" s="1" t="str">
        <f aca="false">IFERROR(VLOOKUP(A406,'Pass 2'!$A:$S,MATCH("Traffic % Change",'Pass 2'!$1:$1,0),FALSE()),"")</f>
        <v/>
      </c>
      <c r="G406" s="1" t="str">
        <f aca="false">IFERROR(VLOOKUP(A406,'Pass 2'!$A:$S,MATCH("Jan 2025 Referring Domains",'Pass 2'!$1:$1,0),FALSE()),"")</f>
        <v/>
      </c>
      <c r="H406" s="1" t="str">
        <f aca="false">IFERROR(VLOOKUP(A406,'Pass 2'!$A:$S,MATCH("Jun 2026 Referring Domains",'Pass 2'!$1:$1,0),FALSE()),"")</f>
        <v/>
      </c>
    </row>
    <row r="407" customFormat="false" ht="15" hidden="false" customHeight="true" outlineLevel="0" collapsed="false">
      <c r="B407" s="1" t="str">
        <f aca="false">IFERROR(VLOOKUP(A407,'Pass 2'!$A:$S,MATCH("Category",'Pass 2'!$1:$1,0),FALSE()),"")</f>
        <v/>
      </c>
      <c r="C407" s="1" t="str">
        <f aca="false">IFERROR(VLOOKUP(A407,'Pass 1 Archive'!$A:$AD,MATCH("LinkedIn Employee Count",'Pass 1 Archive'!$1:$1,0),FALSE()),"")</f>
        <v/>
      </c>
      <c r="D407" s="1" t="str">
        <f aca="false">IFERROR(VLOOKUP(A407,'Pass 2'!$A:$S,MATCH("Jan 2025 Traffic",'Pass 2'!$1:$1,0),FALSE()),"")</f>
        <v/>
      </c>
      <c r="E407" s="1" t="str">
        <f aca="false">IFERROR(VLOOKUP(A407,'Pass 2'!$A:$S,MATCH("Jun 2026 Traffic",'Pass 2'!$1:$1,0),FALSE()),"")</f>
        <v/>
      </c>
      <c r="F407" s="1" t="str">
        <f aca="false">IFERROR(VLOOKUP(A407,'Pass 2'!$A:$S,MATCH("Traffic % Change",'Pass 2'!$1:$1,0),FALSE()),"")</f>
        <v/>
      </c>
      <c r="G407" s="1" t="str">
        <f aca="false">IFERROR(VLOOKUP(A407,'Pass 2'!$A:$S,MATCH("Jan 2025 Referring Domains",'Pass 2'!$1:$1,0),FALSE()),"")</f>
        <v/>
      </c>
      <c r="H407" s="1" t="str">
        <f aca="false">IFERROR(VLOOKUP(A407,'Pass 2'!$A:$S,MATCH("Jun 2026 Referring Domains",'Pass 2'!$1:$1,0),FALSE()),"")</f>
        <v/>
      </c>
    </row>
    <row r="408" customFormat="false" ht="15" hidden="false" customHeight="true" outlineLevel="0" collapsed="false">
      <c r="B408" s="1" t="str">
        <f aca="false">IFERROR(VLOOKUP(A408,'Pass 2'!$A:$S,MATCH("Category",'Pass 2'!$1:$1,0),FALSE()),"")</f>
        <v/>
      </c>
      <c r="C408" s="1" t="str">
        <f aca="false">IFERROR(VLOOKUP(A408,'Pass 1 Archive'!$A:$AD,MATCH("LinkedIn Employee Count",'Pass 1 Archive'!$1:$1,0),FALSE()),"")</f>
        <v/>
      </c>
      <c r="D408" s="1" t="str">
        <f aca="false">IFERROR(VLOOKUP(A408,'Pass 2'!$A:$S,MATCH("Jan 2025 Traffic",'Pass 2'!$1:$1,0),FALSE()),"")</f>
        <v/>
      </c>
      <c r="E408" s="1" t="str">
        <f aca="false">IFERROR(VLOOKUP(A408,'Pass 2'!$A:$S,MATCH("Jun 2026 Traffic",'Pass 2'!$1:$1,0),FALSE()),"")</f>
        <v/>
      </c>
      <c r="F408" s="1" t="str">
        <f aca="false">IFERROR(VLOOKUP(A408,'Pass 2'!$A:$S,MATCH("Traffic % Change",'Pass 2'!$1:$1,0),FALSE()),"")</f>
        <v/>
      </c>
      <c r="G408" s="1" t="str">
        <f aca="false">IFERROR(VLOOKUP(A408,'Pass 2'!$A:$S,MATCH("Jan 2025 Referring Domains",'Pass 2'!$1:$1,0),FALSE()),"")</f>
        <v/>
      </c>
      <c r="H408" s="1" t="str">
        <f aca="false">IFERROR(VLOOKUP(A408,'Pass 2'!$A:$S,MATCH("Jun 2026 Referring Domains",'Pass 2'!$1:$1,0),FALSE()),"")</f>
        <v/>
      </c>
    </row>
    <row r="409" customFormat="false" ht="15" hidden="false" customHeight="true" outlineLevel="0" collapsed="false">
      <c r="B409" s="1" t="str">
        <f aca="false">IFERROR(VLOOKUP(A409,'Pass 2'!$A:$S,MATCH("Category",'Pass 2'!$1:$1,0),FALSE()),"")</f>
        <v/>
      </c>
      <c r="C409" s="1" t="str">
        <f aca="false">IFERROR(VLOOKUP(A409,'Pass 1 Archive'!$A:$AD,MATCH("LinkedIn Employee Count",'Pass 1 Archive'!$1:$1,0),FALSE()),"")</f>
        <v/>
      </c>
      <c r="D409" s="1" t="str">
        <f aca="false">IFERROR(VLOOKUP(A409,'Pass 2'!$A:$S,MATCH("Jan 2025 Traffic",'Pass 2'!$1:$1,0),FALSE()),"")</f>
        <v/>
      </c>
      <c r="E409" s="1" t="str">
        <f aca="false">IFERROR(VLOOKUP(A409,'Pass 2'!$A:$S,MATCH("Jun 2026 Traffic",'Pass 2'!$1:$1,0),FALSE()),"")</f>
        <v/>
      </c>
      <c r="F409" s="1" t="str">
        <f aca="false">IFERROR(VLOOKUP(A409,'Pass 2'!$A:$S,MATCH("Traffic % Change",'Pass 2'!$1:$1,0),FALSE()),"")</f>
        <v/>
      </c>
      <c r="G409" s="1" t="str">
        <f aca="false">IFERROR(VLOOKUP(A409,'Pass 2'!$A:$S,MATCH("Jan 2025 Referring Domains",'Pass 2'!$1:$1,0),FALSE()),"")</f>
        <v/>
      </c>
      <c r="H409" s="1" t="str">
        <f aca="false">IFERROR(VLOOKUP(A409,'Pass 2'!$A:$S,MATCH("Jun 2026 Referring Domains",'Pass 2'!$1:$1,0),FALSE()),"")</f>
        <v/>
      </c>
    </row>
    <row r="410" customFormat="false" ht="15" hidden="false" customHeight="true" outlineLevel="0" collapsed="false">
      <c r="B410" s="1" t="str">
        <f aca="false">IFERROR(VLOOKUP(A410,'Pass 2'!$A:$S,MATCH("Category",'Pass 2'!$1:$1,0),FALSE()),"")</f>
        <v/>
      </c>
      <c r="C410" s="1" t="str">
        <f aca="false">IFERROR(VLOOKUP(A410,'Pass 1 Archive'!$A:$AD,MATCH("LinkedIn Employee Count",'Pass 1 Archive'!$1:$1,0),FALSE()),"")</f>
        <v/>
      </c>
      <c r="D410" s="1" t="str">
        <f aca="false">IFERROR(VLOOKUP(A410,'Pass 2'!$A:$S,MATCH("Jan 2025 Traffic",'Pass 2'!$1:$1,0),FALSE()),"")</f>
        <v/>
      </c>
      <c r="E410" s="1" t="str">
        <f aca="false">IFERROR(VLOOKUP(A410,'Pass 2'!$A:$S,MATCH("Jun 2026 Traffic",'Pass 2'!$1:$1,0),FALSE()),"")</f>
        <v/>
      </c>
      <c r="F410" s="1" t="str">
        <f aca="false">IFERROR(VLOOKUP(A410,'Pass 2'!$A:$S,MATCH("Traffic % Change",'Pass 2'!$1:$1,0),FALSE()),"")</f>
        <v/>
      </c>
      <c r="G410" s="1" t="str">
        <f aca="false">IFERROR(VLOOKUP(A410,'Pass 2'!$A:$S,MATCH("Jan 2025 Referring Domains",'Pass 2'!$1:$1,0),FALSE()),"")</f>
        <v/>
      </c>
      <c r="H410" s="1" t="str">
        <f aca="false">IFERROR(VLOOKUP(A410,'Pass 2'!$A:$S,MATCH("Jun 2026 Referring Domains",'Pass 2'!$1:$1,0),FALSE()),"")</f>
        <v/>
      </c>
    </row>
    <row r="411" customFormat="false" ht="15" hidden="false" customHeight="true" outlineLevel="0" collapsed="false">
      <c r="B411" s="1" t="str">
        <f aca="false">IFERROR(VLOOKUP(A411,'Pass 2'!$A:$S,MATCH("Category",'Pass 2'!$1:$1,0),FALSE()),"")</f>
        <v/>
      </c>
      <c r="C411" s="1" t="str">
        <f aca="false">IFERROR(VLOOKUP(A411,'Pass 1 Archive'!$A:$AD,MATCH("LinkedIn Employee Count",'Pass 1 Archive'!$1:$1,0),FALSE()),"")</f>
        <v/>
      </c>
      <c r="D411" s="1" t="str">
        <f aca="false">IFERROR(VLOOKUP(A411,'Pass 2'!$A:$S,MATCH("Jan 2025 Traffic",'Pass 2'!$1:$1,0),FALSE()),"")</f>
        <v/>
      </c>
      <c r="E411" s="1" t="str">
        <f aca="false">IFERROR(VLOOKUP(A411,'Pass 2'!$A:$S,MATCH("Jun 2026 Traffic",'Pass 2'!$1:$1,0),FALSE()),"")</f>
        <v/>
      </c>
      <c r="F411" s="1" t="str">
        <f aca="false">IFERROR(VLOOKUP(A411,'Pass 2'!$A:$S,MATCH("Traffic % Change",'Pass 2'!$1:$1,0),FALSE()),"")</f>
        <v/>
      </c>
      <c r="G411" s="1" t="str">
        <f aca="false">IFERROR(VLOOKUP(A411,'Pass 2'!$A:$S,MATCH("Jan 2025 Referring Domains",'Pass 2'!$1:$1,0),FALSE()),"")</f>
        <v/>
      </c>
      <c r="H411" s="1" t="str">
        <f aca="false">IFERROR(VLOOKUP(A411,'Pass 2'!$A:$S,MATCH("Jun 2026 Referring Domains",'Pass 2'!$1:$1,0),FALSE()),"")</f>
        <v/>
      </c>
    </row>
    <row r="412" customFormat="false" ht="15" hidden="false" customHeight="true" outlineLevel="0" collapsed="false">
      <c r="B412" s="1" t="str">
        <f aca="false">IFERROR(VLOOKUP(A412,'Pass 2'!$A:$S,MATCH("Category",'Pass 2'!$1:$1,0),FALSE()),"")</f>
        <v/>
      </c>
      <c r="C412" s="1" t="str">
        <f aca="false">IFERROR(VLOOKUP(A412,'Pass 1 Archive'!$A:$AD,MATCH("LinkedIn Employee Count",'Pass 1 Archive'!$1:$1,0),FALSE()),"")</f>
        <v/>
      </c>
      <c r="D412" s="1" t="str">
        <f aca="false">IFERROR(VLOOKUP(A412,'Pass 2'!$A:$S,MATCH("Jan 2025 Traffic",'Pass 2'!$1:$1,0),FALSE()),"")</f>
        <v/>
      </c>
      <c r="E412" s="1" t="str">
        <f aca="false">IFERROR(VLOOKUP(A412,'Pass 2'!$A:$S,MATCH("Jun 2026 Traffic",'Pass 2'!$1:$1,0),FALSE()),"")</f>
        <v/>
      </c>
      <c r="F412" s="1" t="str">
        <f aca="false">IFERROR(VLOOKUP(A412,'Pass 2'!$A:$S,MATCH("Traffic % Change",'Pass 2'!$1:$1,0),FALSE()),"")</f>
        <v/>
      </c>
      <c r="G412" s="1" t="str">
        <f aca="false">IFERROR(VLOOKUP(A412,'Pass 2'!$A:$S,MATCH("Jan 2025 Referring Domains",'Pass 2'!$1:$1,0),FALSE()),"")</f>
        <v/>
      </c>
      <c r="H412" s="1" t="str">
        <f aca="false">IFERROR(VLOOKUP(A412,'Pass 2'!$A:$S,MATCH("Jun 2026 Referring Domains",'Pass 2'!$1:$1,0),FALSE()),"")</f>
        <v/>
      </c>
    </row>
    <row r="413" customFormat="false" ht="15" hidden="false" customHeight="true" outlineLevel="0" collapsed="false">
      <c r="B413" s="1" t="str">
        <f aca="false">IFERROR(VLOOKUP(A413,'Pass 2'!$A:$S,MATCH("Category",'Pass 2'!$1:$1,0),FALSE()),"")</f>
        <v/>
      </c>
      <c r="C413" s="1" t="str">
        <f aca="false">IFERROR(VLOOKUP(A413,'Pass 1 Archive'!$A:$AD,MATCH("LinkedIn Employee Count",'Pass 1 Archive'!$1:$1,0),FALSE()),"")</f>
        <v/>
      </c>
      <c r="D413" s="1" t="str">
        <f aca="false">IFERROR(VLOOKUP(A413,'Pass 2'!$A:$S,MATCH("Jan 2025 Traffic",'Pass 2'!$1:$1,0),FALSE()),"")</f>
        <v/>
      </c>
      <c r="E413" s="1" t="str">
        <f aca="false">IFERROR(VLOOKUP(A413,'Pass 2'!$A:$S,MATCH("Jun 2026 Traffic",'Pass 2'!$1:$1,0),FALSE()),"")</f>
        <v/>
      </c>
      <c r="F413" s="1" t="str">
        <f aca="false">IFERROR(VLOOKUP(A413,'Pass 2'!$A:$S,MATCH("Traffic % Change",'Pass 2'!$1:$1,0),FALSE()),"")</f>
        <v/>
      </c>
      <c r="G413" s="1" t="str">
        <f aca="false">IFERROR(VLOOKUP(A413,'Pass 2'!$A:$S,MATCH("Jan 2025 Referring Domains",'Pass 2'!$1:$1,0),FALSE()),"")</f>
        <v/>
      </c>
      <c r="H413" s="1" t="str">
        <f aca="false">IFERROR(VLOOKUP(A413,'Pass 2'!$A:$S,MATCH("Jun 2026 Referring Domains",'Pass 2'!$1:$1,0),FALSE()),"")</f>
        <v/>
      </c>
    </row>
    <row r="414" customFormat="false" ht="15" hidden="false" customHeight="true" outlineLevel="0" collapsed="false">
      <c r="B414" s="1" t="str">
        <f aca="false">IFERROR(VLOOKUP(A414,'Pass 2'!$A:$S,MATCH("Category",'Pass 2'!$1:$1,0),FALSE()),"")</f>
        <v/>
      </c>
      <c r="C414" s="1" t="str">
        <f aca="false">IFERROR(VLOOKUP(A414,'Pass 1 Archive'!$A:$AD,MATCH("LinkedIn Employee Count",'Pass 1 Archive'!$1:$1,0),FALSE()),"")</f>
        <v/>
      </c>
      <c r="D414" s="1" t="str">
        <f aca="false">IFERROR(VLOOKUP(A414,'Pass 2'!$A:$S,MATCH("Jan 2025 Traffic",'Pass 2'!$1:$1,0),FALSE()),"")</f>
        <v/>
      </c>
      <c r="E414" s="1" t="str">
        <f aca="false">IFERROR(VLOOKUP(A414,'Pass 2'!$A:$S,MATCH("Jun 2026 Traffic",'Pass 2'!$1:$1,0),FALSE()),"")</f>
        <v/>
      </c>
      <c r="F414" s="1" t="str">
        <f aca="false">IFERROR(VLOOKUP(A414,'Pass 2'!$A:$S,MATCH("Traffic % Change",'Pass 2'!$1:$1,0),FALSE()),"")</f>
        <v/>
      </c>
      <c r="G414" s="1" t="str">
        <f aca="false">IFERROR(VLOOKUP(A414,'Pass 2'!$A:$S,MATCH("Jan 2025 Referring Domains",'Pass 2'!$1:$1,0),FALSE()),"")</f>
        <v/>
      </c>
      <c r="H414" s="1" t="str">
        <f aca="false">IFERROR(VLOOKUP(A414,'Pass 2'!$A:$S,MATCH("Jun 2026 Referring Domains",'Pass 2'!$1:$1,0),FALSE()),"")</f>
        <v/>
      </c>
    </row>
    <row r="415" customFormat="false" ht="15" hidden="false" customHeight="true" outlineLevel="0" collapsed="false">
      <c r="B415" s="1" t="str">
        <f aca="false">IFERROR(VLOOKUP(A415,'Pass 2'!$A:$S,MATCH("Category",'Pass 2'!$1:$1,0),FALSE()),"")</f>
        <v/>
      </c>
      <c r="C415" s="1" t="str">
        <f aca="false">IFERROR(VLOOKUP(A415,'Pass 1 Archive'!$A:$AD,MATCH("LinkedIn Employee Count",'Pass 1 Archive'!$1:$1,0),FALSE()),"")</f>
        <v/>
      </c>
      <c r="D415" s="1" t="str">
        <f aca="false">IFERROR(VLOOKUP(A415,'Pass 2'!$A:$S,MATCH("Jan 2025 Traffic",'Pass 2'!$1:$1,0),FALSE()),"")</f>
        <v/>
      </c>
      <c r="E415" s="1" t="str">
        <f aca="false">IFERROR(VLOOKUP(A415,'Pass 2'!$A:$S,MATCH("Jun 2026 Traffic",'Pass 2'!$1:$1,0),FALSE()),"")</f>
        <v/>
      </c>
      <c r="F415" s="1" t="str">
        <f aca="false">IFERROR(VLOOKUP(A415,'Pass 2'!$A:$S,MATCH("Traffic % Change",'Pass 2'!$1:$1,0),FALSE()),"")</f>
        <v/>
      </c>
      <c r="G415" s="1" t="str">
        <f aca="false">IFERROR(VLOOKUP(A415,'Pass 2'!$A:$S,MATCH("Jan 2025 Referring Domains",'Pass 2'!$1:$1,0),FALSE()),"")</f>
        <v/>
      </c>
      <c r="H415" s="1" t="str">
        <f aca="false">IFERROR(VLOOKUP(A415,'Pass 2'!$A:$S,MATCH("Jun 2026 Referring Domains",'Pass 2'!$1:$1,0),FALSE()),"")</f>
        <v/>
      </c>
    </row>
    <row r="416" customFormat="false" ht="15" hidden="false" customHeight="true" outlineLevel="0" collapsed="false">
      <c r="B416" s="1" t="str">
        <f aca="false">IFERROR(VLOOKUP(A416,'Pass 2'!$A:$S,MATCH("Category",'Pass 2'!$1:$1,0),FALSE()),"")</f>
        <v/>
      </c>
      <c r="C416" s="1" t="str">
        <f aca="false">IFERROR(VLOOKUP(A416,'Pass 1 Archive'!$A:$AD,MATCH("LinkedIn Employee Count",'Pass 1 Archive'!$1:$1,0),FALSE()),"")</f>
        <v/>
      </c>
      <c r="D416" s="1" t="str">
        <f aca="false">IFERROR(VLOOKUP(A416,'Pass 2'!$A:$S,MATCH("Jan 2025 Traffic",'Pass 2'!$1:$1,0),FALSE()),"")</f>
        <v/>
      </c>
      <c r="E416" s="1" t="str">
        <f aca="false">IFERROR(VLOOKUP(A416,'Pass 2'!$A:$S,MATCH("Jun 2026 Traffic",'Pass 2'!$1:$1,0),FALSE()),"")</f>
        <v/>
      </c>
      <c r="F416" s="1" t="str">
        <f aca="false">IFERROR(VLOOKUP(A416,'Pass 2'!$A:$S,MATCH("Traffic % Change",'Pass 2'!$1:$1,0),FALSE()),"")</f>
        <v/>
      </c>
      <c r="G416" s="1" t="str">
        <f aca="false">IFERROR(VLOOKUP(A416,'Pass 2'!$A:$S,MATCH("Jan 2025 Referring Domains",'Pass 2'!$1:$1,0),FALSE()),"")</f>
        <v/>
      </c>
      <c r="H416" s="1" t="str">
        <f aca="false">IFERROR(VLOOKUP(A416,'Pass 2'!$A:$S,MATCH("Jun 2026 Referring Domains",'Pass 2'!$1:$1,0),FALSE()),"")</f>
        <v/>
      </c>
    </row>
    <row r="417" customFormat="false" ht="15" hidden="false" customHeight="true" outlineLevel="0" collapsed="false">
      <c r="B417" s="1" t="str">
        <f aca="false">IFERROR(VLOOKUP(A417,'Pass 2'!$A:$S,MATCH("Category",'Pass 2'!$1:$1,0),FALSE()),"")</f>
        <v/>
      </c>
      <c r="C417" s="1" t="str">
        <f aca="false">IFERROR(VLOOKUP(A417,'Pass 1 Archive'!$A:$AD,MATCH("LinkedIn Employee Count",'Pass 1 Archive'!$1:$1,0),FALSE()),"")</f>
        <v/>
      </c>
      <c r="D417" s="1" t="str">
        <f aca="false">IFERROR(VLOOKUP(A417,'Pass 2'!$A:$S,MATCH("Jan 2025 Traffic",'Pass 2'!$1:$1,0),FALSE()),"")</f>
        <v/>
      </c>
      <c r="E417" s="1" t="str">
        <f aca="false">IFERROR(VLOOKUP(A417,'Pass 2'!$A:$S,MATCH("Jun 2026 Traffic",'Pass 2'!$1:$1,0),FALSE()),"")</f>
        <v/>
      </c>
      <c r="F417" s="1" t="str">
        <f aca="false">IFERROR(VLOOKUP(A417,'Pass 2'!$A:$S,MATCH("Traffic % Change",'Pass 2'!$1:$1,0),FALSE()),"")</f>
        <v/>
      </c>
      <c r="G417" s="1" t="str">
        <f aca="false">IFERROR(VLOOKUP(A417,'Pass 2'!$A:$S,MATCH("Jan 2025 Referring Domains",'Pass 2'!$1:$1,0),FALSE()),"")</f>
        <v/>
      </c>
      <c r="H417" s="1" t="str">
        <f aca="false">IFERROR(VLOOKUP(A417,'Pass 2'!$A:$S,MATCH("Jun 2026 Referring Domains",'Pass 2'!$1:$1,0),FALSE()),"")</f>
        <v/>
      </c>
    </row>
    <row r="418" customFormat="false" ht="15" hidden="false" customHeight="true" outlineLevel="0" collapsed="false">
      <c r="B418" s="1" t="str">
        <f aca="false">IFERROR(VLOOKUP(A418,'Pass 2'!$A:$S,MATCH("Category",'Pass 2'!$1:$1,0),FALSE()),"")</f>
        <v/>
      </c>
      <c r="C418" s="1" t="str">
        <f aca="false">IFERROR(VLOOKUP(A418,'Pass 1 Archive'!$A:$AD,MATCH("LinkedIn Employee Count",'Pass 1 Archive'!$1:$1,0),FALSE()),"")</f>
        <v/>
      </c>
      <c r="D418" s="1" t="str">
        <f aca="false">IFERROR(VLOOKUP(A418,'Pass 2'!$A:$S,MATCH("Jan 2025 Traffic",'Pass 2'!$1:$1,0),FALSE()),"")</f>
        <v/>
      </c>
      <c r="E418" s="1" t="str">
        <f aca="false">IFERROR(VLOOKUP(A418,'Pass 2'!$A:$S,MATCH("Jun 2026 Traffic",'Pass 2'!$1:$1,0),FALSE()),"")</f>
        <v/>
      </c>
      <c r="F418" s="1" t="str">
        <f aca="false">IFERROR(VLOOKUP(A418,'Pass 2'!$A:$S,MATCH("Traffic % Change",'Pass 2'!$1:$1,0),FALSE()),"")</f>
        <v/>
      </c>
      <c r="G418" s="1" t="str">
        <f aca="false">IFERROR(VLOOKUP(A418,'Pass 2'!$A:$S,MATCH("Jan 2025 Referring Domains",'Pass 2'!$1:$1,0),FALSE()),"")</f>
        <v/>
      </c>
      <c r="H418" s="1" t="str">
        <f aca="false">IFERROR(VLOOKUP(A418,'Pass 2'!$A:$S,MATCH("Jun 2026 Referring Domains",'Pass 2'!$1:$1,0),FALSE()),"")</f>
        <v/>
      </c>
    </row>
    <row r="419" customFormat="false" ht="15" hidden="false" customHeight="true" outlineLevel="0" collapsed="false">
      <c r="B419" s="1" t="str">
        <f aca="false">IFERROR(VLOOKUP(A419,'Pass 2'!$A:$S,MATCH("Category",'Pass 2'!$1:$1,0),FALSE()),"")</f>
        <v/>
      </c>
      <c r="C419" s="1" t="str">
        <f aca="false">IFERROR(VLOOKUP(A419,'Pass 1 Archive'!$A:$AD,MATCH("LinkedIn Employee Count",'Pass 1 Archive'!$1:$1,0),FALSE()),"")</f>
        <v/>
      </c>
      <c r="D419" s="1" t="str">
        <f aca="false">IFERROR(VLOOKUP(A419,'Pass 2'!$A:$S,MATCH("Jan 2025 Traffic",'Pass 2'!$1:$1,0),FALSE()),"")</f>
        <v/>
      </c>
      <c r="E419" s="1" t="str">
        <f aca="false">IFERROR(VLOOKUP(A419,'Pass 2'!$A:$S,MATCH("Jun 2026 Traffic",'Pass 2'!$1:$1,0),FALSE()),"")</f>
        <v/>
      </c>
      <c r="F419" s="1" t="str">
        <f aca="false">IFERROR(VLOOKUP(A419,'Pass 2'!$A:$S,MATCH("Traffic % Change",'Pass 2'!$1:$1,0),FALSE()),"")</f>
        <v/>
      </c>
      <c r="G419" s="1" t="str">
        <f aca="false">IFERROR(VLOOKUP(A419,'Pass 2'!$A:$S,MATCH("Jan 2025 Referring Domains",'Pass 2'!$1:$1,0),FALSE()),"")</f>
        <v/>
      </c>
      <c r="H419" s="1" t="str">
        <f aca="false">IFERROR(VLOOKUP(A419,'Pass 2'!$A:$S,MATCH("Jun 2026 Referring Domains",'Pass 2'!$1:$1,0),FALSE()),"")</f>
        <v/>
      </c>
    </row>
    <row r="420" customFormat="false" ht="15" hidden="false" customHeight="true" outlineLevel="0" collapsed="false">
      <c r="B420" s="1" t="str">
        <f aca="false">IFERROR(VLOOKUP(A420,'Pass 2'!$A:$S,MATCH("Category",'Pass 2'!$1:$1,0),FALSE()),"")</f>
        <v/>
      </c>
      <c r="C420" s="1" t="str">
        <f aca="false">IFERROR(VLOOKUP(A420,'Pass 1 Archive'!$A:$AD,MATCH("LinkedIn Employee Count",'Pass 1 Archive'!$1:$1,0),FALSE()),"")</f>
        <v/>
      </c>
      <c r="D420" s="1" t="str">
        <f aca="false">IFERROR(VLOOKUP(A420,'Pass 2'!$A:$S,MATCH("Jan 2025 Traffic",'Pass 2'!$1:$1,0),FALSE()),"")</f>
        <v/>
      </c>
      <c r="E420" s="1" t="str">
        <f aca="false">IFERROR(VLOOKUP(A420,'Pass 2'!$A:$S,MATCH("Jun 2026 Traffic",'Pass 2'!$1:$1,0),FALSE()),"")</f>
        <v/>
      </c>
      <c r="F420" s="1" t="str">
        <f aca="false">IFERROR(VLOOKUP(A420,'Pass 2'!$A:$S,MATCH("Traffic % Change",'Pass 2'!$1:$1,0),FALSE()),"")</f>
        <v/>
      </c>
      <c r="G420" s="1" t="str">
        <f aca="false">IFERROR(VLOOKUP(A420,'Pass 2'!$A:$S,MATCH("Jan 2025 Referring Domains",'Pass 2'!$1:$1,0),FALSE()),"")</f>
        <v/>
      </c>
      <c r="H420" s="1" t="str">
        <f aca="false">IFERROR(VLOOKUP(A420,'Pass 2'!$A:$S,MATCH("Jun 2026 Referring Domains",'Pass 2'!$1:$1,0),FALSE()),"")</f>
        <v/>
      </c>
    </row>
    <row r="421" customFormat="false" ht="15" hidden="false" customHeight="true" outlineLevel="0" collapsed="false">
      <c r="B421" s="1" t="str">
        <f aca="false">IFERROR(VLOOKUP(A421,'Pass 2'!$A:$S,MATCH("Category",'Pass 2'!$1:$1,0),FALSE()),"")</f>
        <v/>
      </c>
      <c r="C421" s="1" t="str">
        <f aca="false">IFERROR(VLOOKUP(A421,'Pass 1 Archive'!$A:$AD,MATCH("LinkedIn Employee Count",'Pass 1 Archive'!$1:$1,0),FALSE()),"")</f>
        <v/>
      </c>
      <c r="D421" s="1" t="str">
        <f aca="false">IFERROR(VLOOKUP(A421,'Pass 2'!$A:$S,MATCH("Jan 2025 Traffic",'Pass 2'!$1:$1,0),FALSE()),"")</f>
        <v/>
      </c>
      <c r="E421" s="1" t="str">
        <f aca="false">IFERROR(VLOOKUP(A421,'Pass 2'!$A:$S,MATCH("Jun 2026 Traffic",'Pass 2'!$1:$1,0),FALSE()),"")</f>
        <v/>
      </c>
      <c r="F421" s="1" t="str">
        <f aca="false">IFERROR(VLOOKUP(A421,'Pass 2'!$A:$S,MATCH("Traffic % Change",'Pass 2'!$1:$1,0),FALSE()),"")</f>
        <v/>
      </c>
      <c r="G421" s="1" t="str">
        <f aca="false">IFERROR(VLOOKUP(A421,'Pass 2'!$A:$S,MATCH("Jan 2025 Referring Domains",'Pass 2'!$1:$1,0),FALSE()),"")</f>
        <v/>
      </c>
      <c r="H421" s="1" t="str">
        <f aca="false">IFERROR(VLOOKUP(A421,'Pass 2'!$A:$S,MATCH("Jun 2026 Referring Domains",'Pass 2'!$1:$1,0),FALSE()),"")</f>
        <v/>
      </c>
    </row>
    <row r="422" customFormat="false" ht="15" hidden="false" customHeight="true" outlineLevel="0" collapsed="false">
      <c r="B422" s="1" t="str">
        <f aca="false">IFERROR(VLOOKUP(A422,'Pass 2'!$A:$S,MATCH("Category",'Pass 2'!$1:$1,0),FALSE()),"")</f>
        <v/>
      </c>
      <c r="C422" s="1" t="str">
        <f aca="false">IFERROR(VLOOKUP(A422,'Pass 1 Archive'!$A:$AD,MATCH("LinkedIn Employee Count",'Pass 1 Archive'!$1:$1,0),FALSE()),"")</f>
        <v/>
      </c>
      <c r="D422" s="1" t="str">
        <f aca="false">IFERROR(VLOOKUP(A422,'Pass 2'!$A:$S,MATCH("Jan 2025 Traffic",'Pass 2'!$1:$1,0),FALSE()),"")</f>
        <v/>
      </c>
      <c r="E422" s="1" t="str">
        <f aca="false">IFERROR(VLOOKUP(A422,'Pass 2'!$A:$S,MATCH("Jun 2026 Traffic",'Pass 2'!$1:$1,0),FALSE()),"")</f>
        <v/>
      </c>
      <c r="F422" s="1" t="str">
        <f aca="false">IFERROR(VLOOKUP(A422,'Pass 2'!$A:$S,MATCH("Traffic % Change",'Pass 2'!$1:$1,0),FALSE()),"")</f>
        <v/>
      </c>
      <c r="G422" s="1" t="str">
        <f aca="false">IFERROR(VLOOKUP(A422,'Pass 2'!$A:$S,MATCH("Jan 2025 Referring Domains",'Pass 2'!$1:$1,0),FALSE()),"")</f>
        <v/>
      </c>
      <c r="H422" s="1" t="str">
        <f aca="false">IFERROR(VLOOKUP(A422,'Pass 2'!$A:$S,MATCH("Jun 2026 Referring Domains",'Pass 2'!$1:$1,0),FALSE()),"")</f>
        <v/>
      </c>
    </row>
    <row r="423" customFormat="false" ht="15" hidden="false" customHeight="true" outlineLevel="0" collapsed="false">
      <c r="B423" s="1" t="str">
        <f aca="false">IFERROR(VLOOKUP(A423,'Pass 2'!$A:$S,MATCH("Category",'Pass 2'!$1:$1,0),FALSE()),"")</f>
        <v/>
      </c>
      <c r="C423" s="1" t="str">
        <f aca="false">IFERROR(VLOOKUP(A423,'Pass 1 Archive'!$A:$AD,MATCH("LinkedIn Employee Count",'Pass 1 Archive'!$1:$1,0),FALSE()),"")</f>
        <v/>
      </c>
      <c r="D423" s="1" t="str">
        <f aca="false">IFERROR(VLOOKUP(A423,'Pass 2'!$A:$S,MATCH("Jan 2025 Traffic",'Pass 2'!$1:$1,0),FALSE()),"")</f>
        <v/>
      </c>
      <c r="E423" s="1" t="str">
        <f aca="false">IFERROR(VLOOKUP(A423,'Pass 2'!$A:$S,MATCH("Jun 2026 Traffic",'Pass 2'!$1:$1,0),FALSE()),"")</f>
        <v/>
      </c>
      <c r="F423" s="1" t="str">
        <f aca="false">IFERROR(VLOOKUP(A423,'Pass 2'!$A:$S,MATCH("Traffic % Change",'Pass 2'!$1:$1,0),FALSE()),"")</f>
        <v/>
      </c>
      <c r="G423" s="1" t="str">
        <f aca="false">IFERROR(VLOOKUP(A423,'Pass 2'!$A:$S,MATCH("Jan 2025 Referring Domains",'Pass 2'!$1:$1,0),FALSE()),"")</f>
        <v/>
      </c>
      <c r="H423" s="1" t="str">
        <f aca="false">IFERROR(VLOOKUP(A423,'Pass 2'!$A:$S,MATCH("Jun 2026 Referring Domains",'Pass 2'!$1:$1,0),FALSE()),"")</f>
        <v/>
      </c>
    </row>
    <row r="424" customFormat="false" ht="15" hidden="false" customHeight="true" outlineLevel="0" collapsed="false">
      <c r="B424" s="1" t="str">
        <f aca="false">IFERROR(VLOOKUP(A424,'Pass 2'!$A:$S,MATCH("Category",'Pass 2'!$1:$1,0),FALSE()),"")</f>
        <v/>
      </c>
      <c r="C424" s="1" t="str">
        <f aca="false">IFERROR(VLOOKUP(A424,'Pass 1 Archive'!$A:$AD,MATCH("LinkedIn Employee Count",'Pass 1 Archive'!$1:$1,0),FALSE()),"")</f>
        <v/>
      </c>
      <c r="D424" s="1" t="str">
        <f aca="false">IFERROR(VLOOKUP(A424,'Pass 2'!$A:$S,MATCH("Jan 2025 Traffic",'Pass 2'!$1:$1,0),FALSE()),"")</f>
        <v/>
      </c>
      <c r="E424" s="1" t="str">
        <f aca="false">IFERROR(VLOOKUP(A424,'Pass 2'!$A:$S,MATCH("Jun 2026 Traffic",'Pass 2'!$1:$1,0),FALSE()),"")</f>
        <v/>
      </c>
      <c r="F424" s="1" t="str">
        <f aca="false">IFERROR(VLOOKUP(A424,'Pass 2'!$A:$S,MATCH("Traffic % Change",'Pass 2'!$1:$1,0),FALSE()),"")</f>
        <v/>
      </c>
      <c r="G424" s="1" t="str">
        <f aca="false">IFERROR(VLOOKUP(A424,'Pass 2'!$A:$S,MATCH("Jan 2025 Referring Domains",'Pass 2'!$1:$1,0),FALSE()),"")</f>
        <v/>
      </c>
      <c r="H424" s="1" t="str">
        <f aca="false">IFERROR(VLOOKUP(A424,'Pass 2'!$A:$S,MATCH("Jun 2026 Referring Domains",'Pass 2'!$1:$1,0),FALSE()),"")</f>
        <v/>
      </c>
    </row>
    <row r="425" customFormat="false" ht="15" hidden="false" customHeight="true" outlineLevel="0" collapsed="false">
      <c r="B425" s="1" t="str">
        <f aca="false">IFERROR(VLOOKUP(A425,'Pass 2'!$A:$S,MATCH("Category",'Pass 2'!$1:$1,0),FALSE()),"")</f>
        <v/>
      </c>
      <c r="C425" s="1" t="str">
        <f aca="false">IFERROR(VLOOKUP(A425,'Pass 1 Archive'!$A:$AD,MATCH("LinkedIn Employee Count",'Pass 1 Archive'!$1:$1,0),FALSE()),"")</f>
        <v/>
      </c>
      <c r="D425" s="1" t="str">
        <f aca="false">IFERROR(VLOOKUP(A425,'Pass 2'!$A:$S,MATCH("Jan 2025 Traffic",'Pass 2'!$1:$1,0),FALSE()),"")</f>
        <v/>
      </c>
      <c r="E425" s="1" t="str">
        <f aca="false">IFERROR(VLOOKUP(A425,'Pass 2'!$A:$S,MATCH("Jun 2026 Traffic",'Pass 2'!$1:$1,0),FALSE()),"")</f>
        <v/>
      </c>
      <c r="F425" s="1" t="str">
        <f aca="false">IFERROR(VLOOKUP(A425,'Pass 2'!$A:$S,MATCH("Traffic % Change",'Pass 2'!$1:$1,0),FALSE()),"")</f>
        <v/>
      </c>
      <c r="G425" s="1" t="str">
        <f aca="false">IFERROR(VLOOKUP(A425,'Pass 2'!$A:$S,MATCH("Jan 2025 Referring Domains",'Pass 2'!$1:$1,0),FALSE()),"")</f>
        <v/>
      </c>
      <c r="H425" s="1" t="str">
        <f aca="false">IFERROR(VLOOKUP(A425,'Pass 2'!$A:$S,MATCH("Jun 2026 Referring Domains",'Pass 2'!$1:$1,0),FALSE()),"")</f>
        <v/>
      </c>
    </row>
    <row r="426" customFormat="false" ht="15" hidden="false" customHeight="true" outlineLevel="0" collapsed="false">
      <c r="B426" s="1" t="str">
        <f aca="false">IFERROR(VLOOKUP(A426,'Pass 2'!$A:$S,MATCH("Category",'Pass 2'!$1:$1,0),FALSE()),"")</f>
        <v/>
      </c>
      <c r="C426" s="1" t="str">
        <f aca="false">IFERROR(VLOOKUP(A426,'Pass 1 Archive'!$A:$AD,MATCH("LinkedIn Employee Count",'Pass 1 Archive'!$1:$1,0),FALSE()),"")</f>
        <v/>
      </c>
      <c r="D426" s="1" t="str">
        <f aca="false">IFERROR(VLOOKUP(A426,'Pass 2'!$A:$S,MATCH("Jan 2025 Traffic",'Pass 2'!$1:$1,0),FALSE()),"")</f>
        <v/>
      </c>
      <c r="E426" s="1" t="str">
        <f aca="false">IFERROR(VLOOKUP(A426,'Pass 2'!$A:$S,MATCH("Jun 2026 Traffic",'Pass 2'!$1:$1,0),FALSE()),"")</f>
        <v/>
      </c>
      <c r="F426" s="1" t="str">
        <f aca="false">IFERROR(VLOOKUP(A426,'Pass 2'!$A:$S,MATCH("Traffic % Change",'Pass 2'!$1:$1,0),FALSE()),"")</f>
        <v/>
      </c>
      <c r="G426" s="1" t="str">
        <f aca="false">IFERROR(VLOOKUP(A426,'Pass 2'!$A:$S,MATCH("Jan 2025 Referring Domains",'Pass 2'!$1:$1,0),FALSE()),"")</f>
        <v/>
      </c>
      <c r="H426" s="1" t="str">
        <f aca="false">IFERROR(VLOOKUP(A426,'Pass 2'!$A:$S,MATCH("Jun 2026 Referring Domains",'Pass 2'!$1:$1,0),FALSE()),"")</f>
        <v/>
      </c>
    </row>
    <row r="427" customFormat="false" ht="15" hidden="false" customHeight="true" outlineLevel="0" collapsed="false">
      <c r="B427" s="1" t="str">
        <f aca="false">IFERROR(VLOOKUP(A427,'Pass 2'!$A:$S,MATCH("Category",'Pass 2'!$1:$1,0),FALSE()),"")</f>
        <v/>
      </c>
      <c r="C427" s="1" t="str">
        <f aca="false">IFERROR(VLOOKUP(A427,'Pass 1 Archive'!$A:$AD,MATCH("LinkedIn Employee Count",'Pass 1 Archive'!$1:$1,0),FALSE()),"")</f>
        <v/>
      </c>
      <c r="D427" s="1" t="str">
        <f aca="false">IFERROR(VLOOKUP(A427,'Pass 2'!$A:$S,MATCH("Jan 2025 Traffic",'Pass 2'!$1:$1,0),FALSE()),"")</f>
        <v/>
      </c>
      <c r="E427" s="1" t="str">
        <f aca="false">IFERROR(VLOOKUP(A427,'Pass 2'!$A:$S,MATCH("Jun 2026 Traffic",'Pass 2'!$1:$1,0),FALSE()),"")</f>
        <v/>
      </c>
      <c r="F427" s="1" t="str">
        <f aca="false">IFERROR(VLOOKUP(A427,'Pass 2'!$A:$S,MATCH("Traffic % Change",'Pass 2'!$1:$1,0),FALSE()),"")</f>
        <v/>
      </c>
      <c r="G427" s="1" t="str">
        <f aca="false">IFERROR(VLOOKUP(A427,'Pass 2'!$A:$S,MATCH("Jan 2025 Referring Domains",'Pass 2'!$1:$1,0),FALSE()),"")</f>
        <v/>
      </c>
      <c r="H427" s="1" t="str">
        <f aca="false">IFERROR(VLOOKUP(A427,'Pass 2'!$A:$S,MATCH("Jun 2026 Referring Domains",'Pass 2'!$1:$1,0),FALSE()),"")</f>
        <v/>
      </c>
    </row>
    <row r="428" customFormat="false" ht="15" hidden="false" customHeight="true" outlineLevel="0" collapsed="false">
      <c r="B428" s="1" t="str">
        <f aca="false">IFERROR(VLOOKUP(A428,'Pass 2'!$A:$S,MATCH("Category",'Pass 2'!$1:$1,0),FALSE()),"")</f>
        <v/>
      </c>
      <c r="C428" s="1" t="str">
        <f aca="false">IFERROR(VLOOKUP(A428,'Pass 1 Archive'!$A:$AD,MATCH("LinkedIn Employee Count",'Pass 1 Archive'!$1:$1,0),FALSE()),"")</f>
        <v/>
      </c>
      <c r="D428" s="1" t="str">
        <f aca="false">IFERROR(VLOOKUP(A428,'Pass 2'!$A:$S,MATCH("Jan 2025 Traffic",'Pass 2'!$1:$1,0),FALSE()),"")</f>
        <v/>
      </c>
      <c r="E428" s="1" t="str">
        <f aca="false">IFERROR(VLOOKUP(A428,'Pass 2'!$A:$S,MATCH("Jun 2026 Traffic",'Pass 2'!$1:$1,0),FALSE()),"")</f>
        <v/>
      </c>
      <c r="F428" s="1" t="str">
        <f aca="false">IFERROR(VLOOKUP(A428,'Pass 2'!$A:$S,MATCH("Traffic % Change",'Pass 2'!$1:$1,0),FALSE()),"")</f>
        <v/>
      </c>
      <c r="G428" s="1" t="str">
        <f aca="false">IFERROR(VLOOKUP(A428,'Pass 2'!$A:$S,MATCH("Jan 2025 Referring Domains",'Pass 2'!$1:$1,0),FALSE()),"")</f>
        <v/>
      </c>
      <c r="H428" s="1" t="str">
        <f aca="false">IFERROR(VLOOKUP(A428,'Pass 2'!$A:$S,MATCH("Jun 2026 Referring Domains",'Pass 2'!$1:$1,0),FALSE()),"")</f>
        <v/>
      </c>
    </row>
    <row r="429" customFormat="false" ht="15" hidden="false" customHeight="true" outlineLevel="0" collapsed="false">
      <c r="B429" s="1" t="str">
        <f aca="false">IFERROR(VLOOKUP(A429,'Pass 2'!$A:$S,MATCH("Category",'Pass 2'!$1:$1,0),FALSE()),"")</f>
        <v/>
      </c>
      <c r="C429" s="1" t="str">
        <f aca="false">IFERROR(VLOOKUP(A429,'Pass 1 Archive'!$A:$AD,MATCH("LinkedIn Employee Count",'Pass 1 Archive'!$1:$1,0),FALSE()),"")</f>
        <v/>
      </c>
      <c r="D429" s="1" t="str">
        <f aca="false">IFERROR(VLOOKUP(A429,'Pass 2'!$A:$S,MATCH("Jan 2025 Traffic",'Pass 2'!$1:$1,0),FALSE()),"")</f>
        <v/>
      </c>
      <c r="E429" s="1" t="str">
        <f aca="false">IFERROR(VLOOKUP(A429,'Pass 2'!$A:$S,MATCH("Jun 2026 Traffic",'Pass 2'!$1:$1,0),FALSE()),"")</f>
        <v/>
      </c>
      <c r="F429" s="1" t="str">
        <f aca="false">IFERROR(VLOOKUP(A429,'Pass 2'!$A:$S,MATCH("Traffic % Change",'Pass 2'!$1:$1,0),FALSE()),"")</f>
        <v/>
      </c>
      <c r="G429" s="1" t="str">
        <f aca="false">IFERROR(VLOOKUP(A429,'Pass 2'!$A:$S,MATCH("Jan 2025 Referring Domains",'Pass 2'!$1:$1,0),FALSE()),"")</f>
        <v/>
      </c>
      <c r="H429" s="1" t="str">
        <f aca="false">IFERROR(VLOOKUP(A429,'Pass 2'!$A:$S,MATCH("Jun 2026 Referring Domains",'Pass 2'!$1:$1,0),FALSE()),"")</f>
        <v/>
      </c>
    </row>
    <row r="430" customFormat="false" ht="15" hidden="false" customHeight="true" outlineLevel="0" collapsed="false">
      <c r="B430" s="1" t="str">
        <f aca="false">IFERROR(VLOOKUP(A430,'Pass 2'!$A:$S,MATCH("Category",'Pass 2'!$1:$1,0),FALSE()),"")</f>
        <v/>
      </c>
      <c r="C430" s="1" t="str">
        <f aca="false">IFERROR(VLOOKUP(A430,'Pass 1 Archive'!$A:$AD,MATCH("LinkedIn Employee Count",'Pass 1 Archive'!$1:$1,0),FALSE()),"")</f>
        <v/>
      </c>
      <c r="D430" s="1" t="str">
        <f aca="false">IFERROR(VLOOKUP(A430,'Pass 2'!$A:$S,MATCH("Jan 2025 Traffic",'Pass 2'!$1:$1,0),FALSE()),"")</f>
        <v/>
      </c>
      <c r="E430" s="1" t="str">
        <f aca="false">IFERROR(VLOOKUP(A430,'Pass 2'!$A:$S,MATCH("Jun 2026 Traffic",'Pass 2'!$1:$1,0),FALSE()),"")</f>
        <v/>
      </c>
      <c r="F430" s="1" t="str">
        <f aca="false">IFERROR(VLOOKUP(A430,'Pass 2'!$A:$S,MATCH("Traffic % Change",'Pass 2'!$1:$1,0),FALSE()),"")</f>
        <v/>
      </c>
      <c r="G430" s="1" t="str">
        <f aca="false">IFERROR(VLOOKUP(A430,'Pass 2'!$A:$S,MATCH("Jan 2025 Referring Domains",'Pass 2'!$1:$1,0),FALSE()),"")</f>
        <v/>
      </c>
      <c r="H430" s="1" t="str">
        <f aca="false">IFERROR(VLOOKUP(A430,'Pass 2'!$A:$S,MATCH("Jun 2026 Referring Domains",'Pass 2'!$1:$1,0),FALSE()),"")</f>
        <v/>
      </c>
    </row>
    <row r="431" customFormat="false" ht="15" hidden="false" customHeight="true" outlineLevel="0" collapsed="false">
      <c r="B431" s="1" t="str">
        <f aca="false">IFERROR(VLOOKUP(A431,'Pass 2'!$A:$S,MATCH("Category",'Pass 2'!$1:$1,0),FALSE()),"")</f>
        <v/>
      </c>
      <c r="C431" s="1" t="str">
        <f aca="false">IFERROR(VLOOKUP(A431,'Pass 1 Archive'!$A:$AD,MATCH("LinkedIn Employee Count",'Pass 1 Archive'!$1:$1,0),FALSE()),"")</f>
        <v/>
      </c>
      <c r="D431" s="1" t="str">
        <f aca="false">IFERROR(VLOOKUP(A431,'Pass 2'!$A:$S,MATCH("Jan 2025 Traffic",'Pass 2'!$1:$1,0),FALSE()),"")</f>
        <v/>
      </c>
      <c r="E431" s="1" t="str">
        <f aca="false">IFERROR(VLOOKUP(A431,'Pass 2'!$A:$S,MATCH("Jun 2026 Traffic",'Pass 2'!$1:$1,0),FALSE()),"")</f>
        <v/>
      </c>
      <c r="F431" s="1" t="str">
        <f aca="false">IFERROR(VLOOKUP(A431,'Pass 2'!$A:$S,MATCH("Traffic % Change",'Pass 2'!$1:$1,0),FALSE()),"")</f>
        <v/>
      </c>
      <c r="G431" s="1" t="str">
        <f aca="false">IFERROR(VLOOKUP(A431,'Pass 2'!$A:$S,MATCH("Jan 2025 Referring Domains",'Pass 2'!$1:$1,0),FALSE()),"")</f>
        <v/>
      </c>
      <c r="H431" s="1" t="str">
        <f aca="false">IFERROR(VLOOKUP(A431,'Pass 2'!$A:$S,MATCH("Jun 2026 Referring Domains",'Pass 2'!$1:$1,0),FALSE()),"")</f>
        <v/>
      </c>
    </row>
    <row r="432" customFormat="false" ht="15" hidden="false" customHeight="true" outlineLevel="0" collapsed="false">
      <c r="B432" s="1" t="str">
        <f aca="false">IFERROR(VLOOKUP(A432,'Pass 2'!$A:$S,MATCH("Category",'Pass 2'!$1:$1,0),FALSE()),"")</f>
        <v/>
      </c>
      <c r="C432" s="1" t="str">
        <f aca="false">IFERROR(VLOOKUP(A432,'Pass 1 Archive'!$A:$AD,MATCH("LinkedIn Employee Count",'Pass 1 Archive'!$1:$1,0),FALSE()),"")</f>
        <v/>
      </c>
      <c r="D432" s="1" t="str">
        <f aca="false">IFERROR(VLOOKUP(A432,'Pass 2'!$A:$S,MATCH("Jan 2025 Traffic",'Pass 2'!$1:$1,0),FALSE()),"")</f>
        <v/>
      </c>
      <c r="E432" s="1" t="str">
        <f aca="false">IFERROR(VLOOKUP(A432,'Pass 2'!$A:$S,MATCH("Jun 2026 Traffic",'Pass 2'!$1:$1,0),FALSE()),"")</f>
        <v/>
      </c>
      <c r="F432" s="1" t="str">
        <f aca="false">IFERROR(VLOOKUP(A432,'Pass 2'!$A:$S,MATCH("Traffic % Change",'Pass 2'!$1:$1,0),FALSE()),"")</f>
        <v/>
      </c>
      <c r="G432" s="1" t="str">
        <f aca="false">IFERROR(VLOOKUP(A432,'Pass 2'!$A:$S,MATCH("Jan 2025 Referring Domains",'Pass 2'!$1:$1,0),FALSE()),"")</f>
        <v/>
      </c>
      <c r="H432" s="1" t="str">
        <f aca="false">IFERROR(VLOOKUP(A432,'Pass 2'!$A:$S,MATCH("Jun 2026 Referring Domains",'Pass 2'!$1:$1,0),FALSE()),"")</f>
        <v/>
      </c>
    </row>
    <row r="433" customFormat="false" ht="15" hidden="false" customHeight="true" outlineLevel="0" collapsed="false">
      <c r="B433" s="1" t="str">
        <f aca="false">IFERROR(VLOOKUP(A433,'Pass 2'!$A:$S,MATCH("Category",'Pass 2'!$1:$1,0),FALSE()),"")</f>
        <v/>
      </c>
      <c r="C433" s="1" t="str">
        <f aca="false">IFERROR(VLOOKUP(A433,'Pass 1 Archive'!$A:$AD,MATCH("LinkedIn Employee Count",'Pass 1 Archive'!$1:$1,0),FALSE()),"")</f>
        <v/>
      </c>
      <c r="D433" s="1" t="str">
        <f aca="false">IFERROR(VLOOKUP(A433,'Pass 2'!$A:$S,MATCH("Jan 2025 Traffic",'Pass 2'!$1:$1,0),FALSE()),"")</f>
        <v/>
      </c>
      <c r="E433" s="1" t="str">
        <f aca="false">IFERROR(VLOOKUP(A433,'Pass 2'!$A:$S,MATCH("Jun 2026 Traffic",'Pass 2'!$1:$1,0),FALSE()),"")</f>
        <v/>
      </c>
      <c r="F433" s="1" t="str">
        <f aca="false">IFERROR(VLOOKUP(A433,'Pass 2'!$A:$S,MATCH("Traffic % Change",'Pass 2'!$1:$1,0),FALSE()),"")</f>
        <v/>
      </c>
      <c r="G433" s="1" t="str">
        <f aca="false">IFERROR(VLOOKUP(A433,'Pass 2'!$A:$S,MATCH("Jan 2025 Referring Domains",'Pass 2'!$1:$1,0),FALSE()),"")</f>
        <v/>
      </c>
      <c r="H433" s="1" t="str">
        <f aca="false">IFERROR(VLOOKUP(A433,'Pass 2'!$A:$S,MATCH("Jun 2026 Referring Domains",'Pass 2'!$1:$1,0),FALSE()),"")</f>
        <v/>
      </c>
    </row>
    <row r="434" customFormat="false" ht="15" hidden="false" customHeight="true" outlineLevel="0" collapsed="false">
      <c r="B434" s="1" t="str">
        <f aca="false">IFERROR(VLOOKUP(A434,'Pass 2'!$A:$S,MATCH("Category",'Pass 2'!$1:$1,0),FALSE()),"")</f>
        <v/>
      </c>
      <c r="C434" s="1" t="str">
        <f aca="false">IFERROR(VLOOKUP(A434,'Pass 1 Archive'!$A:$AD,MATCH("LinkedIn Employee Count",'Pass 1 Archive'!$1:$1,0),FALSE()),"")</f>
        <v/>
      </c>
      <c r="D434" s="1" t="str">
        <f aca="false">IFERROR(VLOOKUP(A434,'Pass 2'!$A:$S,MATCH("Jan 2025 Traffic",'Pass 2'!$1:$1,0),FALSE()),"")</f>
        <v/>
      </c>
      <c r="E434" s="1" t="str">
        <f aca="false">IFERROR(VLOOKUP(A434,'Pass 2'!$A:$S,MATCH("Jun 2026 Traffic",'Pass 2'!$1:$1,0),FALSE()),"")</f>
        <v/>
      </c>
      <c r="F434" s="1" t="str">
        <f aca="false">IFERROR(VLOOKUP(A434,'Pass 2'!$A:$S,MATCH("Traffic % Change",'Pass 2'!$1:$1,0),FALSE()),"")</f>
        <v/>
      </c>
      <c r="G434" s="1" t="str">
        <f aca="false">IFERROR(VLOOKUP(A434,'Pass 2'!$A:$S,MATCH("Jan 2025 Referring Domains",'Pass 2'!$1:$1,0),FALSE()),"")</f>
        <v/>
      </c>
      <c r="H434" s="1" t="str">
        <f aca="false">IFERROR(VLOOKUP(A434,'Pass 2'!$A:$S,MATCH("Jun 2026 Referring Domains",'Pass 2'!$1:$1,0),FALSE()),"")</f>
        <v/>
      </c>
    </row>
    <row r="435" customFormat="false" ht="15" hidden="false" customHeight="true" outlineLevel="0" collapsed="false">
      <c r="B435" s="1" t="str">
        <f aca="false">IFERROR(VLOOKUP(A435,'Pass 2'!$A:$S,MATCH("Category",'Pass 2'!$1:$1,0),FALSE()),"")</f>
        <v/>
      </c>
      <c r="C435" s="1" t="str">
        <f aca="false">IFERROR(VLOOKUP(A435,'Pass 1 Archive'!$A:$AD,MATCH("LinkedIn Employee Count",'Pass 1 Archive'!$1:$1,0),FALSE()),"")</f>
        <v/>
      </c>
      <c r="D435" s="1" t="str">
        <f aca="false">IFERROR(VLOOKUP(A435,'Pass 2'!$A:$S,MATCH("Jan 2025 Traffic",'Pass 2'!$1:$1,0),FALSE()),"")</f>
        <v/>
      </c>
      <c r="E435" s="1" t="str">
        <f aca="false">IFERROR(VLOOKUP(A435,'Pass 2'!$A:$S,MATCH("Jun 2026 Traffic",'Pass 2'!$1:$1,0),FALSE()),"")</f>
        <v/>
      </c>
      <c r="F435" s="1" t="str">
        <f aca="false">IFERROR(VLOOKUP(A435,'Pass 2'!$A:$S,MATCH("Traffic % Change",'Pass 2'!$1:$1,0),FALSE()),"")</f>
        <v/>
      </c>
      <c r="G435" s="1" t="str">
        <f aca="false">IFERROR(VLOOKUP(A435,'Pass 2'!$A:$S,MATCH("Jan 2025 Referring Domains",'Pass 2'!$1:$1,0),FALSE()),"")</f>
        <v/>
      </c>
      <c r="H435" s="1" t="str">
        <f aca="false">IFERROR(VLOOKUP(A435,'Pass 2'!$A:$S,MATCH("Jun 2026 Referring Domains",'Pass 2'!$1:$1,0),FALSE()),"")</f>
        <v/>
      </c>
    </row>
    <row r="436" customFormat="false" ht="15" hidden="false" customHeight="true" outlineLevel="0" collapsed="false">
      <c r="B436" s="1" t="str">
        <f aca="false">IFERROR(VLOOKUP(A436,'Pass 2'!$A:$S,MATCH("Category",'Pass 2'!$1:$1,0),FALSE()),"")</f>
        <v/>
      </c>
      <c r="C436" s="1" t="str">
        <f aca="false">IFERROR(VLOOKUP(A436,'Pass 1 Archive'!$A:$AD,MATCH("LinkedIn Employee Count",'Pass 1 Archive'!$1:$1,0),FALSE()),"")</f>
        <v/>
      </c>
      <c r="D436" s="1" t="str">
        <f aca="false">IFERROR(VLOOKUP(A436,'Pass 2'!$A:$S,MATCH("Jan 2025 Traffic",'Pass 2'!$1:$1,0),FALSE()),"")</f>
        <v/>
      </c>
      <c r="E436" s="1" t="str">
        <f aca="false">IFERROR(VLOOKUP(A436,'Pass 2'!$A:$S,MATCH("Jun 2026 Traffic",'Pass 2'!$1:$1,0),FALSE()),"")</f>
        <v/>
      </c>
      <c r="F436" s="1" t="str">
        <f aca="false">IFERROR(VLOOKUP(A436,'Pass 2'!$A:$S,MATCH("Traffic % Change",'Pass 2'!$1:$1,0),FALSE()),"")</f>
        <v/>
      </c>
      <c r="G436" s="1" t="str">
        <f aca="false">IFERROR(VLOOKUP(A436,'Pass 2'!$A:$S,MATCH("Jan 2025 Referring Domains",'Pass 2'!$1:$1,0),FALSE()),"")</f>
        <v/>
      </c>
      <c r="H436" s="1" t="str">
        <f aca="false">IFERROR(VLOOKUP(A436,'Pass 2'!$A:$S,MATCH("Jun 2026 Referring Domains",'Pass 2'!$1:$1,0),FALSE()),"")</f>
        <v/>
      </c>
    </row>
    <row r="437" customFormat="false" ht="15" hidden="false" customHeight="true" outlineLevel="0" collapsed="false">
      <c r="B437" s="1" t="str">
        <f aca="false">IFERROR(VLOOKUP(A437,'Pass 2'!$A:$S,MATCH("Category",'Pass 2'!$1:$1,0),FALSE()),"")</f>
        <v/>
      </c>
      <c r="C437" s="1" t="str">
        <f aca="false">IFERROR(VLOOKUP(A437,'Pass 1 Archive'!$A:$AD,MATCH("LinkedIn Employee Count",'Pass 1 Archive'!$1:$1,0),FALSE()),"")</f>
        <v/>
      </c>
      <c r="D437" s="1" t="str">
        <f aca="false">IFERROR(VLOOKUP(A437,'Pass 2'!$A:$S,MATCH("Jan 2025 Traffic",'Pass 2'!$1:$1,0),FALSE()),"")</f>
        <v/>
      </c>
      <c r="E437" s="1" t="str">
        <f aca="false">IFERROR(VLOOKUP(A437,'Pass 2'!$A:$S,MATCH("Jun 2026 Traffic",'Pass 2'!$1:$1,0),FALSE()),"")</f>
        <v/>
      </c>
      <c r="F437" s="1" t="str">
        <f aca="false">IFERROR(VLOOKUP(A437,'Pass 2'!$A:$S,MATCH("Traffic % Change",'Pass 2'!$1:$1,0),FALSE()),"")</f>
        <v/>
      </c>
      <c r="G437" s="1" t="str">
        <f aca="false">IFERROR(VLOOKUP(A437,'Pass 2'!$A:$S,MATCH("Jan 2025 Referring Domains",'Pass 2'!$1:$1,0),FALSE()),"")</f>
        <v/>
      </c>
      <c r="H437" s="1" t="str">
        <f aca="false">IFERROR(VLOOKUP(A437,'Pass 2'!$A:$S,MATCH("Jun 2026 Referring Domains",'Pass 2'!$1:$1,0),FALSE()),"")</f>
        <v/>
      </c>
    </row>
    <row r="438" customFormat="false" ht="15" hidden="false" customHeight="true" outlineLevel="0" collapsed="false">
      <c r="B438" s="1" t="str">
        <f aca="false">IFERROR(VLOOKUP(A438,'Pass 2'!$A:$S,MATCH("Category",'Pass 2'!$1:$1,0),FALSE()),"")</f>
        <v/>
      </c>
      <c r="C438" s="1" t="str">
        <f aca="false">IFERROR(VLOOKUP(A438,'Pass 1 Archive'!$A:$AD,MATCH("LinkedIn Employee Count",'Pass 1 Archive'!$1:$1,0),FALSE()),"")</f>
        <v/>
      </c>
      <c r="D438" s="1" t="str">
        <f aca="false">IFERROR(VLOOKUP(A438,'Pass 2'!$A:$S,MATCH("Jan 2025 Traffic",'Pass 2'!$1:$1,0),FALSE()),"")</f>
        <v/>
      </c>
      <c r="E438" s="1" t="str">
        <f aca="false">IFERROR(VLOOKUP(A438,'Pass 2'!$A:$S,MATCH("Jun 2026 Traffic",'Pass 2'!$1:$1,0),FALSE()),"")</f>
        <v/>
      </c>
      <c r="F438" s="1" t="str">
        <f aca="false">IFERROR(VLOOKUP(A438,'Pass 2'!$A:$S,MATCH("Traffic % Change",'Pass 2'!$1:$1,0),FALSE()),"")</f>
        <v/>
      </c>
      <c r="G438" s="1" t="str">
        <f aca="false">IFERROR(VLOOKUP(A438,'Pass 2'!$A:$S,MATCH("Jan 2025 Referring Domains",'Pass 2'!$1:$1,0),FALSE()),"")</f>
        <v/>
      </c>
      <c r="H438" s="1" t="str">
        <f aca="false">IFERROR(VLOOKUP(A438,'Pass 2'!$A:$S,MATCH("Jun 2026 Referring Domains",'Pass 2'!$1:$1,0),FALSE()),"")</f>
        <v/>
      </c>
    </row>
    <row r="439" customFormat="false" ht="15" hidden="false" customHeight="true" outlineLevel="0" collapsed="false">
      <c r="B439" s="1" t="str">
        <f aca="false">IFERROR(VLOOKUP(A439,'Pass 2'!$A:$S,MATCH("Category",'Pass 2'!$1:$1,0),FALSE()),"")</f>
        <v/>
      </c>
      <c r="C439" s="1" t="str">
        <f aca="false">IFERROR(VLOOKUP(A439,'Pass 1 Archive'!$A:$AD,MATCH("LinkedIn Employee Count",'Pass 1 Archive'!$1:$1,0),FALSE()),"")</f>
        <v/>
      </c>
      <c r="D439" s="1" t="str">
        <f aca="false">IFERROR(VLOOKUP(A439,'Pass 2'!$A:$S,MATCH("Jan 2025 Traffic",'Pass 2'!$1:$1,0),FALSE()),"")</f>
        <v/>
      </c>
      <c r="E439" s="1" t="str">
        <f aca="false">IFERROR(VLOOKUP(A439,'Pass 2'!$A:$S,MATCH("Jun 2026 Traffic",'Pass 2'!$1:$1,0),FALSE()),"")</f>
        <v/>
      </c>
      <c r="F439" s="1" t="str">
        <f aca="false">IFERROR(VLOOKUP(A439,'Pass 2'!$A:$S,MATCH("Traffic % Change",'Pass 2'!$1:$1,0),FALSE()),"")</f>
        <v/>
      </c>
      <c r="G439" s="1" t="str">
        <f aca="false">IFERROR(VLOOKUP(A439,'Pass 2'!$A:$S,MATCH("Jan 2025 Referring Domains",'Pass 2'!$1:$1,0),FALSE()),"")</f>
        <v/>
      </c>
      <c r="H439" s="1" t="str">
        <f aca="false">IFERROR(VLOOKUP(A439,'Pass 2'!$A:$S,MATCH("Jun 2026 Referring Domains",'Pass 2'!$1:$1,0),FALSE()),"")</f>
        <v/>
      </c>
    </row>
    <row r="440" customFormat="false" ht="15" hidden="false" customHeight="true" outlineLevel="0" collapsed="false">
      <c r="B440" s="1" t="str">
        <f aca="false">IFERROR(VLOOKUP(A440,'Pass 2'!$A:$S,MATCH("Category",'Pass 2'!$1:$1,0),FALSE()),"")</f>
        <v/>
      </c>
      <c r="C440" s="1" t="str">
        <f aca="false">IFERROR(VLOOKUP(A440,'Pass 1 Archive'!$A:$AD,MATCH("LinkedIn Employee Count",'Pass 1 Archive'!$1:$1,0),FALSE()),"")</f>
        <v/>
      </c>
      <c r="D440" s="1" t="str">
        <f aca="false">IFERROR(VLOOKUP(A440,'Pass 2'!$A:$S,MATCH("Jan 2025 Traffic",'Pass 2'!$1:$1,0),FALSE()),"")</f>
        <v/>
      </c>
      <c r="E440" s="1" t="str">
        <f aca="false">IFERROR(VLOOKUP(A440,'Pass 2'!$A:$S,MATCH("Jun 2026 Traffic",'Pass 2'!$1:$1,0),FALSE()),"")</f>
        <v/>
      </c>
      <c r="F440" s="1" t="str">
        <f aca="false">IFERROR(VLOOKUP(A440,'Pass 2'!$A:$S,MATCH("Traffic % Change",'Pass 2'!$1:$1,0),FALSE()),"")</f>
        <v/>
      </c>
      <c r="G440" s="1" t="str">
        <f aca="false">IFERROR(VLOOKUP(A440,'Pass 2'!$A:$S,MATCH("Jan 2025 Referring Domains",'Pass 2'!$1:$1,0),FALSE()),"")</f>
        <v/>
      </c>
      <c r="H440" s="1" t="str">
        <f aca="false">IFERROR(VLOOKUP(A440,'Pass 2'!$A:$S,MATCH("Jun 2026 Referring Domains",'Pass 2'!$1:$1,0),FALSE()),"")</f>
        <v/>
      </c>
    </row>
    <row r="441" customFormat="false" ht="15" hidden="false" customHeight="true" outlineLevel="0" collapsed="false">
      <c r="B441" s="1" t="str">
        <f aca="false">IFERROR(VLOOKUP(A441,'Pass 2'!$A:$S,MATCH("Category",'Pass 2'!$1:$1,0),FALSE()),"")</f>
        <v/>
      </c>
      <c r="C441" s="1" t="str">
        <f aca="false">IFERROR(VLOOKUP(A441,'Pass 1 Archive'!$A:$AD,MATCH("LinkedIn Employee Count",'Pass 1 Archive'!$1:$1,0),FALSE()),"")</f>
        <v/>
      </c>
      <c r="D441" s="1" t="str">
        <f aca="false">IFERROR(VLOOKUP(A441,'Pass 2'!$A:$S,MATCH("Jan 2025 Traffic",'Pass 2'!$1:$1,0),FALSE()),"")</f>
        <v/>
      </c>
      <c r="E441" s="1" t="str">
        <f aca="false">IFERROR(VLOOKUP(A441,'Pass 2'!$A:$S,MATCH("Jun 2026 Traffic",'Pass 2'!$1:$1,0),FALSE()),"")</f>
        <v/>
      </c>
      <c r="F441" s="1" t="str">
        <f aca="false">IFERROR(VLOOKUP(A441,'Pass 2'!$A:$S,MATCH("Traffic % Change",'Pass 2'!$1:$1,0),FALSE()),"")</f>
        <v/>
      </c>
      <c r="G441" s="1" t="str">
        <f aca="false">IFERROR(VLOOKUP(A441,'Pass 2'!$A:$S,MATCH("Jan 2025 Referring Domains",'Pass 2'!$1:$1,0),FALSE()),"")</f>
        <v/>
      </c>
      <c r="H441" s="1" t="str">
        <f aca="false">IFERROR(VLOOKUP(A441,'Pass 2'!$A:$S,MATCH("Jun 2026 Referring Domains",'Pass 2'!$1:$1,0),FALSE()),"")</f>
        <v/>
      </c>
    </row>
    <row r="442" customFormat="false" ht="15" hidden="false" customHeight="true" outlineLevel="0" collapsed="false">
      <c r="B442" s="1" t="str">
        <f aca="false">IFERROR(VLOOKUP(A442,'Pass 2'!$A:$S,MATCH("Category",'Pass 2'!$1:$1,0),FALSE()),"")</f>
        <v/>
      </c>
      <c r="C442" s="1" t="str">
        <f aca="false">IFERROR(VLOOKUP(A442,'Pass 1 Archive'!$A:$AD,MATCH("LinkedIn Employee Count",'Pass 1 Archive'!$1:$1,0),FALSE()),"")</f>
        <v/>
      </c>
      <c r="D442" s="1" t="str">
        <f aca="false">IFERROR(VLOOKUP(A442,'Pass 2'!$A:$S,MATCH("Jan 2025 Traffic",'Pass 2'!$1:$1,0),FALSE()),"")</f>
        <v/>
      </c>
      <c r="E442" s="1" t="str">
        <f aca="false">IFERROR(VLOOKUP(A442,'Pass 2'!$A:$S,MATCH("Jun 2026 Traffic",'Pass 2'!$1:$1,0),FALSE()),"")</f>
        <v/>
      </c>
      <c r="F442" s="1" t="str">
        <f aca="false">IFERROR(VLOOKUP(A442,'Pass 2'!$A:$S,MATCH("Traffic % Change",'Pass 2'!$1:$1,0),FALSE()),"")</f>
        <v/>
      </c>
      <c r="G442" s="1" t="str">
        <f aca="false">IFERROR(VLOOKUP(A442,'Pass 2'!$A:$S,MATCH("Jan 2025 Referring Domains",'Pass 2'!$1:$1,0),FALSE()),"")</f>
        <v/>
      </c>
      <c r="H442" s="1" t="str">
        <f aca="false">IFERROR(VLOOKUP(A442,'Pass 2'!$A:$S,MATCH("Jun 2026 Referring Domains",'Pass 2'!$1:$1,0),FALSE()),"")</f>
        <v/>
      </c>
    </row>
    <row r="443" customFormat="false" ht="15" hidden="false" customHeight="true" outlineLevel="0" collapsed="false">
      <c r="B443" s="1" t="str">
        <f aca="false">IFERROR(VLOOKUP(A443,'Pass 2'!$A:$S,MATCH("Category",'Pass 2'!$1:$1,0),FALSE()),"")</f>
        <v/>
      </c>
      <c r="C443" s="1" t="str">
        <f aca="false">IFERROR(VLOOKUP(A443,'Pass 1 Archive'!$A:$AD,MATCH("LinkedIn Employee Count",'Pass 1 Archive'!$1:$1,0),FALSE()),"")</f>
        <v/>
      </c>
      <c r="D443" s="1" t="str">
        <f aca="false">IFERROR(VLOOKUP(A443,'Pass 2'!$A:$S,MATCH("Jan 2025 Traffic",'Pass 2'!$1:$1,0),FALSE()),"")</f>
        <v/>
      </c>
      <c r="E443" s="1" t="str">
        <f aca="false">IFERROR(VLOOKUP(A443,'Pass 2'!$A:$S,MATCH("Jun 2026 Traffic",'Pass 2'!$1:$1,0),FALSE()),"")</f>
        <v/>
      </c>
      <c r="F443" s="1" t="str">
        <f aca="false">IFERROR(VLOOKUP(A443,'Pass 2'!$A:$S,MATCH("Traffic % Change",'Pass 2'!$1:$1,0),FALSE()),"")</f>
        <v/>
      </c>
      <c r="G443" s="1" t="str">
        <f aca="false">IFERROR(VLOOKUP(A443,'Pass 2'!$A:$S,MATCH("Jan 2025 Referring Domains",'Pass 2'!$1:$1,0),FALSE()),"")</f>
        <v/>
      </c>
      <c r="H443" s="1" t="str">
        <f aca="false">IFERROR(VLOOKUP(A443,'Pass 2'!$A:$S,MATCH("Jun 2026 Referring Domains",'Pass 2'!$1:$1,0),FALSE()),"")</f>
        <v/>
      </c>
    </row>
    <row r="444" customFormat="false" ht="15" hidden="false" customHeight="true" outlineLevel="0" collapsed="false">
      <c r="B444" s="1" t="str">
        <f aca="false">IFERROR(VLOOKUP(A444,'Pass 2'!$A:$S,MATCH("Category",'Pass 2'!$1:$1,0),FALSE()),"")</f>
        <v/>
      </c>
      <c r="C444" s="1" t="str">
        <f aca="false">IFERROR(VLOOKUP(A444,'Pass 1 Archive'!$A:$AD,MATCH("LinkedIn Employee Count",'Pass 1 Archive'!$1:$1,0),FALSE()),"")</f>
        <v/>
      </c>
      <c r="D444" s="1" t="str">
        <f aca="false">IFERROR(VLOOKUP(A444,'Pass 2'!$A:$S,MATCH("Jan 2025 Traffic",'Pass 2'!$1:$1,0),FALSE()),"")</f>
        <v/>
      </c>
      <c r="E444" s="1" t="str">
        <f aca="false">IFERROR(VLOOKUP(A444,'Pass 2'!$A:$S,MATCH("Jun 2026 Traffic",'Pass 2'!$1:$1,0),FALSE()),"")</f>
        <v/>
      </c>
      <c r="F444" s="1" t="str">
        <f aca="false">IFERROR(VLOOKUP(A444,'Pass 2'!$A:$S,MATCH("Traffic % Change",'Pass 2'!$1:$1,0),FALSE()),"")</f>
        <v/>
      </c>
      <c r="G444" s="1" t="str">
        <f aca="false">IFERROR(VLOOKUP(A444,'Pass 2'!$A:$S,MATCH("Jan 2025 Referring Domains",'Pass 2'!$1:$1,0),FALSE()),"")</f>
        <v/>
      </c>
      <c r="H444" s="1" t="str">
        <f aca="false">IFERROR(VLOOKUP(A444,'Pass 2'!$A:$S,MATCH("Jun 2026 Referring Domains",'Pass 2'!$1:$1,0),FALSE()),"")</f>
        <v/>
      </c>
    </row>
    <row r="445" customFormat="false" ht="15" hidden="false" customHeight="true" outlineLevel="0" collapsed="false">
      <c r="B445" s="1" t="str">
        <f aca="false">IFERROR(VLOOKUP(A445,'Pass 2'!$A:$S,MATCH("Category",'Pass 2'!$1:$1,0),FALSE()),"")</f>
        <v/>
      </c>
      <c r="C445" s="1" t="str">
        <f aca="false">IFERROR(VLOOKUP(A445,'Pass 1 Archive'!$A:$AD,MATCH("LinkedIn Employee Count",'Pass 1 Archive'!$1:$1,0),FALSE()),"")</f>
        <v/>
      </c>
      <c r="D445" s="1" t="str">
        <f aca="false">IFERROR(VLOOKUP(A445,'Pass 2'!$A:$S,MATCH("Jan 2025 Traffic",'Pass 2'!$1:$1,0),FALSE()),"")</f>
        <v/>
      </c>
      <c r="E445" s="1" t="str">
        <f aca="false">IFERROR(VLOOKUP(A445,'Pass 2'!$A:$S,MATCH("Jun 2026 Traffic",'Pass 2'!$1:$1,0),FALSE()),"")</f>
        <v/>
      </c>
      <c r="F445" s="1" t="str">
        <f aca="false">IFERROR(VLOOKUP(A445,'Pass 2'!$A:$S,MATCH("Traffic % Change",'Pass 2'!$1:$1,0),FALSE()),"")</f>
        <v/>
      </c>
      <c r="G445" s="1" t="str">
        <f aca="false">IFERROR(VLOOKUP(A445,'Pass 2'!$A:$S,MATCH("Jan 2025 Referring Domains",'Pass 2'!$1:$1,0),FALSE()),"")</f>
        <v/>
      </c>
      <c r="H445" s="1" t="str">
        <f aca="false">IFERROR(VLOOKUP(A445,'Pass 2'!$A:$S,MATCH("Jun 2026 Referring Domains",'Pass 2'!$1:$1,0),FALSE()),"")</f>
        <v/>
      </c>
    </row>
    <row r="446" customFormat="false" ht="15" hidden="false" customHeight="true" outlineLevel="0" collapsed="false">
      <c r="B446" s="1" t="str">
        <f aca="false">IFERROR(VLOOKUP(A446,'Pass 2'!$A:$S,MATCH("Category",'Pass 2'!$1:$1,0),FALSE()),"")</f>
        <v/>
      </c>
      <c r="C446" s="1" t="str">
        <f aca="false">IFERROR(VLOOKUP(A446,'Pass 1 Archive'!$A:$AD,MATCH("LinkedIn Employee Count",'Pass 1 Archive'!$1:$1,0),FALSE()),"")</f>
        <v/>
      </c>
      <c r="D446" s="1" t="str">
        <f aca="false">IFERROR(VLOOKUP(A446,'Pass 2'!$A:$S,MATCH("Jan 2025 Traffic",'Pass 2'!$1:$1,0),FALSE()),"")</f>
        <v/>
      </c>
      <c r="E446" s="1" t="str">
        <f aca="false">IFERROR(VLOOKUP(A446,'Pass 2'!$A:$S,MATCH("Jun 2026 Traffic",'Pass 2'!$1:$1,0),FALSE()),"")</f>
        <v/>
      </c>
      <c r="F446" s="1" t="str">
        <f aca="false">IFERROR(VLOOKUP(A446,'Pass 2'!$A:$S,MATCH("Traffic % Change",'Pass 2'!$1:$1,0),FALSE()),"")</f>
        <v/>
      </c>
      <c r="G446" s="1" t="str">
        <f aca="false">IFERROR(VLOOKUP(A446,'Pass 2'!$A:$S,MATCH("Jan 2025 Referring Domains",'Pass 2'!$1:$1,0),FALSE()),"")</f>
        <v/>
      </c>
      <c r="H446" s="1" t="str">
        <f aca="false">IFERROR(VLOOKUP(A446,'Pass 2'!$A:$S,MATCH("Jun 2026 Referring Domains",'Pass 2'!$1:$1,0),FALSE()),"")</f>
        <v/>
      </c>
    </row>
    <row r="447" customFormat="false" ht="15" hidden="false" customHeight="true" outlineLevel="0" collapsed="false">
      <c r="B447" s="1" t="str">
        <f aca="false">IFERROR(VLOOKUP(A447,'Pass 2'!$A:$S,MATCH("Category",'Pass 2'!$1:$1,0),FALSE()),"")</f>
        <v/>
      </c>
      <c r="C447" s="1" t="str">
        <f aca="false">IFERROR(VLOOKUP(A447,'Pass 1 Archive'!$A:$AD,MATCH("LinkedIn Employee Count",'Pass 1 Archive'!$1:$1,0),FALSE()),"")</f>
        <v/>
      </c>
      <c r="D447" s="1" t="str">
        <f aca="false">IFERROR(VLOOKUP(A447,'Pass 2'!$A:$S,MATCH("Jan 2025 Traffic",'Pass 2'!$1:$1,0),FALSE()),"")</f>
        <v/>
      </c>
      <c r="E447" s="1" t="str">
        <f aca="false">IFERROR(VLOOKUP(A447,'Pass 2'!$A:$S,MATCH("Jun 2026 Traffic",'Pass 2'!$1:$1,0),FALSE()),"")</f>
        <v/>
      </c>
      <c r="F447" s="1" t="str">
        <f aca="false">IFERROR(VLOOKUP(A447,'Pass 2'!$A:$S,MATCH("Traffic % Change",'Pass 2'!$1:$1,0),FALSE()),"")</f>
        <v/>
      </c>
      <c r="G447" s="1" t="str">
        <f aca="false">IFERROR(VLOOKUP(A447,'Pass 2'!$A:$S,MATCH("Jan 2025 Referring Domains",'Pass 2'!$1:$1,0),FALSE()),"")</f>
        <v/>
      </c>
      <c r="H447" s="1" t="str">
        <f aca="false">IFERROR(VLOOKUP(A447,'Pass 2'!$A:$S,MATCH("Jun 2026 Referring Domains",'Pass 2'!$1:$1,0),FALSE()),"")</f>
        <v/>
      </c>
    </row>
    <row r="448" customFormat="false" ht="15" hidden="false" customHeight="true" outlineLevel="0" collapsed="false">
      <c r="B448" s="1" t="str">
        <f aca="false">IFERROR(VLOOKUP(A448,'Pass 2'!$A:$S,MATCH("Category",'Pass 2'!$1:$1,0),FALSE()),"")</f>
        <v/>
      </c>
      <c r="C448" s="1" t="str">
        <f aca="false">IFERROR(VLOOKUP(A448,'Pass 1 Archive'!$A:$AD,MATCH("LinkedIn Employee Count",'Pass 1 Archive'!$1:$1,0),FALSE()),"")</f>
        <v/>
      </c>
      <c r="D448" s="1" t="str">
        <f aca="false">IFERROR(VLOOKUP(A448,'Pass 2'!$A:$S,MATCH("Jan 2025 Traffic",'Pass 2'!$1:$1,0),FALSE()),"")</f>
        <v/>
      </c>
      <c r="E448" s="1" t="str">
        <f aca="false">IFERROR(VLOOKUP(A448,'Pass 2'!$A:$S,MATCH("Jun 2026 Traffic",'Pass 2'!$1:$1,0),FALSE()),"")</f>
        <v/>
      </c>
      <c r="F448" s="1" t="str">
        <f aca="false">IFERROR(VLOOKUP(A448,'Pass 2'!$A:$S,MATCH("Traffic % Change",'Pass 2'!$1:$1,0),FALSE()),"")</f>
        <v/>
      </c>
      <c r="G448" s="1" t="str">
        <f aca="false">IFERROR(VLOOKUP(A448,'Pass 2'!$A:$S,MATCH("Jan 2025 Referring Domains",'Pass 2'!$1:$1,0),FALSE()),"")</f>
        <v/>
      </c>
      <c r="H448" s="1" t="str">
        <f aca="false">IFERROR(VLOOKUP(A448,'Pass 2'!$A:$S,MATCH("Jun 2026 Referring Domains",'Pass 2'!$1:$1,0),FALSE()),"")</f>
        <v/>
      </c>
    </row>
    <row r="449" customFormat="false" ht="15" hidden="false" customHeight="true" outlineLevel="0" collapsed="false">
      <c r="B449" s="1" t="str">
        <f aca="false">IFERROR(VLOOKUP(A449,'Pass 2'!$A:$S,MATCH("Category",'Pass 2'!$1:$1,0),FALSE()),"")</f>
        <v/>
      </c>
      <c r="C449" s="1" t="str">
        <f aca="false">IFERROR(VLOOKUP(A449,'Pass 1 Archive'!$A:$AD,MATCH("LinkedIn Employee Count",'Pass 1 Archive'!$1:$1,0),FALSE()),"")</f>
        <v/>
      </c>
      <c r="D449" s="1" t="str">
        <f aca="false">IFERROR(VLOOKUP(A449,'Pass 2'!$A:$S,MATCH("Jan 2025 Traffic",'Pass 2'!$1:$1,0),FALSE()),"")</f>
        <v/>
      </c>
      <c r="E449" s="1" t="str">
        <f aca="false">IFERROR(VLOOKUP(A449,'Pass 2'!$A:$S,MATCH("Jun 2026 Traffic",'Pass 2'!$1:$1,0),FALSE()),"")</f>
        <v/>
      </c>
      <c r="F449" s="1" t="str">
        <f aca="false">IFERROR(VLOOKUP(A449,'Pass 2'!$A:$S,MATCH("Traffic % Change",'Pass 2'!$1:$1,0),FALSE()),"")</f>
        <v/>
      </c>
      <c r="G449" s="1" t="str">
        <f aca="false">IFERROR(VLOOKUP(A449,'Pass 2'!$A:$S,MATCH("Jan 2025 Referring Domains",'Pass 2'!$1:$1,0),FALSE()),"")</f>
        <v/>
      </c>
      <c r="H449" s="1" t="str">
        <f aca="false">IFERROR(VLOOKUP(A449,'Pass 2'!$A:$S,MATCH("Jun 2026 Referring Domains",'Pass 2'!$1:$1,0),FALSE()),"")</f>
        <v/>
      </c>
    </row>
    <row r="450" customFormat="false" ht="15" hidden="false" customHeight="true" outlineLevel="0" collapsed="false">
      <c r="B450" s="1" t="str">
        <f aca="false">IFERROR(VLOOKUP(A450,'Pass 2'!$A:$S,MATCH("Category",'Pass 2'!$1:$1,0),FALSE()),"")</f>
        <v/>
      </c>
      <c r="C450" s="1" t="str">
        <f aca="false">IFERROR(VLOOKUP(A450,'Pass 1 Archive'!$A:$AD,MATCH("LinkedIn Employee Count",'Pass 1 Archive'!$1:$1,0),FALSE()),"")</f>
        <v/>
      </c>
      <c r="D450" s="1" t="str">
        <f aca="false">IFERROR(VLOOKUP(A450,'Pass 2'!$A:$S,MATCH("Jan 2025 Traffic",'Pass 2'!$1:$1,0),FALSE()),"")</f>
        <v/>
      </c>
      <c r="E450" s="1" t="str">
        <f aca="false">IFERROR(VLOOKUP(A450,'Pass 2'!$A:$S,MATCH("Jun 2026 Traffic",'Pass 2'!$1:$1,0),FALSE()),"")</f>
        <v/>
      </c>
      <c r="F450" s="1" t="str">
        <f aca="false">IFERROR(VLOOKUP(A450,'Pass 2'!$A:$S,MATCH("Traffic % Change",'Pass 2'!$1:$1,0),FALSE()),"")</f>
        <v/>
      </c>
      <c r="G450" s="1" t="str">
        <f aca="false">IFERROR(VLOOKUP(A450,'Pass 2'!$A:$S,MATCH("Jan 2025 Referring Domains",'Pass 2'!$1:$1,0),FALSE()),"")</f>
        <v/>
      </c>
      <c r="H450" s="1" t="str">
        <f aca="false">IFERROR(VLOOKUP(A450,'Pass 2'!$A:$S,MATCH("Jun 2026 Referring Domains",'Pass 2'!$1:$1,0),FALSE()),"")</f>
        <v/>
      </c>
    </row>
    <row r="451" customFormat="false" ht="15" hidden="false" customHeight="true" outlineLevel="0" collapsed="false">
      <c r="B451" s="1" t="str">
        <f aca="false">IFERROR(VLOOKUP(A451,'Pass 2'!$A:$S,MATCH("Category",'Pass 2'!$1:$1,0),FALSE()),"")</f>
        <v/>
      </c>
      <c r="C451" s="1" t="str">
        <f aca="false">IFERROR(VLOOKUP(A451,'Pass 1 Archive'!$A:$AD,MATCH("LinkedIn Employee Count",'Pass 1 Archive'!$1:$1,0),FALSE()),"")</f>
        <v/>
      </c>
      <c r="D451" s="1" t="str">
        <f aca="false">IFERROR(VLOOKUP(A451,'Pass 2'!$A:$S,MATCH("Jan 2025 Traffic",'Pass 2'!$1:$1,0),FALSE()),"")</f>
        <v/>
      </c>
      <c r="E451" s="1" t="str">
        <f aca="false">IFERROR(VLOOKUP(A451,'Pass 2'!$A:$S,MATCH("Jun 2026 Traffic",'Pass 2'!$1:$1,0),FALSE()),"")</f>
        <v/>
      </c>
      <c r="F451" s="1" t="str">
        <f aca="false">IFERROR(VLOOKUP(A451,'Pass 2'!$A:$S,MATCH("Traffic % Change",'Pass 2'!$1:$1,0),FALSE()),"")</f>
        <v/>
      </c>
      <c r="G451" s="1" t="str">
        <f aca="false">IFERROR(VLOOKUP(A451,'Pass 2'!$A:$S,MATCH("Jan 2025 Referring Domains",'Pass 2'!$1:$1,0),FALSE()),"")</f>
        <v/>
      </c>
      <c r="H451" s="1" t="str">
        <f aca="false">IFERROR(VLOOKUP(A451,'Pass 2'!$A:$S,MATCH("Jun 2026 Referring Domains",'Pass 2'!$1:$1,0),FALSE()),"")</f>
        <v/>
      </c>
    </row>
    <row r="452" customFormat="false" ht="15" hidden="false" customHeight="true" outlineLevel="0" collapsed="false">
      <c r="B452" s="1" t="str">
        <f aca="false">IFERROR(VLOOKUP(A452,'Pass 2'!$A:$S,MATCH("Category",'Pass 2'!$1:$1,0),FALSE()),"")</f>
        <v/>
      </c>
      <c r="C452" s="1" t="str">
        <f aca="false">IFERROR(VLOOKUP(A452,'Pass 1 Archive'!$A:$AD,MATCH("LinkedIn Employee Count",'Pass 1 Archive'!$1:$1,0),FALSE()),"")</f>
        <v/>
      </c>
      <c r="D452" s="1" t="str">
        <f aca="false">IFERROR(VLOOKUP(A452,'Pass 2'!$A:$S,MATCH("Jan 2025 Traffic",'Pass 2'!$1:$1,0),FALSE()),"")</f>
        <v/>
      </c>
      <c r="E452" s="1" t="str">
        <f aca="false">IFERROR(VLOOKUP(A452,'Pass 2'!$A:$S,MATCH("Jun 2026 Traffic",'Pass 2'!$1:$1,0),FALSE()),"")</f>
        <v/>
      </c>
      <c r="F452" s="1" t="str">
        <f aca="false">IFERROR(VLOOKUP(A452,'Pass 2'!$A:$S,MATCH("Traffic % Change",'Pass 2'!$1:$1,0),FALSE()),"")</f>
        <v/>
      </c>
      <c r="G452" s="1" t="str">
        <f aca="false">IFERROR(VLOOKUP(A452,'Pass 2'!$A:$S,MATCH("Jan 2025 Referring Domains",'Pass 2'!$1:$1,0),FALSE()),"")</f>
        <v/>
      </c>
      <c r="H452" s="1" t="str">
        <f aca="false">IFERROR(VLOOKUP(A452,'Pass 2'!$A:$S,MATCH("Jun 2026 Referring Domains",'Pass 2'!$1:$1,0),FALSE()),"")</f>
        <v/>
      </c>
    </row>
    <row r="453" customFormat="false" ht="15" hidden="false" customHeight="true" outlineLevel="0" collapsed="false">
      <c r="B453" s="1" t="str">
        <f aca="false">IFERROR(VLOOKUP(A453,'Pass 2'!$A:$S,MATCH("Category",'Pass 2'!$1:$1,0),FALSE()),"")</f>
        <v/>
      </c>
      <c r="C453" s="1" t="str">
        <f aca="false">IFERROR(VLOOKUP(A453,'Pass 1 Archive'!$A:$AD,MATCH("LinkedIn Employee Count",'Pass 1 Archive'!$1:$1,0),FALSE()),"")</f>
        <v/>
      </c>
      <c r="D453" s="1" t="str">
        <f aca="false">IFERROR(VLOOKUP(A453,'Pass 2'!$A:$S,MATCH("Jan 2025 Traffic",'Pass 2'!$1:$1,0),FALSE()),"")</f>
        <v/>
      </c>
      <c r="E453" s="1" t="str">
        <f aca="false">IFERROR(VLOOKUP(A453,'Pass 2'!$A:$S,MATCH("Jun 2026 Traffic",'Pass 2'!$1:$1,0),FALSE()),"")</f>
        <v/>
      </c>
      <c r="F453" s="1" t="str">
        <f aca="false">IFERROR(VLOOKUP(A453,'Pass 2'!$A:$S,MATCH("Traffic % Change",'Pass 2'!$1:$1,0),FALSE()),"")</f>
        <v/>
      </c>
      <c r="G453" s="1" t="str">
        <f aca="false">IFERROR(VLOOKUP(A453,'Pass 2'!$A:$S,MATCH("Jan 2025 Referring Domains",'Pass 2'!$1:$1,0),FALSE()),"")</f>
        <v/>
      </c>
      <c r="H453" s="1" t="str">
        <f aca="false">IFERROR(VLOOKUP(A453,'Pass 2'!$A:$S,MATCH("Jun 2026 Referring Domains",'Pass 2'!$1:$1,0),FALSE()),"")</f>
        <v/>
      </c>
    </row>
    <row r="454" customFormat="false" ht="15" hidden="false" customHeight="true" outlineLevel="0" collapsed="false">
      <c r="B454" s="1" t="str">
        <f aca="false">IFERROR(VLOOKUP(A454,'Pass 2'!$A:$S,MATCH("Category",'Pass 2'!$1:$1,0),FALSE()),"")</f>
        <v/>
      </c>
      <c r="C454" s="1" t="str">
        <f aca="false">IFERROR(VLOOKUP(A454,'Pass 1 Archive'!$A:$AD,MATCH("LinkedIn Employee Count",'Pass 1 Archive'!$1:$1,0),FALSE()),"")</f>
        <v/>
      </c>
      <c r="D454" s="1" t="str">
        <f aca="false">IFERROR(VLOOKUP(A454,'Pass 2'!$A:$S,MATCH("Jan 2025 Traffic",'Pass 2'!$1:$1,0),FALSE()),"")</f>
        <v/>
      </c>
      <c r="E454" s="1" t="str">
        <f aca="false">IFERROR(VLOOKUP(A454,'Pass 2'!$A:$S,MATCH("Jun 2026 Traffic",'Pass 2'!$1:$1,0),FALSE()),"")</f>
        <v/>
      </c>
      <c r="F454" s="1" t="str">
        <f aca="false">IFERROR(VLOOKUP(A454,'Pass 2'!$A:$S,MATCH("Traffic % Change",'Pass 2'!$1:$1,0),FALSE()),"")</f>
        <v/>
      </c>
      <c r="G454" s="1" t="str">
        <f aca="false">IFERROR(VLOOKUP(A454,'Pass 2'!$A:$S,MATCH("Jan 2025 Referring Domains",'Pass 2'!$1:$1,0),FALSE()),"")</f>
        <v/>
      </c>
      <c r="H454" s="1" t="str">
        <f aca="false">IFERROR(VLOOKUP(A454,'Pass 2'!$A:$S,MATCH("Jun 2026 Referring Domains",'Pass 2'!$1:$1,0),FALSE()),"")</f>
        <v/>
      </c>
    </row>
    <row r="455" customFormat="false" ht="15" hidden="false" customHeight="true" outlineLevel="0" collapsed="false">
      <c r="B455" s="1" t="str">
        <f aca="false">IFERROR(VLOOKUP(A455,'Pass 2'!$A:$S,MATCH("Category",'Pass 2'!$1:$1,0),FALSE()),"")</f>
        <v/>
      </c>
      <c r="C455" s="1" t="str">
        <f aca="false">IFERROR(VLOOKUP(A455,'Pass 1 Archive'!$A:$AD,MATCH("LinkedIn Employee Count",'Pass 1 Archive'!$1:$1,0),FALSE()),"")</f>
        <v/>
      </c>
      <c r="D455" s="1" t="str">
        <f aca="false">IFERROR(VLOOKUP(A455,'Pass 2'!$A:$S,MATCH("Jan 2025 Traffic",'Pass 2'!$1:$1,0),FALSE()),"")</f>
        <v/>
      </c>
      <c r="E455" s="1" t="str">
        <f aca="false">IFERROR(VLOOKUP(A455,'Pass 2'!$A:$S,MATCH("Jun 2026 Traffic",'Pass 2'!$1:$1,0),FALSE()),"")</f>
        <v/>
      </c>
      <c r="F455" s="1" t="str">
        <f aca="false">IFERROR(VLOOKUP(A455,'Pass 2'!$A:$S,MATCH("Traffic % Change",'Pass 2'!$1:$1,0),FALSE()),"")</f>
        <v/>
      </c>
      <c r="G455" s="1" t="str">
        <f aca="false">IFERROR(VLOOKUP(A455,'Pass 2'!$A:$S,MATCH("Jan 2025 Referring Domains",'Pass 2'!$1:$1,0),FALSE()),"")</f>
        <v/>
      </c>
      <c r="H455" s="1" t="str">
        <f aca="false">IFERROR(VLOOKUP(A455,'Pass 2'!$A:$S,MATCH("Jun 2026 Referring Domains",'Pass 2'!$1:$1,0),FALSE()),"")</f>
        <v/>
      </c>
    </row>
    <row r="456" customFormat="false" ht="15" hidden="false" customHeight="true" outlineLevel="0" collapsed="false">
      <c r="B456" s="1" t="str">
        <f aca="false">IFERROR(VLOOKUP(A456,'Pass 2'!$A:$S,MATCH("Category",'Pass 2'!$1:$1,0),FALSE()),"")</f>
        <v/>
      </c>
      <c r="C456" s="1" t="str">
        <f aca="false">IFERROR(VLOOKUP(A456,'Pass 1 Archive'!$A:$AD,MATCH("LinkedIn Employee Count",'Pass 1 Archive'!$1:$1,0),FALSE()),"")</f>
        <v/>
      </c>
      <c r="D456" s="1" t="str">
        <f aca="false">IFERROR(VLOOKUP(A456,'Pass 2'!$A:$S,MATCH("Jan 2025 Traffic",'Pass 2'!$1:$1,0),FALSE()),"")</f>
        <v/>
      </c>
      <c r="E456" s="1" t="str">
        <f aca="false">IFERROR(VLOOKUP(A456,'Pass 2'!$A:$S,MATCH("Jun 2026 Traffic",'Pass 2'!$1:$1,0),FALSE()),"")</f>
        <v/>
      </c>
      <c r="F456" s="1" t="str">
        <f aca="false">IFERROR(VLOOKUP(A456,'Pass 2'!$A:$S,MATCH("Traffic % Change",'Pass 2'!$1:$1,0),FALSE()),"")</f>
        <v/>
      </c>
      <c r="G456" s="1" t="str">
        <f aca="false">IFERROR(VLOOKUP(A456,'Pass 2'!$A:$S,MATCH("Jan 2025 Referring Domains",'Pass 2'!$1:$1,0),FALSE()),"")</f>
        <v/>
      </c>
      <c r="H456" s="1" t="str">
        <f aca="false">IFERROR(VLOOKUP(A456,'Pass 2'!$A:$S,MATCH("Jun 2026 Referring Domains",'Pass 2'!$1:$1,0),FALSE()),"")</f>
        <v/>
      </c>
    </row>
    <row r="457" customFormat="false" ht="15" hidden="false" customHeight="true" outlineLevel="0" collapsed="false">
      <c r="B457" s="1" t="str">
        <f aca="false">IFERROR(VLOOKUP(A457,'Pass 2'!$A:$S,MATCH("Category",'Pass 2'!$1:$1,0),FALSE()),"")</f>
        <v/>
      </c>
      <c r="C457" s="1" t="str">
        <f aca="false">IFERROR(VLOOKUP(A457,'Pass 1 Archive'!$A:$AD,MATCH("LinkedIn Employee Count",'Pass 1 Archive'!$1:$1,0),FALSE()),"")</f>
        <v/>
      </c>
      <c r="D457" s="1" t="str">
        <f aca="false">IFERROR(VLOOKUP(A457,'Pass 2'!$A:$S,MATCH("Jan 2025 Traffic",'Pass 2'!$1:$1,0),FALSE()),"")</f>
        <v/>
      </c>
      <c r="E457" s="1" t="str">
        <f aca="false">IFERROR(VLOOKUP(A457,'Pass 2'!$A:$S,MATCH("Jun 2026 Traffic",'Pass 2'!$1:$1,0),FALSE()),"")</f>
        <v/>
      </c>
      <c r="F457" s="1" t="str">
        <f aca="false">IFERROR(VLOOKUP(A457,'Pass 2'!$A:$S,MATCH("Traffic % Change",'Pass 2'!$1:$1,0),FALSE()),"")</f>
        <v/>
      </c>
      <c r="G457" s="1" t="str">
        <f aca="false">IFERROR(VLOOKUP(A457,'Pass 2'!$A:$S,MATCH("Jan 2025 Referring Domains",'Pass 2'!$1:$1,0),FALSE()),"")</f>
        <v/>
      </c>
      <c r="H457" s="1" t="str">
        <f aca="false">IFERROR(VLOOKUP(A457,'Pass 2'!$A:$S,MATCH("Jun 2026 Referring Domains",'Pass 2'!$1:$1,0),FALSE()),"")</f>
        <v/>
      </c>
    </row>
    <row r="458" customFormat="false" ht="15" hidden="false" customHeight="true" outlineLevel="0" collapsed="false">
      <c r="B458" s="1" t="str">
        <f aca="false">IFERROR(VLOOKUP(A458,'Pass 2'!$A:$S,MATCH("Category",'Pass 2'!$1:$1,0),FALSE()),"")</f>
        <v/>
      </c>
      <c r="C458" s="1" t="str">
        <f aca="false">IFERROR(VLOOKUP(A458,'Pass 1 Archive'!$A:$AD,MATCH("LinkedIn Employee Count",'Pass 1 Archive'!$1:$1,0),FALSE()),"")</f>
        <v/>
      </c>
      <c r="D458" s="1" t="str">
        <f aca="false">IFERROR(VLOOKUP(A458,'Pass 2'!$A:$S,MATCH("Jan 2025 Traffic",'Pass 2'!$1:$1,0),FALSE()),"")</f>
        <v/>
      </c>
      <c r="E458" s="1" t="str">
        <f aca="false">IFERROR(VLOOKUP(A458,'Pass 2'!$A:$S,MATCH("Jun 2026 Traffic",'Pass 2'!$1:$1,0),FALSE()),"")</f>
        <v/>
      </c>
      <c r="F458" s="1" t="str">
        <f aca="false">IFERROR(VLOOKUP(A458,'Pass 2'!$A:$S,MATCH("Traffic % Change",'Pass 2'!$1:$1,0),FALSE()),"")</f>
        <v/>
      </c>
      <c r="G458" s="1" t="str">
        <f aca="false">IFERROR(VLOOKUP(A458,'Pass 2'!$A:$S,MATCH("Jan 2025 Referring Domains",'Pass 2'!$1:$1,0),FALSE()),"")</f>
        <v/>
      </c>
      <c r="H458" s="1" t="str">
        <f aca="false">IFERROR(VLOOKUP(A458,'Pass 2'!$A:$S,MATCH("Jun 2026 Referring Domains",'Pass 2'!$1:$1,0),FALSE()),"")</f>
        <v/>
      </c>
    </row>
    <row r="459" customFormat="false" ht="15" hidden="false" customHeight="true" outlineLevel="0" collapsed="false">
      <c r="B459" s="1" t="str">
        <f aca="false">IFERROR(VLOOKUP(A459,'Pass 2'!$A:$S,MATCH("Category",'Pass 2'!$1:$1,0),FALSE()),"")</f>
        <v/>
      </c>
      <c r="C459" s="1" t="str">
        <f aca="false">IFERROR(VLOOKUP(A459,'Pass 1 Archive'!$A:$AD,MATCH("LinkedIn Employee Count",'Pass 1 Archive'!$1:$1,0),FALSE()),"")</f>
        <v/>
      </c>
      <c r="D459" s="1" t="str">
        <f aca="false">IFERROR(VLOOKUP(A459,'Pass 2'!$A:$S,MATCH("Jan 2025 Traffic",'Pass 2'!$1:$1,0),FALSE()),"")</f>
        <v/>
      </c>
      <c r="E459" s="1" t="str">
        <f aca="false">IFERROR(VLOOKUP(A459,'Pass 2'!$A:$S,MATCH("Jun 2026 Traffic",'Pass 2'!$1:$1,0),FALSE()),"")</f>
        <v/>
      </c>
      <c r="F459" s="1" t="str">
        <f aca="false">IFERROR(VLOOKUP(A459,'Pass 2'!$A:$S,MATCH("Traffic % Change",'Pass 2'!$1:$1,0),FALSE()),"")</f>
        <v/>
      </c>
      <c r="G459" s="1" t="str">
        <f aca="false">IFERROR(VLOOKUP(A459,'Pass 2'!$A:$S,MATCH("Jan 2025 Referring Domains",'Pass 2'!$1:$1,0),FALSE()),"")</f>
        <v/>
      </c>
      <c r="H459" s="1" t="str">
        <f aca="false">IFERROR(VLOOKUP(A459,'Pass 2'!$A:$S,MATCH("Jun 2026 Referring Domains",'Pass 2'!$1:$1,0),FALSE()),"")</f>
        <v/>
      </c>
    </row>
    <row r="460" customFormat="false" ht="15" hidden="false" customHeight="true" outlineLevel="0" collapsed="false">
      <c r="B460" s="1" t="str">
        <f aca="false">IFERROR(VLOOKUP(A460,'Pass 2'!$A:$S,MATCH("Category",'Pass 2'!$1:$1,0),FALSE()),"")</f>
        <v/>
      </c>
      <c r="C460" s="1" t="str">
        <f aca="false">IFERROR(VLOOKUP(A460,'Pass 1 Archive'!$A:$AD,MATCH("LinkedIn Employee Count",'Pass 1 Archive'!$1:$1,0),FALSE()),"")</f>
        <v/>
      </c>
      <c r="D460" s="1" t="str">
        <f aca="false">IFERROR(VLOOKUP(A460,'Pass 2'!$A:$S,MATCH("Jan 2025 Traffic",'Pass 2'!$1:$1,0),FALSE()),"")</f>
        <v/>
      </c>
      <c r="E460" s="1" t="str">
        <f aca="false">IFERROR(VLOOKUP(A460,'Pass 2'!$A:$S,MATCH("Jun 2026 Traffic",'Pass 2'!$1:$1,0),FALSE()),"")</f>
        <v/>
      </c>
      <c r="F460" s="1" t="str">
        <f aca="false">IFERROR(VLOOKUP(A460,'Pass 2'!$A:$S,MATCH("Traffic % Change",'Pass 2'!$1:$1,0),FALSE()),"")</f>
        <v/>
      </c>
      <c r="G460" s="1" t="str">
        <f aca="false">IFERROR(VLOOKUP(A460,'Pass 2'!$A:$S,MATCH("Jan 2025 Referring Domains",'Pass 2'!$1:$1,0),FALSE()),"")</f>
        <v/>
      </c>
      <c r="H460" s="1" t="str">
        <f aca="false">IFERROR(VLOOKUP(A460,'Pass 2'!$A:$S,MATCH("Jun 2026 Referring Domains",'Pass 2'!$1:$1,0),FALSE()),"")</f>
        <v/>
      </c>
    </row>
    <row r="461" customFormat="false" ht="15" hidden="false" customHeight="true" outlineLevel="0" collapsed="false">
      <c r="B461" s="1" t="str">
        <f aca="false">IFERROR(VLOOKUP(A461,'Pass 2'!$A:$S,MATCH("Category",'Pass 2'!$1:$1,0),FALSE()),"")</f>
        <v/>
      </c>
      <c r="C461" s="1" t="str">
        <f aca="false">IFERROR(VLOOKUP(A461,'Pass 1 Archive'!$A:$AD,MATCH("LinkedIn Employee Count",'Pass 1 Archive'!$1:$1,0),FALSE()),"")</f>
        <v/>
      </c>
      <c r="D461" s="1" t="str">
        <f aca="false">IFERROR(VLOOKUP(A461,'Pass 2'!$A:$S,MATCH("Jan 2025 Traffic",'Pass 2'!$1:$1,0),FALSE()),"")</f>
        <v/>
      </c>
      <c r="E461" s="1" t="str">
        <f aca="false">IFERROR(VLOOKUP(A461,'Pass 2'!$A:$S,MATCH("Jun 2026 Traffic",'Pass 2'!$1:$1,0),FALSE()),"")</f>
        <v/>
      </c>
      <c r="F461" s="1" t="str">
        <f aca="false">IFERROR(VLOOKUP(A461,'Pass 2'!$A:$S,MATCH("Traffic % Change",'Pass 2'!$1:$1,0),FALSE()),"")</f>
        <v/>
      </c>
      <c r="G461" s="1" t="str">
        <f aca="false">IFERROR(VLOOKUP(A461,'Pass 2'!$A:$S,MATCH("Jan 2025 Referring Domains",'Pass 2'!$1:$1,0),FALSE()),"")</f>
        <v/>
      </c>
      <c r="H461" s="1" t="str">
        <f aca="false">IFERROR(VLOOKUP(A461,'Pass 2'!$A:$S,MATCH("Jun 2026 Referring Domains",'Pass 2'!$1:$1,0),FALSE()),"")</f>
        <v/>
      </c>
    </row>
    <row r="462" customFormat="false" ht="15" hidden="false" customHeight="true" outlineLevel="0" collapsed="false">
      <c r="B462" s="1" t="str">
        <f aca="false">IFERROR(VLOOKUP(A462,'Pass 2'!$A:$S,MATCH("Category",'Pass 2'!$1:$1,0),FALSE()),"")</f>
        <v/>
      </c>
      <c r="C462" s="1" t="str">
        <f aca="false">IFERROR(VLOOKUP(A462,'Pass 1 Archive'!$A:$AD,MATCH("LinkedIn Employee Count",'Pass 1 Archive'!$1:$1,0),FALSE()),"")</f>
        <v/>
      </c>
      <c r="D462" s="1" t="str">
        <f aca="false">IFERROR(VLOOKUP(A462,'Pass 2'!$A:$S,MATCH("Jan 2025 Traffic",'Pass 2'!$1:$1,0),FALSE()),"")</f>
        <v/>
      </c>
      <c r="E462" s="1" t="str">
        <f aca="false">IFERROR(VLOOKUP(A462,'Pass 2'!$A:$S,MATCH("Jun 2026 Traffic",'Pass 2'!$1:$1,0),FALSE()),"")</f>
        <v/>
      </c>
      <c r="F462" s="1" t="str">
        <f aca="false">IFERROR(VLOOKUP(A462,'Pass 2'!$A:$S,MATCH("Traffic % Change",'Pass 2'!$1:$1,0),FALSE()),"")</f>
        <v/>
      </c>
      <c r="G462" s="1" t="str">
        <f aca="false">IFERROR(VLOOKUP(A462,'Pass 2'!$A:$S,MATCH("Jan 2025 Referring Domains",'Pass 2'!$1:$1,0),FALSE()),"")</f>
        <v/>
      </c>
      <c r="H462" s="1" t="str">
        <f aca="false">IFERROR(VLOOKUP(A462,'Pass 2'!$A:$S,MATCH("Jun 2026 Referring Domains",'Pass 2'!$1:$1,0),FALSE()),"")</f>
        <v/>
      </c>
    </row>
    <row r="463" customFormat="false" ht="15" hidden="false" customHeight="true" outlineLevel="0" collapsed="false">
      <c r="B463" s="1" t="str">
        <f aca="false">IFERROR(VLOOKUP(A463,'Pass 2'!$A:$S,MATCH("Category",'Pass 2'!$1:$1,0),FALSE()),"")</f>
        <v/>
      </c>
      <c r="C463" s="1" t="str">
        <f aca="false">IFERROR(VLOOKUP(A463,'Pass 1 Archive'!$A:$AD,MATCH("LinkedIn Employee Count",'Pass 1 Archive'!$1:$1,0),FALSE()),"")</f>
        <v/>
      </c>
      <c r="D463" s="1" t="str">
        <f aca="false">IFERROR(VLOOKUP(A463,'Pass 2'!$A:$S,MATCH("Jan 2025 Traffic",'Pass 2'!$1:$1,0),FALSE()),"")</f>
        <v/>
      </c>
      <c r="E463" s="1" t="str">
        <f aca="false">IFERROR(VLOOKUP(A463,'Pass 2'!$A:$S,MATCH("Jun 2026 Traffic",'Pass 2'!$1:$1,0),FALSE()),"")</f>
        <v/>
      </c>
      <c r="F463" s="1" t="str">
        <f aca="false">IFERROR(VLOOKUP(A463,'Pass 2'!$A:$S,MATCH("Traffic % Change",'Pass 2'!$1:$1,0),FALSE()),"")</f>
        <v/>
      </c>
      <c r="G463" s="1" t="str">
        <f aca="false">IFERROR(VLOOKUP(A463,'Pass 2'!$A:$S,MATCH("Jan 2025 Referring Domains",'Pass 2'!$1:$1,0),FALSE()),"")</f>
        <v/>
      </c>
      <c r="H463" s="1" t="str">
        <f aca="false">IFERROR(VLOOKUP(A463,'Pass 2'!$A:$S,MATCH("Jun 2026 Referring Domains",'Pass 2'!$1:$1,0),FALSE()),"")</f>
        <v/>
      </c>
    </row>
    <row r="464" customFormat="false" ht="15" hidden="false" customHeight="true" outlineLevel="0" collapsed="false">
      <c r="B464" s="1" t="str">
        <f aca="false">IFERROR(VLOOKUP(A464,'Pass 2'!$A:$S,MATCH("Category",'Pass 2'!$1:$1,0),FALSE()),"")</f>
        <v/>
      </c>
      <c r="C464" s="1" t="str">
        <f aca="false">IFERROR(VLOOKUP(A464,'Pass 1 Archive'!$A:$AD,MATCH("LinkedIn Employee Count",'Pass 1 Archive'!$1:$1,0),FALSE()),"")</f>
        <v/>
      </c>
      <c r="D464" s="1" t="str">
        <f aca="false">IFERROR(VLOOKUP(A464,'Pass 2'!$A:$S,MATCH("Jan 2025 Traffic",'Pass 2'!$1:$1,0),FALSE()),"")</f>
        <v/>
      </c>
      <c r="E464" s="1" t="str">
        <f aca="false">IFERROR(VLOOKUP(A464,'Pass 2'!$A:$S,MATCH("Jun 2026 Traffic",'Pass 2'!$1:$1,0),FALSE()),"")</f>
        <v/>
      </c>
      <c r="F464" s="1" t="str">
        <f aca="false">IFERROR(VLOOKUP(A464,'Pass 2'!$A:$S,MATCH("Traffic % Change",'Pass 2'!$1:$1,0),FALSE()),"")</f>
        <v/>
      </c>
      <c r="G464" s="1" t="str">
        <f aca="false">IFERROR(VLOOKUP(A464,'Pass 2'!$A:$S,MATCH("Jan 2025 Referring Domains",'Pass 2'!$1:$1,0),FALSE()),"")</f>
        <v/>
      </c>
      <c r="H464" s="1" t="str">
        <f aca="false">IFERROR(VLOOKUP(A464,'Pass 2'!$A:$S,MATCH("Jun 2026 Referring Domains",'Pass 2'!$1:$1,0),FALSE()),"")</f>
        <v/>
      </c>
    </row>
    <row r="465" customFormat="false" ht="15" hidden="false" customHeight="true" outlineLevel="0" collapsed="false">
      <c r="B465" s="1" t="str">
        <f aca="false">IFERROR(VLOOKUP(A465,'Pass 2'!$A:$S,MATCH("Category",'Pass 2'!$1:$1,0),FALSE()),"")</f>
        <v/>
      </c>
      <c r="C465" s="1" t="str">
        <f aca="false">IFERROR(VLOOKUP(A465,'Pass 1 Archive'!$A:$AD,MATCH("LinkedIn Employee Count",'Pass 1 Archive'!$1:$1,0),FALSE()),"")</f>
        <v/>
      </c>
      <c r="D465" s="1" t="str">
        <f aca="false">IFERROR(VLOOKUP(A465,'Pass 2'!$A:$S,MATCH("Jan 2025 Traffic",'Pass 2'!$1:$1,0),FALSE()),"")</f>
        <v/>
      </c>
      <c r="E465" s="1" t="str">
        <f aca="false">IFERROR(VLOOKUP(A465,'Pass 2'!$A:$S,MATCH("Jun 2026 Traffic",'Pass 2'!$1:$1,0),FALSE()),"")</f>
        <v/>
      </c>
      <c r="F465" s="1" t="str">
        <f aca="false">IFERROR(VLOOKUP(A465,'Pass 2'!$A:$S,MATCH("Traffic % Change",'Pass 2'!$1:$1,0),FALSE()),"")</f>
        <v/>
      </c>
      <c r="G465" s="1" t="str">
        <f aca="false">IFERROR(VLOOKUP(A465,'Pass 2'!$A:$S,MATCH("Jan 2025 Referring Domains",'Pass 2'!$1:$1,0),FALSE()),"")</f>
        <v/>
      </c>
      <c r="H465" s="1" t="str">
        <f aca="false">IFERROR(VLOOKUP(A465,'Pass 2'!$A:$S,MATCH("Jun 2026 Referring Domains",'Pass 2'!$1:$1,0),FALSE()),"")</f>
        <v/>
      </c>
    </row>
    <row r="466" customFormat="false" ht="15" hidden="false" customHeight="true" outlineLevel="0" collapsed="false">
      <c r="B466" s="1" t="str">
        <f aca="false">IFERROR(VLOOKUP(A466,'Pass 2'!$A:$S,MATCH("Category",'Pass 2'!$1:$1,0),FALSE()),"")</f>
        <v/>
      </c>
      <c r="C466" s="1" t="str">
        <f aca="false">IFERROR(VLOOKUP(A466,'Pass 1 Archive'!$A:$AD,MATCH("LinkedIn Employee Count",'Pass 1 Archive'!$1:$1,0),FALSE()),"")</f>
        <v/>
      </c>
      <c r="D466" s="1" t="str">
        <f aca="false">IFERROR(VLOOKUP(A466,'Pass 2'!$A:$S,MATCH("Jan 2025 Traffic",'Pass 2'!$1:$1,0),FALSE()),"")</f>
        <v/>
      </c>
      <c r="E466" s="1" t="str">
        <f aca="false">IFERROR(VLOOKUP(A466,'Pass 2'!$A:$S,MATCH("Jun 2026 Traffic",'Pass 2'!$1:$1,0),FALSE()),"")</f>
        <v/>
      </c>
      <c r="F466" s="1" t="str">
        <f aca="false">IFERROR(VLOOKUP(A466,'Pass 2'!$A:$S,MATCH("Traffic % Change",'Pass 2'!$1:$1,0),FALSE()),"")</f>
        <v/>
      </c>
      <c r="G466" s="1" t="str">
        <f aca="false">IFERROR(VLOOKUP(A466,'Pass 2'!$A:$S,MATCH("Jan 2025 Referring Domains",'Pass 2'!$1:$1,0),FALSE()),"")</f>
        <v/>
      </c>
      <c r="H466" s="1" t="str">
        <f aca="false">IFERROR(VLOOKUP(A466,'Pass 2'!$A:$S,MATCH("Jun 2026 Referring Domains",'Pass 2'!$1:$1,0),FALSE()),"")</f>
        <v/>
      </c>
    </row>
    <row r="467" customFormat="false" ht="15" hidden="false" customHeight="true" outlineLevel="0" collapsed="false">
      <c r="B467" s="1" t="str">
        <f aca="false">IFERROR(VLOOKUP(A467,'Pass 2'!$A:$S,MATCH("Category",'Pass 2'!$1:$1,0),FALSE()),"")</f>
        <v/>
      </c>
      <c r="C467" s="1" t="str">
        <f aca="false">IFERROR(VLOOKUP(A467,'Pass 1 Archive'!$A:$AD,MATCH("LinkedIn Employee Count",'Pass 1 Archive'!$1:$1,0),FALSE()),"")</f>
        <v/>
      </c>
      <c r="D467" s="1" t="str">
        <f aca="false">IFERROR(VLOOKUP(A467,'Pass 2'!$A:$S,MATCH("Jan 2025 Traffic",'Pass 2'!$1:$1,0),FALSE()),"")</f>
        <v/>
      </c>
      <c r="E467" s="1" t="str">
        <f aca="false">IFERROR(VLOOKUP(A467,'Pass 2'!$A:$S,MATCH("Jun 2026 Traffic",'Pass 2'!$1:$1,0),FALSE()),"")</f>
        <v/>
      </c>
      <c r="F467" s="1" t="str">
        <f aca="false">IFERROR(VLOOKUP(A467,'Pass 2'!$A:$S,MATCH("Traffic % Change",'Pass 2'!$1:$1,0),FALSE()),"")</f>
        <v/>
      </c>
      <c r="G467" s="1" t="str">
        <f aca="false">IFERROR(VLOOKUP(A467,'Pass 2'!$A:$S,MATCH("Jan 2025 Referring Domains",'Pass 2'!$1:$1,0),FALSE()),"")</f>
        <v/>
      </c>
      <c r="H467" s="1" t="str">
        <f aca="false">IFERROR(VLOOKUP(A467,'Pass 2'!$A:$S,MATCH("Jun 2026 Referring Domains",'Pass 2'!$1:$1,0),FALSE()),"")</f>
        <v/>
      </c>
    </row>
    <row r="468" customFormat="false" ht="15" hidden="false" customHeight="true" outlineLevel="0" collapsed="false">
      <c r="B468" s="1" t="str">
        <f aca="false">IFERROR(VLOOKUP(A468,'Pass 2'!$A:$S,MATCH("Category",'Pass 2'!$1:$1,0),FALSE()),"")</f>
        <v/>
      </c>
      <c r="C468" s="1" t="str">
        <f aca="false">IFERROR(VLOOKUP(A468,'Pass 1 Archive'!$A:$AD,MATCH("LinkedIn Employee Count",'Pass 1 Archive'!$1:$1,0),FALSE()),"")</f>
        <v/>
      </c>
      <c r="D468" s="1" t="str">
        <f aca="false">IFERROR(VLOOKUP(A468,'Pass 2'!$A:$S,MATCH("Jan 2025 Traffic",'Pass 2'!$1:$1,0),FALSE()),"")</f>
        <v/>
      </c>
      <c r="E468" s="1" t="str">
        <f aca="false">IFERROR(VLOOKUP(A468,'Pass 2'!$A:$S,MATCH("Jun 2026 Traffic",'Pass 2'!$1:$1,0),FALSE()),"")</f>
        <v/>
      </c>
      <c r="F468" s="1" t="str">
        <f aca="false">IFERROR(VLOOKUP(A468,'Pass 2'!$A:$S,MATCH("Traffic % Change",'Pass 2'!$1:$1,0),FALSE()),"")</f>
        <v/>
      </c>
      <c r="G468" s="1" t="str">
        <f aca="false">IFERROR(VLOOKUP(A468,'Pass 2'!$A:$S,MATCH("Jan 2025 Referring Domains",'Pass 2'!$1:$1,0),FALSE()),"")</f>
        <v/>
      </c>
      <c r="H468" s="1" t="str">
        <f aca="false">IFERROR(VLOOKUP(A468,'Pass 2'!$A:$S,MATCH("Jun 2026 Referring Domains",'Pass 2'!$1:$1,0),FALSE()),"")</f>
        <v/>
      </c>
    </row>
    <row r="469" customFormat="false" ht="15" hidden="false" customHeight="true" outlineLevel="0" collapsed="false">
      <c r="B469" s="1" t="str">
        <f aca="false">IFERROR(VLOOKUP(A469,'Pass 2'!$A:$S,MATCH("Category",'Pass 2'!$1:$1,0),FALSE()),"")</f>
        <v/>
      </c>
      <c r="C469" s="1" t="str">
        <f aca="false">IFERROR(VLOOKUP(A469,'Pass 1 Archive'!$A:$AD,MATCH("LinkedIn Employee Count",'Pass 1 Archive'!$1:$1,0),FALSE()),"")</f>
        <v/>
      </c>
      <c r="D469" s="1" t="str">
        <f aca="false">IFERROR(VLOOKUP(A469,'Pass 2'!$A:$S,MATCH("Jan 2025 Traffic",'Pass 2'!$1:$1,0),FALSE()),"")</f>
        <v/>
      </c>
      <c r="E469" s="1" t="str">
        <f aca="false">IFERROR(VLOOKUP(A469,'Pass 2'!$A:$S,MATCH("Jun 2026 Traffic",'Pass 2'!$1:$1,0),FALSE()),"")</f>
        <v/>
      </c>
      <c r="F469" s="1" t="str">
        <f aca="false">IFERROR(VLOOKUP(A469,'Pass 2'!$A:$S,MATCH("Traffic % Change",'Pass 2'!$1:$1,0),FALSE()),"")</f>
        <v/>
      </c>
      <c r="G469" s="1" t="str">
        <f aca="false">IFERROR(VLOOKUP(A469,'Pass 2'!$A:$S,MATCH("Jan 2025 Referring Domains",'Pass 2'!$1:$1,0),FALSE()),"")</f>
        <v/>
      </c>
      <c r="H469" s="1" t="str">
        <f aca="false">IFERROR(VLOOKUP(A469,'Pass 2'!$A:$S,MATCH("Jun 2026 Referring Domains",'Pass 2'!$1:$1,0),FALSE()),"")</f>
        <v/>
      </c>
    </row>
    <row r="470" customFormat="false" ht="15" hidden="false" customHeight="true" outlineLevel="0" collapsed="false">
      <c r="B470" s="1" t="str">
        <f aca="false">IFERROR(VLOOKUP(A470,'Pass 2'!$A:$S,MATCH("Category",'Pass 2'!$1:$1,0),FALSE()),"")</f>
        <v/>
      </c>
      <c r="C470" s="1" t="str">
        <f aca="false">IFERROR(VLOOKUP(A470,'Pass 1 Archive'!$A:$AD,MATCH("LinkedIn Employee Count",'Pass 1 Archive'!$1:$1,0),FALSE()),"")</f>
        <v/>
      </c>
      <c r="D470" s="1" t="str">
        <f aca="false">IFERROR(VLOOKUP(A470,'Pass 2'!$A:$S,MATCH("Jan 2025 Traffic",'Pass 2'!$1:$1,0),FALSE()),"")</f>
        <v/>
      </c>
      <c r="E470" s="1" t="str">
        <f aca="false">IFERROR(VLOOKUP(A470,'Pass 2'!$A:$S,MATCH("Jun 2026 Traffic",'Pass 2'!$1:$1,0),FALSE()),"")</f>
        <v/>
      </c>
      <c r="F470" s="1" t="str">
        <f aca="false">IFERROR(VLOOKUP(A470,'Pass 2'!$A:$S,MATCH("Traffic % Change",'Pass 2'!$1:$1,0),FALSE()),"")</f>
        <v/>
      </c>
      <c r="G470" s="1" t="str">
        <f aca="false">IFERROR(VLOOKUP(A470,'Pass 2'!$A:$S,MATCH("Jan 2025 Referring Domains",'Pass 2'!$1:$1,0),FALSE()),"")</f>
        <v/>
      </c>
      <c r="H470" s="1" t="str">
        <f aca="false">IFERROR(VLOOKUP(A470,'Pass 2'!$A:$S,MATCH("Jun 2026 Referring Domains",'Pass 2'!$1:$1,0),FALSE()),"")</f>
        <v/>
      </c>
    </row>
    <row r="471" customFormat="false" ht="15" hidden="false" customHeight="true" outlineLevel="0" collapsed="false">
      <c r="B471" s="1" t="str">
        <f aca="false">IFERROR(VLOOKUP(A471,'Pass 2'!$A:$S,MATCH("Category",'Pass 2'!$1:$1,0),FALSE()),"")</f>
        <v/>
      </c>
      <c r="C471" s="1" t="str">
        <f aca="false">IFERROR(VLOOKUP(A471,'Pass 1 Archive'!$A:$AD,MATCH("LinkedIn Employee Count",'Pass 1 Archive'!$1:$1,0),FALSE()),"")</f>
        <v/>
      </c>
      <c r="D471" s="1" t="str">
        <f aca="false">IFERROR(VLOOKUP(A471,'Pass 2'!$A:$S,MATCH("Jan 2025 Traffic",'Pass 2'!$1:$1,0),FALSE()),"")</f>
        <v/>
      </c>
      <c r="E471" s="1" t="str">
        <f aca="false">IFERROR(VLOOKUP(A471,'Pass 2'!$A:$S,MATCH("Jun 2026 Traffic",'Pass 2'!$1:$1,0),FALSE()),"")</f>
        <v/>
      </c>
      <c r="F471" s="1" t="str">
        <f aca="false">IFERROR(VLOOKUP(A471,'Pass 2'!$A:$S,MATCH("Traffic % Change",'Pass 2'!$1:$1,0),FALSE()),"")</f>
        <v/>
      </c>
      <c r="G471" s="1" t="str">
        <f aca="false">IFERROR(VLOOKUP(A471,'Pass 2'!$A:$S,MATCH("Jan 2025 Referring Domains",'Pass 2'!$1:$1,0),FALSE()),"")</f>
        <v/>
      </c>
      <c r="H471" s="1" t="str">
        <f aca="false">IFERROR(VLOOKUP(A471,'Pass 2'!$A:$S,MATCH("Jun 2026 Referring Domains",'Pass 2'!$1:$1,0),FALSE()),"")</f>
        <v/>
      </c>
    </row>
    <row r="472" customFormat="false" ht="15" hidden="false" customHeight="true" outlineLevel="0" collapsed="false">
      <c r="B472" s="1" t="str">
        <f aca="false">IFERROR(VLOOKUP(A472,'Pass 2'!$A:$S,MATCH("Category",'Pass 2'!$1:$1,0),FALSE()),"")</f>
        <v/>
      </c>
      <c r="C472" s="1" t="str">
        <f aca="false">IFERROR(VLOOKUP(A472,'Pass 1 Archive'!$A:$AD,MATCH("LinkedIn Employee Count",'Pass 1 Archive'!$1:$1,0),FALSE()),"")</f>
        <v/>
      </c>
      <c r="D472" s="1" t="str">
        <f aca="false">IFERROR(VLOOKUP(A472,'Pass 2'!$A:$S,MATCH("Jan 2025 Traffic",'Pass 2'!$1:$1,0),FALSE()),"")</f>
        <v/>
      </c>
      <c r="E472" s="1" t="str">
        <f aca="false">IFERROR(VLOOKUP(A472,'Pass 2'!$A:$S,MATCH("Jun 2026 Traffic",'Pass 2'!$1:$1,0),FALSE()),"")</f>
        <v/>
      </c>
      <c r="F472" s="1" t="str">
        <f aca="false">IFERROR(VLOOKUP(A472,'Pass 2'!$A:$S,MATCH("Traffic % Change",'Pass 2'!$1:$1,0),FALSE()),"")</f>
        <v/>
      </c>
      <c r="G472" s="1" t="str">
        <f aca="false">IFERROR(VLOOKUP(A472,'Pass 2'!$A:$S,MATCH("Jan 2025 Referring Domains",'Pass 2'!$1:$1,0),FALSE()),"")</f>
        <v/>
      </c>
      <c r="H472" s="1" t="str">
        <f aca="false">IFERROR(VLOOKUP(A472,'Pass 2'!$A:$S,MATCH("Jun 2026 Referring Domains",'Pass 2'!$1:$1,0),FALSE()),"")</f>
        <v/>
      </c>
    </row>
    <row r="473" customFormat="false" ht="15" hidden="false" customHeight="true" outlineLevel="0" collapsed="false">
      <c r="B473" s="1" t="str">
        <f aca="false">IFERROR(VLOOKUP(A473,'Pass 2'!$A:$S,MATCH("Category",'Pass 2'!$1:$1,0),FALSE()),"")</f>
        <v/>
      </c>
      <c r="C473" s="1" t="str">
        <f aca="false">IFERROR(VLOOKUP(A473,'Pass 1 Archive'!$A:$AD,MATCH("LinkedIn Employee Count",'Pass 1 Archive'!$1:$1,0),FALSE()),"")</f>
        <v/>
      </c>
      <c r="D473" s="1" t="str">
        <f aca="false">IFERROR(VLOOKUP(A473,'Pass 2'!$A:$S,MATCH("Jan 2025 Traffic",'Pass 2'!$1:$1,0),FALSE()),"")</f>
        <v/>
      </c>
      <c r="E473" s="1" t="str">
        <f aca="false">IFERROR(VLOOKUP(A473,'Pass 2'!$A:$S,MATCH("Jun 2026 Traffic",'Pass 2'!$1:$1,0),FALSE()),"")</f>
        <v/>
      </c>
      <c r="F473" s="1" t="str">
        <f aca="false">IFERROR(VLOOKUP(A473,'Pass 2'!$A:$S,MATCH("Traffic % Change",'Pass 2'!$1:$1,0),FALSE()),"")</f>
        <v/>
      </c>
      <c r="G473" s="1" t="str">
        <f aca="false">IFERROR(VLOOKUP(A473,'Pass 2'!$A:$S,MATCH("Jan 2025 Referring Domains",'Pass 2'!$1:$1,0),FALSE()),"")</f>
        <v/>
      </c>
      <c r="H473" s="1" t="str">
        <f aca="false">IFERROR(VLOOKUP(A473,'Pass 2'!$A:$S,MATCH("Jun 2026 Referring Domains",'Pass 2'!$1:$1,0),FALSE()),"")</f>
        <v/>
      </c>
    </row>
    <row r="474" customFormat="false" ht="15" hidden="false" customHeight="true" outlineLevel="0" collapsed="false">
      <c r="B474" s="1" t="str">
        <f aca="false">IFERROR(VLOOKUP(A474,'Pass 2'!$A:$S,MATCH("Category",'Pass 2'!$1:$1,0),FALSE()),"")</f>
        <v/>
      </c>
      <c r="C474" s="1" t="str">
        <f aca="false">IFERROR(VLOOKUP(A474,'Pass 1 Archive'!$A:$AD,MATCH("LinkedIn Employee Count",'Pass 1 Archive'!$1:$1,0),FALSE()),"")</f>
        <v/>
      </c>
      <c r="D474" s="1" t="str">
        <f aca="false">IFERROR(VLOOKUP(A474,'Pass 2'!$A:$S,MATCH("Jan 2025 Traffic",'Pass 2'!$1:$1,0),FALSE()),"")</f>
        <v/>
      </c>
      <c r="E474" s="1" t="str">
        <f aca="false">IFERROR(VLOOKUP(A474,'Pass 2'!$A:$S,MATCH("Jun 2026 Traffic",'Pass 2'!$1:$1,0),FALSE()),"")</f>
        <v/>
      </c>
      <c r="F474" s="1" t="str">
        <f aca="false">IFERROR(VLOOKUP(A474,'Pass 2'!$A:$S,MATCH("Traffic % Change",'Pass 2'!$1:$1,0),FALSE()),"")</f>
        <v/>
      </c>
      <c r="G474" s="1" t="str">
        <f aca="false">IFERROR(VLOOKUP(A474,'Pass 2'!$A:$S,MATCH("Jan 2025 Referring Domains",'Pass 2'!$1:$1,0),FALSE()),"")</f>
        <v/>
      </c>
      <c r="H474" s="1" t="str">
        <f aca="false">IFERROR(VLOOKUP(A474,'Pass 2'!$A:$S,MATCH("Jun 2026 Referring Domains",'Pass 2'!$1:$1,0),FALSE()),"")</f>
        <v/>
      </c>
    </row>
    <row r="475" customFormat="false" ht="15" hidden="false" customHeight="true" outlineLevel="0" collapsed="false">
      <c r="B475" s="1" t="str">
        <f aca="false">IFERROR(VLOOKUP(A475,'Pass 2'!$A:$S,MATCH("Category",'Pass 2'!$1:$1,0),FALSE()),"")</f>
        <v/>
      </c>
      <c r="C475" s="1" t="str">
        <f aca="false">IFERROR(VLOOKUP(A475,'Pass 1 Archive'!$A:$AD,MATCH("LinkedIn Employee Count",'Pass 1 Archive'!$1:$1,0),FALSE()),"")</f>
        <v/>
      </c>
      <c r="D475" s="1" t="str">
        <f aca="false">IFERROR(VLOOKUP(A475,'Pass 2'!$A:$S,MATCH("Jan 2025 Traffic",'Pass 2'!$1:$1,0),FALSE()),"")</f>
        <v/>
      </c>
      <c r="E475" s="1" t="str">
        <f aca="false">IFERROR(VLOOKUP(A475,'Pass 2'!$A:$S,MATCH("Jun 2026 Traffic",'Pass 2'!$1:$1,0),FALSE()),"")</f>
        <v/>
      </c>
      <c r="F475" s="1" t="str">
        <f aca="false">IFERROR(VLOOKUP(A475,'Pass 2'!$A:$S,MATCH("Traffic % Change",'Pass 2'!$1:$1,0),FALSE()),"")</f>
        <v/>
      </c>
      <c r="G475" s="1" t="str">
        <f aca="false">IFERROR(VLOOKUP(A475,'Pass 2'!$A:$S,MATCH("Jan 2025 Referring Domains",'Pass 2'!$1:$1,0),FALSE()),"")</f>
        <v/>
      </c>
      <c r="H475" s="1" t="str">
        <f aca="false">IFERROR(VLOOKUP(A475,'Pass 2'!$A:$S,MATCH("Jun 2026 Referring Domains",'Pass 2'!$1:$1,0),FALSE()),"")</f>
        <v/>
      </c>
    </row>
    <row r="476" customFormat="false" ht="15" hidden="false" customHeight="true" outlineLevel="0" collapsed="false">
      <c r="B476" s="1" t="str">
        <f aca="false">IFERROR(VLOOKUP(A476,'Pass 2'!$A:$S,MATCH("Category",'Pass 2'!$1:$1,0),FALSE()),"")</f>
        <v/>
      </c>
      <c r="C476" s="1" t="str">
        <f aca="false">IFERROR(VLOOKUP(A476,'Pass 1 Archive'!$A:$AD,MATCH("LinkedIn Employee Count",'Pass 1 Archive'!$1:$1,0),FALSE()),"")</f>
        <v/>
      </c>
      <c r="D476" s="1" t="str">
        <f aca="false">IFERROR(VLOOKUP(A476,'Pass 2'!$A:$S,MATCH("Jan 2025 Traffic",'Pass 2'!$1:$1,0),FALSE()),"")</f>
        <v/>
      </c>
      <c r="E476" s="1" t="str">
        <f aca="false">IFERROR(VLOOKUP(A476,'Pass 2'!$A:$S,MATCH("Jun 2026 Traffic",'Pass 2'!$1:$1,0),FALSE()),"")</f>
        <v/>
      </c>
      <c r="F476" s="1" t="str">
        <f aca="false">IFERROR(VLOOKUP(A476,'Pass 2'!$A:$S,MATCH("Traffic % Change",'Pass 2'!$1:$1,0),FALSE()),"")</f>
        <v/>
      </c>
      <c r="G476" s="1" t="str">
        <f aca="false">IFERROR(VLOOKUP(A476,'Pass 2'!$A:$S,MATCH("Jan 2025 Referring Domains",'Pass 2'!$1:$1,0),FALSE()),"")</f>
        <v/>
      </c>
      <c r="H476" s="1" t="str">
        <f aca="false">IFERROR(VLOOKUP(A476,'Pass 2'!$A:$S,MATCH("Jun 2026 Referring Domains",'Pass 2'!$1:$1,0),FALSE()),"")</f>
        <v/>
      </c>
    </row>
    <row r="477" customFormat="false" ht="15" hidden="false" customHeight="true" outlineLevel="0" collapsed="false">
      <c r="B477" s="1" t="str">
        <f aca="false">IFERROR(VLOOKUP(A477,'Pass 2'!$A:$S,MATCH("Category",'Pass 2'!$1:$1,0),FALSE()),"")</f>
        <v/>
      </c>
      <c r="C477" s="1" t="str">
        <f aca="false">IFERROR(VLOOKUP(A477,'Pass 1 Archive'!$A:$AD,MATCH("LinkedIn Employee Count",'Pass 1 Archive'!$1:$1,0),FALSE()),"")</f>
        <v/>
      </c>
      <c r="D477" s="1" t="str">
        <f aca="false">IFERROR(VLOOKUP(A477,'Pass 2'!$A:$S,MATCH("Jan 2025 Traffic",'Pass 2'!$1:$1,0),FALSE()),"")</f>
        <v/>
      </c>
      <c r="E477" s="1" t="str">
        <f aca="false">IFERROR(VLOOKUP(A477,'Pass 2'!$A:$S,MATCH("Jun 2026 Traffic",'Pass 2'!$1:$1,0),FALSE()),"")</f>
        <v/>
      </c>
      <c r="F477" s="1" t="str">
        <f aca="false">IFERROR(VLOOKUP(A477,'Pass 2'!$A:$S,MATCH("Traffic % Change",'Pass 2'!$1:$1,0),FALSE()),"")</f>
        <v/>
      </c>
      <c r="G477" s="1" t="str">
        <f aca="false">IFERROR(VLOOKUP(A477,'Pass 2'!$A:$S,MATCH("Jan 2025 Referring Domains",'Pass 2'!$1:$1,0),FALSE()),"")</f>
        <v/>
      </c>
      <c r="H477" s="1" t="str">
        <f aca="false">IFERROR(VLOOKUP(A477,'Pass 2'!$A:$S,MATCH("Jun 2026 Referring Domains",'Pass 2'!$1:$1,0),FALSE()),"")</f>
        <v/>
      </c>
    </row>
    <row r="478" customFormat="false" ht="15" hidden="false" customHeight="true" outlineLevel="0" collapsed="false">
      <c r="B478" s="1" t="str">
        <f aca="false">IFERROR(VLOOKUP(A478,'Pass 2'!$A:$S,MATCH("Category",'Pass 2'!$1:$1,0),FALSE()),"")</f>
        <v/>
      </c>
      <c r="C478" s="1" t="str">
        <f aca="false">IFERROR(VLOOKUP(A478,'Pass 1 Archive'!$A:$AD,MATCH("LinkedIn Employee Count",'Pass 1 Archive'!$1:$1,0),FALSE()),"")</f>
        <v/>
      </c>
      <c r="D478" s="1" t="str">
        <f aca="false">IFERROR(VLOOKUP(A478,'Pass 2'!$A:$S,MATCH("Jan 2025 Traffic",'Pass 2'!$1:$1,0),FALSE()),"")</f>
        <v/>
      </c>
      <c r="E478" s="1" t="str">
        <f aca="false">IFERROR(VLOOKUP(A478,'Pass 2'!$A:$S,MATCH("Jun 2026 Traffic",'Pass 2'!$1:$1,0),FALSE()),"")</f>
        <v/>
      </c>
      <c r="F478" s="1" t="str">
        <f aca="false">IFERROR(VLOOKUP(A478,'Pass 2'!$A:$S,MATCH("Traffic % Change",'Pass 2'!$1:$1,0),FALSE()),"")</f>
        <v/>
      </c>
      <c r="G478" s="1" t="str">
        <f aca="false">IFERROR(VLOOKUP(A478,'Pass 2'!$A:$S,MATCH("Jan 2025 Referring Domains",'Pass 2'!$1:$1,0),FALSE()),"")</f>
        <v/>
      </c>
      <c r="H478" s="1" t="str">
        <f aca="false">IFERROR(VLOOKUP(A478,'Pass 2'!$A:$S,MATCH("Jun 2026 Referring Domains",'Pass 2'!$1:$1,0),FALSE()),"")</f>
        <v/>
      </c>
    </row>
    <row r="479" customFormat="false" ht="15" hidden="false" customHeight="true" outlineLevel="0" collapsed="false">
      <c r="B479" s="1" t="str">
        <f aca="false">IFERROR(VLOOKUP(A479,'Pass 2'!$A:$S,MATCH("Category",'Pass 2'!$1:$1,0),FALSE()),"")</f>
        <v/>
      </c>
      <c r="C479" s="1" t="str">
        <f aca="false">IFERROR(VLOOKUP(A479,'Pass 1 Archive'!$A:$AD,MATCH("LinkedIn Employee Count",'Pass 1 Archive'!$1:$1,0),FALSE()),"")</f>
        <v/>
      </c>
      <c r="D479" s="1" t="str">
        <f aca="false">IFERROR(VLOOKUP(A479,'Pass 2'!$A:$S,MATCH("Jan 2025 Traffic",'Pass 2'!$1:$1,0),FALSE()),"")</f>
        <v/>
      </c>
      <c r="E479" s="1" t="str">
        <f aca="false">IFERROR(VLOOKUP(A479,'Pass 2'!$A:$S,MATCH("Jun 2026 Traffic",'Pass 2'!$1:$1,0),FALSE()),"")</f>
        <v/>
      </c>
      <c r="F479" s="1" t="str">
        <f aca="false">IFERROR(VLOOKUP(A479,'Pass 2'!$A:$S,MATCH("Traffic % Change",'Pass 2'!$1:$1,0),FALSE()),"")</f>
        <v/>
      </c>
      <c r="G479" s="1" t="str">
        <f aca="false">IFERROR(VLOOKUP(A479,'Pass 2'!$A:$S,MATCH("Jan 2025 Referring Domains",'Pass 2'!$1:$1,0),FALSE()),"")</f>
        <v/>
      </c>
      <c r="H479" s="1" t="str">
        <f aca="false">IFERROR(VLOOKUP(A479,'Pass 2'!$A:$S,MATCH("Jun 2026 Referring Domains",'Pass 2'!$1:$1,0),FALSE()),"")</f>
        <v/>
      </c>
    </row>
    <row r="480" customFormat="false" ht="15" hidden="false" customHeight="true" outlineLevel="0" collapsed="false">
      <c r="B480" s="1" t="str">
        <f aca="false">IFERROR(VLOOKUP(A480,'Pass 2'!$A:$S,MATCH("Category",'Pass 2'!$1:$1,0),FALSE()),"")</f>
        <v/>
      </c>
      <c r="C480" s="1" t="str">
        <f aca="false">IFERROR(VLOOKUP(A480,'Pass 1 Archive'!$A:$AD,MATCH("LinkedIn Employee Count",'Pass 1 Archive'!$1:$1,0),FALSE()),"")</f>
        <v/>
      </c>
      <c r="D480" s="1" t="str">
        <f aca="false">IFERROR(VLOOKUP(A480,'Pass 2'!$A:$S,MATCH("Jan 2025 Traffic",'Pass 2'!$1:$1,0),FALSE()),"")</f>
        <v/>
      </c>
      <c r="E480" s="1" t="str">
        <f aca="false">IFERROR(VLOOKUP(A480,'Pass 2'!$A:$S,MATCH("Jun 2026 Traffic",'Pass 2'!$1:$1,0),FALSE()),"")</f>
        <v/>
      </c>
      <c r="F480" s="1" t="str">
        <f aca="false">IFERROR(VLOOKUP(A480,'Pass 2'!$A:$S,MATCH("Traffic % Change",'Pass 2'!$1:$1,0),FALSE()),"")</f>
        <v/>
      </c>
      <c r="G480" s="1" t="str">
        <f aca="false">IFERROR(VLOOKUP(A480,'Pass 2'!$A:$S,MATCH("Jan 2025 Referring Domains",'Pass 2'!$1:$1,0),FALSE()),"")</f>
        <v/>
      </c>
      <c r="H480" s="1" t="str">
        <f aca="false">IFERROR(VLOOKUP(A480,'Pass 2'!$A:$S,MATCH("Jun 2026 Referring Domains",'Pass 2'!$1:$1,0),FALSE()),"")</f>
        <v/>
      </c>
    </row>
    <row r="481" customFormat="false" ht="15" hidden="false" customHeight="true" outlineLevel="0" collapsed="false">
      <c r="B481" s="1" t="str">
        <f aca="false">IFERROR(VLOOKUP(A481,'Pass 2'!$A:$S,MATCH("Category",'Pass 2'!$1:$1,0),FALSE()),"")</f>
        <v/>
      </c>
      <c r="C481" s="1" t="str">
        <f aca="false">IFERROR(VLOOKUP(A481,'Pass 1 Archive'!$A:$AD,MATCH("LinkedIn Employee Count",'Pass 1 Archive'!$1:$1,0),FALSE()),"")</f>
        <v/>
      </c>
      <c r="D481" s="1" t="str">
        <f aca="false">IFERROR(VLOOKUP(A481,'Pass 2'!$A:$S,MATCH("Jan 2025 Traffic",'Pass 2'!$1:$1,0),FALSE()),"")</f>
        <v/>
      </c>
      <c r="E481" s="1" t="str">
        <f aca="false">IFERROR(VLOOKUP(A481,'Pass 2'!$A:$S,MATCH("Jun 2026 Traffic",'Pass 2'!$1:$1,0),FALSE()),"")</f>
        <v/>
      </c>
      <c r="F481" s="1" t="str">
        <f aca="false">IFERROR(VLOOKUP(A481,'Pass 2'!$A:$S,MATCH("Traffic % Change",'Pass 2'!$1:$1,0),FALSE()),"")</f>
        <v/>
      </c>
      <c r="G481" s="1" t="str">
        <f aca="false">IFERROR(VLOOKUP(A481,'Pass 2'!$A:$S,MATCH("Jan 2025 Referring Domains",'Pass 2'!$1:$1,0),FALSE()),"")</f>
        <v/>
      </c>
      <c r="H481" s="1" t="str">
        <f aca="false">IFERROR(VLOOKUP(A481,'Pass 2'!$A:$S,MATCH("Jun 2026 Referring Domains",'Pass 2'!$1:$1,0),FALSE()),"")</f>
        <v/>
      </c>
    </row>
    <row r="482" customFormat="false" ht="15" hidden="false" customHeight="true" outlineLevel="0" collapsed="false">
      <c r="B482" s="1" t="str">
        <f aca="false">IFERROR(VLOOKUP(A482,'Pass 2'!$A:$S,MATCH("Category",'Pass 2'!$1:$1,0),FALSE()),"")</f>
        <v/>
      </c>
      <c r="C482" s="1" t="str">
        <f aca="false">IFERROR(VLOOKUP(A482,'Pass 1 Archive'!$A:$AD,MATCH("LinkedIn Employee Count",'Pass 1 Archive'!$1:$1,0),FALSE()),"")</f>
        <v/>
      </c>
      <c r="D482" s="1" t="str">
        <f aca="false">IFERROR(VLOOKUP(A482,'Pass 2'!$A:$S,MATCH("Jan 2025 Traffic",'Pass 2'!$1:$1,0),FALSE()),"")</f>
        <v/>
      </c>
      <c r="E482" s="1" t="str">
        <f aca="false">IFERROR(VLOOKUP(A482,'Pass 2'!$A:$S,MATCH("Jun 2026 Traffic",'Pass 2'!$1:$1,0),FALSE()),"")</f>
        <v/>
      </c>
      <c r="F482" s="1" t="str">
        <f aca="false">IFERROR(VLOOKUP(A482,'Pass 2'!$A:$S,MATCH("Traffic % Change",'Pass 2'!$1:$1,0),FALSE()),"")</f>
        <v/>
      </c>
      <c r="G482" s="1" t="str">
        <f aca="false">IFERROR(VLOOKUP(A482,'Pass 2'!$A:$S,MATCH("Jan 2025 Referring Domains",'Pass 2'!$1:$1,0),FALSE()),"")</f>
        <v/>
      </c>
      <c r="H482" s="1" t="str">
        <f aca="false">IFERROR(VLOOKUP(A482,'Pass 2'!$A:$S,MATCH("Jun 2026 Referring Domains",'Pass 2'!$1:$1,0),FALSE()),"")</f>
        <v/>
      </c>
    </row>
    <row r="483" customFormat="false" ht="15" hidden="false" customHeight="true" outlineLevel="0" collapsed="false">
      <c r="B483" s="1" t="str">
        <f aca="false">IFERROR(VLOOKUP(A483,'Pass 2'!$A:$S,MATCH("Category",'Pass 2'!$1:$1,0),FALSE()),"")</f>
        <v/>
      </c>
      <c r="C483" s="1" t="str">
        <f aca="false">IFERROR(VLOOKUP(A483,'Pass 1 Archive'!$A:$AD,MATCH("LinkedIn Employee Count",'Pass 1 Archive'!$1:$1,0),FALSE()),"")</f>
        <v/>
      </c>
      <c r="D483" s="1" t="str">
        <f aca="false">IFERROR(VLOOKUP(A483,'Pass 2'!$A:$S,MATCH("Jan 2025 Traffic",'Pass 2'!$1:$1,0),FALSE()),"")</f>
        <v/>
      </c>
      <c r="E483" s="1" t="str">
        <f aca="false">IFERROR(VLOOKUP(A483,'Pass 2'!$A:$S,MATCH("Jun 2026 Traffic",'Pass 2'!$1:$1,0),FALSE()),"")</f>
        <v/>
      </c>
      <c r="F483" s="1" t="str">
        <f aca="false">IFERROR(VLOOKUP(A483,'Pass 2'!$A:$S,MATCH("Traffic % Change",'Pass 2'!$1:$1,0),FALSE()),"")</f>
        <v/>
      </c>
      <c r="G483" s="1" t="str">
        <f aca="false">IFERROR(VLOOKUP(A483,'Pass 2'!$A:$S,MATCH("Jan 2025 Referring Domains",'Pass 2'!$1:$1,0),FALSE()),"")</f>
        <v/>
      </c>
      <c r="H483" s="1" t="str">
        <f aca="false">IFERROR(VLOOKUP(A483,'Pass 2'!$A:$S,MATCH("Jun 2026 Referring Domains",'Pass 2'!$1:$1,0),FALSE()),"")</f>
        <v/>
      </c>
    </row>
    <row r="484" customFormat="false" ht="15" hidden="false" customHeight="true" outlineLevel="0" collapsed="false">
      <c r="B484" s="1" t="str">
        <f aca="false">IFERROR(VLOOKUP(A484,'Pass 2'!$A:$S,MATCH("Category",'Pass 2'!$1:$1,0),FALSE()),"")</f>
        <v/>
      </c>
      <c r="C484" s="1" t="str">
        <f aca="false">IFERROR(VLOOKUP(A484,'Pass 1 Archive'!$A:$AD,MATCH("LinkedIn Employee Count",'Pass 1 Archive'!$1:$1,0),FALSE()),"")</f>
        <v/>
      </c>
      <c r="D484" s="1" t="str">
        <f aca="false">IFERROR(VLOOKUP(A484,'Pass 2'!$A:$S,MATCH("Jan 2025 Traffic",'Pass 2'!$1:$1,0),FALSE()),"")</f>
        <v/>
      </c>
      <c r="E484" s="1" t="str">
        <f aca="false">IFERROR(VLOOKUP(A484,'Pass 2'!$A:$S,MATCH("Jun 2026 Traffic",'Pass 2'!$1:$1,0),FALSE()),"")</f>
        <v/>
      </c>
      <c r="F484" s="1" t="str">
        <f aca="false">IFERROR(VLOOKUP(A484,'Pass 2'!$A:$S,MATCH("Traffic % Change",'Pass 2'!$1:$1,0),FALSE()),"")</f>
        <v/>
      </c>
      <c r="G484" s="1" t="str">
        <f aca="false">IFERROR(VLOOKUP(A484,'Pass 2'!$A:$S,MATCH("Jan 2025 Referring Domains",'Pass 2'!$1:$1,0),FALSE()),"")</f>
        <v/>
      </c>
      <c r="H484" s="1" t="str">
        <f aca="false">IFERROR(VLOOKUP(A484,'Pass 2'!$A:$S,MATCH("Jun 2026 Referring Domains",'Pass 2'!$1:$1,0),FALSE()),"")</f>
        <v/>
      </c>
    </row>
    <row r="485" customFormat="false" ht="15" hidden="false" customHeight="true" outlineLevel="0" collapsed="false">
      <c r="B485" s="1" t="str">
        <f aca="false">IFERROR(VLOOKUP(A485,'Pass 2'!$A:$S,MATCH("Category",'Pass 2'!$1:$1,0),FALSE()),"")</f>
        <v/>
      </c>
      <c r="C485" s="1" t="str">
        <f aca="false">IFERROR(VLOOKUP(A485,'Pass 1 Archive'!$A:$AD,MATCH("LinkedIn Employee Count",'Pass 1 Archive'!$1:$1,0),FALSE()),"")</f>
        <v/>
      </c>
      <c r="D485" s="1" t="str">
        <f aca="false">IFERROR(VLOOKUP(A485,'Pass 2'!$A:$S,MATCH("Jan 2025 Traffic",'Pass 2'!$1:$1,0),FALSE()),"")</f>
        <v/>
      </c>
      <c r="E485" s="1" t="str">
        <f aca="false">IFERROR(VLOOKUP(A485,'Pass 2'!$A:$S,MATCH("Jun 2026 Traffic",'Pass 2'!$1:$1,0),FALSE()),"")</f>
        <v/>
      </c>
      <c r="F485" s="1" t="str">
        <f aca="false">IFERROR(VLOOKUP(A485,'Pass 2'!$A:$S,MATCH("Traffic % Change",'Pass 2'!$1:$1,0),FALSE()),"")</f>
        <v/>
      </c>
      <c r="G485" s="1" t="str">
        <f aca="false">IFERROR(VLOOKUP(A485,'Pass 2'!$A:$S,MATCH("Jan 2025 Referring Domains",'Pass 2'!$1:$1,0),FALSE()),"")</f>
        <v/>
      </c>
      <c r="H485" s="1" t="str">
        <f aca="false">IFERROR(VLOOKUP(A485,'Pass 2'!$A:$S,MATCH("Jun 2026 Referring Domains",'Pass 2'!$1:$1,0),FALSE()),"")</f>
        <v/>
      </c>
    </row>
    <row r="486" customFormat="false" ht="15" hidden="false" customHeight="true" outlineLevel="0" collapsed="false">
      <c r="B486" s="1" t="str">
        <f aca="false">IFERROR(VLOOKUP(A486,'Pass 2'!$A:$S,MATCH("Category",'Pass 2'!$1:$1,0),FALSE()),"")</f>
        <v/>
      </c>
      <c r="C486" s="1" t="str">
        <f aca="false">IFERROR(VLOOKUP(A486,'Pass 1 Archive'!$A:$AD,MATCH("LinkedIn Employee Count",'Pass 1 Archive'!$1:$1,0),FALSE()),"")</f>
        <v/>
      </c>
      <c r="D486" s="1" t="str">
        <f aca="false">IFERROR(VLOOKUP(A486,'Pass 2'!$A:$S,MATCH("Jan 2025 Traffic",'Pass 2'!$1:$1,0),FALSE()),"")</f>
        <v/>
      </c>
      <c r="E486" s="1" t="str">
        <f aca="false">IFERROR(VLOOKUP(A486,'Pass 2'!$A:$S,MATCH("Jun 2026 Traffic",'Pass 2'!$1:$1,0),FALSE()),"")</f>
        <v/>
      </c>
      <c r="F486" s="1" t="str">
        <f aca="false">IFERROR(VLOOKUP(A486,'Pass 2'!$A:$S,MATCH("Traffic % Change",'Pass 2'!$1:$1,0),FALSE()),"")</f>
        <v/>
      </c>
      <c r="G486" s="1" t="str">
        <f aca="false">IFERROR(VLOOKUP(A486,'Pass 2'!$A:$S,MATCH("Jan 2025 Referring Domains",'Pass 2'!$1:$1,0),FALSE()),"")</f>
        <v/>
      </c>
      <c r="H486" s="1" t="str">
        <f aca="false">IFERROR(VLOOKUP(A486,'Pass 2'!$A:$S,MATCH("Jun 2026 Referring Domains",'Pass 2'!$1:$1,0),FALSE()),"")</f>
        <v/>
      </c>
    </row>
    <row r="487" customFormat="false" ht="15" hidden="false" customHeight="true" outlineLevel="0" collapsed="false">
      <c r="B487" s="1" t="str">
        <f aca="false">IFERROR(VLOOKUP(A487,'Pass 2'!$A:$S,MATCH("Category",'Pass 2'!$1:$1,0),FALSE()),"")</f>
        <v/>
      </c>
      <c r="C487" s="1" t="str">
        <f aca="false">IFERROR(VLOOKUP(A487,'Pass 1 Archive'!$A:$AD,MATCH("LinkedIn Employee Count",'Pass 1 Archive'!$1:$1,0),FALSE()),"")</f>
        <v/>
      </c>
      <c r="D487" s="1" t="str">
        <f aca="false">IFERROR(VLOOKUP(A487,'Pass 2'!$A:$S,MATCH("Jan 2025 Traffic",'Pass 2'!$1:$1,0),FALSE()),"")</f>
        <v/>
      </c>
      <c r="E487" s="1" t="str">
        <f aca="false">IFERROR(VLOOKUP(A487,'Pass 2'!$A:$S,MATCH("Jun 2026 Traffic",'Pass 2'!$1:$1,0),FALSE()),"")</f>
        <v/>
      </c>
      <c r="F487" s="1" t="str">
        <f aca="false">IFERROR(VLOOKUP(A487,'Pass 2'!$A:$S,MATCH("Traffic % Change",'Pass 2'!$1:$1,0),FALSE()),"")</f>
        <v/>
      </c>
      <c r="G487" s="1" t="str">
        <f aca="false">IFERROR(VLOOKUP(A487,'Pass 2'!$A:$S,MATCH("Jan 2025 Referring Domains",'Pass 2'!$1:$1,0),FALSE()),"")</f>
        <v/>
      </c>
      <c r="H487" s="1" t="str">
        <f aca="false">IFERROR(VLOOKUP(A487,'Pass 2'!$A:$S,MATCH("Jun 2026 Referring Domains",'Pass 2'!$1:$1,0),FALSE()),"")</f>
        <v/>
      </c>
    </row>
    <row r="488" customFormat="false" ht="15" hidden="false" customHeight="true" outlineLevel="0" collapsed="false">
      <c r="B488" s="1" t="str">
        <f aca="false">IFERROR(VLOOKUP(A488,'Pass 2'!$A:$S,MATCH("Category",'Pass 2'!$1:$1,0),FALSE()),"")</f>
        <v/>
      </c>
      <c r="C488" s="1" t="str">
        <f aca="false">IFERROR(VLOOKUP(A488,'Pass 1 Archive'!$A:$AD,MATCH("LinkedIn Employee Count",'Pass 1 Archive'!$1:$1,0),FALSE()),"")</f>
        <v/>
      </c>
      <c r="D488" s="1" t="str">
        <f aca="false">IFERROR(VLOOKUP(A488,'Pass 2'!$A:$S,MATCH("Jan 2025 Traffic",'Pass 2'!$1:$1,0),FALSE()),"")</f>
        <v/>
      </c>
      <c r="E488" s="1" t="str">
        <f aca="false">IFERROR(VLOOKUP(A488,'Pass 2'!$A:$S,MATCH("Jun 2026 Traffic",'Pass 2'!$1:$1,0),FALSE()),"")</f>
        <v/>
      </c>
      <c r="F488" s="1" t="str">
        <f aca="false">IFERROR(VLOOKUP(A488,'Pass 2'!$A:$S,MATCH("Traffic % Change",'Pass 2'!$1:$1,0),FALSE()),"")</f>
        <v/>
      </c>
      <c r="G488" s="1" t="str">
        <f aca="false">IFERROR(VLOOKUP(A488,'Pass 2'!$A:$S,MATCH("Jan 2025 Referring Domains",'Pass 2'!$1:$1,0),FALSE()),"")</f>
        <v/>
      </c>
      <c r="H488" s="1" t="str">
        <f aca="false">IFERROR(VLOOKUP(A488,'Pass 2'!$A:$S,MATCH("Jun 2026 Referring Domains",'Pass 2'!$1:$1,0),FALSE()),"")</f>
        <v/>
      </c>
    </row>
    <row r="489" customFormat="false" ht="15" hidden="false" customHeight="true" outlineLevel="0" collapsed="false">
      <c r="B489" s="1" t="str">
        <f aca="false">IFERROR(VLOOKUP(A489,'Pass 2'!$A:$S,MATCH("Category",'Pass 2'!$1:$1,0),FALSE()),"")</f>
        <v/>
      </c>
      <c r="C489" s="1" t="str">
        <f aca="false">IFERROR(VLOOKUP(A489,'Pass 1 Archive'!$A:$AD,MATCH("LinkedIn Employee Count",'Pass 1 Archive'!$1:$1,0),FALSE()),"")</f>
        <v/>
      </c>
      <c r="D489" s="1" t="str">
        <f aca="false">IFERROR(VLOOKUP(A489,'Pass 2'!$A:$S,MATCH("Jan 2025 Traffic",'Pass 2'!$1:$1,0),FALSE()),"")</f>
        <v/>
      </c>
      <c r="E489" s="1" t="str">
        <f aca="false">IFERROR(VLOOKUP(A489,'Pass 2'!$A:$S,MATCH("Jun 2026 Traffic",'Pass 2'!$1:$1,0),FALSE()),"")</f>
        <v/>
      </c>
      <c r="F489" s="1" t="str">
        <f aca="false">IFERROR(VLOOKUP(A489,'Pass 2'!$A:$S,MATCH("Traffic % Change",'Pass 2'!$1:$1,0),FALSE()),"")</f>
        <v/>
      </c>
      <c r="G489" s="1" t="str">
        <f aca="false">IFERROR(VLOOKUP(A489,'Pass 2'!$A:$S,MATCH("Jan 2025 Referring Domains",'Pass 2'!$1:$1,0),FALSE()),"")</f>
        <v/>
      </c>
      <c r="H489" s="1" t="str">
        <f aca="false">IFERROR(VLOOKUP(A489,'Pass 2'!$A:$S,MATCH("Jun 2026 Referring Domains",'Pass 2'!$1:$1,0),FALSE()),"")</f>
        <v/>
      </c>
    </row>
    <row r="490" customFormat="false" ht="15" hidden="false" customHeight="true" outlineLevel="0" collapsed="false">
      <c r="B490" s="1" t="str">
        <f aca="false">IFERROR(VLOOKUP(A490,'Pass 2'!$A:$S,MATCH("Category",'Pass 2'!$1:$1,0),FALSE()),"")</f>
        <v/>
      </c>
      <c r="C490" s="1" t="str">
        <f aca="false">IFERROR(VLOOKUP(A490,'Pass 1 Archive'!$A:$AD,MATCH("LinkedIn Employee Count",'Pass 1 Archive'!$1:$1,0),FALSE()),"")</f>
        <v/>
      </c>
      <c r="D490" s="1" t="str">
        <f aca="false">IFERROR(VLOOKUP(A490,'Pass 2'!$A:$S,MATCH("Jan 2025 Traffic",'Pass 2'!$1:$1,0),FALSE()),"")</f>
        <v/>
      </c>
      <c r="E490" s="1" t="str">
        <f aca="false">IFERROR(VLOOKUP(A490,'Pass 2'!$A:$S,MATCH("Jun 2026 Traffic",'Pass 2'!$1:$1,0),FALSE()),"")</f>
        <v/>
      </c>
      <c r="F490" s="1" t="str">
        <f aca="false">IFERROR(VLOOKUP(A490,'Pass 2'!$A:$S,MATCH("Traffic % Change",'Pass 2'!$1:$1,0),FALSE()),"")</f>
        <v/>
      </c>
      <c r="G490" s="1" t="str">
        <f aca="false">IFERROR(VLOOKUP(A490,'Pass 2'!$A:$S,MATCH("Jan 2025 Referring Domains",'Pass 2'!$1:$1,0),FALSE()),"")</f>
        <v/>
      </c>
      <c r="H490" s="1" t="str">
        <f aca="false">IFERROR(VLOOKUP(A490,'Pass 2'!$A:$S,MATCH("Jun 2026 Referring Domains",'Pass 2'!$1:$1,0),FALSE()),"")</f>
        <v/>
      </c>
    </row>
    <row r="491" customFormat="false" ht="15" hidden="false" customHeight="true" outlineLevel="0" collapsed="false">
      <c r="B491" s="1" t="str">
        <f aca="false">IFERROR(VLOOKUP(A491,'Pass 2'!$A:$S,MATCH("Category",'Pass 2'!$1:$1,0),FALSE()),"")</f>
        <v/>
      </c>
      <c r="C491" s="1" t="str">
        <f aca="false">IFERROR(VLOOKUP(A491,'Pass 1 Archive'!$A:$AD,MATCH("LinkedIn Employee Count",'Pass 1 Archive'!$1:$1,0),FALSE()),"")</f>
        <v/>
      </c>
      <c r="D491" s="1" t="str">
        <f aca="false">IFERROR(VLOOKUP(A491,'Pass 2'!$A:$S,MATCH("Jan 2025 Traffic",'Pass 2'!$1:$1,0),FALSE()),"")</f>
        <v/>
      </c>
      <c r="E491" s="1" t="str">
        <f aca="false">IFERROR(VLOOKUP(A491,'Pass 2'!$A:$S,MATCH("Jun 2026 Traffic",'Pass 2'!$1:$1,0),FALSE()),"")</f>
        <v/>
      </c>
      <c r="F491" s="1" t="str">
        <f aca="false">IFERROR(VLOOKUP(A491,'Pass 2'!$A:$S,MATCH("Traffic % Change",'Pass 2'!$1:$1,0),FALSE()),"")</f>
        <v/>
      </c>
      <c r="G491" s="1" t="str">
        <f aca="false">IFERROR(VLOOKUP(A491,'Pass 2'!$A:$S,MATCH("Jan 2025 Referring Domains",'Pass 2'!$1:$1,0),FALSE()),"")</f>
        <v/>
      </c>
      <c r="H491" s="1" t="str">
        <f aca="false">IFERROR(VLOOKUP(A491,'Pass 2'!$A:$S,MATCH("Jun 2026 Referring Domains",'Pass 2'!$1:$1,0),FALSE()),"")</f>
        <v/>
      </c>
    </row>
    <row r="492" customFormat="false" ht="15" hidden="false" customHeight="true" outlineLevel="0" collapsed="false">
      <c r="B492" s="1" t="str">
        <f aca="false">IFERROR(VLOOKUP(A492,'Pass 2'!$A:$S,MATCH("Category",'Pass 2'!$1:$1,0),FALSE()),"")</f>
        <v/>
      </c>
      <c r="C492" s="1" t="str">
        <f aca="false">IFERROR(VLOOKUP(A492,'Pass 1 Archive'!$A:$AD,MATCH("LinkedIn Employee Count",'Pass 1 Archive'!$1:$1,0),FALSE()),"")</f>
        <v/>
      </c>
      <c r="D492" s="1" t="str">
        <f aca="false">IFERROR(VLOOKUP(A492,'Pass 2'!$A:$S,MATCH("Jan 2025 Traffic",'Pass 2'!$1:$1,0),FALSE()),"")</f>
        <v/>
      </c>
      <c r="E492" s="1" t="str">
        <f aca="false">IFERROR(VLOOKUP(A492,'Pass 2'!$A:$S,MATCH("Jun 2026 Traffic",'Pass 2'!$1:$1,0),FALSE()),"")</f>
        <v/>
      </c>
      <c r="F492" s="1" t="str">
        <f aca="false">IFERROR(VLOOKUP(A492,'Pass 2'!$A:$S,MATCH("Traffic % Change",'Pass 2'!$1:$1,0),FALSE()),"")</f>
        <v/>
      </c>
      <c r="G492" s="1" t="str">
        <f aca="false">IFERROR(VLOOKUP(A492,'Pass 2'!$A:$S,MATCH("Jan 2025 Referring Domains",'Pass 2'!$1:$1,0),FALSE()),"")</f>
        <v/>
      </c>
      <c r="H492" s="1" t="str">
        <f aca="false">IFERROR(VLOOKUP(A492,'Pass 2'!$A:$S,MATCH("Jun 2026 Referring Domains",'Pass 2'!$1:$1,0),FALSE()),"")</f>
        <v/>
      </c>
    </row>
    <row r="493" customFormat="false" ht="15" hidden="false" customHeight="true" outlineLevel="0" collapsed="false">
      <c r="B493" s="1" t="str">
        <f aca="false">IFERROR(VLOOKUP(A493,'Pass 2'!$A:$S,MATCH("Category",'Pass 2'!$1:$1,0),FALSE()),"")</f>
        <v/>
      </c>
      <c r="C493" s="1" t="str">
        <f aca="false">IFERROR(VLOOKUP(A493,'Pass 1 Archive'!$A:$AD,MATCH("LinkedIn Employee Count",'Pass 1 Archive'!$1:$1,0),FALSE()),"")</f>
        <v/>
      </c>
      <c r="D493" s="1" t="str">
        <f aca="false">IFERROR(VLOOKUP(A493,'Pass 2'!$A:$S,MATCH("Jan 2025 Traffic",'Pass 2'!$1:$1,0),FALSE()),"")</f>
        <v/>
      </c>
      <c r="E493" s="1" t="str">
        <f aca="false">IFERROR(VLOOKUP(A493,'Pass 2'!$A:$S,MATCH("Jun 2026 Traffic",'Pass 2'!$1:$1,0),FALSE()),"")</f>
        <v/>
      </c>
      <c r="F493" s="1" t="str">
        <f aca="false">IFERROR(VLOOKUP(A493,'Pass 2'!$A:$S,MATCH("Traffic % Change",'Pass 2'!$1:$1,0),FALSE()),"")</f>
        <v/>
      </c>
      <c r="G493" s="1" t="str">
        <f aca="false">IFERROR(VLOOKUP(A493,'Pass 2'!$A:$S,MATCH("Jan 2025 Referring Domains",'Pass 2'!$1:$1,0),FALSE()),"")</f>
        <v/>
      </c>
      <c r="H493" s="1" t="str">
        <f aca="false">IFERROR(VLOOKUP(A493,'Pass 2'!$A:$S,MATCH("Jun 2026 Referring Domains",'Pass 2'!$1:$1,0),FALSE()),"")</f>
        <v/>
      </c>
    </row>
    <row r="494" customFormat="false" ht="15" hidden="false" customHeight="true" outlineLevel="0" collapsed="false">
      <c r="B494" s="1" t="str">
        <f aca="false">IFERROR(VLOOKUP(A494,'Pass 2'!$A:$S,MATCH("Category",'Pass 2'!$1:$1,0),FALSE()),"")</f>
        <v/>
      </c>
      <c r="C494" s="1" t="str">
        <f aca="false">IFERROR(VLOOKUP(A494,'Pass 1 Archive'!$A:$AD,MATCH("LinkedIn Employee Count",'Pass 1 Archive'!$1:$1,0),FALSE()),"")</f>
        <v/>
      </c>
      <c r="D494" s="1" t="str">
        <f aca="false">IFERROR(VLOOKUP(A494,'Pass 2'!$A:$S,MATCH("Jan 2025 Traffic",'Pass 2'!$1:$1,0),FALSE()),"")</f>
        <v/>
      </c>
      <c r="E494" s="1" t="str">
        <f aca="false">IFERROR(VLOOKUP(A494,'Pass 2'!$A:$S,MATCH("Jun 2026 Traffic",'Pass 2'!$1:$1,0),FALSE()),"")</f>
        <v/>
      </c>
      <c r="F494" s="1" t="str">
        <f aca="false">IFERROR(VLOOKUP(A494,'Pass 2'!$A:$S,MATCH("Traffic % Change",'Pass 2'!$1:$1,0),FALSE()),"")</f>
        <v/>
      </c>
      <c r="G494" s="1" t="str">
        <f aca="false">IFERROR(VLOOKUP(A494,'Pass 2'!$A:$S,MATCH("Jan 2025 Referring Domains",'Pass 2'!$1:$1,0),FALSE()),"")</f>
        <v/>
      </c>
      <c r="H494" s="1" t="str">
        <f aca="false">IFERROR(VLOOKUP(A494,'Pass 2'!$A:$S,MATCH("Jun 2026 Referring Domains",'Pass 2'!$1:$1,0),FALSE()),"")</f>
        <v/>
      </c>
    </row>
    <row r="495" customFormat="false" ht="15" hidden="false" customHeight="true" outlineLevel="0" collapsed="false">
      <c r="B495" s="1" t="str">
        <f aca="false">IFERROR(VLOOKUP(A495,'Pass 2'!$A:$S,MATCH("Category",'Pass 2'!$1:$1,0),FALSE()),"")</f>
        <v/>
      </c>
      <c r="C495" s="1" t="str">
        <f aca="false">IFERROR(VLOOKUP(A495,'Pass 1 Archive'!$A:$AD,MATCH("LinkedIn Employee Count",'Pass 1 Archive'!$1:$1,0),FALSE()),"")</f>
        <v/>
      </c>
      <c r="D495" s="1" t="str">
        <f aca="false">IFERROR(VLOOKUP(A495,'Pass 2'!$A:$S,MATCH("Jan 2025 Traffic",'Pass 2'!$1:$1,0),FALSE()),"")</f>
        <v/>
      </c>
      <c r="E495" s="1" t="str">
        <f aca="false">IFERROR(VLOOKUP(A495,'Pass 2'!$A:$S,MATCH("Jun 2026 Traffic",'Pass 2'!$1:$1,0),FALSE()),"")</f>
        <v/>
      </c>
      <c r="F495" s="1" t="str">
        <f aca="false">IFERROR(VLOOKUP(A495,'Pass 2'!$A:$S,MATCH("Traffic % Change",'Pass 2'!$1:$1,0),FALSE()),"")</f>
        <v/>
      </c>
      <c r="G495" s="1" t="str">
        <f aca="false">IFERROR(VLOOKUP(A495,'Pass 2'!$A:$S,MATCH("Jan 2025 Referring Domains",'Pass 2'!$1:$1,0),FALSE()),"")</f>
        <v/>
      </c>
      <c r="H495" s="1" t="str">
        <f aca="false">IFERROR(VLOOKUP(A495,'Pass 2'!$A:$S,MATCH("Jun 2026 Referring Domains",'Pass 2'!$1:$1,0),FALSE()),"")</f>
        <v/>
      </c>
    </row>
    <row r="496" customFormat="false" ht="15" hidden="false" customHeight="true" outlineLevel="0" collapsed="false">
      <c r="B496" s="1" t="str">
        <f aca="false">IFERROR(VLOOKUP(A496,'Pass 2'!$A:$S,MATCH("Category",'Pass 2'!$1:$1,0),FALSE()),"")</f>
        <v/>
      </c>
      <c r="C496" s="1" t="str">
        <f aca="false">IFERROR(VLOOKUP(A496,'Pass 1 Archive'!$A:$AD,MATCH("LinkedIn Employee Count",'Pass 1 Archive'!$1:$1,0),FALSE()),"")</f>
        <v/>
      </c>
      <c r="D496" s="1" t="str">
        <f aca="false">IFERROR(VLOOKUP(A496,'Pass 2'!$A:$S,MATCH("Jan 2025 Traffic",'Pass 2'!$1:$1,0),FALSE()),"")</f>
        <v/>
      </c>
      <c r="E496" s="1" t="str">
        <f aca="false">IFERROR(VLOOKUP(A496,'Pass 2'!$A:$S,MATCH("Jun 2026 Traffic",'Pass 2'!$1:$1,0),FALSE()),"")</f>
        <v/>
      </c>
      <c r="F496" s="1" t="str">
        <f aca="false">IFERROR(VLOOKUP(A496,'Pass 2'!$A:$S,MATCH("Traffic % Change",'Pass 2'!$1:$1,0),FALSE()),"")</f>
        <v/>
      </c>
      <c r="G496" s="1" t="str">
        <f aca="false">IFERROR(VLOOKUP(A496,'Pass 2'!$A:$S,MATCH("Jan 2025 Referring Domains",'Pass 2'!$1:$1,0),FALSE()),"")</f>
        <v/>
      </c>
      <c r="H496" s="1" t="str">
        <f aca="false">IFERROR(VLOOKUP(A496,'Pass 2'!$A:$S,MATCH("Jun 2026 Referring Domains",'Pass 2'!$1:$1,0),FALSE()),"")</f>
        <v/>
      </c>
    </row>
    <row r="497" customFormat="false" ht="15" hidden="false" customHeight="true" outlineLevel="0" collapsed="false">
      <c r="B497" s="1" t="str">
        <f aca="false">IFERROR(VLOOKUP(A497,'Pass 2'!$A:$S,MATCH("Category",'Pass 2'!$1:$1,0),FALSE()),"")</f>
        <v/>
      </c>
      <c r="C497" s="1" t="str">
        <f aca="false">IFERROR(VLOOKUP(A497,'Pass 1 Archive'!$A:$AD,MATCH("LinkedIn Employee Count",'Pass 1 Archive'!$1:$1,0),FALSE()),"")</f>
        <v/>
      </c>
      <c r="D497" s="1" t="str">
        <f aca="false">IFERROR(VLOOKUP(A497,'Pass 2'!$A:$S,MATCH("Jan 2025 Traffic",'Pass 2'!$1:$1,0),FALSE()),"")</f>
        <v/>
      </c>
      <c r="E497" s="1" t="str">
        <f aca="false">IFERROR(VLOOKUP(A497,'Pass 2'!$A:$S,MATCH("Jun 2026 Traffic",'Pass 2'!$1:$1,0),FALSE()),"")</f>
        <v/>
      </c>
      <c r="F497" s="1" t="str">
        <f aca="false">IFERROR(VLOOKUP(A497,'Pass 2'!$A:$S,MATCH("Traffic % Change",'Pass 2'!$1:$1,0),FALSE()),"")</f>
        <v/>
      </c>
      <c r="G497" s="1" t="str">
        <f aca="false">IFERROR(VLOOKUP(A497,'Pass 2'!$A:$S,MATCH("Jan 2025 Referring Domains",'Pass 2'!$1:$1,0),FALSE()),"")</f>
        <v/>
      </c>
      <c r="H497" s="1" t="str">
        <f aca="false">IFERROR(VLOOKUP(A497,'Pass 2'!$A:$S,MATCH("Jun 2026 Referring Domains",'Pass 2'!$1:$1,0),FALSE()),"")</f>
        <v/>
      </c>
    </row>
    <row r="498" customFormat="false" ht="15" hidden="false" customHeight="true" outlineLevel="0" collapsed="false">
      <c r="B498" s="1" t="str">
        <f aca="false">IFERROR(VLOOKUP(A498,'Pass 2'!$A:$S,MATCH("Category",'Pass 2'!$1:$1,0),FALSE()),"")</f>
        <v/>
      </c>
      <c r="C498" s="1" t="str">
        <f aca="false">IFERROR(VLOOKUP(A498,'Pass 1 Archive'!$A:$AD,MATCH("LinkedIn Employee Count",'Pass 1 Archive'!$1:$1,0),FALSE()),"")</f>
        <v/>
      </c>
      <c r="D498" s="1" t="str">
        <f aca="false">IFERROR(VLOOKUP(A498,'Pass 2'!$A:$S,MATCH("Jan 2025 Traffic",'Pass 2'!$1:$1,0),FALSE()),"")</f>
        <v/>
      </c>
      <c r="E498" s="1" t="str">
        <f aca="false">IFERROR(VLOOKUP(A498,'Pass 2'!$A:$S,MATCH("Jun 2026 Traffic",'Pass 2'!$1:$1,0),FALSE()),"")</f>
        <v/>
      </c>
      <c r="F498" s="1" t="str">
        <f aca="false">IFERROR(VLOOKUP(A498,'Pass 2'!$A:$S,MATCH("Traffic % Change",'Pass 2'!$1:$1,0),FALSE()),"")</f>
        <v/>
      </c>
      <c r="G498" s="1" t="str">
        <f aca="false">IFERROR(VLOOKUP(A498,'Pass 2'!$A:$S,MATCH("Jan 2025 Referring Domains",'Pass 2'!$1:$1,0),FALSE()),"")</f>
        <v/>
      </c>
      <c r="H498" s="1" t="str">
        <f aca="false">IFERROR(VLOOKUP(A498,'Pass 2'!$A:$S,MATCH("Jun 2026 Referring Domains",'Pass 2'!$1:$1,0),FALSE()),"")</f>
        <v/>
      </c>
    </row>
    <row r="499" customFormat="false" ht="15" hidden="false" customHeight="true" outlineLevel="0" collapsed="false">
      <c r="B499" s="1" t="str">
        <f aca="false">IFERROR(VLOOKUP(A499,'Pass 2'!$A:$S,MATCH("Category",'Pass 2'!$1:$1,0),FALSE()),"")</f>
        <v/>
      </c>
      <c r="C499" s="1" t="str">
        <f aca="false">IFERROR(VLOOKUP(A499,'Pass 1 Archive'!$A:$AD,MATCH("LinkedIn Employee Count",'Pass 1 Archive'!$1:$1,0),FALSE()),"")</f>
        <v/>
      </c>
      <c r="D499" s="1" t="str">
        <f aca="false">IFERROR(VLOOKUP(A499,'Pass 2'!$A:$S,MATCH("Jan 2025 Traffic",'Pass 2'!$1:$1,0),FALSE()),"")</f>
        <v/>
      </c>
      <c r="E499" s="1" t="str">
        <f aca="false">IFERROR(VLOOKUP(A499,'Pass 2'!$A:$S,MATCH("Jun 2026 Traffic",'Pass 2'!$1:$1,0),FALSE()),"")</f>
        <v/>
      </c>
      <c r="F499" s="1" t="str">
        <f aca="false">IFERROR(VLOOKUP(A499,'Pass 2'!$A:$S,MATCH("Traffic % Change",'Pass 2'!$1:$1,0),FALSE()),"")</f>
        <v/>
      </c>
      <c r="G499" s="1" t="str">
        <f aca="false">IFERROR(VLOOKUP(A499,'Pass 2'!$A:$S,MATCH("Jan 2025 Referring Domains",'Pass 2'!$1:$1,0),FALSE()),"")</f>
        <v/>
      </c>
      <c r="H499" s="1" t="str">
        <f aca="false">IFERROR(VLOOKUP(A499,'Pass 2'!$A:$S,MATCH("Jun 2026 Referring Domains",'Pass 2'!$1:$1,0),FALSE()),"")</f>
        <v/>
      </c>
    </row>
    <row r="500" customFormat="false" ht="15" hidden="false" customHeight="true" outlineLevel="0" collapsed="false">
      <c r="B500" s="1" t="str">
        <f aca="false">IFERROR(VLOOKUP(A500,'Pass 2'!$A:$S,MATCH("Category",'Pass 2'!$1:$1,0),FALSE()),"")</f>
        <v/>
      </c>
      <c r="C500" s="1" t="str">
        <f aca="false">IFERROR(VLOOKUP(A500,'Pass 1 Archive'!$A:$AD,MATCH("LinkedIn Employee Count",'Pass 1 Archive'!$1:$1,0),FALSE()),"")</f>
        <v/>
      </c>
      <c r="D500" s="1" t="str">
        <f aca="false">IFERROR(VLOOKUP(A500,'Pass 2'!$A:$S,MATCH("Jan 2025 Traffic",'Pass 2'!$1:$1,0),FALSE()),"")</f>
        <v/>
      </c>
      <c r="E500" s="1" t="str">
        <f aca="false">IFERROR(VLOOKUP(A500,'Pass 2'!$A:$S,MATCH("Jun 2026 Traffic",'Pass 2'!$1:$1,0),FALSE()),"")</f>
        <v/>
      </c>
      <c r="F500" s="1" t="str">
        <f aca="false">IFERROR(VLOOKUP(A500,'Pass 2'!$A:$S,MATCH("Traffic % Change",'Pass 2'!$1:$1,0),FALSE()),"")</f>
        <v/>
      </c>
      <c r="G500" s="1" t="str">
        <f aca="false">IFERROR(VLOOKUP(A500,'Pass 2'!$A:$S,MATCH("Jan 2025 Referring Domains",'Pass 2'!$1:$1,0),FALSE()),"")</f>
        <v/>
      </c>
      <c r="H500" s="1" t="str">
        <f aca="false">IFERROR(VLOOKUP(A500,'Pass 2'!$A:$S,MATCH("Jun 2026 Referring Domains",'Pass 2'!$1:$1,0),FALSE()),"")</f>
        <v/>
      </c>
    </row>
  </sheetData>
  <dataValidations count="11">
    <dataValidation allowBlank="true" errorStyle="stop" operator="between" showDropDown="false" showErrorMessage="false" showInputMessage="false" sqref="N2:N501" type="list">
      <formula1>Lists!$C$2:$C$11</formula1>
      <formula2>0</formula2>
    </dataValidation>
    <dataValidation allowBlank="true" errorStyle="stop" operator="between" showDropDown="false" showErrorMessage="false" showInputMessage="false" sqref="Q2:Q501" type="list">
      <formula1>Lists!$C$2:$C$11</formula1>
      <formula2>0</formula2>
    </dataValidation>
    <dataValidation allowBlank="true" errorStyle="stop" operator="between" showDropDown="false" showErrorMessage="false" showInputMessage="false" sqref="T2:T501" type="list">
      <formula1>Lists!$C$2:$C$11</formula1>
      <formula2>0</formula2>
    </dataValidation>
    <dataValidation allowBlank="true" errorStyle="stop" operator="between" showDropDown="false" showErrorMessage="false" showInputMessage="false" sqref="W2:W501" type="list">
      <formula1>Lists!$C$2:$C$11</formula1>
      <formula2>0</formula2>
    </dataValidation>
    <dataValidation allowBlank="true" errorStyle="stop" operator="between" showDropDown="false" showErrorMessage="false" showInputMessage="false" sqref="Z2:Z501" type="list">
      <formula1>Lists!$C$2:$C$11</formula1>
      <formula2>0</formula2>
    </dataValidation>
    <dataValidation allowBlank="true" errorStyle="stop" operator="between" showDropDown="false" showErrorMessage="false" showInputMessage="false" sqref="AA2:AA501" type="list">
      <formula1>"Concentrated,Distributed"</formula1>
      <formula2>0</formula2>
    </dataValidation>
    <dataValidation allowBlank="true" errorStyle="stop" operator="between" showDropDown="false" showErrorMessage="false" showInputMessage="false" sqref="AB2:AB501" type="list">
      <formula1>"Net-new,Refreshed,Both"</formula1>
      <formula2>0</formula2>
    </dataValidation>
    <dataValidation allowBlank="true" errorStyle="stop" operator="between" showDropDown="false" showErrorMessage="false" showInputMessage="false" sqref="AC2:AC501" type="list">
      <formula1>"Gradual,Step-change"</formula1>
      <formula2>0</formula2>
    </dataValidation>
    <dataValidation allowBlank="true" errorStyle="stop" operator="between" showDropDown="false" showErrorMessage="false" showInputMessage="false" sqref="AJ2:AJ501" type="list">
      <formula1>Lists!$B$2:$B$10</formula1>
      <formula2>0</formula2>
    </dataValidation>
    <dataValidation allowBlank="true" errorStyle="stop" operator="between" showDropDown="false" showErrorMessage="false" showInputMessage="false" sqref="AK2:AK501" type="list">
      <formula1>"Not Started,In Progress,Complete"</formula1>
      <formula2>0</formula2>
    </dataValidation>
    <dataValidation allowBlank="true" errorStyle="stop" operator="between" showDropDown="false" showErrorMessage="false" showInputMessage="false" sqref="AM2:AM50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3" min="2" style="1" width="22"/>
    <col collapsed="false" customWidth="true" hidden="false" outlineLevel="0" max="6" min="4" style="1" width="14"/>
    <col collapsed="false" customWidth="true" hidden="false" outlineLevel="0" max="9" min="7" style="1" width="16"/>
    <col collapsed="false" customWidth="true" hidden="false" outlineLevel="0" max="11" min="10" style="1" width="14"/>
    <col collapsed="false" customWidth="true" hidden="false" outlineLevel="0" max="13" min="12" style="1" width="26"/>
    <col collapsed="false" customWidth="true" hidden="false" outlineLevel="0" max="14" min="14" style="1" width="22"/>
    <col collapsed="false" customWidth="true" hidden="false" outlineLevel="0" max="15" min="15" style="1" width="30"/>
    <col collapsed="false" customWidth="true" hidden="false" outlineLevel="0" max="18" min="16" style="1" width="14"/>
    <col collapsed="false" customWidth="true" hidden="false" outlineLevel="0" max="19" min="19" style="1" width="16"/>
  </cols>
  <sheetData>
    <row r="1" customFormat="false" ht="33.75" hidden="false" customHeight="true" outlineLevel="0" collapsed="false">
      <c r="A1" s="13" t="s">
        <v>52</v>
      </c>
      <c r="B1" s="13" t="s">
        <v>19</v>
      </c>
      <c r="C1" s="13" t="s">
        <v>166</v>
      </c>
      <c r="D1" s="13" t="s">
        <v>1561</v>
      </c>
      <c r="E1" s="13" t="s">
        <v>1562</v>
      </c>
      <c r="F1" s="13" t="s">
        <v>1563</v>
      </c>
      <c r="G1" s="13" t="s">
        <v>1564</v>
      </c>
      <c r="H1" s="13" t="s">
        <v>1565</v>
      </c>
      <c r="I1" s="13" t="s">
        <v>168</v>
      </c>
      <c r="J1" s="13" t="s">
        <v>170</v>
      </c>
      <c r="K1" s="13" t="s">
        <v>222</v>
      </c>
      <c r="L1" s="13" t="s">
        <v>225</v>
      </c>
      <c r="M1" s="13" t="s">
        <v>228</v>
      </c>
      <c r="N1" s="13" t="s">
        <v>229</v>
      </c>
      <c r="O1" s="13" t="s">
        <v>232</v>
      </c>
      <c r="P1" s="13" t="s">
        <v>233</v>
      </c>
      <c r="Q1" s="13" t="s">
        <v>202</v>
      </c>
      <c r="R1" s="13" t="s">
        <v>204</v>
      </c>
    </row>
    <row r="2" customFormat="false" ht="15" hidden="false" customHeight="true" outlineLevel="0" collapsed="false">
      <c r="B2" s="1" t="str">
        <f aca="false">IFERROR(VLOOKUP(A2,'Pass 2'!$A:$S,MATCH("Category",'Pass 2'!$1:$1,0),FALSE()),"")</f>
        <v/>
      </c>
      <c r="C2" s="1" t="str">
        <f aca="false">IFERROR(VLOOKUP(A2,'Pass 1 Archive'!$A:$AD,MATCH("LinkedIn Employee Count",'Pass 1 Archive'!$1:$1,0),FALSE()),"")</f>
        <v/>
      </c>
      <c r="D2" s="1" t="str">
        <f aca="false">IFERROR(VLOOKUP(A2,'Pass 2'!$A:$S,MATCH("Jan 2025 Traffic",'Pass 2'!$1:$1,0),FALSE()),"")</f>
        <v/>
      </c>
      <c r="E2" s="1" t="str">
        <f aca="false">IFERROR(VLOOKUP(A2,'Pass 2'!$A:$S,MATCH("Jun 2026 Traffic",'Pass 2'!$1:$1,0),FALSE()),"")</f>
        <v/>
      </c>
      <c r="F2" s="1" t="str">
        <f aca="false">IFERROR(VLOOKUP(A2,'Pass 2'!$A:$S,MATCH("Traffic % Change",'Pass 2'!$1:$1,0),FALSE()),"")</f>
        <v/>
      </c>
      <c r="G2" s="1" t="str">
        <f aca="false">IFERROR(VLOOKUP(A2,'Pass 2'!$A:$S,MATCH("Jan 2025 Referring Domains",'Pass 2'!$1:$1,0),FALSE()),"")</f>
        <v/>
      </c>
      <c r="H2" s="1" t="str">
        <f aca="false">IFERROR(VLOOKUP(A2,'Pass 2'!$A:$S,MATCH("Jun 2026 Referring Domains",'Pass 2'!$1:$1,0),FALSE()),"")</f>
        <v/>
      </c>
    </row>
    <row r="3" customFormat="false" ht="15" hidden="false" customHeight="true" outlineLevel="0" collapsed="false">
      <c r="B3" s="1" t="str">
        <f aca="false">IFERROR(VLOOKUP(A3,'Pass 2'!$A:$S,MATCH("Category",'Pass 2'!$1:$1,0),FALSE()),"")</f>
        <v/>
      </c>
      <c r="C3" s="1" t="str">
        <f aca="false">IFERROR(VLOOKUP(A3,'Pass 1 Archive'!$A:$AD,MATCH("LinkedIn Employee Count",'Pass 1 Archive'!$1:$1,0),FALSE()),"")</f>
        <v/>
      </c>
      <c r="D3" s="1" t="str">
        <f aca="false">IFERROR(VLOOKUP(A3,'Pass 2'!$A:$S,MATCH("Jan 2025 Traffic",'Pass 2'!$1:$1,0),FALSE()),"")</f>
        <v/>
      </c>
      <c r="E3" s="1" t="str">
        <f aca="false">IFERROR(VLOOKUP(A3,'Pass 2'!$A:$S,MATCH("Jun 2026 Traffic",'Pass 2'!$1:$1,0),FALSE()),"")</f>
        <v/>
      </c>
      <c r="F3" s="1" t="str">
        <f aca="false">IFERROR(VLOOKUP(A3,'Pass 2'!$A:$S,MATCH("Traffic % Change",'Pass 2'!$1:$1,0),FALSE()),"")</f>
        <v/>
      </c>
      <c r="G3" s="1" t="str">
        <f aca="false">IFERROR(VLOOKUP(A3,'Pass 2'!$A:$S,MATCH("Jan 2025 Referring Domains",'Pass 2'!$1:$1,0),FALSE()),"")</f>
        <v/>
      </c>
      <c r="H3" s="1" t="str">
        <f aca="false">IFERROR(VLOOKUP(A3,'Pass 2'!$A:$S,MATCH("Jun 2026 Referring Domains",'Pass 2'!$1:$1,0),FALSE()),"")</f>
        <v/>
      </c>
    </row>
    <row r="4" customFormat="false" ht="15" hidden="false" customHeight="true" outlineLevel="0" collapsed="false">
      <c r="B4" s="1" t="str">
        <f aca="false">IFERROR(VLOOKUP(A4,'Pass 2'!$A:$S,MATCH("Category",'Pass 2'!$1:$1,0),FALSE()),"")</f>
        <v/>
      </c>
      <c r="C4" s="1" t="str">
        <f aca="false">IFERROR(VLOOKUP(A4,'Pass 1 Archive'!$A:$AD,MATCH("LinkedIn Employee Count",'Pass 1 Archive'!$1:$1,0),FALSE()),"")</f>
        <v/>
      </c>
      <c r="D4" s="1" t="str">
        <f aca="false">IFERROR(VLOOKUP(A4,'Pass 2'!$A:$S,MATCH("Jan 2025 Traffic",'Pass 2'!$1:$1,0),FALSE()),"")</f>
        <v/>
      </c>
      <c r="E4" s="1" t="str">
        <f aca="false">IFERROR(VLOOKUP(A4,'Pass 2'!$A:$S,MATCH("Jun 2026 Traffic",'Pass 2'!$1:$1,0),FALSE()),"")</f>
        <v/>
      </c>
      <c r="F4" s="1" t="str">
        <f aca="false">IFERROR(VLOOKUP(A4,'Pass 2'!$A:$S,MATCH("Traffic % Change",'Pass 2'!$1:$1,0),FALSE()),"")</f>
        <v/>
      </c>
      <c r="G4" s="1" t="str">
        <f aca="false">IFERROR(VLOOKUP(A4,'Pass 2'!$A:$S,MATCH("Jan 2025 Referring Domains",'Pass 2'!$1:$1,0),FALSE()),"")</f>
        <v/>
      </c>
      <c r="H4" s="1" t="str">
        <f aca="false">IFERROR(VLOOKUP(A4,'Pass 2'!$A:$S,MATCH("Jun 2026 Referring Domains",'Pass 2'!$1:$1,0),FALSE()),"")</f>
        <v/>
      </c>
    </row>
    <row r="5" customFormat="false" ht="15" hidden="false" customHeight="true" outlineLevel="0" collapsed="false">
      <c r="B5" s="1" t="str">
        <f aca="false">IFERROR(VLOOKUP(A5,'Pass 2'!$A:$S,MATCH("Category",'Pass 2'!$1:$1,0),FALSE()),"")</f>
        <v/>
      </c>
      <c r="C5" s="1" t="str">
        <f aca="false">IFERROR(VLOOKUP(A5,'Pass 1 Archive'!$A:$AD,MATCH("LinkedIn Employee Count",'Pass 1 Archive'!$1:$1,0),FALSE()),"")</f>
        <v/>
      </c>
      <c r="D5" s="1" t="str">
        <f aca="false">IFERROR(VLOOKUP(A5,'Pass 2'!$A:$S,MATCH("Jan 2025 Traffic",'Pass 2'!$1:$1,0),FALSE()),"")</f>
        <v/>
      </c>
      <c r="E5" s="1" t="str">
        <f aca="false">IFERROR(VLOOKUP(A5,'Pass 2'!$A:$S,MATCH("Jun 2026 Traffic",'Pass 2'!$1:$1,0),FALSE()),"")</f>
        <v/>
      </c>
      <c r="F5" s="1" t="str">
        <f aca="false">IFERROR(VLOOKUP(A5,'Pass 2'!$A:$S,MATCH("Traffic % Change",'Pass 2'!$1:$1,0),FALSE()),"")</f>
        <v/>
      </c>
      <c r="G5" s="1" t="str">
        <f aca="false">IFERROR(VLOOKUP(A5,'Pass 2'!$A:$S,MATCH("Jan 2025 Referring Domains",'Pass 2'!$1:$1,0),FALSE()),"")</f>
        <v/>
      </c>
      <c r="H5" s="1" t="str">
        <f aca="false">IFERROR(VLOOKUP(A5,'Pass 2'!$A:$S,MATCH("Jun 2026 Referring Domains",'Pass 2'!$1:$1,0),FALSE()),"")</f>
        <v/>
      </c>
    </row>
    <row r="6" customFormat="false" ht="15" hidden="false" customHeight="true" outlineLevel="0" collapsed="false">
      <c r="B6" s="1" t="str">
        <f aca="false">IFERROR(VLOOKUP(A6,'Pass 2'!$A:$S,MATCH("Category",'Pass 2'!$1:$1,0),FALSE()),"")</f>
        <v/>
      </c>
      <c r="C6" s="1" t="str">
        <f aca="false">IFERROR(VLOOKUP(A6,'Pass 1 Archive'!$A:$AD,MATCH("LinkedIn Employee Count",'Pass 1 Archive'!$1:$1,0),FALSE()),"")</f>
        <v/>
      </c>
      <c r="D6" s="1" t="str">
        <f aca="false">IFERROR(VLOOKUP(A6,'Pass 2'!$A:$S,MATCH("Jan 2025 Traffic",'Pass 2'!$1:$1,0),FALSE()),"")</f>
        <v/>
      </c>
      <c r="E6" s="1" t="str">
        <f aca="false">IFERROR(VLOOKUP(A6,'Pass 2'!$A:$S,MATCH("Jun 2026 Traffic",'Pass 2'!$1:$1,0),FALSE()),"")</f>
        <v/>
      </c>
      <c r="F6" s="1" t="str">
        <f aca="false">IFERROR(VLOOKUP(A6,'Pass 2'!$A:$S,MATCH("Traffic % Change",'Pass 2'!$1:$1,0),FALSE()),"")</f>
        <v/>
      </c>
      <c r="G6" s="1" t="str">
        <f aca="false">IFERROR(VLOOKUP(A6,'Pass 2'!$A:$S,MATCH("Jan 2025 Referring Domains",'Pass 2'!$1:$1,0),FALSE()),"")</f>
        <v/>
      </c>
      <c r="H6" s="1" t="str">
        <f aca="false">IFERROR(VLOOKUP(A6,'Pass 2'!$A:$S,MATCH("Jun 2026 Referring Domains",'Pass 2'!$1:$1,0),FALSE()),"")</f>
        <v/>
      </c>
    </row>
    <row r="7" customFormat="false" ht="15" hidden="false" customHeight="true" outlineLevel="0" collapsed="false">
      <c r="B7" s="1" t="str">
        <f aca="false">IFERROR(VLOOKUP(A7,'Pass 2'!$A:$S,MATCH("Category",'Pass 2'!$1:$1,0),FALSE()),"")</f>
        <v/>
      </c>
      <c r="C7" s="1" t="str">
        <f aca="false">IFERROR(VLOOKUP(A7,'Pass 1 Archive'!$A:$AD,MATCH("LinkedIn Employee Count",'Pass 1 Archive'!$1:$1,0),FALSE()),"")</f>
        <v/>
      </c>
      <c r="D7" s="1" t="str">
        <f aca="false">IFERROR(VLOOKUP(A7,'Pass 2'!$A:$S,MATCH("Jan 2025 Traffic",'Pass 2'!$1:$1,0),FALSE()),"")</f>
        <v/>
      </c>
      <c r="E7" s="1" t="str">
        <f aca="false">IFERROR(VLOOKUP(A7,'Pass 2'!$A:$S,MATCH("Jun 2026 Traffic",'Pass 2'!$1:$1,0),FALSE()),"")</f>
        <v/>
      </c>
      <c r="F7" s="1" t="str">
        <f aca="false">IFERROR(VLOOKUP(A7,'Pass 2'!$A:$S,MATCH("Traffic % Change",'Pass 2'!$1:$1,0),FALSE()),"")</f>
        <v/>
      </c>
      <c r="G7" s="1" t="str">
        <f aca="false">IFERROR(VLOOKUP(A7,'Pass 2'!$A:$S,MATCH("Jan 2025 Referring Domains",'Pass 2'!$1:$1,0),FALSE()),"")</f>
        <v/>
      </c>
      <c r="H7" s="1" t="str">
        <f aca="false">IFERROR(VLOOKUP(A7,'Pass 2'!$A:$S,MATCH("Jun 2026 Referring Domains",'Pass 2'!$1:$1,0),FALSE()),"")</f>
        <v/>
      </c>
    </row>
    <row r="8" customFormat="false" ht="15" hidden="false" customHeight="true" outlineLevel="0" collapsed="false">
      <c r="B8" s="1" t="str">
        <f aca="false">IFERROR(VLOOKUP(A8,'Pass 2'!$A:$S,MATCH("Category",'Pass 2'!$1:$1,0),FALSE()),"")</f>
        <v/>
      </c>
      <c r="C8" s="1" t="str">
        <f aca="false">IFERROR(VLOOKUP(A8,'Pass 1 Archive'!$A:$AD,MATCH("LinkedIn Employee Count",'Pass 1 Archive'!$1:$1,0),FALSE()),"")</f>
        <v/>
      </c>
      <c r="D8" s="1" t="str">
        <f aca="false">IFERROR(VLOOKUP(A8,'Pass 2'!$A:$S,MATCH("Jan 2025 Traffic",'Pass 2'!$1:$1,0),FALSE()),"")</f>
        <v/>
      </c>
      <c r="E8" s="1" t="str">
        <f aca="false">IFERROR(VLOOKUP(A8,'Pass 2'!$A:$S,MATCH("Jun 2026 Traffic",'Pass 2'!$1:$1,0),FALSE()),"")</f>
        <v/>
      </c>
      <c r="F8" s="1" t="str">
        <f aca="false">IFERROR(VLOOKUP(A8,'Pass 2'!$A:$S,MATCH("Traffic % Change",'Pass 2'!$1:$1,0),FALSE()),"")</f>
        <v/>
      </c>
      <c r="G8" s="1" t="str">
        <f aca="false">IFERROR(VLOOKUP(A8,'Pass 2'!$A:$S,MATCH("Jan 2025 Referring Domains",'Pass 2'!$1:$1,0),FALSE()),"")</f>
        <v/>
      </c>
      <c r="H8" s="1" t="str">
        <f aca="false">IFERROR(VLOOKUP(A8,'Pass 2'!$A:$S,MATCH("Jun 2026 Referring Domains",'Pass 2'!$1:$1,0),FALSE()),"")</f>
        <v/>
      </c>
    </row>
    <row r="9" customFormat="false" ht="15" hidden="false" customHeight="true" outlineLevel="0" collapsed="false">
      <c r="B9" s="1" t="str">
        <f aca="false">IFERROR(VLOOKUP(A9,'Pass 2'!$A:$S,MATCH("Category",'Pass 2'!$1:$1,0),FALSE()),"")</f>
        <v/>
      </c>
      <c r="C9" s="1" t="str">
        <f aca="false">IFERROR(VLOOKUP(A9,'Pass 1 Archive'!$A:$AD,MATCH("LinkedIn Employee Count",'Pass 1 Archive'!$1:$1,0),FALSE()),"")</f>
        <v/>
      </c>
      <c r="D9" s="1" t="str">
        <f aca="false">IFERROR(VLOOKUP(A9,'Pass 2'!$A:$S,MATCH("Jan 2025 Traffic",'Pass 2'!$1:$1,0),FALSE()),"")</f>
        <v/>
      </c>
      <c r="E9" s="1" t="str">
        <f aca="false">IFERROR(VLOOKUP(A9,'Pass 2'!$A:$S,MATCH("Jun 2026 Traffic",'Pass 2'!$1:$1,0),FALSE()),"")</f>
        <v/>
      </c>
      <c r="F9" s="1" t="str">
        <f aca="false">IFERROR(VLOOKUP(A9,'Pass 2'!$A:$S,MATCH("Traffic % Change",'Pass 2'!$1:$1,0),FALSE()),"")</f>
        <v/>
      </c>
      <c r="G9" s="1" t="str">
        <f aca="false">IFERROR(VLOOKUP(A9,'Pass 2'!$A:$S,MATCH("Jan 2025 Referring Domains",'Pass 2'!$1:$1,0),FALSE()),"")</f>
        <v/>
      </c>
      <c r="H9" s="1" t="str">
        <f aca="false">IFERROR(VLOOKUP(A9,'Pass 2'!$A:$S,MATCH("Jun 2026 Referring Domains",'Pass 2'!$1:$1,0),FALSE()),"")</f>
        <v/>
      </c>
    </row>
    <row r="10" customFormat="false" ht="15" hidden="false" customHeight="true" outlineLevel="0" collapsed="false">
      <c r="B10" s="1" t="str">
        <f aca="false">IFERROR(VLOOKUP(A10,'Pass 2'!$A:$S,MATCH("Category",'Pass 2'!$1:$1,0),FALSE()),"")</f>
        <v/>
      </c>
      <c r="C10" s="1" t="str">
        <f aca="false">IFERROR(VLOOKUP(A10,'Pass 1 Archive'!$A:$AD,MATCH("LinkedIn Employee Count",'Pass 1 Archive'!$1:$1,0),FALSE()),"")</f>
        <v/>
      </c>
      <c r="D10" s="1" t="str">
        <f aca="false">IFERROR(VLOOKUP(A10,'Pass 2'!$A:$S,MATCH("Jan 2025 Traffic",'Pass 2'!$1:$1,0),FALSE()),"")</f>
        <v/>
      </c>
      <c r="E10" s="1" t="str">
        <f aca="false">IFERROR(VLOOKUP(A10,'Pass 2'!$A:$S,MATCH("Jun 2026 Traffic",'Pass 2'!$1:$1,0),FALSE()),"")</f>
        <v/>
      </c>
      <c r="F10" s="1" t="str">
        <f aca="false">IFERROR(VLOOKUP(A10,'Pass 2'!$A:$S,MATCH("Traffic % Change",'Pass 2'!$1:$1,0),FALSE()),"")</f>
        <v/>
      </c>
      <c r="G10" s="1" t="str">
        <f aca="false">IFERROR(VLOOKUP(A10,'Pass 2'!$A:$S,MATCH("Jan 2025 Referring Domains",'Pass 2'!$1:$1,0),FALSE()),"")</f>
        <v/>
      </c>
      <c r="H10" s="1" t="str">
        <f aca="false">IFERROR(VLOOKUP(A10,'Pass 2'!$A:$S,MATCH("Jun 2026 Referring Domains",'Pass 2'!$1:$1,0),FALSE()),"")</f>
        <v/>
      </c>
    </row>
    <row r="11" customFormat="false" ht="15" hidden="false" customHeight="true" outlineLevel="0" collapsed="false">
      <c r="B11" s="1" t="str">
        <f aca="false">IFERROR(VLOOKUP(A11,'Pass 2'!$A:$S,MATCH("Category",'Pass 2'!$1:$1,0),FALSE()),"")</f>
        <v/>
      </c>
      <c r="C11" s="1" t="str">
        <f aca="false">IFERROR(VLOOKUP(A11,'Pass 1 Archive'!$A:$AD,MATCH("LinkedIn Employee Count",'Pass 1 Archive'!$1:$1,0),FALSE()),"")</f>
        <v/>
      </c>
      <c r="D11" s="1" t="str">
        <f aca="false">IFERROR(VLOOKUP(A11,'Pass 2'!$A:$S,MATCH("Jan 2025 Traffic",'Pass 2'!$1:$1,0),FALSE()),"")</f>
        <v/>
      </c>
      <c r="E11" s="1" t="str">
        <f aca="false">IFERROR(VLOOKUP(A11,'Pass 2'!$A:$S,MATCH("Jun 2026 Traffic",'Pass 2'!$1:$1,0),FALSE()),"")</f>
        <v/>
      </c>
      <c r="F11" s="1" t="str">
        <f aca="false">IFERROR(VLOOKUP(A11,'Pass 2'!$A:$S,MATCH("Traffic % Change",'Pass 2'!$1:$1,0),FALSE()),"")</f>
        <v/>
      </c>
      <c r="G11" s="1" t="str">
        <f aca="false">IFERROR(VLOOKUP(A11,'Pass 2'!$A:$S,MATCH("Jan 2025 Referring Domains",'Pass 2'!$1:$1,0),FALSE()),"")</f>
        <v/>
      </c>
      <c r="H11" s="1" t="str">
        <f aca="false">IFERROR(VLOOKUP(A11,'Pass 2'!$A:$S,MATCH("Jun 2026 Referring Domains",'Pass 2'!$1:$1,0),FALSE()),"")</f>
        <v/>
      </c>
    </row>
    <row r="12" customFormat="false" ht="15" hidden="false" customHeight="true" outlineLevel="0" collapsed="false">
      <c r="B12" s="1" t="str">
        <f aca="false">IFERROR(VLOOKUP(A12,'Pass 2'!$A:$S,MATCH("Category",'Pass 2'!$1:$1,0),FALSE()),"")</f>
        <v/>
      </c>
      <c r="C12" s="1" t="str">
        <f aca="false">IFERROR(VLOOKUP(A12,'Pass 1 Archive'!$A:$AD,MATCH("LinkedIn Employee Count",'Pass 1 Archive'!$1:$1,0),FALSE()),"")</f>
        <v/>
      </c>
      <c r="D12" s="1" t="str">
        <f aca="false">IFERROR(VLOOKUP(A12,'Pass 2'!$A:$S,MATCH("Jan 2025 Traffic",'Pass 2'!$1:$1,0),FALSE()),"")</f>
        <v/>
      </c>
      <c r="E12" s="1" t="str">
        <f aca="false">IFERROR(VLOOKUP(A12,'Pass 2'!$A:$S,MATCH("Jun 2026 Traffic",'Pass 2'!$1:$1,0),FALSE()),"")</f>
        <v/>
      </c>
      <c r="F12" s="1" t="str">
        <f aca="false">IFERROR(VLOOKUP(A12,'Pass 2'!$A:$S,MATCH("Traffic % Change",'Pass 2'!$1:$1,0),FALSE()),"")</f>
        <v/>
      </c>
      <c r="G12" s="1" t="str">
        <f aca="false">IFERROR(VLOOKUP(A12,'Pass 2'!$A:$S,MATCH("Jan 2025 Referring Domains",'Pass 2'!$1:$1,0),FALSE()),"")</f>
        <v/>
      </c>
      <c r="H12" s="1" t="str">
        <f aca="false">IFERROR(VLOOKUP(A12,'Pass 2'!$A:$S,MATCH("Jun 2026 Referring Domains",'Pass 2'!$1:$1,0),FALSE()),"")</f>
        <v/>
      </c>
    </row>
    <row r="13" customFormat="false" ht="15" hidden="false" customHeight="true" outlineLevel="0" collapsed="false">
      <c r="B13" s="1" t="str">
        <f aca="false">IFERROR(VLOOKUP(A13,'Pass 2'!$A:$S,MATCH("Category",'Pass 2'!$1:$1,0),FALSE()),"")</f>
        <v/>
      </c>
      <c r="C13" s="1" t="str">
        <f aca="false">IFERROR(VLOOKUP(A13,'Pass 1 Archive'!$A:$AD,MATCH("LinkedIn Employee Count",'Pass 1 Archive'!$1:$1,0),FALSE()),"")</f>
        <v/>
      </c>
      <c r="D13" s="1" t="str">
        <f aca="false">IFERROR(VLOOKUP(A13,'Pass 2'!$A:$S,MATCH("Jan 2025 Traffic",'Pass 2'!$1:$1,0),FALSE()),"")</f>
        <v/>
      </c>
      <c r="E13" s="1" t="str">
        <f aca="false">IFERROR(VLOOKUP(A13,'Pass 2'!$A:$S,MATCH("Jun 2026 Traffic",'Pass 2'!$1:$1,0),FALSE()),"")</f>
        <v/>
      </c>
      <c r="F13" s="1" t="str">
        <f aca="false">IFERROR(VLOOKUP(A13,'Pass 2'!$A:$S,MATCH("Traffic % Change",'Pass 2'!$1:$1,0),FALSE()),"")</f>
        <v/>
      </c>
      <c r="G13" s="1" t="str">
        <f aca="false">IFERROR(VLOOKUP(A13,'Pass 2'!$A:$S,MATCH("Jan 2025 Referring Domains",'Pass 2'!$1:$1,0),FALSE()),"")</f>
        <v/>
      </c>
      <c r="H13" s="1" t="str">
        <f aca="false">IFERROR(VLOOKUP(A13,'Pass 2'!$A:$S,MATCH("Jun 2026 Referring Domains",'Pass 2'!$1:$1,0),FALSE()),"")</f>
        <v/>
      </c>
    </row>
    <row r="14" customFormat="false" ht="15" hidden="false" customHeight="true" outlineLevel="0" collapsed="false">
      <c r="B14" s="1" t="str">
        <f aca="false">IFERROR(VLOOKUP(A14,'Pass 2'!$A:$S,MATCH("Category",'Pass 2'!$1:$1,0),FALSE()),"")</f>
        <v/>
      </c>
      <c r="C14" s="1" t="str">
        <f aca="false">IFERROR(VLOOKUP(A14,'Pass 1 Archive'!$A:$AD,MATCH("LinkedIn Employee Count",'Pass 1 Archive'!$1:$1,0),FALSE()),"")</f>
        <v/>
      </c>
      <c r="D14" s="1" t="str">
        <f aca="false">IFERROR(VLOOKUP(A14,'Pass 2'!$A:$S,MATCH("Jan 2025 Traffic",'Pass 2'!$1:$1,0),FALSE()),"")</f>
        <v/>
      </c>
      <c r="E14" s="1" t="str">
        <f aca="false">IFERROR(VLOOKUP(A14,'Pass 2'!$A:$S,MATCH("Jun 2026 Traffic",'Pass 2'!$1:$1,0),FALSE()),"")</f>
        <v/>
      </c>
      <c r="F14" s="1" t="str">
        <f aca="false">IFERROR(VLOOKUP(A14,'Pass 2'!$A:$S,MATCH("Traffic % Change",'Pass 2'!$1:$1,0),FALSE()),"")</f>
        <v/>
      </c>
      <c r="G14" s="1" t="str">
        <f aca="false">IFERROR(VLOOKUP(A14,'Pass 2'!$A:$S,MATCH("Jan 2025 Referring Domains",'Pass 2'!$1:$1,0),FALSE()),"")</f>
        <v/>
      </c>
      <c r="H14" s="1" t="str">
        <f aca="false">IFERROR(VLOOKUP(A14,'Pass 2'!$A:$S,MATCH("Jun 2026 Referring Domains",'Pass 2'!$1:$1,0),FALSE()),"")</f>
        <v/>
      </c>
    </row>
    <row r="15" customFormat="false" ht="15" hidden="false" customHeight="true" outlineLevel="0" collapsed="false">
      <c r="B15" s="1" t="str">
        <f aca="false">IFERROR(VLOOKUP(A15,'Pass 2'!$A:$S,MATCH("Category",'Pass 2'!$1:$1,0),FALSE()),"")</f>
        <v/>
      </c>
      <c r="C15" s="1" t="str">
        <f aca="false">IFERROR(VLOOKUP(A15,'Pass 1 Archive'!$A:$AD,MATCH("LinkedIn Employee Count",'Pass 1 Archive'!$1:$1,0),FALSE()),"")</f>
        <v/>
      </c>
      <c r="D15" s="1" t="str">
        <f aca="false">IFERROR(VLOOKUP(A15,'Pass 2'!$A:$S,MATCH("Jan 2025 Traffic",'Pass 2'!$1:$1,0),FALSE()),"")</f>
        <v/>
      </c>
      <c r="E15" s="1" t="str">
        <f aca="false">IFERROR(VLOOKUP(A15,'Pass 2'!$A:$S,MATCH("Jun 2026 Traffic",'Pass 2'!$1:$1,0),FALSE()),"")</f>
        <v/>
      </c>
      <c r="F15" s="1" t="str">
        <f aca="false">IFERROR(VLOOKUP(A15,'Pass 2'!$A:$S,MATCH("Traffic % Change",'Pass 2'!$1:$1,0),FALSE()),"")</f>
        <v/>
      </c>
      <c r="G15" s="1" t="str">
        <f aca="false">IFERROR(VLOOKUP(A15,'Pass 2'!$A:$S,MATCH("Jan 2025 Referring Domains",'Pass 2'!$1:$1,0),FALSE()),"")</f>
        <v/>
      </c>
      <c r="H15" s="1" t="str">
        <f aca="false">IFERROR(VLOOKUP(A15,'Pass 2'!$A:$S,MATCH("Jun 2026 Referring Domains",'Pass 2'!$1:$1,0),FALSE()),"")</f>
        <v/>
      </c>
    </row>
    <row r="16" customFormat="false" ht="15" hidden="false" customHeight="true" outlineLevel="0" collapsed="false">
      <c r="B16" s="1" t="str">
        <f aca="false">IFERROR(VLOOKUP(A16,'Pass 2'!$A:$S,MATCH("Category",'Pass 2'!$1:$1,0),FALSE()),"")</f>
        <v/>
      </c>
      <c r="C16" s="1" t="str">
        <f aca="false">IFERROR(VLOOKUP(A16,'Pass 1 Archive'!$A:$AD,MATCH("LinkedIn Employee Count",'Pass 1 Archive'!$1:$1,0),FALSE()),"")</f>
        <v/>
      </c>
      <c r="D16" s="1" t="str">
        <f aca="false">IFERROR(VLOOKUP(A16,'Pass 2'!$A:$S,MATCH("Jan 2025 Traffic",'Pass 2'!$1:$1,0),FALSE()),"")</f>
        <v/>
      </c>
      <c r="E16" s="1" t="str">
        <f aca="false">IFERROR(VLOOKUP(A16,'Pass 2'!$A:$S,MATCH("Jun 2026 Traffic",'Pass 2'!$1:$1,0),FALSE()),"")</f>
        <v/>
      </c>
      <c r="F16" s="1" t="str">
        <f aca="false">IFERROR(VLOOKUP(A16,'Pass 2'!$A:$S,MATCH("Traffic % Change",'Pass 2'!$1:$1,0),FALSE()),"")</f>
        <v/>
      </c>
      <c r="G16" s="1" t="str">
        <f aca="false">IFERROR(VLOOKUP(A16,'Pass 2'!$A:$S,MATCH("Jan 2025 Referring Domains",'Pass 2'!$1:$1,0),FALSE()),"")</f>
        <v/>
      </c>
      <c r="H16" s="1" t="str">
        <f aca="false">IFERROR(VLOOKUP(A16,'Pass 2'!$A:$S,MATCH("Jun 2026 Referring Domains",'Pass 2'!$1:$1,0),FALSE()),"")</f>
        <v/>
      </c>
    </row>
    <row r="17" customFormat="false" ht="15" hidden="false" customHeight="true" outlineLevel="0" collapsed="false">
      <c r="B17" s="1" t="str">
        <f aca="false">IFERROR(VLOOKUP(A17,'Pass 2'!$A:$S,MATCH("Category",'Pass 2'!$1:$1,0),FALSE()),"")</f>
        <v/>
      </c>
      <c r="C17" s="1" t="str">
        <f aca="false">IFERROR(VLOOKUP(A17,'Pass 1 Archive'!$A:$AD,MATCH("LinkedIn Employee Count",'Pass 1 Archive'!$1:$1,0),FALSE()),"")</f>
        <v/>
      </c>
      <c r="D17" s="1" t="str">
        <f aca="false">IFERROR(VLOOKUP(A17,'Pass 2'!$A:$S,MATCH("Jan 2025 Traffic",'Pass 2'!$1:$1,0),FALSE()),"")</f>
        <v/>
      </c>
      <c r="E17" s="1" t="str">
        <f aca="false">IFERROR(VLOOKUP(A17,'Pass 2'!$A:$S,MATCH("Jun 2026 Traffic",'Pass 2'!$1:$1,0),FALSE()),"")</f>
        <v/>
      </c>
      <c r="F17" s="1" t="str">
        <f aca="false">IFERROR(VLOOKUP(A17,'Pass 2'!$A:$S,MATCH("Traffic % Change",'Pass 2'!$1:$1,0),FALSE()),"")</f>
        <v/>
      </c>
      <c r="G17" s="1" t="str">
        <f aca="false">IFERROR(VLOOKUP(A17,'Pass 2'!$A:$S,MATCH("Jan 2025 Referring Domains",'Pass 2'!$1:$1,0),FALSE()),"")</f>
        <v/>
      </c>
      <c r="H17" s="1" t="str">
        <f aca="false">IFERROR(VLOOKUP(A17,'Pass 2'!$A:$S,MATCH("Jun 2026 Referring Domains",'Pass 2'!$1:$1,0),FALSE()),"")</f>
        <v/>
      </c>
    </row>
    <row r="18" customFormat="false" ht="15" hidden="false" customHeight="true" outlineLevel="0" collapsed="false">
      <c r="B18" s="1" t="str">
        <f aca="false">IFERROR(VLOOKUP(A18,'Pass 2'!$A:$S,MATCH("Category",'Pass 2'!$1:$1,0),FALSE()),"")</f>
        <v/>
      </c>
      <c r="C18" s="1" t="str">
        <f aca="false">IFERROR(VLOOKUP(A18,'Pass 1 Archive'!$A:$AD,MATCH("LinkedIn Employee Count",'Pass 1 Archive'!$1:$1,0),FALSE()),"")</f>
        <v/>
      </c>
      <c r="D18" s="1" t="str">
        <f aca="false">IFERROR(VLOOKUP(A18,'Pass 2'!$A:$S,MATCH("Jan 2025 Traffic",'Pass 2'!$1:$1,0),FALSE()),"")</f>
        <v/>
      </c>
      <c r="E18" s="1" t="str">
        <f aca="false">IFERROR(VLOOKUP(A18,'Pass 2'!$A:$S,MATCH("Jun 2026 Traffic",'Pass 2'!$1:$1,0),FALSE()),"")</f>
        <v/>
      </c>
      <c r="F18" s="1" t="str">
        <f aca="false">IFERROR(VLOOKUP(A18,'Pass 2'!$A:$S,MATCH("Traffic % Change",'Pass 2'!$1:$1,0),FALSE()),"")</f>
        <v/>
      </c>
      <c r="G18" s="1" t="str">
        <f aca="false">IFERROR(VLOOKUP(A18,'Pass 2'!$A:$S,MATCH("Jan 2025 Referring Domains",'Pass 2'!$1:$1,0),FALSE()),"")</f>
        <v/>
      </c>
      <c r="H18" s="1" t="str">
        <f aca="false">IFERROR(VLOOKUP(A18,'Pass 2'!$A:$S,MATCH("Jun 2026 Referring Domains",'Pass 2'!$1:$1,0),FALSE()),"")</f>
        <v/>
      </c>
    </row>
    <row r="19" customFormat="false" ht="15" hidden="false" customHeight="true" outlineLevel="0" collapsed="false">
      <c r="B19" s="1" t="str">
        <f aca="false">IFERROR(VLOOKUP(A19,'Pass 2'!$A:$S,MATCH("Category",'Pass 2'!$1:$1,0),FALSE()),"")</f>
        <v/>
      </c>
      <c r="C19" s="1" t="str">
        <f aca="false">IFERROR(VLOOKUP(A19,'Pass 1 Archive'!$A:$AD,MATCH("LinkedIn Employee Count",'Pass 1 Archive'!$1:$1,0),FALSE()),"")</f>
        <v/>
      </c>
      <c r="D19" s="1" t="str">
        <f aca="false">IFERROR(VLOOKUP(A19,'Pass 2'!$A:$S,MATCH("Jan 2025 Traffic",'Pass 2'!$1:$1,0),FALSE()),"")</f>
        <v/>
      </c>
      <c r="E19" s="1" t="str">
        <f aca="false">IFERROR(VLOOKUP(A19,'Pass 2'!$A:$S,MATCH("Jun 2026 Traffic",'Pass 2'!$1:$1,0),FALSE()),"")</f>
        <v/>
      </c>
      <c r="F19" s="1" t="str">
        <f aca="false">IFERROR(VLOOKUP(A19,'Pass 2'!$A:$S,MATCH("Traffic % Change",'Pass 2'!$1:$1,0),FALSE()),"")</f>
        <v/>
      </c>
      <c r="G19" s="1" t="str">
        <f aca="false">IFERROR(VLOOKUP(A19,'Pass 2'!$A:$S,MATCH("Jan 2025 Referring Domains",'Pass 2'!$1:$1,0),FALSE()),"")</f>
        <v/>
      </c>
      <c r="H19" s="1" t="str">
        <f aca="false">IFERROR(VLOOKUP(A19,'Pass 2'!$A:$S,MATCH("Jun 2026 Referring Domains",'Pass 2'!$1:$1,0),FALSE()),"")</f>
        <v/>
      </c>
    </row>
    <row r="20" customFormat="false" ht="15" hidden="false" customHeight="true" outlineLevel="0" collapsed="false">
      <c r="B20" s="1" t="str">
        <f aca="false">IFERROR(VLOOKUP(A20,'Pass 2'!$A:$S,MATCH("Category",'Pass 2'!$1:$1,0),FALSE()),"")</f>
        <v/>
      </c>
      <c r="C20" s="1" t="str">
        <f aca="false">IFERROR(VLOOKUP(A20,'Pass 1 Archive'!$A:$AD,MATCH("LinkedIn Employee Count",'Pass 1 Archive'!$1:$1,0),FALSE()),"")</f>
        <v/>
      </c>
      <c r="D20" s="1" t="str">
        <f aca="false">IFERROR(VLOOKUP(A20,'Pass 2'!$A:$S,MATCH("Jan 2025 Traffic",'Pass 2'!$1:$1,0),FALSE()),"")</f>
        <v/>
      </c>
      <c r="E20" s="1" t="str">
        <f aca="false">IFERROR(VLOOKUP(A20,'Pass 2'!$A:$S,MATCH("Jun 2026 Traffic",'Pass 2'!$1:$1,0),FALSE()),"")</f>
        <v/>
      </c>
      <c r="F20" s="1" t="str">
        <f aca="false">IFERROR(VLOOKUP(A20,'Pass 2'!$A:$S,MATCH("Traffic % Change",'Pass 2'!$1:$1,0),FALSE()),"")</f>
        <v/>
      </c>
      <c r="G20" s="1" t="str">
        <f aca="false">IFERROR(VLOOKUP(A20,'Pass 2'!$A:$S,MATCH("Jan 2025 Referring Domains",'Pass 2'!$1:$1,0),FALSE()),"")</f>
        <v/>
      </c>
      <c r="H20" s="1" t="str">
        <f aca="false">IFERROR(VLOOKUP(A20,'Pass 2'!$A:$S,MATCH("Jun 2026 Referring Domains",'Pass 2'!$1:$1,0),FALSE()),"")</f>
        <v/>
      </c>
    </row>
    <row r="21" customFormat="false" ht="15" hidden="false" customHeight="true" outlineLevel="0" collapsed="false">
      <c r="B21" s="1" t="str">
        <f aca="false">IFERROR(VLOOKUP(A21,'Pass 2'!$A:$S,MATCH("Category",'Pass 2'!$1:$1,0),FALSE()),"")</f>
        <v/>
      </c>
      <c r="C21" s="1" t="str">
        <f aca="false">IFERROR(VLOOKUP(A21,'Pass 1 Archive'!$A:$AD,MATCH("LinkedIn Employee Count",'Pass 1 Archive'!$1:$1,0),FALSE()),"")</f>
        <v/>
      </c>
      <c r="D21" s="1" t="str">
        <f aca="false">IFERROR(VLOOKUP(A21,'Pass 2'!$A:$S,MATCH("Jan 2025 Traffic",'Pass 2'!$1:$1,0),FALSE()),"")</f>
        <v/>
      </c>
      <c r="E21" s="1" t="str">
        <f aca="false">IFERROR(VLOOKUP(A21,'Pass 2'!$A:$S,MATCH("Jun 2026 Traffic",'Pass 2'!$1:$1,0),FALSE()),"")</f>
        <v/>
      </c>
      <c r="F21" s="1" t="str">
        <f aca="false">IFERROR(VLOOKUP(A21,'Pass 2'!$A:$S,MATCH("Traffic % Change",'Pass 2'!$1:$1,0),FALSE()),"")</f>
        <v/>
      </c>
      <c r="G21" s="1" t="str">
        <f aca="false">IFERROR(VLOOKUP(A21,'Pass 2'!$A:$S,MATCH("Jan 2025 Referring Domains",'Pass 2'!$1:$1,0),FALSE()),"")</f>
        <v/>
      </c>
      <c r="H21" s="1" t="str">
        <f aca="false">IFERROR(VLOOKUP(A21,'Pass 2'!$A:$S,MATCH("Jun 2026 Referring Domains",'Pass 2'!$1:$1,0),FALSE()),"")</f>
        <v/>
      </c>
    </row>
    <row r="22" customFormat="false" ht="15" hidden="false" customHeight="true" outlineLevel="0" collapsed="false">
      <c r="B22" s="1" t="str">
        <f aca="false">IFERROR(VLOOKUP(A22,'Pass 2'!$A:$S,MATCH("Category",'Pass 2'!$1:$1,0),FALSE()),"")</f>
        <v/>
      </c>
      <c r="C22" s="1" t="str">
        <f aca="false">IFERROR(VLOOKUP(A22,'Pass 1 Archive'!$A:$AD,MATCH("LinkedIn Employee Count",'Pass 1 Archive'!$1:$1,0),FALSE()),"")</f>
        <v/>
      </c>
      <c r="D22" s="1" t="str">
        <f aca="false">IFERROR(VLOOKUP(A22,'Pass 2'!$A:$S,MATCH("Jan 2025 Traffic",'Pass 2'!$1:$1,0),FALSE()),"")</f>
        <v/>
      </c>
      <c r="E22" s="1" t="str">
        <f aca="false">IFERROR(VLOOKUP(A22,'Pass 2'!$A:$S,MATCH("Jun 2026 Traffic",'Pass 2'!$1:$1,0),FALSE()),"")</f>
        <v/>
      </c>
      <c r="F22" s="1" t="str">
        <f aca="false">IFERROR(VLOOKUP(A22,'Pass 2'!$A:$S,MATCH("Traffic % Change",'Pass 2'!$1:$1,0),FALSE()),"")</f>
        <v/>
      </c>
      <c r="G22" s="1" t="str">
        <f aca="false">IFERROR(VLOOKUP(A22,'Pass 2'!$A:$S,MATCH("Jan 2025 Referring Domains",'Pass 2'!$1:$1,0),FALSE()),"")</f>
        <v/>
      </c>
      <c r="H22" s="1" t="str">
        <f aca="false">IFERROR(VLOOKUP(A22,'Pass 2'!$A:$S,MATCH("Jun 2026 Referring Domains",'Pass 2'!$1:$1,0),FALSE()),"")</f>
        <v/>
      </c>
    </row>
    <row r="23" customFormat="false" ht="15" hidden="false" customHeight="true" outlineLevel="0" collapsed="false">
      <c r="B23" s="1" t="str">
        <f aca="false">IFERROR(VLOOKUP(A23,'Pass 2'!$A:$S,MATCH("Category",'Pass 2'!$1:$1,0),FALSE()),"")</f>
        <v/>
      </c>
      <c r="C23" s="1" t="str">
        <f aca="false">IFERROR(VLOOKUP(A23,'Pass 1 Archive'!$A:$AD,MATCH("LinkedIn Employee Count",'Pass 1 Archive'!$1:$1,0),FALSE()),"")</f>
        <v/>
      </c>
      <c r="D23" s="1" t="str">
        <f aca="false">IFERROR(VLOOKUP(A23,'Pass 2'!$A:$S,MATCH("Jan 2025 Traffic",'Pass 2'!$1:$1,0),FALSE()),"")</f>
        <v/>
      </c>
      <c r="E23" s="1" t="str">
        <f aca="false">IFERROR(VLOOKUP(A23,'Pass 2'!$A:$S,MATCH("Jun 2026 Traffic",'Pass 2'!$1:$1,0),FALSE()),"")</f>
        <v/>
      </c>
      <c r="F23" s="1" t="str">
        <f aca="false">IFERROR(VLOOKUP(A23,'Pass 2'!$A:$S,MATCH("Traffic % Change",'Pass 2'!$1:$1,0),FALSE()),"")</f>
        <v/>
      </c>
      <c r="G23" s="1" t="str">
        <f aca="false">IFERROR(VLOOKUP(A23,'Pass 2'!$A:$S,MATCH("Jan 2025 Referring Domains",'Pass 2'!$1:$1,0),FALSE()),"")</f>
        <v/>
      </c>
      <c r="H23" s="1" t="str">
        <f aca="false">IFERROR(VLOOKUP(A23,'Pass 2'!$A:$S,MATCH("Jun 2026 Referring Domains",'Pass 2'!$1:$1,0),FALSE()),"")</f>
        <v/>
      </c>
    </row>
    <row r="24" customFormat="false" ht="15" hidden="false" customHeight="true" outlineLevel="0" collapsed="false">
      <c r="B24" s="1" t="str">
        <f aca="false">IFERROR(VLOOKUP(A24,'Pass 2'!$A:$S,MATCH("Category",'Pass 2'!$1:$1,0),FALSE()),"")</f>
        <v/>
      </c>
      <c r="C24" s="1" t="str">
        <f aca="false">IFERROR(VLOOKUP(A24,'Pass 1 Archive'!$A:$AD,MATCH("LinkedIn Employee Count",'Pass 1 Archive'!$1:$1,0),FALSE()),"")</f>
        <v/>
      </c>
      <c r="D24" s="1" t="str">
        <f aca="false">IFERROR(VLOOKUP(A24,'Pass 2'!$A:$S,MATCH("Jan 2025 Traffic",'Pass 2'!$1:$1,0),FALSE()),"")</f>
        <v/>
      </c>
      <c r="E24" s="1" t="str">
        <f aca="false">IFERROR(VLOOKUP(A24,'Pass 2'!$A:$S,MATCH("Jun 2026 Traffic",'Pass 2'!$1:$1,0),FALSE()),"")</f>
        <v/>
      </c>
      <c r="F24" s="1" t="str">
        <f aca="false">IFERROR(VLOOKUP(A24,'Pass 2'!$A:$S,MATCH("Traffic % Change",'Pass 2'!$1:$1,0),FALSE()),"")</f>
        <v/>
      </c>
      <c r="G24" s="1" t="str">
        <f aca="false">IFERROR(VLOOKUP(A24,'Pass 2'!$A:$S,MATCH("Jan 2025 Referring Domains",'Pass 2'!$1:$1,0),FALSE()),"")</f>
        <v/>
      </c>
      <c r="H24" s="1" t="str">
        <f aca="false">IFERROR(VLOOKUP(A24,'Pass 2'!$A:$S,MATCH("Jun 2026 Referring Domains",'Pass 2'!$1:$1,0),FALSE()),"")</f>
        <v/>
      </c>
    </row>
    <row r="25" customFormat="false" ht="15" hidden="false" customHeight="true" outlineLevel="0" collapsed="false">
      <c r="B25" s="1" t="str">
        <f aca="false">IFERROR(VLOOKUP(A25,'Pass 2'!$A:$S,MATCH("Category",'Pass 2'!$1:$1,0),FALSE()),"")</f>
        <v/>
      </c>
      <c r="C25" s="1" t="str">
        <f aca="false">IFERROR(VLOOKUP(A25,'Pass 1 Archive'!$A:$AD,MATCH("LinkedIn Employee Count",'Pass 1 Archive'!$1:$1,0),FALSE()),"")</f>
        <v/>
      </c>
      <c r="D25" s="1" t="str">
        <f aca="false">IFERROR(VLOOKUP(A25,'Pass 2'!$A:$S,MATCH("Jan 2025 Traffic",'Pass 2'!$1:$1,0),FALSE()),"")</f>
        <v/>
      </c>
      <c r="E25" s="1" t="str">
        <f aca="false">IFERROR(VLOOKUP(A25,'Pass 2'!$A:$S,MATCH("Jun 2026 Traffic",'Pass 2'!$1:$1,0),FALSE()),"")</f>
        <v/>
      </c>
      <c r="F25" s="1" t="str">
        <f aca="false">IFERROR(VLOOKUP(A25,'Pass 2'!$A:$S,MATCH("Traffic % Change",'Pass 2'!$1:$1,0),FALSE()),"")</f>
        <v/>
      </c>
      <c r="G25" s="1" t="str">
        <f aca="false">IFERROR(VLOOKUP(A25,'Pass 2'!$A:$S,MATCH("Jan 2025 Referring Domains",'Pass 2'!$1:$1,0),FALSE()),"")</f>
        <v/>
      </c>
      <c r="H25" s="1" t="str">
        <f aca="false">IFERROR(VLOOKUP(A25,'Pass 2'!$A:$S,MATCH("Jun 2026 Referring Domains",'Pass 2'!$1:$1,0),FALSE()),"")</f>
        <v/>
      </c>
    </row>
    <row r="26" customFormat="false" ht="15" hidden="false" customHeight="true" outlineLevel="0" collapsed="false">
      <c r="B26" s="1" t="str">
        <f aca="false">IFERROR(VLOOKUP(A26,'Pass 2'!$A:$S,MATCH("Category",'Pass 2'!$1:$1,0),FALSE()),"")</f>
        <v/>
      </c>
      <c r="C26" s="1" t="str">
        <f aca="false">IFERROR(VLOOKUP(A26,'Pass 1 Archive'!$A:$AD,MATCH("LinkedIn Employee Count",'Pass 1 Archive'!$1:$1,0),FALSE()),"")</f>
        <v/>
      </c>
      <c r="D26" s="1" t="str">
        <f aca="false">IFERROR(VLOOKUP(A26,'Pass 2'!$A:$S,MATCH("Jan 2025 Traffic",'Pass 2'!$1:$1,0),FALSE()),"")</f>
        <v/>
      </c>
      <c r="E26" s="1" t="str">
        <f aca="false">IFERROR(VLOOKUP(A26,'Pass 2'!$A:$S,MATCH("Jun 2026 Traffic",'Pass 2'!$1:$1,0),FALSE()),"")</f>
        <v/>
      </c>
      <c r="F26" s="1" t="str">
        <f aca="false">IFERROR(VLOOKUP(A26,'Pass 2'!$A:$S,MATCH("Traffic % Change",'Pass 2'!$1:$1,0),FALSE()),"")</f>
        <v/>
      </c>
      <c r="G26" s="1" t="str">
        <f aca="false">IFERROR(VLOOKUP(A26,'Pass 2'!$A:$S,MATCH("Jan 2025 Referring Domains",'Pass 2'!$1:$1,0),FALSE()),"")</f>
        <v/>
      </c>
      <c r="H26" s="1" t="str">
        <f aca="false">IFERROR(VLOOKUP(A26,'Pass 2'!$A:$S,MATCH("Jun 2026 Referring Domains",'Pass 2'!$1:$1,0),FALSE()),"")</f>
        <v/>
      </c>
    </row>
    <row r="27" customFormat="false" ht="15" hidden="false" customHeight="true" outlineLevel="0" collapsed="false">
      <c r="B27" s="1" t="str">
        <f aca="false">IFERROR(VLOOKUP(A27,'Pass 2'!$A:$S,MATCH("Category",'Pass 2'!$1:$1,0),FALSE()),"")</f>
        <v/>
      </c>
      <c r="C27" s="1" t="str">
        <f aca="false">IFERROR(VLOOKUP(A27,'Pass 1 Archive'!$A:$AD,MATCH("LinkedIn Employee Count",'Pass 1 Archive'!$1:$1,0),FALSE()),"")</f>
        <v/>
      </c>
      <c r="D27" s="1" t="str">
        <f aca="false">IFERROR(VLOOKUP(A27,'Pass 2'!$A:$S,MATCH("Jan 2025 Traffic",'Pass 2'!$1:$1,0),FALSE()),"")</f>
        <v/>
      </c>
      <c r="E27" s="1" t="str">
        <f aca="false">IFERROR(VLOOKUP(A27,'Pass 2'!$A:$S,MATCH("Jun 2026 Traffic",'Pass 2'!$1:$1,0),FALSE()),"")</f>
        <v/>
      </c>
      <c r="F27" s="1" t="str">
        <f aca="false">IFERROR(VLOOKUP(A27,'Pass 2'!$A:$S,MATCH("Traffic % Change",'Pass 2'!$1:$1,0),FALSE()),"")</f>
        <v/>
      </c>
      <c r="G27" s="1" t="str">
        <f aca="false">IFERROR(VLOOKUP(A27,'Pass 2'!$A:$S,MATCH("Jan 2025 Referring Domains",'Pass 2'!$1:$1,0),FALSE()),"")</f>
        <v/>
      </c>
      <c r="H27" s="1" t="str">
        <f aca="false">IFERROR(VLOOKUP(A27,'Pass 2'!$A:$S,MATCH("Jun 2026 Referring Domains",'Pass 2'!$1:$1,0),FALSE()),"")</f>
        <v/>
      </c>
    </row>
    <row r="28" customFormat="false" ht="15" hidden="false" customHeight="true" outlineLevel="0" collapsed="false">
      <c r="B28" s="1" t="str">
        <f aca="false">IFERROR(VLOOKUP(A28,'Pass 2'!$A:$S,MATCH("Category",'Pass 2'!$1:$1,0),FALSE()),"")</f>
        <v/>
      </c>
      <c r="C28" s="1" t="str">
        <f aca="false">IFERROR(VLOOKUP(A28,'Pass 1 Archive'!$A:$AD,MATCH("LinkedIn Employee Count",'Pass 1 Archive'!$1:$1,0),FALSE()),"")</f>
        <v/>
      </c>
      <c r="D28" s="1" t="str">
        <f aca="false">IFERROR(VLOOKUP(A28,'Pass 2'!$A:$S,MATCH("Jan 2025 Traffic",'Pass 2'!$1:$1,0),FALSE()),"")</f>
        <v/>
      </c>
      <c r="E28" s="1" t="str">
        <f aca="false">IFERROR(VLOOKUP(A28,'Pass 2'!$A:$S,MATCH("Jun 2026 Traffic",'Pass 2'!$1:$1,0),FALSE()),"")</f>
        <v/>
      </c>
      <c r="F28" s="1" t="str">
        <f aca="false">IFERROR(VLOOKUP(A28,'Pass 2'!$A:$S,MATCH("Traffic % Change",'Pass 2'!$1:$1,0),FALSE()),"")</f>
        <v/>
      </c>
      <c r="G28" s="1" t="str">
        <f aca="false">IFERROR(VLOOKUP(A28,'Pass 2'!$A:$S,MATCH("Jan 2025 Referring Domains",'Pass 2'!$1:$1,0),FALSE()),"")</f>
        <v/>
      </c>
      <c r="H28" s="1" t="str">
        <f aca="false">IFERROR(VLOOKUP(A28,'Pass 2'!$A:$S,MATCH("Jun 2026 Referring Domains",'Pass 2'!$1:$1,0),FALSE()),"")</f>
        <v/>
      </c>
    </row>
    <row r="29" customFormat="false" ht="15" hidden="false" customHeight="true" outlineLevel="0" collapsed="false">
      <c r="B29" s="1" t="str">
        <f aca="false">IFERROR(VLOOKUP(A29,'Pass 2'!$A:$S,MATCH("Category",'Pass 2'!$1:$1,0),FALSE()),"")</f>
        <v/>
      </c>
      <c r="C29" s="1" t="str">
        <f aca="false">IFERROR(VLOOKUP(A29,'Pass 1 Archive'!$A:$AD,MATCH("LinkedIn Employee Count",'Pass 1 Archive'!$1:$1,0),FALSE()),"")</f>
        <v/>
      </c>
      <c r="D29" s="1" t="str">
        <f aca="false">IFERROR(VLOOKUP(A29,'Pass 2'!$A:$S,MATCH("Jan 2025 Traffic",'Pass 2'!$1:$1,0),FALSE()),"")</f>
        <v/>
      </c>
      <c r="E29" s="1" t="str">
        <f aca="false">IFERROR(VLOOKUP(A29,'Pass 2'!$A:$S,MATCH("Jun 2026 Traffic",'Pass 2'!$1:$1,0),FALSE()),"")</f>
        <v/>
      </c>
      <c r="F29" s="1" t="str">
        <f aca="false">IFERROR(VLOOKUP(A29,'Pass 2'!$A:$S,MATCH("Traffic % Change",'Pass 2'!$1:$1,0),FALSE()),"")</f>
        <v/>
      </c>
      <c r="G29" s="1" t="str">
        <f aca="false">IFERROR(VLOOKUP(A29,'Pass 2'!$A:$S,MATCH("Jan 2025 Referring Domains",'Pass 2'!$1:$1,0),FALSE()),"")</f>
        <v/>
      </c>
      <c r="H29" s="1" t="str">
        <f aca="false">IFERROR(VLOOKUP(A29,'Pass 2'!$A:$S,MATCH("Jun 2026 Referring Domains",'Pass 2'!$1:$1,0),FALSE()),"")</f>
        <v/>
      </c>
    </row>
    <row r="30" customFormat="false" ht="15" hidden="false" customHeight="true" outlineLevel="0" collapsed="false">
      <c r="B30" s="1" t="str">
        <f aca="false">IFERROR(VLOOKUP(A30,'Pass 2'!$A:$S,MATCH("Category",'Pass 2'!$1:$1,0),FALSE()),"")</f>
        <v/>
      </c>
      <c r="C30" s="1" t="str">
        <f aca="false">IFERROR(VLOOKUP(A30,'Pass 1 Archive'!$A:$AD,MATCH("LinkedIn Employee Count",'Pass 1 Archive'!$1:$1,0),FALSE()),"")</f>
        <v/>
      </c>
      <c r="D30" s="1" t="str">
        <f aca="false">IFERROR(VLOOKUP(A30,'Pass 2'!$A:$S,MATCH("Jan 2025 Traffic",'Pass 2'!$1:$1,0),FALSE()),"")</f>
        <v/>
      </c>
      <c r="E30" s="1" t="str">
        <f aca="false">IFERROR(VLOOKUP(A30,'Pass 2'!$A:$S,MATCH("Jun 2026 Traffic",'Pass 2'!$1:$1,0),FALSE()),"")</f>
        <v/>
      </c>
      <c r="F30" s="1" t="str">
        <f aca="false">IFERROR(VLOOKUP(A30,'Pass 2'!$A:$S,MATCH("Traffic % Change",'Pass 2'!$1:$1,0),FALSE()),"")</f>
        <v/>
      </c>
      <c r="G30" s="1" t="str">
        <f aca="false">IFERROR(VLOOKUP(A30,'Pass 2'!$A:$S,MATCH("Jan 2025 Referring Domains",'Pass 2'!$1:$1,0),FALSE()),"")</f>
        <v/>
      </c>
      <c r="H30" s="1" t="str">
        <f aca="false">IFERROR(VLOOKUP(A30,'Pass 2'!$A:$S,MATCH("Jun 2026 Referring Domains",'Pass 2'!$1:$1,0),FALSE()),"")</f>
        <v/>
      </c>
    </row>
    <row r="31" customFormat="false" ht="15" hidden="false" customHeight="true" outlineLevel="0" collapsed="false">
      <c r="B31" s="1" t="str">
        <f aca="false">IFERROR(VLOOKUP(A31,'Pass 2'!$A:$S,MATCH("Category",'Pass 2'!$1:$1,0),FALSE()),"")</f>
        <v/>
      </c>
      <c r="C31" s="1" t="str">
        <f aca="false">IFERROR(VLOOKUP(A31,'Pass 1 Archive'!$A:$AD,MATCH("LinkedIn Employee Count",'Pass 1 Archive'!$1:$1,0),FALSE()),"")</f>
        <v/>
      </c>
      <c r="D31" s="1" t="str">
        <f aca="false">IFERROR(VLOOKUP(A31,'Pass 2'!$A:$S,MATCH("Jan 2025 Traffic",'Pass 2'!$1:$1,0),FALSE()),"")</f>
        <v/>
      </c>
      <c r="E31" s="1" t="str">
        <f aca="false">IFERROR(VLOOKUP(A31,'Pass 2'!$A:$S,MATCH("Jun 2026 Traffic",'Pass 2'!$1:$1,0),FALSE()),"")</f>
        <v/>
      </c>
      <c r="F31" s="1" t="str">
        <f aca="false">IFERROR(VLOOKUP(A31,'Pass 2'!$A:$S,MATCH("Traffic % Change",'Pass 2'!$1:$1,0),FALSE()),"")</f>
        <v/>
      </c>
      <c r="G31" s="1" t="str">
        <f aca="false">IFERROR(VLOOKUP(A31,'Pass 2'!$A:$S,MATCH("Jan 2025 Referring Domains",'Pass 2'!$1:$1,0),FALSE()),"")</f>
        <v/>
      </c>
      <c r="H31" s="1" t="str">
        <f aca="false">IFERROR(VLOOKUP(A31,'Pass 2'!$A:$S,MATCH("Jun 2026 Referring Domains",'Pass 2'!$1:$1,0),FALSE()),"")</f>
        <v/>
      </c>
    </row>
    <row r="32" customFormat="false" ht="15" hidden="false" customHeight="true" outlineLevel="0" collapsed="false">
      <c r="B32" s="1" t="str">
        <f aca="false">IFERROR(VLOOKUP(A32,'Pass 2'!$A:$S,MATCH("Category",'Pass 2'!$1:$1,0),FALSE()),"")</f>
        <v/>
      </c>
      <c r="C32" s="1" t="str">
        <f aca="false">IFERROR(VLOOKUP(A32,'Pass 1 Archive'!$A:$AD,MATCH("LinkedIn Employee Count",'Pass 1 Archive'!$1:$1,0),FALSE()),"")</f>
        <v/>
      </c>
      <c r="D32" s="1" t="str">
        <f aca="false">IFERROR(VLOOKUP(A32,'Pass 2'!$A:$S,MATCH("Jan 2025 Traffic",'Pass 2'!$1:$1,0),FALSE()),"")</f>
        <v/>
      </c>
      <c r="E32" s="1" t="str">
        <f aca="false">IFERROR(VLOOKUP(A32,'Pass 2'!$A:$S,MATCH("Jun 2026 Traffic",'Pass 2'!$1:$1,0),FALSE()),"")</f>
        <v/>
      </c>
      <c r="F32" s="1" t="str">
        <f aca="false">IFERROR(VLOOKUP(A32,'Pass 2'!$A:$S,MATCH("Traffic % Change",'Pass 2'!$1:$1,0),FALSE()),"")</f>
        <v/>
      </c>
      <c r="G32" s="1" t="str">
        <f aca="false">IFERROR(VLOOKUP(A32,'Pass 2'!$A:$S,MATCH("Jan 2025 Referring Domains",'Pass 2'!$1:$1,0),FALSE()),"")</f>
        <v/>
      </c>
      <c r="H32" s="1" t="str">
        <f aca="false">IFERROR(VLOOKUP(A32,'Pass 2'!$A:$S,MATCH("Jun 2026 Referring Domains",'Pass 2'!$1:$1,0),FALSE()),"")</f>
        <v/>
      </c>
    </row>
    <row r="33" customFormat="false" ht="15" hidden="false" customHeight="true" outlineLevel="0" collapsed="false">
      <c r="B33" s="1" t="str">
        <f aca="false">IFERROR(VLOOKUP(A33,'Pass 2'!$A:$S,MATCH("Category",'Pass 2'!$1:$1,0),FALSE()),"")</f>
        <v/>
      </c>
      <c r="C33" s="1" t="str">
        <f aca="false">IFERROR(VLOOKUP(A33,'Pass 1 Archive'!$A:$AD,MATCH("LinkedIn Employee Count",'Pass 1 Archive'!$1:$1,0),FALSE()),"")</f>
        <v/>
      </c>
      <c r="D33" s="1" t="str">
        <f aca="false">IFERROR(VLOOKUP(A33,'Pass 2'!$A:$S,MATCH("Jan 2025 Traffic",'Pass 2'!$1:$1,0),FALSE()),"")</f>
        <v/>
      </c>
      <c r="E33" s="1" t="str">
        <f aca="false">IFERROR(VLOOKUP(A33,'Pass 2'!$A:$S,MATCH("Jun 2026 Traffic",'Pass 2'!$1:$1,0),FALSE()),"")</f>
        <v/>
      </c>
      <c r="F33" s="1" t="str">
        <f aca="false">IFERROR(VLOOKUP(A33,'Pass 2'!$A:$S,MATCH("Traffic % Change",'Pass 2'!$1:$1,0),FALSE()),"")</f>
        <v/>
      </c>
      <c r="G33" s="1" t="str">
        <f aca="false">IFERROR(VLOOKUP(A33,'Pass 2'!$A:$S,MATCH("Jan 2025 Referring Domains",'Pass 2'!$1:$1,0),FALSE()),"")</f>
        <v/>
      </c>
      <c r="H33" s="1" t="str">
        <f aca="false">IFERROR(VLOOKUP(A33,'Pass 2'!$A:$S,MATCH("Jun 2026 Referring Domains",'Pass 2'!$1:$1,0),FALSE()),"")</f>
        <v/>
      </c>
    </row>
    <row r="34" customFormat="false" ht="15" hidden="false" customHeight="true" outlineLevel="0" collapsed="false">
      <c r="B34" s="1" t="str">
        <f aca="false">IFERROR(VLOOKUP(A34,'Pass 2'!$A:$S,MATCH("Category",'Pass 2'!$1:$1,0),FALSE()),"")</f>
        <v/>
      </c>
      <c r="C34" s="1" t="str">
        <f aca="false">IFERROR(VLOOKUP(A34,'Pass 1 Archive'!$A:$AD,MATCH("LinkedIn Employee Count",'Pass 1 Archive'!$1:$1,0),FALSE()),"")</f>
        <v/>
      </c>
      <c r="D34" s="1" t="str">
        <f aca="false">IFERROR(VLOOKUP(A34,'Pass 2'!$A:$S,MATCH("Jan 2025 Traffic",'Pass 2'!$1:$1,0),FALSE()),"")</f>
        <v/>
      </c>
      <c r="E34" s="1" t="str">
        <f aca="false">IFERROR(VLOOKUP(A34,'Pass 2'!$A:$S,MATCH("Jun 2026 Traffic",'Pass 2'!$1:$1,0),FALSE()),"")</f>
        <v/>
      </c>
      <c r="F34" s="1" t="str">
        <f aca="false">IFERROR(VLOOKUP(A34,'Pass 2'!$A:$S,MATCH("Traffic % Change",'Pass 2'!$1:$1,0),FALSE()),"")</f>
        <v/>
      </c>
      <c r="G34" s="1" t="str">
        <f aca="false">IFERROR(VLOOKUP(A34,'Pass 2'!$A:$S,MATCH("Jan 2025 Referring Domains",'Pass 2'!$1:$1,0),FALSE()),"")</f>
        <v/>
      </c>
      <c r="H34" s="1" t="str">
        <f aca="false">IFERROR(VLOOKUP(A34,'Pass 2'!$A:$S,MATCH("Jun 2026 Referring Domains",'Pass 2'!$1:$1,0),FALSE()),"")</f>
        <v/>
      </c>
    </row>
    <row r="35" customFormat="false" ht="15" hidden="false" customHeight="true" outlineLevel="0" collapsed="false">
      <c r="B35" s="1" t="str">
        <f aca="false">IFERROR(VLOOKUP(A35,'Pass 2'!$A:$S,MATCH("Category",'Pass 2'!$1:$1,0),FALSE()),"")</f>
        <v/>
      </c>
      <c r="C35" s="1" t="str">
        <f aca="false">IFERROR(VLOOKUP(A35,'Pass 1 Archive'!$A:$AD,MATCH("LinkedIn Employee Count",'Pass 1 Archive'!$1:$1,0),FALSE()),"")</f>
        <v/>
      </c>
      <c r="D35" s="1" t="str">
        <f aca="false">IFERROR(VLOOKUP(A35,'Pass 2'!$A:$S,MATCH("Jan 2025 Traffic",'Pass 2'!$1:$1,0),FALSE()),"")</f>
        <v/>
      </c>
      <c r="E35" s="1" t="str">
        <f aca="false">IFERROR(VLOOKUP(A35,'Pass 2'!$A:$S,MATCH("Jun 2026 Traffic",'Pass 2'!$1:$1,0),FALSE()),"")</f>
        <v/>
      </c>
      <c r="F35" s="1" t="str">
        <f aca="false">IFERROR(VLOOKUP(A35,'Pass 2'!$A:$S,MATCH("Traffic % Change",'Pass 2'!$1:$1,0),FALSE()),"")</f>
        <v/>
      </c>
      <c r="G35" s="1" t="str">
        <f aca="false">IFERROR(VLOOKUP(A35,'Pass 2'!$A:$S,MATCH("Jan 2025 Referring Domains",'Pass 2'!$1:$1,0),FALSE()),"")</f>
        <v/>
      </c>
      <c r="H35" s="1" t="str">
        <f aca="false">IFERROR(VLOOKUP(A35,'Pass 2'!$A:$S,MATCH("Jun 2026 Referring Domains",'Pass 2'!$1:$1,0),FALSE()),"")</f>
        <v/>
      </c>
    </row>
    <row r="36" customFormat="false" ht="15" hidden="false" customHeight="true" outlineLevel="0" collapsed="false">
      <c r="B36" s="1" t="str">
        <f aca="false">IFERROR(VLOOKUP(A36,'Pass 2'!$A:$S,MATCH("Category",'Pass 2'!$1:$1,0),FALSE()),"")</f>
        <v/>
      </c>
      <c r="C36" s="1" t="str">
        <f aca="false">IFERROR(VLOOKUP(A36,'Pass 1 Archive'!$A:$AD,MATCH("LinkedIn Employee Count",'Pass 1 Archive'!$1:$1,0),FALSE()),"")</f>
        <v/>
      </c>
      <c r="D36" s="1" t="str">
        <f aca="false">IFERROR(VLOOKUP(A36,'Pass 2'!$A:$S,MATCH("Jan 2025 Traffic",'Pass 2'!$1:$1,0),FALSE()),"")</f>
        <v/>
      </c>
      <c r="E36" s="1" t="str">
        <f aca="false">IFERROR(VLOOKUP(A36,'Pass 2'!$A:$S,MATCH("Jun 2026 Traffic",'Pass 2'!$1:$1,0),FALSE()),"")</f>
        <v/>
      </c>
      <c r="F36" s="1" t="str">
        <f aca="false">IFERROR(VLOOKUP(A36,'Pass 2'!$A:$S,MATCH("Traffic % Change",'Pass 2'!$1:$1,0),FALSE()),"")</f>
        <v/>
      </c>
      <c r="G36" s="1" t="str">
        <f aca="false">IFERROR(VLOOKUP(A36,'Pass 2'!$A:$S,MATCH("Jan 2025 Referring Domains",'Pass 2'!$1:$1,0),FALSE()),"")</f>
        <v/>
      </c>
      <c r="H36" s="1" t="str">
        <f aca="false">IFERROR(VLOOKUP(A36,'Pass 2'!$A:$S,MATCH("Jun 2026 Referring Domains",'Pass 2'!$1:$1,0),FALSE()),"")</f>
        <v/>
      </c>
    </row>
    <row r="37" customFormat="false" ht="15" hidden="false" customHeight="true" outlineLevel="0" collapsed="false">
      <c r="B37" s="1" t="str">
        <f aca="false">IFERROR(VLOOKUP(A37,'Pass 2'!$A:$S,MATCH("Category",'Pass 2'!$1:$1,0),FALSE()),"")</f>
        <v/>
      </c>
      <c r="C37" s="1" t="str">
        <f aca="false">IFERROR(VLOOKUP(A37,'Pass 1 Archive'!$A:$AD,MATCH("LinkedIn Employee Count",'Pass 1 Archive'!$1:$1,0),FALSE()),"")</f>
        <v/>
      </c>
      <c r="D37" s="1" t="str">
        <f aca="false">IFERROR(VLOOKUP(A37,'Pass 2'!$A:$S,MATCH("Jan 2025 Traffic",'Pass 2'!$1:$1,0),FALSE()),"")</f>
        <v/>
      </c>
      <c r="E37" s="1" t="str">
        <f aca="false">IFERROR(VLOOKUP(A37,'Pass 2'!$A:$S,MATCH("Jun 2026 Traffic",'Pass 2'!$1:$1,0),FALSE()),"")</f>
        <v/>
      </c>
      <c r="F37" s="1" t="str">
        <f aca="false">IFERROR(VLOOKUP(A37,'Pass 2'!$A:$S,MATCH("Traffic % Change",'Pass 2'!$1:$1,0),FALSE()),"")</f>
        <v/>
      </c>
      <c r="G37" s="1" t="str">
        <f aca="false">IFERROR(VLOOKUP(A37,'Pass 2'!$A:$S,MATCH("Jan 2025 Referring Domains",'Pass 2'!$1:$1,0),FALSE()),"")</f>
        <v/>
      </c>
      <c r="H37" s="1" t="str">
        <f aca="false">IFERROR(VLOOKUP(A37,'Pass 2'!$A:$S,MATCH("Jun 2026 Referring Domains",'Pass 2'!$1:$1,0),FALSE()),"")</f>
        <v/>
      </c>
    </row>
    <row r="38" customFormat="false" ht="15" hidden="false" customHeight="true" outlineLevel="0" collapsed="false">
      <c r="B38" s="1" t="str">
        <f aca="false">IFERROR(VLOOKUP(A38,'Pass 2'!$A:$S,MATCH("Category",'Pass 2'!$1:$1,0),FALSE()),"")</f>
        <v/>
      </c>
      <c r="C38" s="1" t="str">
        <f aca="false">IFERROR(VLOOKUP(A38,'Pass 1 Archive'!$A:$AD,MATCH("LinkedIn Employee Count",'Pass 1 Archive'!$1:$1,0),FALSE()),"")</f>
        <v/>
      </c>
      <c r="D38" s="1" t="str">
        <f aca="false">IFERROR(VLOOKUP(A38,'Pass 2'!$A:$S,MATCH("Jan 2025 Traffic",'Pass 2'!$1:$1,0),FALSE()),"")</f>
        <v/>
      </c>
      <c r="E38" s="1" t="str">
        <f aca="false">IFERROR(VLOOKUP(A38,'Pass 2'!$A:$S,MATCH("Jun 2026 Traffic",'Pass 2'!$1:$1,0),FALSE()),"")</f>
        <v/>
      </c>
      <c r="F38" s="1" t="str">
        <f aca="false">IFERROR(VLOOKUP(A38,'Pass 2'!$A:$S,MATCH("Traffic % Change",'Pass 2'!$1:$1,0),FALSE()),"")</f>
        <v/>
      </c>
      <c r="G38" s="1" t="str">
        <f aca="false">IFERROR(VLOOKUP(A38,'Pass 2'!$A:$S,MATCH("Jan 2025 Referring Domains",'Pass 2'!$1:$1,0),FALSE()),"")</f>
        <v/>
      </c>
      <c r="H38" s="1" t="str">
        <f aca="false">IFERROR(VLOOKUP(A38,'Pass 2'!$A:$S,MATCH("Jun 2026 Referring Domains",'Pass 2'!$1:$1,0),FALSE()),"")</f>
        <v/>
      </c>
    </row>
    <row r="39" customFormat="false" ht="15" hidden="false" customHeight="true" outlineLevel="0" collapsed="false">
      <c r="B39" s="1" t="str">
        <f aca="false">IFERROR(VLOOKUP(A39,'Pass 2'!$A:$S,MATCH("Category",'Pass 2'!$1:$1,0),FALSE()),"")</f>
        <v/>
      </c>
      <c r="C39" s="1" t="str">
        <f aca="false">IFERROR(VLOOKUP(A39,'Pass 1 Archive'!$A:$AD,MATCH("LinkedIn Employee Count",'Pass 1 Archive'!$1:$1,0),FALSE()),"")</f>
        <v/>
      </c>
      <c r="D39" s="1" t="str">
        <f aca="false">IFERROR(VLOOKUP(A39,'Pass 2'!$A:$S,MATCH("Jan 2025 Traffic",'Pass 2'!$1:$1,0),FALSE()),"")</f>
        <v/>
      </c>
      <c r="E39" s="1" t="str">
        <f aca="false">IFERROR(VLOOKUP(A39,'Pass 2'!$A:$S,MATCH("Jun 2026 Traffic",'Pass 2'!$1:$1,0),FALSE()),"")</f>
        <v/>
      </c>
      <c r="F39" s="1" t="str">
        <f aca="false">IFERROR(VLOOKUP(A39,'Pass 2'!$A:$S,MATCH("Traffic % Change",'Pass 2'!$1:$1,0),FALSE()),"")</f>
        <v/>
      </c>
      <c r="G39" s="1" t="str">
        <f aca="false">IFERROR(VLOOKUP(A39,'Pass 2'!$A:$S,MATCH("Jan 2025 Referring Domains",'Pass 2'!$1:$1,0),FALSE()),"")</f>
        <v/>
      </c>
      <c r="H39" s="1" t="str">
        <f aca="false">IFERROR(VLOOKUP(A39,'Pass 2'!$A:$S,MATCH("Jun 2026 Referring Domains",'Pass 2'!$1:$1,0),FALSE()),"")</f>
        <v/>
      </c>
    </row>
    <row r="40" customFormat="false" ht="15" hidden="false" customHeight="true" outlineLevel="0" collapsed="false">
      <c r="B40" s="1" t="str">
        <f aca="false">IFERROR(VLOOKUP(A40,'Pass 2'!$A:$S,MATCH("Category",'Pass 2'!$1:$1,0),FALSE()),"")</f>
        <v/>
      </c>
      <c r="C40" s="1" t="str">
        <f aca="false">IFERROR(VLOOKUP(A40,'Pass 1 Archive'!$A:$AD,MATCH("LinkedIn Employee Count",'Pass 1 Archive'!$1:$1,0),FALSE()),"")</f>
        <v/>
      </c>
      <c r="D40" s="1" t="str">
        <f aca="false">IFERROR(VLOOKUP(A40,'Pass 2'!$A:$S,MATCH("Jan 2025 Traffic",'Pass 2'!$1:$1,0),FALSE()),"")</f>
        <v/>
      </c>
      <c r="E40" s="1" t="str">
        <f aca="false">IFERROR(VLOOKUP(A40,'Pass 2'!$A:$S,MATCH("Jun 2026 Traffic",'Pass 2'!$1:$1,0),FALSE()),"")</f>
        <v/>
      </c>
      <c r="F40" s="1" t="str">
        <f aca="false">IFERROR(VLOOKUP(A40,'Pass 2'!$A:$S,MATCH("Traffic % Change",'Pass 2'!$1:$1,0),FALSE()),"")</f>
        <v/>
      </c>
      <c r="G40" s="1" t="str">
        <f aca="false">IFERROR(VLOOKUP(A40,'Pass 2'!$A:$S,MATCH("Jan 2025 Referring Domains",'Pass 2'!$1:$1,0),FALSE()),"")</f>
        <v/>
      </c>
      <c r="H40" s="1" t="str">
        <f aca="false">IFERROR(VLOOKUP(A40,'Pass 2'!$A:$S,MATCH("Jun 2026 Referring Domains",'Pass 2'!$1:$1,0),FALSE()),"")</f>
        <v/>
      </c>
    </row>
    <row r="41" customFormat="false" ht="15" hidden="false" customHeight="true" outlineLevel="0" collapsed="false">
      <c r="B41" s="1" t="str">
        <f aca="false">IFERROR(VLOOKUP(A41,'Pass 2'!$A:$S,MATCH("Category",'Pass 2'!$1:$1,0),FALSE()),"")</f>
        <v/>
      </c>
      <c r="C41" s="1" t="str">
        <f aca="false">IFERROR(VLOOKUP(A41,'Pass 1 Archive'!$A:$AD,MATCH("LinkedIn Employee Count",'Pass 1 Archive'!$1:$1,0),FALSE()),"")</f>
        <v/>
      </c>
      <c r="D41" s="1" t="str">
        <f aca="false">IFERROR(VLOOKUP(A41,'Pass 2'!$A:$S,MATCH("Jan 2025 Traffic",'Pass 2'!$1:$1,0),FALSE()),"")</f>
        <v/>
      </c>
      <c r="E41" s="1" t="str">
        <f aca="false">IFERROR(VLOOKUP(A41,'Pass 2'!$A:$S,MATCH("Jun 2026 Traffic",'Pass 2'!$1:$1,0),FALSE()),"")</f>
        <v/>
      </c>
      <c r="F41" s="1" t="str">
        <f aca="false">IFERROR(VLOOKUP(A41,'Pass 2'!$A:$S,MATCH("Traffic % Change",'Pass 2'!$1:$1,0),FALSE()),"")</f>
        <v/>
      </c>
      <c r="G41" s="1" t="str">
        <f aca="false">IFERROR(VLOOKUP(A41,'Pass 2'!$A:$S,MATCH("Jan 2025 Referring Domains",'Pass 2'!$1:$1,0),FALSE()),"")</f>
        <v/>
      </c>
      <c r="H41" s="1" t="str">
        <f aca="false">IFERROR(VLOOKUP(A41,'Pass 2'!$A:$S,MATCH("Jun 2026 Referring Domains",'Pass 2'!$1:$1,0),FALSE()),"")</f>
        <v/>
      </c>
    </row>
    <row r="42" customFormat="false" ht="15" hidden="false" customHeight="true" outlineLevel="0" collapsed="false">
      <c r="B42" s="1" t="str">
        <f aca="false">IFERROR(VLOOKUP(A42,'Pass 2'!$A:$S,MATCH("Category",'Pass 2'!$1:$1,0),FALSE()),"")</f>
        <v/>
      </c>
      <c r="C42" s="1" t="str">
        <f aca="false">IFERROR(VLOOKUP(A42,'Pass 1 Archive'!$A:$AD,MATCH("LinkedIn Employee Count",'Pass 1 Archive'!$1:$1,0),FALSE()),"")</f>
        <v/>
      </c>
      <c r="D42" s="1" t="str">
        <f aca="false">IFERROR(VLOOKUP(A42,'Pass 2'!$A:$S,MATCH("Jan 2025 Traffic",'Pass 2'!$1:$1,0),FALSE()),"")</f>
        <v/>
      </c>
      <c r="E42" s="1" t="str">
        <f aca="false">IFERROR(VLOOKUP(A42,'Pass 2'!$A:$S,MATCH("Jun 2026 Traffic",'Pass 2'!$1:$1,0),FALSE()),"")</f>
        <v/>
      </c>
      <c r="F42" s="1" t="str">
        <f aca="false">IFERROR(VLOOKUP(A42,'Pass 2'!$A:$S,MATCH("Traffic % Change",'Pass 2'!$1:$1,0),FALSE()),"")</f>
        <v/>
      </c>
      <c r="G42" s="1" t="str">
        <f aca="false">IFERROR(VLOOKUP(A42,'Pass 2'!$A:$S,MATCH("Jan 2025 Referring Domains",'Pass 2'!$1:$1,0),FALSE()),"")</f>
        <v/>
      </c>
      <c r="H42" s="1" t="str">
        <f aca="false">IFERROR(VLOOKUP(A42,'Pass 2'!$A:$S,MATCH("Jun 2026 Referring Domains",'Pass 2'!$1:$1,0),FALSE()),"")</f>
        <v/>
      </c>
    </row>
    <row r="43" customFormat="false" ht="15" hidden="false" customHeight="true" outlineLevel="0" collapsed="false">
      <c r="B43" s="1" t="str">
        <f aca="false">IFERROR(VLOOKUP(A43,'Pass 2'!$A:$S,MATCH("Category",'Pass 2'!$1:$1,0),FALSE()),"")</f>
        <v/>
      </c>
      <c r="C43" s="1" t="str">
        <f aca="false">IFERROR(VLOOKUP(A43,'Pass 1 Archive'!$A:$AD,MATCH("LinkedIn Employee Count",'Pass 1 Archive'!$1:$1,0),FALSE()),"")</f>
        <v/>
      </c>
      <c r="D43" s="1" t="str">
        <f aca="false">IFERROR(VLOOKUP(A43,'Pass 2'!$A:$S,MATCH("Jan 2025 Traffic",'Pass 2'!$1:$1,0),FALSE()),"")</f>
        <v/>
      </c>
      <c r="E43" s="1" t="str">
        <f aca="false">IFERROR(VLOOKUP(A43,'Pass 2'!$A:$S,MATCH("Jun 2026 Traffic",'Pass 2'!$1:$1,0),FALSE()),"")</f>
        <v/>
      </c>
      <c r="F43" s="1" t="str">
        <f aca="false">IFERROR(VLOOKUP(A43,'Pass 2'!$A:$S,MATCH("Traffic % Change",'Pass 2'!$1:$1,0),FALSE()),"")</f>
        <v/>
      </c>
      <c r="G43" s="1" t="str">
        <f aca="false">IFERROR(VLOOKUP(A43,'Pass 2'!$A:$S,MATCH("Jan 2025 Referring Domains",'Pass 2'!$1:$1,0),FALSE()),"")</f>
        <v/>
      </c>
      <c r="H43" s="1" t="str">
        <f aca="false">IFERROR(VLOOKUP(A43,'Pass 2'!$A:$S,MATCH("Jun 2026 Referring Domains",'Pass 2'!$1:$1,0),FALSE()),"")</f>
        <v/>
      </c>
    </row>
    <row r="44" customFormat="false" ht="15" hidden="false" customHeight="true" outlineLevel="0" collapsed="false">
      <c r="B44" s="1" t="str">
        <f aca="false">IFERROR(VLOOKUP(A44,'Pass 2'!$A:$S,MATCH("Category",'Pass 2'!$1:$1,0),FALSE()),"")</f>
        <v/>
      </c>
      <c r="C44" s="1" t="str">
        <f aca="false">IFERROR(VLOOKUP(A44,'Pass 1 Archive'!$A:$AD,MATCH("LinkedIn Employee Count",'Pass 1 Archive'!$1:$1,0),FALSE()),"")</f>
        <v/>
      </c>
      <c r="D44" s="1" t="str">
        <f aca="false">IFERROR(VLOOKUP(A44,'Pass 2'!$A:$S,MATCH("Jan 2025 Traffic",'Pass 2'!$1:$1,0),FALSE()),"")</f>
        <v/>
      </c>
      <c r="E44" s="1" t="str">
        <f aca="false">IFERROR(VLOOKUP(A44,'Pass 2'!$A:$S,MATCH("Jun 2026 Traffic",'Pass 2'!$1:$1,0),FALSE()),"")</f>
        <v/>
      </c>
      <c r="F44" s="1" t="str">
        <f aca="false">IFERROR(VLOOKUP(A44,'Pass 2'!$A:$S,MATCH("Traffic % Change",'Pass 2'!$1:$1,0),FALSE()),"")</f>
        <v/>
      </c>
      <c r="G44" s="1" t="str">
        <f aca="false">IFERROR(VLOOKUP(A44,'Pass 2'!$A:$S,MATCH("Jan 2025 Referring Domains",'Pass 2'!$1:$1,0),FALSE()),"")</f>
        <v/>
      </c>
      <c r="H44" s="1" t="str">
        <f aca="false">IFERROR(VLOOKUP(A44,'Pass 2'!$A:$S,MATCH("Jun 2026 Referring Domains",'Pass 2'!$1:$1,0),FALSE()),"")</f>
        <v/>
      </c>
    </row>
    <row r="45" customFormat="false" ht="15" hidden="false" customHeight="true" outlineLevel="0" collapsed="false">
      <c r="B45" s="1" t="str">
        <f aca="false">IFERROR(VLOOKUP(A45,'Pass 2'!$A:$S,MATCH("Category",'Pass 2'!$1:$1,0),FALSE()),"")</f>
        <v/>
      </c>
      <c r="C45" s="1" t="str">
        <f aca="false">IFERROR(VLOOKUP(A45,'Pass 1 Archive'!$A:$AD,MATCH("LinkedIn Employee Count",'Pass 1 Archive'!$1:$1,0),FALSE()),"")</f>
        <v/>
      </c>
      <c r="D45" s="1" t="str">
        <f aca="false">IFERROR(VLOOKUP(A45,'Pass 2'!$A:$S,MATCH("Jan 2025 Traffic",'Pass 2'!$1:$1,0),FALSE()),"")</f>
        <v/>
      </c>
      <c r="E45" s="1" t="str">
        <f aca="false">IFERROR(VLOOKUP(A45,'Pass 2'!$A:$S,MATCH("Jun 2026 Traffic",'Pass 2'!$1:$1,0),FALSE()),"")</f>
        <v/>
      </c>
      <c r="F45" s="1" t="str">
        <f aca="false">IFERROR(VLOOKUP(A45,'Pass 2'!$A:$S,MATCH("Traffic % Change",'Pass 2'!$1:$1,0),FALSE()),"")</f>
        <v/>
      </c>
      <c r="G45" s="1" t="str">
        <f aca="false">IFERROR(VLOOKUP(A45,'Pass 2'!$A:$S,MATCH("Jan 2025 Referring Domains",'Pass 2'!$1:$1,0),FALSE()),"")</f>
        <v/>
      </c>
      <c r="H45" s="1" t="str">
        <f aca="false">IFERROR(VLOOKUP(A45,'Pass 2'!$A:$S,MATCH("Jun 2026 Referring Domains",'Pass 2'!$1:$1,0),FALSE()),"")</f>
        <v/>
      </c>
    </row>
    <row r="46" customFormat="false" ht="15" hidden="false" customHeight="true" outlineLevel="0" collapsed="false">
      <c r="B46" s="1" t="str">
        <f aca="false">IFERROR(VLOOKUP(A46,'Pass 2'!$A:$S,MATCH("Category",'Pass 2'!$1:$1,0),FALSE()),"")</f>
        <v/>
      </c>
      <c r="C46" s="1" t="str">
        <f aca="false">IFERROR(VLOOKUP(A46,'Pass 1 Archive'!$A:$AD,MATCH("LinkedIn Employee Count",'Pass 1 Archive'!$1:$1,0),FALSE()),"")</f>
        <v/>
      </c>
      <c r="D46" s="1" t="str">
        <f aca="false">IFERROR(VLOOKUP(A46,'Pass 2'!$A:$S,MATCH("Jan 2025 Traffic",'Pass 2'!$1:$1,0),FALSE()),"")</f>
        <v/>
      </c>
      <c r="E46" s="1" t="str">
        <f aca="false">IFERROR(VLOOKUP(A46,'Pass 2'!$A:$S,MATCH("Jun 2026 Traffic",'Pass 2'!$1:$1,0),FALSE()),"")</f>
        <v/>
      </c>
      <c r="F46" s="1" t="str">
        <f aca="false">IFERROR(VLOOKUP(A46,'Pass 2'!$A:$S,MATCH("Traffic % Change",'Pass 2'!$1:$1,0),FALSE()),"")</f>
        <v/>
      </c>
      <c r="G46" s="1" t="str">
        <f aca="false">IFERROR(VLOOKUP(A46,'Pass 2'!$A:$S,MATCH("Jan 2025 Referring Domains",'Pass 2'!$1:$1,0),FALSE()),"")</f>
        <v/>
      </c>
      <c r="H46" s="1" t="str">
        <f aca="false">IFERROR(VLOOKUP(A46,'Pass 2'!$A:$S,MATCH("Jun 2026 Referring Domains",'Pass 2'!$1:$1,0),FALSE()),"")</f>
        <v/>
      </c>
    </row>
    <row r="47" customFormat="false" ht="15" hidden="false" customHeight="true" outlineLevel="0" collapsed="false">
      <c r="B47" s="1" t="str">
        <f aca="false">IFERROR(VLOOKUP(A47,'Pass 2'!$A:$S,MATCH("Category",'Pass 2'!$1:$1,0),FALSE()),"")</f>
        <v/>
      </c>
      <c r="C47" s="1" t="str">
        <f aca="false">IFERROR(VLOOKUP(A47,'Pass 1 Archive'!$A:$AD,MATCH("LinkedIn Employee Count",'Pass 1 Archive'!$1:$1,0),FALSE()),"")</f>
        <v/>
      </c>
      <c r="D47" s="1" t="str">
        <f aca="false">IFERROR(VLOOKUP(A47,'Pass 2'!$A:$S,MATCH("Jan 2025 Traffic",'Pass 2'!$1:$1,0),FALSE()),"")</f>
        <v/>
      </c>
      <c r="E47" s="1" t="str">
        <f aca="false">IFERROR(VLOOKUP(A47,'Pass 2'!$A:$S,MATCH("Jun 2026 Traffic",'Pass 2'!$1:$1,0),FALSE()),"")</f>
        <v/>
      </c>
      <c r="F47" s="1" t="str">
        <f aca="false">IFERROR(VLOOKUP(A47,'Pass 2'!$A:$S,MATCH("Traffic % Change",'Pass 2'!$1:$1,0),FALSE()),"")</f>
        <v/>
      </c>
      <c r="G47" s="1" t="str">
        <f aca="false">IFERROR(VLOOKUP(A47,'Pass 2'!$A:$S,MATCH("Jan 2025 Referring Domains",'Pass 2'!$1:$1,0),FALSE()),"")</f>
        <v/>
      </c>
      <c r="H47" s="1" t="str">
        <f aca="false">IFERROR(VLOOKUP(A47,'Pass 2'!$A:$S,MATCH("Jun 2026 Referring Domains",'Pass 2'!$1:$1,0),FALSE()),"")</f>
        <v/>
      </c>
    </row>
    <row r="48" customFormat="false" ht="15" hidden="false" customHeight="true" outlineLevel="0" collapsed="false">
      <c r="B48" s="1" t="str">
        <f aca="false">IFERROR(VLOOKUP(A48,'Pass 2'!$A:$S,MATCH("Category",'Pass 2'!$1:$1,0),FALSE()),"")</f>
        <v/>
      </c>
      <c r="C48" s="1" t="str">
        <f aca="false">IFERROR(VLOOKUP(A48,'Pass 1 Archive'!$A:$AD,MATCH("LinkedIn Employee Count",'Pass 1 Archive'!$1:$1,0),FALSE()),"")</f>
        <v/>
      </c>
      <c r="D48" s="1" t="str">
        <f aca="false">IFERROR(VLOOKUP(A48,'Pass 2'!$A:$S,MATCH("Jan 2025 Traffic",'Pass 2'!$1:$1,0),FALSE()),"")</f>
        <v/>
      </c>
      <c r="E48" s="1" t="str">
        <f aca="false">IFERROR(VLOOKUP(A48,'Pass 2'!$A:$S,MATCH("Jun 2026 Traffic",'Pass 2'!$1:$1,0),FALSE()),"")</f>
        <v/>
      </c>
      <c r="F48" s="1" t="str">
        <f aca="false">IFERROR(VLOOKUP(A48,'Pass 2'!$A:$S,MATCH("Traffic % Change",'Pass 2'!$1:$1,0),FALSE()),"")</f>
        <v/>
      </c>
      <c r="G48" s="1" t="str">
        <f aca="false">IFERROR(VLOOKUP(A48,'Pass 2'!$A:$S,MATCH("Jan 2025 Referring Domains",'Pass 2'!$1:$1,0),FALSE()),"")</f>
        <v/>
      </c>
      <c r="H48" s="1" t="str">
        <f aca="false">IFERROR(VLOOKUP(A48,'Pass 2'!$A:$S,MATCH("Jun 2026 Referring Domains",'Pass 2'!$1:$1,0),FALSE()),"")</f>
        <v/>
      </c>
    </row>
    <row r="49" customFormat="false" ht="15" hidden="false" customHeight="true" outlineLevel="0" collapsed="false">
      <c r="B49" s="1" t="str">
        <f aca="false">IFERROR(VLOOKUP(A49,'Pass 2'!$A:$S,MATCH("Category",'Pass 2'!$1:$1,0),FALSE()),"")</f>
        <v/>
      </c>
      <c r="C49" s="1" t="str">
        <f aca="false">IFERROR(VLOOKUP(A49,'Pass 1 Archive'!$A:$AD,MATCH("LinkedIn Employee Count",'Pass 1 Archive'!$1:$1,0),FALSE()),"")</f>
        <v/>
      </c>
      <c r="D49" s="1" t="str">
        <f aca="false">IFERROR(VLOOKUP(A49,'Pass 2'!$A:$S,MATCH("Jan 2025 Traffic",'Pass 2'!$1:$1,0),FALSE()),"")</f>
        <v/>
      </c>
      <c r="E49" s="1" t="str">
        <f aca="false">IFERROR(VLOOKUP(A49,'Pass 2'!$A:$S,MATCH("Jun 2026 Traffic",'Pass 2'!$1:$1,0),FALSE()),"")</f>
        <v/>
      </c>
      <c r="F49" s="1" t="str">
        <f aca="false">IFERROR(VLOOKUP(A49,'Pass 2'!$A:$S,MATCH("Traffic % Change",'Pass 2'!$1:$1,0),FALSE()),"")</f>
        <v/>
      </c>
      <c r="G49" s="1" t="str">
        <f aca="false">IFERROR(VLOOKUP(A49,'Pass 2'!$A:$S,MATCH("Jan 2025 Referring Domains",'Pass 2'!$1:$1,0),FALSE()),"")</f>
        <v/>
      </c>
      <c r="H49" s="1" t="str">
        <f aca="false">IFERROR(VLOOKUP(A49,'Pass 2'!$A:$S,MATCH("Jun 2026 Referring Domains",'Pass 2'!$1:$1,0),FALSE()),"")</f>
        <v/>
      </c>
    </row>
    <row r="50" customFormat="false" ht="15" hidden="false" customHeight="true" outlineLevel="0" collapsed="false">
      <c r="B50" s="1" t="str">
        <f aca="false">IFERROR(VLOOKUP(A50,'Pass 2'!$A:$S,MATCH("Category",'Pass 2'!$1:$1,0),FALSE()),"")</f>
        <v/>
      </c>
      <c r="C50" s="1" t="str">
        <f aca="false">IFERROR(VLOOKUP(A50,'Pass 1 Archive'!$A:$AD,MATCH("LinkedIn Employee Count",'Pass 1 Archive'!$1:$1,0),FALSE()),"")</f>
        <v/>
      </c>
      <c r="D50" s="1" t="str">
        <f aca="false">IFERROR(VLOOKUP(A50,'Pass 2'!$A:$S,MATCH("Jan 2025 Traffic",'Pass 2'!$1:$1,0),FALSE()),"")</f>
        <v/>
      </c>
      <c r="E50" s="1" t="str">
        <f aca="false">IFERROR(VLOOKUP(A50,'Pass 2'!$A:$S,MATCH("Jun 2026 Traffic",'Pass 2'!$1:$1,0),FALSE()),"")</f>
        <v/>
      </c>
      <c r="F50" s="1" t="str">
        <f aca="false">IFERROR(VLOOKUP(A50,'Pass 2'!$A:$S,MATCH("Traffic % Change",'Pass 2'!$1:$1,0),FALSE()),"")</f>
        <v/>
      </c>
      <c r="G50" s="1" t="str">
        <f aca="false">IFERROR(VLOOKUP(A50,'Pass 2'!$A:$S,MATCH("Jan 2025 Referring Domains",'Pass 2'!$1:$1,0),FALSE()),"")</f>
        <v/>
      </c>
      <c r="H50" s="1" t="str">
        <f aca="false">IFERROR(VLOOKUP(A50,'Pass 2'!$A:$S,MATCH("Jun 2026 Referring Domains",'Pass 2'!$1:$1,0),FALSE()),"")</f>
        <v/>
      </c>
    </row>
    <row r="51" customFormat="false" ht="15" hidden="false" customHeight="true" outlineLevel="0" collapsed="false">
      <c r="B51" s="1" t="str">
        <f aca="false">IFERROR(VLOOKUP(A51,'Pass 2'!$A:$S,MATCH("Category",'Pass 2'!$1:$1,0),FALSE()),"")</f>
        <v/>
      </c>
      <c r="C51" s="1" t="str">
        <f aca="false">IFERROR(VLOOKUP(A51,'Pass 1 Archive'!$A:$AD,MATCH("LinkedIn Employee Count",'Pass 1 Archive'!$1:$1,0),FALSE()),"")</f>
        <v/>
      </c>
      <c r="D51" s="1" t="str">
        <f aca="false">IFERROR(VLOOKUP(A51,'Pass 2'!$A:$S,MATCH("Jan 2025 Traffic",'Pass 2'!$1:$1,0),FALSE()),"")</f>
        <v/>
      </c>
      <c r="E51" s="1" t="str">
        <f aca="false">IFERROR(VLOOKUP(A51,'Pass 2'!$A:$S,MATCH("Jun 2026 Traffic",'Pass 2'!$1:$1,0),FALSE()),"")</f>
        <v/>
      </c>
      <c r="F51" s="1" t="str">
        <f aca="false">IFERROR(VLOOKUP(A51,'Pass 2'!$A:$S,MATCH("Traffic % Change",'Pass 2'!$1:$1,0),FALSE()),"")</f>
        <v/>
      </c>
      <c r="G51" s="1" t="str">
        <f aca="false">IFERROR(VLOOKUP(A51,'Pass 2'!$A:$S,MATCH("Jan 2025 Referring Domains",'Pass 2'!$1:$1,0),FALSE()),"")</f>
        <v/>
      </c>
      <c r="H51" s="1" t="str">
        <f aca="false">IFERROR(VLOOKUP(A51,'Pass 2'!$A:$S,MATCH("Jun 2026 Referring Domains",'Pass 2'!$1:$1,0),FALSE()),"")</f>
        <v/>
      </c>
    </row>
    <row r="52" customFormat="false" ht="15" hidden="false" customHeight="true" outlineLevel="0" collapsed="false">
      <c r="B52" s="1" t="str">
        <f aca="false">IFERROR(VLOOKUP(A52,'Pass 2'!$A:$S,MATCH("Category",'Pass 2'!$1:$1,0),FALSE()),"")</f>
        <v/>
      </c>
      <c r="C52" s="1" t="str">
        <f aca="false">IFERROR(VLOOKUP(A52,'Pass 1 Archive'!$A:$AD,MATCH("LinkedIn Employee Count",'Pass 1 Archive'!$1:$1,0),FALSE()),"")</f>
        <v/>
      </c>
      <c r="D52" s="1" t="str">
        <f aca="false">IFERROR(VLOOKUP(A52,'Pass 2'!$A:$S,MATCH("Jan 2025 Traffic",'Pass 2'!$1:$1,0),FALSE()),"")</f>
        <v/>
      </c>
      <c r="E52" s="1" t="str">
        <f aca="false">IFERROR(VLOOKUP(A52,'Pass 2'!$A:$S,MATCH("Jun 2026 Traffic",'Pass 2'!$1:$1,0),FALSE()),"")</f>
        <v/>
      </c>
      <c r="F52" s="1" t="str">
        <f aca="false">IFERROR(VLOOKUP(A52,'Pass 2'!$A:$S,MATCH("Traffic % Change",'Pass 2'!$1:$1,0),FALSE()),"")</f>
        <v/>
      </c>
      <c r="G52" s="1" t="str">
        <f aca="false">IFERROR(VLOOKUP(A52,'Pass 2'!$A:$S,MATCH("Jan 2025 Referring Domains",'Pass 2'!$1:$1,0),FALSE()),"")</f>
        <v/>
      </c>
      <c r="H52" s="1" t="str">
        <f aca="false">IFERROR(VLOOKUP(A52,'Pass 2'!$A:$S,MATCH("Jun 2026 Referring Domains",'Pass 2'!$1:$1,0),FALSE()),"")</f>
        <v/>
      </c>
    </row>
    <row r="53" customFormat="false" ht="15" hidden="false" customHeight="true" outlineLevel="0" collapsed="false">
      <c r="B53" s="1" t="str">
        <f aca="false">IFERROR(VLOOKUP(A53,'Pass 2'!$A:$S,MATCH("Category",'Pass 2'!$1:$1,0),FALSE()),"")</f>
        <v/>
      </c>
      <c r="C53" s="1" t="str">
        <f aca="false">IFERROR(VLOOKUP(A53,'Pass 1 Archive'!$A:$AD,MATCH("LinkedIn Employee Count",'Pass 1 Archive'!$1:$1,0),FALSE()),"")</f>
        <v/>
      </c>
      <c r="D53" s="1" t="str">
        <f aca="false">IFERROR(VLOOKUP(A53,'Pass 2'!$A:$S,MATCH("Jan 2025 Traffic",'Pass 2'!$1:$1,0),FALSE()),"")</f>
        <v/>
      </c>
      <c r="E53" s="1" t="str">
        <f aca="false">IFERROR(VLOOKUP(A53,'Pass 2'!$A:$S,MATCH("Jun 2026 Traffic",'Pass 2'!$1:$1,0),FALSE()),"")</f>
        <v/>
      </c>
      <c r="F53" s="1" t="str">
        <f aca="false">IFERROR(VLOOKUP(A53,'Pass 2'!$A:$S,MATCH("Traffic % Change",'Pass 2'!$1:$1,0),FALSE()),"")</f>
        <v/>
      </c>
      <c r="G53" s="1" t="str">
        <f aca="false">IFERROR(VLOOKUP(A53,'Pass 2'!$A:$S,MATCH("Jan 2025 Referring Domains",'Pass 2'!$1:$1,0),FALSE()),"")</f>
        <v/>
      </c>
      <c r="H53" s="1" t="str">
        <f aca="false">IFERROR(VLOOKUP(A53,'Pass 2'!$A:$S,MATCH("Jun 2026 Referring Domains",'Pass 2'!$1:$1,0),FALSE()),"")</f>
        <v/>
      </c>
    </row>
    <row r="54" customFormat="false" ht="15" hidden="false" customHeight="true" outlineLevel="0" collapsed="false">
      <c r="B54" s="1" t="str">
        <f aca="false">IFERROR(VLOOKUP(A54,'Pass 2'!$A:$S,MATCH("Category",'Pass 2'!$1:$1,0),FALSE()),"")</f>
        <v/>
      </c>
      <c r="C54" s="1" t="str">
        <f aca="false">IFERROR(VLOOKUP(A54,'Pass 1 Archive'!$A:$AD,MATCH("LinkedIn Employee Count",'Pass 1 Archive'!$1:$1,0),FALSE()),"")</f>
        <v/>
      </c>
      <c r="D54" s="1" t="str">
        <f aca="false">IFERROR(VLOOKUP(A54,'Pass 2'!$A:$S,MATCH("Jan 2025 Traffic",'Pass 2'!$1:$1,0),FALSE()),"")</f>
        <v/>
      </c>
      <c r="E54" s="1" t="str">
        <f aca="false">IFERROR(VLOOKUP(A54,'Pass 2'!$A:$S,MATCH("Jun 2026 Traffic",'Pass 2'!$1:$1,0),FALSE()),"")</f>
        <v/>
      </c>
      <c r="F54" s="1" t="str">
        <f aca="false">IFERROR(VLOOKUP(A54,'Pass 2'!$A:$S,MATCH("Traffic % Change",'Pass 2'!$1:$1,0),FALSE()),"")</f>
        <v/>
      </c>
      <c r="G54" s="1" t="str">
        <f aca="false">IFERROR(VLOOKUP(A54,'Pass 2'!$A:$S,MATCH("Jan 2025 Referring Domains",'Pass 2'!$1:$1,0),FALSE()),"")</f>
        <v/>
      </c>
      <c r="H54" s="1" t="str">
        <f aca="false">IFERROR(VLOOKUP(A54,'Pass 2'!$A:$S,MATCH("Jun 2026 Referring Domains",'Pass 2'!$1:$1,0),FALSE()),"")</f>
        <v/>
      </c>
    </row>
    <row r="55" customFormat="false" ht="15" hidden="false" customHeight="true" outlineLevel="0" collapsed="false">
      <c r="B55" s="1" t="str">
        <f aca="false">IFERROR(VLOOKUP(A55,'Pass 2'!$A:$S,MATCH("Category",'Pass 2'!$1:$1,0),FALSE()),"")</f>
        <v/>
      </c>
      <c r="C55" s="1" t="str">
        <f aca="false">IFERROR(VLOOKUP(A55,'Pass 1 Archive'!$A:$AD,MATCH("LinkedIn Employee Count",'Pass 1 Archive'!$1:$1,0),FALSE()),"")</f>
        <v/>
      </c>
      <c r="D55" s="1" t="str">
        <f aca="false">IFERROR(VLOOKUP(A55,'Pass 2'!$A:$S,MATCH("Jan 2025 Traffic",'Pass 2'!$1:$1,0),FALSE()),"")</f>
        <v/>
      </c>
      <c r="E55" s="1" t="str">
        <f aca="false">IFERROR(VLOOKUP(A55,'Pass 2'!$A:$S,MATCH("Jun 2026 Traffic",'Pass 2'!$1:$1,0),FALSE()),"")</f>
        <v/>
      </c>
      <c r="F55" s="1" t="str">
        <f aca="false">IFERROR(VLOOKUP(A55,'Pass 2'!$A:$S,MATCH("Traffic % Change",'Pass 2'!$1:$1,0),FALSE()),"")</f>
        <v/>
      </c>
      <c r="G55" s="1" t="str">
        <f aca="false">IFERROR(VLOOKUP(A55,'Pass 2'!$A:$S,MATCH("Jan 2025 Referring Domains",'Pass 2'!$1:$1,0),FALSE()),"")</f>
        <v/>
      </c>
      <c r="H55" s="1" t="str">
        <f aca="false">IFERROR(VLOOKUP(A55,'Pass 2'!$A:$S,MATCH("Jun 2026 Referring Domains",'Pass 2'!$1:$1,0),FALSE()),"")</f>
        <v/>
      </c>
    </row>
    <row r="56" customFormat="false" ht="15" hidden="false" customHeight="true" outlineLevel="0" collapsed="false">
      <c r="B56" s="1" t="str">
        <f aca="false">IFERROR(VLOOKUP(A56,'Pass 2'!$A:$S,MATCH("Category",'Pass 2'!$1:$1,0),FALSE()),"")</f>
        <v/>
      </c>
      <c r="C56" s="1" t="str">
        <f aca="false">IFERROR(VLOOKUP(A56,'Pass 1 Archive'!$A:$AD,MATCH("LinkedIn Employee Count",'Pass 1 Archive'!$1:$1,0),FALSE()),"")</f>
        <v/>
      </c>
      <c r="D56" s="1" t="str">
        <f aca="false">IFERROR(VLOOKUP(A56,'Pass 2'!$A:$S,MATCH("Jan 2025 Traffic",'Pass 2'!$1:$1,0),FALSE()),"")</f>
        <v/>
      </c>
      <c r="E56" s="1" t="str">
        <f aca="false">IFERROR(VLOOKUP(A56,'Pass 2'!$A:$S,MATCH("Jun 2026 Traffic",'Pass 2'!$1:$1,0),FALSE()),"")</f>
        <v/>
      </c>
      <c r="F56" s="1" t="str">
        <f aca="false">IFERROR(VLOOKUP(A56,'Pass 2'!$A:$S,MATCH("Traffic % Change",'Pass 2'!$1:$1,0),FALSE()),"")</f>
        <v/>
      </c>
      <c r="G56" s="1" t="str">
        <f aca="false">IFERROR(VLOOKUP(A56,'Pass 2'!$A:$S,MATCH("Jan 2025 Referring Domains",'Pass 2'!$1:$1,0),FALSE()),"")</f>
        <v/>
      </c>
      <c r="H56" s="1" t="str">
        <f aca="false">IFERROR(VLOOKUP(A56,'Pass 2'!$A:$S,MATCH("Jun 2026 Referring Domains",'Pass 2'!$1:$1,0),FALSE()),"")</f>
        <v/>
      </c>
    </row>
    <row r="57" customFormat="false" ht="15" hidden="false" customHeight="true" outlineLevel="0" collapsed="false">
      <c r="B57" s="1" t="str">
        <f aca="false">IFERROR(VLOOKUP(A57,'Pass 2'!$A:$S,MATCH("Category",'Pass 2'!$1:$1,0),FALSE()),"")</f>
        <v/>
      </c>
      <c r="C57" s="1" t="str">
        <f aca="false">IFERROR(VLOOKUP(A57,'Pass 1 Archive'!$A:$AD,MATCH("LinkedIn Employee Count",'Pass 1 Archive'!$1:$1,0),FALSE()),"")</f>
        <v/>
      </c>
      <c r="D57" s="1" t="str">
        <f aca="false">IFERROR(VLOOKUP(A57,'Pass 2'!$A:$S,MATCH("Jan 2025 Traffic",'Pass 2'!$1:$1,0),FALSE()),"")</f>
        <v/>
      </c>
      <c r="E57" s="1" t="str">
        <f aca="false">IFERROR(VLOOKUP(A57,'Pass 2'!$A:$S,MATCH("Jun 2026 Traffic",'Pass 2'!$1:$1,0),FALSE()),"")</f>
        <v/>
      </c>
      <c r="F57" s="1" t="str">
        <f aca="false">IFERROR(VLOOKUP(A57,'Pass 2'!$A:$S,MATCH("Traffic % Change",'Pass 2'!$1:$1,0),FALSE()),"")</f>
        <v/>
      </c>
      <c r="G57" s="1" t="str">
        <f aca="false">IFERROR(VLOOKUP(A57,'Pass 2'!$A:$S,MATCH("Jan 2025 Referring Domains",'Pass 2'!$1:$1,0),FALSE()),"")</f>
        <v/>
      </c>
      <c r="H57" s="1" t="str">
        <f aca="false">IFERROR(VLOOKUP(A57,'Pass 2'!$A:$S,MATCH("Jun 2026 Referring Domains",'Pass 2'!$1:$1,0),FALSE()),"")</f>
        <v/>
      </c>
    </row>
    <row r="58" customFormat="false" ht="15" hidden="false" customHeight="true" outlineLevel="0" collapsed="false">
      <c r="B58" s="1" t="str">
        <f aca="false">IFERROR(VLOOKUP(A58,'Pass 2'!$A:$S,MATCH("Category",'Pass 2'!$1:$1,0),FALSE()),"")</f>
        <v/>
      </c>
      <c r="C58" s="1" t="str">
        <f aca="false">IFERROR(VLOOKUP(A58,'Pass 1 Archive'!$A:$AD,MATCH("LinkedIn Employee Count",'Pass 1 Archive'!$1:$1,0),FALSE()),"")</f>
        <v/>
      </c>
      <c r="D58" s="1" t="str">
        <f aca="false">IFERROR(VLOOKUP(A58,'Pass 2'!$A:$S,MATCH("Jan 2025 Traffic",'Pass 2'!$1:$1,0),FALSE()),"")</f>
        <v/>
      </c>
      <c r="E58" s="1" t="str">
        <f aca="false">IFERROR(VLOOKUP(A58,'Pass 2'!$A:$S,MATCH("Jun 2026 Traffic",'Pass 2'!$1:$1,0),FALSE()),"")</f>
        <v/>
      </c>
      <c r="F58" s="1" t="str">
        <f aca="false">IFERROR(VLOOKUP(A58,'Pass 2'!$A:$S,MATCH("Traffic % Change",'Pass 2'!$1:$1,0),FALSE()),"")</f>
        <v/>
      </c>
      <c r="G58" s="1" t="str">
        <f aca="false">IFERROR(VLOOKUP(A58,'Pass 2'!$A:$S,MATCH("Jan 2025 Referring Domains",'Pass 2'!$1:$1,0),FALSE()),"")</f>
        <v/>
      </c>
      <c r="H58" s="1" t="str">
        <f aca="false">IFERROR(VLOOKUP(A58,'Pass 2'!$A:$S,MATCH("Jun 2026 Referring Domains",'Pass 2'!$1:$1,0),FALSE()),"")</f>
        <v/>
      </c>
    </row>
    <row r="59" customFormat="false" ht="15" hidden="false" customHeight="true" outlineLevel="0" collapsed="false">
      <c r="B59" s="1" t="str">
        <f aca="false">IFERROR(VLOOKUP(A59,'Pass 2'!$A:$S,MATCH("Category",'Pass 2'!$1:$1,0),FALSE()),"")</f>
        <v/>
      </c>
      <c r="C59" s="1" t="str">
        <f aca="false">IFERROR(VLOOKUP(A59,'Pass 1 Archive'!$A:$AD,MATCH("LinkedIn Employee Count",'Pass 1 Archive'!$1:$1,0),FALSE()),"")</f>
        <v/>
      </c>
      <c r="D59" s="1" t="str">
        <f aca="false">IFERROR(VLOOKUP(A59,'Pass 2'!$A:$S,MATCH("Jan 2025 Traffic",'Pass 2'!$1:$1,0),FALSE()),"")</f>
        <v/>
      </c>
      <c r="E59" s="1" t="str">
        <f aca="false">IFERROR(VLOOKUP(A59,'Pass 2'!$A:$S,MATCH("Jun 2026 Traffic",'Pass 2'!$1:$1,0),FALSE()),"")</f>
        <v/>
      </c>
      <c r="F59" s="1" t="str">
        <f aca="false">IFERROR(VLOOKUP(A59,'Pass 2'!$A:$S,MATCH("Traffic % Change",'Pass 2'!$1:$1,0),FALSE()),"")</f>
        <v/>
      </c>
      <c r="G59" s="1" t="str">
        <f aca="false">IFERROR(VLOOKUP(A59,'Pass 2'!$A:$S,MATCH("Jan 2025 Referring Domains",'Pass 2'!$1:$1,0),FALSE()),"")</f>
        <v/>
      </c>
      <c r="H59" s="1" t="str">
        <f aca="false">IFERROR(VLOOKUP(A59,'Pass 2'!$A:$S,MATCH("Jun 2026 Referring Domains",'Pass 2'!$1:$1,0),FALSE()),"")</f>
        <v/>
      </c>
    </row>
    <row r="60" customFormat="false" ht="15" hidden="false" customHeight="true" outlineLevel="0" collapsed="false">
      <c r="B60" s="1" t="str">
        <f aca="false">IFERROR(VLOOKUP(A60,'Pass 2'!$A:$S,MATCH("Category",'Pass 2'!$1:$1,0),FALSE()),"")</f>
        <v/>
      </c>
      <c r="C60" s="1" t="str">
        <f aca="false">IFERROR(VLOOKUP(A60,'Pass 1 Archive'!$A:$AD,MATCH("LinkedIn Employee Count",'Pass 1 Archive'!$1:$1,0),FALSE()),"")</f>
        <v/>
      </c>
      <c r="D60" s="1" t="str">
        <f aca="false">IFERROR(VLOOKUP(A60,'Pass 2'!$A:$S,MATCH("Jan 2025 Traffic",'Pass 2'!$1:$1,0),FALSE()),"")</f>
        <v/>
      </c>
      <c r="E60" s="1" t="str">
        <f aca="false">IFERROR(VLOOKUP(A60,'Pass 2'!$A:$S,MATCH("Jun 2026 Traffic",'Pass 2'!$1:$1,0),FALSE()),"")</f>
        <v/>
      </c>
      <c r="F60" s="1" t="str">
        <f aca="false">IFERROR(VLOOKUP(A60,'Pass 2'!$A:$S,MATCH("Traffic % Change",'Pass 2'!$1:$1,0),FALSE()),"")</f>
        <v/>
      </c>
      <c r="G60" s="1" t="str">
        <f aca="false">IFERROR(VLOOKUP(A60,'Pass 2'!$A:$S,MATCH("Jan 2025 Referring Domains",'Pass 2'!$1:$1,0),FALSE()),"")</f>
        <v/>
      </c>
      <c r="H60" s="1" t="str">
        <f aca="false">IFERROR(VLOOKUP(A60,'Pass 2'!$A:$S,MATCH("Jun 2026 Referring Domains",'Pass 2'!$1:$1,0),FALSE()),"")</f>
        <v/>
      </c>
    </row>
    <row r="61" customFormat="false" ht="15" hidden="false" customHeight="true" outlineLevel="0" collapsed="false">
      <c r="B61" s="1" t="str">
        <f aca="false">IFERROR(VLOOKUP(A61,'Pass 2'!$A:$S,MATCH("Category",'Pass 2'!$1:$1,0),FALSE()),"")</f>
        <v/>
      </c>
      <c r="C61" s="1" t="str">
        <f aca="false">IFERROR(VLOOKUP(A61,'Pass 1 Archive'!$A:$AD,MATCH("LinkedIn Employee Count",'Pass 1 Archive'!$1:$1,0),FALSE()),"")</f>
        <v/>
      </c>
      <c r="D61" s="1" t="str">
        <f aca="false">IFERROR(VLOOKUP(A61,'Pass 2'!$A:$S,MATCH("Jan 2025 Traffic",'Pass 2'!$1:$1,0),FALSE()),"")</f>
        <v/>
      </c>
      <c r="E61" s="1" t="str">
        <f aca="false">IFERROR(VLOOKUP(A61,'Pass 2'!$A:$S,MATCH("Jun 2026 Traffic",'Pass 2'!$1:$1,0),FALSE()),"")</f>
        <v/>
      </c>
      <c r="F61" s="1" t="str">
        <f aca="false">IFERROR(VLOOKUP(A61,'Pass 2'!$A:$S,MATCH("Traffic % Change",'Pass 2'!$1:$1,0),FALSE()),"")</f>
        <v/>
      </c>
      <c r="G61" s="1" t="str">
        <f aca="false">IFERROR(VLOOKUP(A61,'Pass 2'!$A:$S,MATCH("Jan 2025 Referring Domains",'Pass 2'!$1:$1,0),FALSE()),"")</f>
        <v/>
      </c>
      <c r="H61" s="1" t="str">
        <f aca="false">IFERROR(VLOOKUP(A61,'Pass 2'!$A:$S,MATCH("Jun 2026 Referring Domains",'Pass 2'!$1:$1,0),FALSE()),"")</f>
        <v/>
      </c>
    </row>
    <row r="62" customFormat="false" ht="15" hidden="false" customHeight="true" outlineLevel="0" collapsed="false">
      <c r="B62" s="1" t="str">
        <f aca="false">IFERROR(VLOOKUP(A62,'Pass 2'!$A:$S,MATCH("Category",'Pass 2'!$1:$1,0),FALSE()),"")</f>
        <v/>
      </c>
      <c r="C62" s="1" t="str">
        <f aca="false">IFERROR(VLOOKUP(A62,'Pass 1 Archive'!$A:$AD,MATCH("LinkedIn Employee Count",'Pass 1 Archive'!$1:$1,0),FALSE()),"")</f>
        <v/>
      </c>
      <c r="D62" s="1" t="str">
        <f aca="false">IFERROR(VLOOKUP(A62,'Pass 2'!$A:$S,MATCH("Jan 2025 Traffic",'Pass 2'!$1:$1,0),FALSE()),"")</f>
        <v/>
      </c>
      <c r="E62" s="1" t="str">
        <f aca="false">IFERROR(VLOOKUP(A62,'Pass 2'!$A:$S,MATCH("Jun 2026 Traffic",'Pass 2'!$1:$1,0),FALSE()),"")</f>
        <v/>
      </c>
      <c r="F62" s="1" t="str">
        <f aca="false">IFERROR(VLOOKUP(A62,'Pass 2'!$A:$S,MATCH("Traffic % Change",'Pass 2'!$1:$1,0),FALSE()),"")</f>
        <v/>
      </c>
      <c r="G62" s="1" t="str">
        <f aca="false">IFERROR(VLOOKUP(A62,'Pass 2'!$A:$S,MATCH("Jan 2025 Referring Domains",'Pass 2'!$1:$1,0),FALSE()),"")</f>
        <v/>
      </c>
      <c r="H62" s="1" t="str">
        <f aca="false">IFERROR(VLOOKUP(A62,'Pass 2'!$A:$S,MATCH("Jun 2026 Referring Domains",'Pass 2'!$1:$1,0),FALSE()),"")</f>
        <v/>
      </c>
    </row>
    <row r="63" customFormat="false" ht="15" hidden="false" customHeight="true" outlineLevel="0" collapsed="false">
      <c r="B63" s="1" t="str">
        <f aca="false">IFERROR(VLOOKUP(A63,'Pass 2'!$A:$S,MATCH("Category",'Pass 2'!$1:$1,0),FALSE()),"")</f>
        <v/>
      </c>
      <c r="C63" s="1" t="str">
        <f aca="false">IFERROR(VLOOKUP(A63,'Pass 1 Archive'!$A:$AD,MATCH("LinkedIn Employee Count",'Pass 1 Archive'!$1:$1,0),FALSE()),"")</f>
        <v/>
      </c>
      <c r="D63" s="1" t="str">
        <f aca="false">IFERROR(VLOOKUP(A63,'Pass 2'!$A:$S,MATCH("Jan 2025 Traffic",'Pass 2'!$1:$1,0),FALSE()),"")</f>
        <v/>
      </c>
      <c r="E63" s="1" t="str">
        <f aca="false">IFERROR(VLOOKUP(A63,'Pass 2'!$A:$S,MATCH("Jun 2026 Traffic",'Pass 2'!$1:$1,0),FALSE()),"")</f>
        <v/>
      </c>
      <c r="F63" s="1" t="str">
        <f aca="false">IFERROR(VLOOKUP(A63,'Pass 2'!$A:$S,MATCH("Traffic % Change",'Pass 2'!$1:$1,0),FALSE()),"")</f>
        <v/>
      </c>
      <c r="G63" s="1" t="str">
        <f aca="false">IFERROR(VLOOKUP(A63,'Pass 2'!$A:$S,MATCH("Jan 2025 Referring Domains",'Pass 2'!$1:$1,0),FALSE()),"")</f>
        <v/>
      </c>
      <c r="H63" s="1" t="str">
        <f aca="false">IFERROR(VLOOKUP(A63,'Pass 2'!$A:$S,MATCH("Jun 2026 Referring Domains",'Pass 2'!$1:$1,0),FALSE()),"")</f>
        <v/>
      </c>
    </row>
    <row r="64" customFormat="false" ht="15" hidden="false" customHeight="true" outlineLevel="0" collapsed="false">
      <c r="B64" s="1" t="str">
        <f aca="false">IFERROR(VLOOKUP(A64,'Pass 2'!$A:$S,MATCH("Category",'Pass 2'!$1:$1,0),FALSE()),"")</f>
        <v/>
      </c>
      <c r="C64" s="1" t="str">
        <f aca="false">IFERROR(VLOOKUP(A64,'Pass 1 Archive'!$A:$AD,MATCH("LinkedIn Employee Count",'Pass 1 Archive'!$1:$1,0),FALSE()),"")</f>
        <v/>
      </c>
      <c r="D64" s="1" t="str">
        <f aca="false">IFERROR(VLOOKUP(A64,'Pass 2'!$A:$S,MATCH("Jan 2025 Traffic",'Pass 2'!$1:$1,0),FALSE()),"")</f>
        <v/>
      </c>
      <c r="E64" s="1" t="str">
        <f aca="false">IFERROR(VLOOKUP(A64,'Pass 2'!$A:$S,MATCH("Jun 2026 Traffic",'Pass 2'!$1:$1,0),FALSE()),"")</f>
        <v/>
      </c>
      <c r="F64" s="1" t="str">
        <f aca="false">IFERROR(VLOOKUP(A64,'Pass 2'!$A:$S,MATCH("Traffic % Change",'Pass 2'!$1:$1,0),FALSE()),"")</f>
        <v/>
      </c>
      <c r="G64" s="1" t="str">
        <f aca="false">IFERROR(VLOOKUP(A64,'Pass 2'!$A:$S,MATCH("Jan 2025 Referring Domains",'Pass 2'!$1:$1,0),FALSE()),"")</f>
        <v/>
      </c>
      <c r="H64" s="1" t="str">
        <f aca="false">IFERROR(VLOOKUP(A64,'Pass 2'!$A:$S,MATCH("Jun 2026 Referring Domains",'Pass 2'!$1:$1,0),FALSE()),"")</f>
        <v/>
      </c>
    </row>
    <row r="65" customFormat="false" ht="15" hidden="false" customHeight="true" outlineLevel="0" collapsed="false">
      <c r="B65" s="1" t="str">
        <f aca="false">IFERROR(VLOOKUP(A65,'Pass 2'!$A:$S,MATCH("Category",'Pass 2'!$1:$1,0),FALSE()),"")</f>
        <v/>
      </c>
      <c r="C65" s="1" t="str">
        <f aca="false">IFERROR(VLOOKUP(A65,'Pass 1 Archive'!$A:$AD,MATCH("LinkedIn Employee Count",'Pass 1 Archive'!$1:$1,0),FALSE()),"")</f>
        <v/>
      </c>
      <c r="D65" s="1" t="str">
        <f aca="false">IFERROR(VLOOKUP(A65,'Pass 2'!$A:$S,MATCH("Jan 2025 Traffic",'Pass 2'!$1:$1,0),FALSE()),"")</f>
        <v/>
      </c>
      <c r="E65" s="1" t="str">
        <f aca="false">IFERROR(VLOOKUP(A65,'Pass 2'!$A:$S,MATCH("Jun 2026 Traffic",'Pass 2'!$1:$1,0),FALSE()),"")</f>
        <v/>
      </c>
      <c r="F65" s="1" t="str">
        <f aca="false">IFERROR(VLOOKUP(A65,'Pass 2'!$A:$S,MATCH("Traffic % Change",'Pass 2'!$1:$1,0),FALSE()),"")</f>
        <v/>
      </c>
      <c r="G65" s="1" t="str">
        <f aca="false">IFERROR(VLOOKUP(A65,'Pass 2'!$A:$S,MATCH("Jan 2025 Referring Domains",'Pass 2'!$1:$1,0),FALSE()),"")</f>
        <v/>
      </c>
      <c r="H65" s="1" t="str">
        <f aca="false">IFERROR(VLOOKUP(A65,'Pass 2'!$A:$S,MATCH("Jun 2026 Referring Domains",'Pass 2'!$1:$1,0),FALSE()),"")</f>
        <v/>
      </c>
    </row>
    <row r="66" customFormat="false" ht="15" hidden="false" customHeight="true" outlineLevel="0" collapsed="false">
      <c r="B66" s="1" t="str">
        <f aca="false">IFERROR(VLOOKUP(A66,'Pass 2'!$A:$S,MATCH("Category",'Pass 2'!$1:$1,0),FALSE()),"")</f>
        <v/>
      </c>
      <c r="C66" s="1" t="str">
        <f aca="false">IFERROR(VLOOKUP(A66,'Pass 1 Archive'!$A:$AD,MATCH("LinkedIn Employee Count",'Pass 1 Archive'!$1:$1,0),FALSE()),"")</f>
        <v/>
      </c>
      <c r="D66" s="1" t="str">
        <f aca="false">IFERROR(VLOOKUP(A66,'Pass 2'!$A:$S,MATCH("Jan 2025 Traffic",'Pass 2'!$1:$1,0),FALSE()),"")</f>
        <v/>
      </c>
      <c r="E66" s="1" t="str">
        <f aca="false">IFERROR(VLOOKUP(A66,'Pass 2'!$A:$S,MATCH("Jun 2026 Traffic",'Pass 2'!$1:$1,0),FALSE()),"")</f>
        <v/>
      </c>
      <c r="F66" s="1" t="str">
        <f aca="false">IFERROR(VLOOKUP(A66,'Pass 2'!$A:$S,MATCH("Traffic % Change",'Pass 2'!$1:$1,0),FALSE()),"")</f>
        <v/>
      </c>
      <c r="G66" s="1" t="str">
        <f aca="false">IFERROR(VLOOKUP(A66,'Pass 2'!$A:$S,MATCH("Jan 2025 Referring Domains",'Pass 2'!$1:$1,0),FALSE()),"")</f>
        <v/>
      </c>
      <c r="H66" s="1" t="str">
        <f aca="false">IFERROR(VLOOKUP(A66,'Pass 2'!$A:$S,MATCH("Jun 2026 Referring Domains",'Pass 2'!$1:$1,0),FALSE()),"")</f>
        <v/>
      </c>
    </row>
    <row r="67" customFormat="false" ht="15" hidden="false" customHeight="true" outlineLevel="0" collapsed="false">
      <c r="B67" s="1" t="str">
        <f aca="false">IFERROR(VLOOKUP(A67,'Pass 2'!$A:$S,MATCH("Category",'Pass 2'!$1:$1,0),FALSE()),"")</f>
        <v/>
      </c>
      <c r="C67" s="1" t="str">
        <f aca="false">IFERROR(VLOOKUP(A67,'Pass 1 Archive'!$A:$AD,MATCH("LinkedIn Employee Count",'Pass 1 Archive'!$1:$1,0),FALSE()),"")</f>
        <v/>
      </c>
      <c r="D67" s="1" t="str">
        <f aca="false">IFERROR(VLOOKUP(A67,'Pass 2'!$A:$S,MATCH("Jan 2025 Traffic",'Pass 2'!$1:$1,0),FALSE()),"")</f>
        <v/>
      </c>
      <c r="E67" s="1" t="str">
        <f aca="false">IFERROR(VLOOKUP(A67,'Pass 2'!$A:$S,MATCH("Jun 2026 Traffic",'Pass 2'!$1:$1,0),FALSE()),"")</f>
        <v/>
      </c>
      <c r="F67" s="1" t="str">
        <f aca="false">IFERROR(VLOOKUP(A67,'Pass 2'!$A:$S,MATCH("Traffic % Change",'Pass 2'!$1:$1,0),FALSE()),"")</f>
        <v/>
      </c>
      <c r="G67" s="1" t="str">
        <f aca="false">IFERROR(VLOOKUP(A67,'Pass 2'!$A:$S,MATCH("Jan 2025 Referring Domains",'Pass 2'!$1:$1,0),FALSE()),"")</f>
        <v/>
      </c>
      <c r="H67" s="1" t="str">
        <f aca="false">IFERROR(VLOOKUP(A67,'Pass 2'!$A:$S,MATCH("Jun 2026 Referring Domains",'Pass 2'!$1:$1,0),FALSE()),"")</f>
        <v/>
      </c>
    </row>
    <row r="68" customFormat="false" ht="15" hidden="false" customHeight="true" outlineLevel="0" collapsed="false">
      <c r="B68" s="1" t="str">
        <f aca="false">IFERROR(VLOOKUP(A68,'Pass 2'!$A:$S,MATCH("Category",'Pass 2'!$1:$1,0),FALSE()),"")</f>
        <v/>
      </c>
      <c r="C68" s="1" t="str">
        <f aca="false">IFERROR(VLOOKUP(A68,'Pass 1 Archive'!$A:$AD,MATCH("LinkedIn Employee Count",'Pass 1 Archive'!$1:$1,0),FALSE()),"")</f>
        <v/>
      </c>
      <c r="D68" s="1" t="str">
        <f aca="false">IFERROR(VLOOKUP(A68,'Pass 2'!$A:$S,MATCH("Jan 2025 Traffic",'Pass 2'!$1:$1,0),FALSE()),"")</f>
        <v/>
      </c>
      <c r="E68" s="1" t="str">
        <f aca="false">IFERROR(VLOOKUP(A68,'Pass 2'!$A:$S,MATCH("Jun 2026 Traffic",'Pass 2'!$1:$1,0),FALSE()),"")</f>
        <v/>
      </c>
      <c r="F68" s="1" t="str">
        <f aca="false">IFERROR(VLOOKUP(A68,'Pass 2'!$A:$S,MATCH("Traffic % Change",'Pass 2'!$1:$1,0),FALSE()),"")</f>
        <v/>
      </c>
      <c r="G68" s="1" t="str">
        <f aca="false">IFERROR(VLOOKUP(A68,'Pass 2'!$A:$S,MATCH("Jan 2025 Referring Domains",'Pass 2'!$1:$1,0),FALSE()),"")</f>
        <v/>
      </c>
      <c r="H68" s="1" t="str">
        <f aca="false">IFERROR(VLOOKUP(A68,'Pass 2'!$A:$S,MATCH("Jun 2026 Referring Domains",'Pass 2'!$1:$1,0),FALSE()),"")</f>
        <v/>
      </c>
    </row>
    <row r="69" customFormat="false" ht="15" hidden="false" customHeight="true" outlineLevel="0" collapsed="false">
      <c r="B69" s="1" t="str">
        <f aca="false">IFERROR(VLOOKUP(A69,'Pass 2'!$A:$S,MATCH("Category",'Pass 2'!$1:$1,0),FALSE()),"")</f>
        <v/>
      </c>
      <c r="C69" s="1" t="str">
        <f aca="false">IFERROR(VLOOKUP(A69,'Pass 1 Archive'!$A:$AD,MATCH("LinkedIn Employee Count",'Pass 1 Archive'!$1:$1,0),FALSE()),"")</f>
        <v/>
      </c>
      <c r="D69" s="1" t="str">
        <f aca="false">IFERROR(VLOOKUP(A69,'Pass 2'!$A:$S,MATCH("Jan 2025 Traffic",'Pass 2'!$1:$1,0),FALSE()),"")</f>
        <v/>
      </c>
      <c r="E69" s="1" t="str">
        <f aca="false">IFERROR(VLOOKUP(A69,'Pass 2'!$A:$S,MATCH("Jun 2026 Traffic",'Pass 2'!$1:$1,0),FALSE()),"")</f>
        <v/>
      </c>
      <c r="F69" s="1" t="str">
        <f aca="false">IFERROR(VLOOKUP(A69,'Pass 2'!$A:$S,MATCH("Traffic % Change",'Pass 2'!$1:$1,0),FALSE()),"")</f>
        <v/>
      </c>
      <c r="G69" s="1" t="str">
        <f aca="false">IFERROR(VLOOKUP(A69,'Pass 2'!$A:$S,MATCH("Jan 2025 Referring Domains",'Pass 2'!$1:$1,0),FALSE()),"")</f>
        <v/>
      </c>
      <c r="H69" s="1" t="str">
        <f aca="false">IFERROR(VLOOKUP(A69,'Pass 2'!$A:$S,MATCH("Jun 2026 Referring Domains",'Pass 2'!$1:$1,0),FALSE()),"")</f>
        <v/>
      </c>
    </row>
    <row r="70" customFormat="false" ht="15" hidden="false" customHeight="true" outlineLevel="0" collapsed="false">
      <c r="B70" s="1" t="str">
        <f aca="false">IFERROR(VLOOKUP(A70,'Pass 2'!$A:$S,MATCH("Category",'Pass 2'!$1:$1,0),FALSE()),"")</f>
        <v/>
      </c>
      <c r="C70" s="1" t="str">
        <f aca="false">IFERROR(VLOOKUP(A70,'Pass 1 Archive'!$A:$AD,MATCH("LinkedIn Employee Count",'Pass 1 Archive'!$1:$1,0),FALSE()),"")</f>
        <v/>
      </c>
      <c r="D70" s="1" t="str">
        <f aca="false">IFERROR(VLOOKUP(A70,'Pass 2'!$A:$S,MATCH("Jan 2025 Traffic",'Pass 2'!$1:$1,0),FALSE()),"")</f>
        <v/>
      </c>
      <c r="E70" s="1" t="str">
        <f aca="false">IFERROR(VLOOKUP(A70,'Pass 2'!$A:$S,MATCH("Jun 2026 Traffic",'Pass 2'!$1:$1,0),FALSE()),"")</f>
        <v/>
      </c>
      <c r="F70" s="1" t="str">
        <f aca="false">IFERROR(VLOOKUP(A70,'Pass 2'!$A:$S,MATCH("Traffic % Change",'Pass 2'!$1:$1,0),FALSE()),"")</f>
        <v/>
      </c>
      <c r="G70" s="1" t="str">
        <f aca="false">IFERROR(VLOOKUP(A70,'Pass 2'!$A:$S,MATCH("Jan 2025 Referring Domains",'Pass 2'!$1:$1,0),FALSE()),"")</f>
        <v/>
      </c>
      <c r="H70" s="1" t="str">
        <f aca="false">IFERROR(VLOOKUP(A70,'Pass 2'!$A:$S,MATCH("Jun 2026 Referring Domains",'Pass 2'!$1:$1,0),FALSE()),"")</f>
        <v/>
      </c>
    </row>
    <row r="71" customFormat="false" ht="15" hidden="false" customHeight="true" outlineLevel="0" collapsed="false">
      <c r="B71" s="1" t="str">
        <f aca="false">IFERROR(VLOOKUP(A71,'Pass 2'!$A:$S,MATCH("Category",'Pass 2'!$1:$1,0),FALSE()),"")</f>
        <v/>
      </c>
      <c r="C71" s="1" t="str">
        <f aca="false">IFERROR(VLOOKUP(A71,'Pass 1 Archive'!$A:$AD,MATCH("LinkedIn Employee Count",'Pass 1 Archive'!$1:$1,0),FALSE()),"")</f>
        <v/>
      </c>
      <c r="D71" s="1" t="str">
        <f aca="false">IFERROR(VLOOKUP(A71,'Pass 2'!$A:$S,MATCH("Jan 2025 Traffic",'Pass 2'!$1:$1,0),FALSE()),"")</f>
        <v/>
      </c>
      <c r="E71" s="1" t="str">
        <f aca="false">IFERROR(VLOOKUP(A71,'Pass 2'!$A:$S,MATCH("Jun 2026 Traffic",'Pass 2'!$1:$1,0),FALSE()),"")</f>
        <v/>
      </c>
      <c r="F71" s="1" t="str">
        <f aca="false">IFERROR(VLOOKUP(A71,'Pass 2'!$A:$S,MATCH("Traffic % Change",'Pass 2'!$1:$1,0),FALSE()),"")</f>
        <v/>
      </c>
      <c r="G71" s="1" t="str">
        <f aca="false">IFERROR(VLOOKUP(A71,'Pass 2'!$A:$S,MATCH("Jan 2025 Referring Domains",'Pass 2'!$1:$1,0),FALSE()),"")</f>
        <v/>
      </c>
      <c r="H71" s="1" t="str">
        <f aca="false">IFERROR(VLOOKUP(A71,'Pass 2'!$A:$S,MATCH("Jun 2026 Referring Domains",'Pass 2'!$1:$1,0),FALSE()),"")</f>
        <v/>
      </c>
    </row>
    <row r="72" customFormat="false" ht="15" hidden="false" customHeight="true" outlineLevel="0" collapsed="false">
      <c r="B72" s="1" t="str">
        <f aca="false">IFERROR(VLOOKUP(A72,'Pass 2'!$A:$S,MATCH("Category",'Pass 2'!$1:$1,0),FALSE()),"")</f>
        <v/>
      </c>
      <c r="C72" s="1" t="str">
        <f aca="false">IFERROR(VLOOKUP(A72,'Pass 1 Archive'!$A:$AD,MATCH("LinkedIn Employee Count",'Pass 1 Archive'!$1:$1,0),FALSE()),"")</f>
        <v/>
      </c>
      <c r="D72" s="1" t="str">
        <f aca="false">IFERROR(VLOOKUP(A72,'Pass 2'!$A:$S,MATCH("Jan 2025 Traffic",'Pass 2'!$1:$1,0),FALSE()),"")</f>
        <v/>
      </c>
      <c r="E72" s="1" t="str">
        <f aca="false">IFERROR(VLOOKUP(A72,'Pass 2'!$A:$S,MATCH("Jun 2026 Traffic",'Pass 2'!$1:$1,0),FALSE()),"")</f>
        <v/>
      </c>
      <c r="F72" s="1" t="str">
        <f aca="false">IFERROR(VLOOKUP(A72,'Pass 2'!$A:$S,MATCH("Traffic % Change",'Pass 2'!$1:$1,0),FALSE()),"")</f>
        <v/>
      </c>
      <c r="G72" s="1" t="str">
        <f aca="false">IFERROR(VLOOKUP(A72,'Pass 2'!$A:$S,MATCH("Jan 2025 Referring Domains",'Pass 2'!$1:$1,0),FALSE()),"")</f>
        <v/>
      </c>
      <c r="H72" s="1" t="str">
        <f aca="false">IFERROR(VLOOKUP(A72,'Pass 2'!$A:$S,MATCH("Jun 2026 Referring Domains",'Pass 2'!$1:$1,0),FALSE()),"")</f>
        <v/>
      </c>
    </row>
    <row r="73" customFormat="false" ht="15" hidden="false" customHeight="true" outlineLevel="0" collapsed="false">
      <c r="B73" s="1" t="str">
        <f aca="false">IFERROR(VLOOKUP(A73,'Pass 2'!$A:$S,MATCH("Category",'Pass 2'!$1:$1,0),FALSE()),"")</f>
        <v/>
      </c>
      <c r="C73" s="1" t="str">
        <f aca="false">IFERROR(VLOOKUP(A73,'Pass 1 Archive'!$A:$AD,MATCH("LinkedIn Employee Count",'Pass 1 Archive'!$1:$1,0),FALSE()),"")</f>
        <v/>
      </c>
      <c r="D73" s="1" t="str">
        <f aca="false">IFERROR(VLOOKUP(A73,'Pass 2'!$A:$S,MATCH("Jan 2025 Traffic",'Pass 2'!$1:$1,0),FALSE()),"")</f>
        <v/>
      </c>
      <c r="E73" s="1" t="str">
        <f aca="false">IFERROR(VLOOKUP(A73,'Pass 2'!$A:$S,MATCH("Jun 2026 Traffic",'Pass 2'!$1:$1,0),FALSE()),"")</f>
        <v/>
      </c>
      <c r="F73" s="1" t="str">
        <f aca="false">IFERROR(VLOOKUP(A73,'Pass 2'!$A:$S,MATCH("Traffic % Change",'Pass 2'!$1:$1,0),FALSE()),"")</f>
        <v/>
      </c>
      <c r="G73" s="1" t="str">
        <f aca="false">IFERROR(VLOOKUP(A73,'Pass 2'!$A:$S,MATCH("Jan 2025 Referring Domains",'Pass 2'!$1:$1,0),FALSE()),"")</f>
        <v/>
      </c>
      <c r="H73" s="1" t="str">
        <f aca="false">IFERROR(VLOOKUP(A73,'Pass 2'!$A:$S,MATCH("Jun 2026 Referring Domains",'Pass 2'!$1:$1,0),FALSE()),"")</f>
        <v/>
      </c>
    </row>
    <row r="74" customFormat="false" ht="15" hidden="false" customHeight="true" outlineLevel="0" collapsed="false">
      <c r="B74" s="1" t="str">
        <f aca="false">IFERROR(VLOOKUP(A74,'Pass 2'!$A:$S,MATCH("Category",'Pass 2'!$1:$1,0),FALSE()),"")</f>
        <v/>
      </c>
      <c r="C74" s="1" t="str">
        <f aca="false">IFERROR(VLOOKUP(A74,'Pass 1 Archive'!$A:$AD,MATCH("LinkedIn Employee Count",'Pass 1 Archive'!$1:$1,0),FALSE()),"")</f>
        <v/>
      </c>
      <c r="D74" s="1" t="str">
        <f aca="false">IFERROR(VLOOKUP(A74,'Pass 2'!$A:$S,MATCH("Jan 2025 Traffic",'Pass 2'!$1:$1,0),FALSE()),"")</f>
        <v/>
      </c>
      <c r="E74" s="1" t="str">
        <f aca="false">IFERROR(VLOOKUP(A74,'Pass 2'!$A:$S,MATCH("Jun 2026 Traffic",'Pass 2'!$1:$1,0),FALSE()),"")</f>
        <v/>
      </c>
      <c r="F74" s="1" t="str">
        <f aca="false">IFERROR(VLOOKUP(A74,'Pass 2'!$A:$S,MATCH("Traffic % Change",'Pass 2'!$1:$1,0),FALSE()),"")</f>
        <v/>
      </c>
      <c r="G74" s="1" t="str">
        <f aca="false">IFERROR(VLOOKUP(A74,'Pass 2'!$A:$S,MATCH("Jan 2025 Referring Domains",'Pass 2'!$1:$1,0),FALSE()),"")</f>
        <v/>
      </c>
      <c r="H74" s="1" t="str">
        <f aca="false">IFERROR(VLOOKUP(A74,'Pass 2'!$A:$S,MATCH("Jun 2026 Referring Domains",'Pass 2'!$1:$1,0),FALSE()),"")</f>
        <v/>
      </c>
    </row>
    <row r="75" customFormat="false" ht="15" hidden="false" customHeight="true" outlineLevel="0" collapsed="false">
      <c r="B75" s="1" t="str">
        <f aca="false">IFERROR(VLOOKUP(A75,'Pass 2'!$A:$S,MATCH("Category",'Pass 2'!$1:$1,0),FALSE()),"")</f>
        <v/>
      </c>
      <c r="C75" s="1" t="str">
        <f aca="false">IFERROR(VLOOKUP(A75,'Pass 1 Archive'!$A:$AD,MATCH("LinkedIn Employee Count",'Pass 1 Archive'!$1:$1,0),FALSE()),"")</f>
        <v/>
      </c>
      <c r="D75" s="1" t="str">
        <f aca="false">IFERROR(VLOOKUP(A75,'Pass 2'!$A:$S,MATCH("Jan 2025 Traffic",'Pass 2'!$1:$1,0),FALSE()),"")</f>
        <v/>
      </c>
      <c r="E75" s="1" t="str">
        <f aca="false">IFERROR(VLOOKUP(A75,'Pass 2'!$A:$S,MATCH("Jun 2026 Traffic",'Pass 2'!$1:$1,0),FALSE()),"")</f>
        <v/>
      </c>
      <c r="F75" s="1" t="str">
        <f aca="false">IFERROR(VLOOKUP(A75,'Pass 2'!$A:$S,MATCH("Traffic % Change",'Pass 2'!$1:$1,0),FALSE()),"")</f>
        <v/>
      </c>
      <c r="G75" s="1" t="str">
        <f aca="false">IFERROR(VLOOKUP(A75,'Pass 2'!$A:$S,MATCH("Jan 2025 Referring Domains",'Pass 2'!$1:$1,0),FALSE()),"")</f>
        <v/>
      </c>
      <c r="H75" s="1" t="str">
        <f aca="false">IFERROR(VLOOKUP(A75,'Pass 2'!$A:$S,MATCH("Jun 2026 Referring Domains",'Pass 2'!$1:$1,0),FALSE()),"")</f>
        <v/>
      </c>
    </row>
    <row r="76" customFormat="false" ht="15" hidden="false" customHeight="true" outlineLevel="0" collapsed="false">
      <c r="B76" s="1" t="str">
        <f aca="false">IFERROR(VLOOKUP(A76,'Pass 2'!$A:$S,MATCH("Category",'Pass 2'!$1:$1,0),FALSE()),"")</f>
        <v/>
      </c>
      <c r="C76" s="1" t="str">
        <f aca="false">IFERROR(VLOOKUP(A76,'Pass 1 Archive'!$A:$AD,MATCH("LinkedIn Employee Count",'Pass 1 Archive'!$1:$1,0),FALSE()),"")</f>
        <v/>
      </c>
      <c r="D76" s="1" t="str">
        <f aca="false">IFERROR(VLOOKUP(A76,'Pass 2'!$A:$S,MATCH("Jan 2025 Traffic",'Pass 2'!$1:$1,0),FALSE()),"")</f>
        <v/>
      </c>
      <c r="E76" s="1" t="str">
        <f aca="false">IFERROR(VLOOKUP(A76,'Pass 2'!$A:$S,MATCH("Jun 2026 Traffic",'Pass 2'!$1:$1,0),FALSE()),"")</f>
        <v/>
      </c>
      <c r="F76" s="1" t="str">
        <f aca="false">IFERROR(VLOOKUP(A76,'Pass 2'!$A:$S,MATCH("Traffic % Change",'Pass 2'!$1:$1,0),FALSE()),"")</f>
        <v/>
      </c>
      <c r="G76" s="1" t="str">
        <f aca="false">IFERROR(VLOOKUP(A76,'Pass 2'!$A:$S,MATCH("Jan 2025 Referring Domains",'Pass 2'!$1:$1,0),FALSE()),"")</f>
        <v/>
      </c>
      <c r="H76" s="1" t="str">
        <f aca="false">IFERROR(VLOOKUP(A76,'Pass 2'!$A:$S,MATCH("Jun 2026 Referring Domains",'Pass 2'!$1:$1,0),FALSE()),"")</f>
        <v/>
      </c>
    </row>
    <row r="77" customFormat="false" ht="15" hidden="false" customHeight="true" outlineLevel="0" collapsed="false">
      <c r="B77" s="1" t="str">
        <f aca="false">IFERROR(VLOOKUP(A77,'Pass 2'!$A:$S,MATCH("Category",'Pass 2'!$1:$1,0),FALSE()),"")</f>
        <v/>
      </c>
      <c r="C77" s="1" t="str">
        <f aca="false">IFERROR(VLOOKUP(A77,'Pass 1 Archive'!$A:$AD,MATCH("LinkedIn Employee Count",'Pass 1 Archive'!$1:$1,0),FALSE()),"")</f>
        <v/>
      </c>
      <c r="D77" s="1" t="str">
        <f aca="false">IFERROR(VLOOKUP(A77,'Pass 2'!$A:$S,MATCH("Jan 2025 Traffic",'Pass 2'!$1:$1,0),FALSE()),"")</f>
        <v/>
      </c>
      <c r="E77" s="1" t="str">
        <f aca="false">IFERROR(VLOOKUP(A77,'Pass 2'!$A:$S,MATCH("Jun 2026 Traffic",'Pass 2'!$1:$1,0),FALSE()),"")</f>
        <v/>
      </c>
      <c r="F77" s="1" t="str">
        <f aca="false">IFERROR(VLOOKUP(A77,'Pass 2'!$A:$S,MATCH("Traffic % Change",'Pass 2'!$1:$1,0),FALSE()),"")</f>
        <v/>
      </c>
      <c r="G77" s="1" t="str">
        <f aca="false">IFERROR(VLOOKUP(A77,'Pass 2'!$A:$S,MATCH("Jan 2025 Referring Domains",'Pass 2'!$1:$1,0),FALSE()),"")</f>
        <v/>
      </c>
      <c r="H77" s="1" t="str">
        <f aca="false">IFERROR(VLOOKUP(A77,'Pass 2'!$A:$S,MATCH("Jun 2026 Referring Domains",'Pass 2'!$1:$1,0),FALSE()),"")</f>
        <v/>
      </c>
    </row>
    <row r="78" customFormat="false" ht="15" hidden="false" customHeight="true" outlineLevel="0" collapsed="false">
      <c r="B78" s="1" t="str">
        <f aca="false">IFERROR(VLOOKUP(A78,'Pass 2'!$A:$S,MATCH("Category",'Pass 2'!$1:$1,0),FALSE()),"")</f>
        <v/>
      </c>
      <c r="C78" s="1" t="str">
        <f aca="false">IFERROR(VLOOKUP(A78,'Pass 1 Archive'!$A:$AD,MATCH("LinkedIn Employee Count",'Pass 1 Archive'!$1:$1,0),FALSE()),"")</f>
        <v/>
      </c>
      <c r="D78" s="1" t="str">
        <f aca="false">IFERROR(VLOOKUP(A78,'Pass 2'!$A:$S,MATCH("Jan 2025 Traffic",'Pass 2'!$1:$1,0),FALSE()),"")</f>
        <v/>
      </c>
      <c r="E78" s="1" t="str">
        <f aca="false">IFERROR(VLOOKUP(A78,'Pass 2'!$A:$S,MATCH("Jun 2026 Traffic",'Pass 2'!$1:$1,0),FALSE()),"")</f>
        <v/>
      </c>
      <c r="F78" s="1" t="str">
        <f aca="false">IFERROR(VLOOKUP(A78,'Pass 2'!$A:$S,MATCH("Traffic % Change",'Pass 2'!$1:$1,0),FALSE()),"")</f>
        <v/>
      </c>
      <c r="G78" s="1" t="str">
        <f aca="false">IFERROR(VLOOKUP(A78,'Pass 2'!$A:$S,MATCH("Jan 2025 Referring Domains",'Pass 2'!$1:$1,0),FALSE()),"")</f>
        <v/>
      </c>
      <c r="H78" s="1" t="str">
        <f aca="false">IFERROR(VLOOKUP(A78,'Pass 2'!$A:$S,MATCH("Jun 2026 Referring Domains",'Pass 2'!$1:$1,0),FALSE()),"")</f>
        <v/>
      </c>
    </row>
    <row r="79" customFormat="false" ht="15" hidden="false" customHeight="true" outlineLevel="0" collapsed="false">
      <c r="B79" s="1" t="str">
        <f aca="false">IFERROR(VLOOKUP(A79,'Pass 2'!$A:$S,MATCH("Category",'Pass 2'!$1:$1,0),FALSE()),"")</f>
        <v/>
      </c>
      <c r="C79" s="1" t="str">
        <f aca="false">IFERROR(VLOOKUP(A79,'Pass 1 Archive'!$A:$AD,MATCH("LinkedIn Employee Count",'Pass 1 Archive'!$1:$1,0),FALSE()),"")</f>
        <v/>
      </c>
      <c r="D79" s="1" t="str">
        <f aca="false">IFERROR(VLOOKUP(A79,'Pass 2'!$A:$S,MATCH("Jan 2025 Traffic",'Pass 2'!$1:$1,0),FALSE()),"")</f>
        <v/>
      </c>
      <c r="E79" s="1" t="str">
        <f aca="false">IFERROR(VLOOKUP(A79,'Pass 2'!$A:$S,MATCH("Jun 2026 Traffic",'Pass 2'!$1:$1,0),FALSE()),"")</f>
        <v/>
      </c>
      <c r="F79" s="1" t="str">
        <f aca="false">IFERROR(VLOOKUP(A79,'Pass 2'!$A:$S,MATCH("Traffic % Change",'Pass 2'!$1:$1,0),FALSE()),"")</f>
        <v/>
      </c>
      <c r="G79" s="1" t="str">
        <f aca="false">IFERROR(VLOOKUP(A79,'Pass 2'!$A:$S,MATCH("Jan 2025 Referring Domains",'Pass 2'!$1:$1,0),FALSE()),"")</f>
        <v/>
      </c>
      <c r="H79" s="1" t="str">
        <f aca="false">IFERROR(VLOOKUP(A79,'Pass 2'!$A:$S,MATCH("Jun 2026 Referring Domains",'Pass 2'!$1:$1,0),FALSE()),"")</f>
        <v/>
      </c>
    </row>
    <row r="80" customFormat="false" ht="15" hidden="false" customHeight="true" outlineLevel="0" collapsed="false">
      <c r="B80" s="1" t="str">
        <f aca="false">IFERROR(VLOOKUP(A80,'Pass 2'!$A:$S,MATCH("Category",'Pass 2'!$1:$1,0),FALSE()),"")</f>
        <v/>
      </c>
      <c r="C80" s="1" t="str">
        <f aca="false">IFERROR(VLOOKUP(A80,'Pass 1 Archive'!$A:$AD,MATCH("LinkedIn Employee Count",'Pass 1 Archive'!$1:$1,0),FALSE()),"")</f>
        <v/>
      </c>
      <c r="D80" s="1" t="str">
        <f aca="false">IFERROR(VLOOKUP(A80,'Pass 2'!$A:$S,MATCH("Jan 2025 Traffic",'Pass 2'!$1:$1,0),FALSE()),"")</f>
        <v/>
      </c>
      <c r="E80" s="1" t="str">
        <f aca="false">IFERROR(VLOOKUP(A80,'Pass 2'!$A:$S,MATCH("Jun 2026 Traffic",'Pass 2'!$1:$1,0),FALSE()),"")</f>
        <v/>
      </c>
      <c r="F80" s="1" t="str">
        <f aca="false">IFERROR(VLOOKUP(A80,'Pass 2'!$A:$S,MATCH("Traffic % Change",'Pass 2'!$1:$1,0),FALSE()),"")</f>
        <v/>
      </c>
      <c r="G80" s="1" t="str">
        <f aca="false">IFERROR(VLOOKUP(A80,'Pass 2'!$A:$S,MATCH("Jan 2025 Referring Domains",'Pass 2'!$1:$1,0),FALSE()),"")</f>
        <v/>
      </c>
      <c r="H80" s="1" t="str">
        <f aca="false">IFERROR(VLOOKUP(A80,'Pass 2'!$A:$S,MATCH("Jun 2026 Referring Domains",'Pass 2'!$1:$1,0),FALSE()),"")</f>
        <v/>
      </c>
    </row>
    <row r="81" customFormat="false" ht="15" hidden="false" customHeight="true" outlineLevel="0" collapsed="false">
      <c r="B81" s="1" t="str">
        <f aca="false">IFERROR(VLOOKUP(A81,'Pass 2'!$A:$S,MATCH("Category",'Pass 2'!$1:$1,0),FALSE()),"")</f>
        <v/>
      </c>
      <c r="C81" s="1" t="str">
        <f aca="false">IFERROR(VLOOKUP(A81,'Pass 1 Archive'!$A:$AD,MATCH("LinkedIn Employee Count",'Pass 1 Archive'!$1:$1,0),FALSE()),"")</f>
        <v/>
      </c>
      <c r="D81" s="1" t="str">
        <f aca="false">IFERROR(VLOOKUP(A81,'Pass 2'!$A:$S,MATCH("Jan 2025 Traffic",'Pass 2'!$1:$1,0),FALSE()),"")</f>
        <v/>
      </c>
      <c r="E81" s="1" t="str">
        <f aca="false">IFERROR(VLOOKUP(A81,'Pass 2'!$A:$S,MATCH("Jun 2026 Traffic",'Pass 2'!$1:$1,0),FALSE()),"")</f>
        <v/>
      </c>
      <c r="F81" s="1" t="str">
        <f aca="false">IFERROR(VLOOKUP(A81,'Pass 2'!$A:$S,MATCH("Traffic % Change",'Pass 2'!$1:$1,0),FALSE()),"")</f>
        <v/>
      </c>
      <c r="G81" s="1" t="str">
        <f aca="false">IFERROR(VLOOKUP(A81,'Pass 2'!$A:$S,MATCH("Jan 2025 Referring Domains",'Pass 2'!$1:$1,0),FALSE()),"")</f>
        <v/>
      </c>
      <c r="H81" s="1" t="str">
        <f aca="false">IFERROR(VLOOKUP(A81,'Pass 2'!$A:$S,MATCH("Jun 2026 Referring Domains",'Pass 2'!$1:$1,0),FALSE()),"")</f>
        <v/>
      </c>
    </row>
    <row r="82" customFormat="false" ht="15" hidden="false" customHeight="true" outlineLevel="0" collapsed="false">
      <c r="B82" s="1" t="str">
        <f aca="false">IFERROR(VLOOKUP(A82,'Pass 2'!$A:$S,MATCH("Category",'Pass 2'!$1:$1,0),FALSE()),"")</f>
        <v/>
      </c>
      <c r="C82" s="1" t="str">
        <f aca="false">IFERROR(VLOOKUP(A82,'Pass 1 Archive'!$A:$AD,MATCH("LinkedIn Employee Count",'Pass 1 Archive'!$1:$1,0),FALSE()),"")</f>
        <v/>
      </c>
      <c r="D82" s="1" t="str">
        <f aca="false">IFERROR(VLOOKUP(A82,'Pass 2'!$A:$S,MATCH("Jan 2025 Traffic",'Pass 2'!$1:$1,0),FALSE()),"")</f>
        <v/>
      </c>
      <c r="E82" s="1" t="str">
        <f aca="false">IFERROR(VLOOKUP(A82,'Pass 2'!$A:$S,MATCH("Jun 2026 Traffic",'Pass 2'!$1:$1,0),FALSE()),"")</f>
        <v/>
      </c>
      <c r="F82" s="1" t="str">
        <f aca="false">IFERROR(VLOOKUP(A82,'Pass 2'!$A:$S,MATCH("Traffic % Change",'Pass 2'!$1:$1,0),FALSE()),"")</f>
        <v/>
      </c>
      <c r="G82" s="1" t="str">
        <f aca="false">IFERROR(VLOOKUP(A82,'Pass 2'!$A:$S,MATCH("Jan 2025 Referring Domains",'Pass 2'!$1:$1,0),FALSE()),"")</f>
        <v/>
      </c>
      <c r="H82" s="1" t="str">
        <f aca="false">IFERROR(VLOOKUP(A82,'Pass 2'!$A:$S,MATCH("Jun 2026 Referring Domains",'Pass 2'!$1:$1,0),FALSE()),"")</f>
        <v/>
      </c>
    </row>
    <row r="83" customFormat="false" ht="15" hidden="false" customHeight="true" outlineLevel="0" collapsed="false">
      <c r="B83" s="1" t="str">
        <f aca="false">IFERROR(VLOOKUP(A83,'Pass 2'!$A:$S,MATCH("Category",'Pass 2'!$1:$1,0),FALSE()),"")</f>
        <v/>
      </c>
      <c r="C83" s="1" t="str">
        <f aca="false">IFERROR(VLOOKUP(A83,'Pass 1 Archive'!$A:$AD,MATCH("LinkedIn Employee Count",'Pass 1 Archive'!$1:$1,0),FALSE()),"")</f>
        <v/>
      </c>
      <c r="D83" s="1" t="str">
        <f aca="false">IFERROR(VLOOKUP(A83,'Pass 2'!$A:$S,MATCH("Jan 2025 Traffic",'Pass 2'!$1:$1,0),FALSE()),"")</f>
        <v/>
      </c>
      <c r="E83" s="1" t="str">
        <f aca="false">IFERROR(VLOOKUP(A83,'Pass 2'!$A:$S,MATCH("Jun 2026 Traffic",'Pass 2'!$1:$1,0),FALSE()),"")</f>
        <v/>
      </c>
      <c r="F83" s="1" t="str">
        <f aca="false">IFERROR(VLOOKUP(A83,'Pass 2'!$A:$S,MATCH("Traffic % Change",'Pass 2'!$1:$1,0),FALSE()),"")</f>
        <v/>
      </c>
      <c r="G83" s="1" t="str">
        <f aca="false">IFERROR(VLOOKUP(A83,'Pass 2'!$A:$S,MATCH("Jan 2025 Referring Domains",'Pass 2'!$1:$1,0),FALSE()),"")</f>
        <v/>
      </c>
      <c r="H83" s="1" t="str">
        <f aca="false">IFERROR(VLOOKUP(A83,'Pass 2'!$A:$S,MATCH("Jun 2026 Referring Domains",'Pass 2'!$1:$1,0),FALSE()),"")</f>
        <v/>
      </c>
    </row>
    <row r="84" customFormat="false" ht="15" hidden="false" customHeight="true" outlineLevel="0" collapsed="false">
      <c r="B84" s="1" t="str">
        <f aca="false">IFERROR(VLOOKUP(A84,'Pass 2'!$A:$S,MATCH("Category",'Pass 2'!$1:$1,0),FALSE()),"")</f>
        <v/>
      </c>
      <c r="C84" s="1" t="str">
        <f aca="false">IFERROR(VLOOKUP(A84,'Pass 1 Archive'!$A:$AD,MATCH("LinkedIn Employee Count",'Pass 1 Archive'!$1:$1,0),FALSE()),"")</f>
        <v/>
      </c>
      <c r="D84" s="1" t="str">
        <f aca="false">IFERROR(VLOOKUP(A84,'Pass 2'!$A:$S,MATCH("Jan 2025 Traffic",'Pass 2'!$1:$1,0),FALSE()),"")</f>
        <v/>
      </c>
      <c r="E84" s="1" t="str">
        <f aca="false">IFERROR(VLOOKUP(A84,'Pass 2'!$A:$S,MATCH("Jun 2026 Traffic",'Pass 2'!$1:$1,0),FALSE()),"")</f>
        <v/>
      </c>
      <c r="F84" s="1" t="str">
        <f aca="false">IFERROR(VLOOKUP(A84,'Pass 2'!$A:$S,MATCH("Traffic % Change",'Pass 2'!$1:$1,0),FALSE()),"")</f>
        <v/>
      </c>
      <c r="G84" s="1" t="str">
        <f aca="false">IFERROR(VLOOKUP(A84,'Pass 2'!$A:$S,MATCH("Jan 2025 Referring Domains",'Pass 2'!$1:$1,0),FALSE()),"")</f>
        <v/>
      </c>
      <c r="H84" s="1" t="str">
        <f aca="false">IFERROR(VLOOKUP(A84,'Pass 2'!$A:$S,MATCH("Jun 2026 Referring Domains",'Pass 2'!$1:$1,0),FALSE()),"")</f>
        <v/>
      </c>
    </row>
    <row r="85" customFormat="false" ht="15" hidden="false" customHeight="true" outlineLevel="0" collapsed="false">
      <c r="B85" s="1" t="str">
        <f aca="false">IFERROR(VLOOKUP(A85,'Pass 2'!$A:$S,MATCH("Category",'Pass 2'!$1:$1,0),FALSE()),"")</f>
        <v/>
      </c>
      <c r="C85" s="1" t="str">
        <f aca="false">IFERROR(VLOOKUP(A85,'Pass 1 Archive'!$A:$AD,MATCH("LinkedIn Employee Count",'Pass 1 Archive'!$1:$1,0),FALSE()),"")</f>
        <v/>
      </c>
      <c r="D85" s="1" t="str">
        <f aca="false">IFERROR(VLOOKUP(A85,'Pass 2'!$A:$S,MATCH("Jan 2025 Traffic",'Pass 2'!$1:$1,0),FALSE()),"")</f>
        <v/>
      </c>
      <c r="E85" s="1" t="str">
        <f aca="false">IFERROR(VLOOKUP(A85,'Pass 2'!$A:$S,MATCH("Jun 2026 Traffic",'Pass 2'!$1:$1,0),FALSE()),"")</f>
        <v/>
      </c>
      <c r="F85" s="1" t="str">
        <f aca="false">IFERROR(VLOOKUP(A85,'Pass 2'!$A:$S,MATCH("Traffic % Change",'Pass 2'!$1:$1,0),FALSE()),"")</f>
        <v/>
      </c>
      <c r="G85" s="1" t="str">
        <f aca="false">IFERROR(VLOOKUP(A85,'Pass 2'!$A:$S,MATCH("Jan 2025 Referring Domains",'Pass 2'!$1:$1,0),FALSE()),"")</f>
        <v/>
      </c>
      <c r="H85" s="1" t="str">
        <f aca="false">IFERROR(VLOOKUP(A85,'Pass 2'!$A:$S,MATCH("Jun 2026 Referring Domains",'Pass 2'!$1:$1,0),FALSE()),"")</f>
        <v/>
      </c>
    </row>
    <row r="86" customFormat="false" ht="15" hidden="false" customHeight="true" outlineLevel="0" collapsed="false">
      <c r="B86" s="1" t="str">
        <f aca="false">IFERROR(VLOOKUP(A86,'Pass 2'!$A:$S,MATCH("Category",'Pass 2'!$1:$1,0),FALSE()),"")</f>
        <v/>
      </c>
      <c r="C86" s="1" t="str">
        <f aca="false">IFERROR(VLOOKUP(A86,'Pass 1 Archive'!$A:$AD,MATCH("LinkedIn Employee Count",'Pass 1 Archive'!$1:$1,0),FALSE()),"")</f>
        <v/>
      </c>
      <c r="D86" s="1" t="str">
        <f aca="false">IFERROR(VLOOKUP(A86,'Pass 2'!$A:$S,MATCH("Jan 2025 Traffic",'Pass 2'!$1:$1,0),FALSE()),"")</f>
        <v/>
      </c>
      <c r="E86" s="1" t="str">
        <f aca="false">IFERROR(VLOOKUP(A86,'Pass 2'!$A:$S,MATCH("Jun 2026 Traffic",'Pass 2'!$1:$1,0),FALSE()),"")</f>
        <v/>
      </c>
      <c r="F86" s="1" t="str">
        <f aca="false">IFERROR(VLOOKUP(A86,'Pass 2'!$A:$S,MATCH("Traffic % Change",'Pass 2'!$1:$1,0),FALSE()),"")</f>
        <v/>
      </c>
      <c r="G86" s="1" t="str">
        <f aca="false">IFERROR(VLOOKUP(A86,'Pass 2'!$A:$S,MATCH("Jan 2025 Referring Domains",'Pass 2'!$1:$1,0),FALSE()),"")</f>
        <v/>
      </c>
      <c r="H86" s="1" t="str">
        <f aca="false">IFERROR(VLOOKUP(A86,'Pass 2'!$A:$S,MATCH("Jun 2026 Referring Domains",'Pass 2'!$1:$1,0),FALSE()),"")</f>
        <v/>
      </c>
    </row>
    <row r="87" customFormat="false" ht="15" hidden="false" customHeight="true" outlineLevel="0" collapsed="false">
      <c r="B87" s="1" t="str">
        <f aca="false">IFERROR(VLOOKUP(A87,'Pass 2'!$A:$S,MATCH("Category",'Pass 2'!$1:$1,0),FALSE()),"")</f>
        <v/>
      </c>
      <c r="C87" s="1" t="str">
        <f aca="false">IFERROR(VLOOKUP(A87,'Pass 1 Archive'!$A:$AD,MATCH("LinkedIn Employee Count",'Pass 1 Archive'!$1:$1,0),FALSE()),"")</f>
        <v/>
      </c>
      <c r="D87" s="1" t="str">
        <f aca="false">IFERROR(VLOOKUP(A87,'Pass 2'!$A:$S,MATCH("Jan 2025 Traffic",'Pass 2'!$1:$1,0),FALSE()),"")</f>
        <v/>
      </c>
      <c r="E87" s="1" t="str">
        <f aca="false">IFERROR(VLOOKUP(A87,'Pass 2'!$A:$S,MATCH("Jun 2026 Traffic",'Pass 2'!$1:$1,0),FALSE()),"")</f>
        <v/>
      </c>
      <c r="F87" s="1" t="str">
        <f aca="false">IFERROR(VLOOKUP(A87,'Pass 2'!$A:$S,MATCH("Traffic % Change",'Pass 2'!$1:$1,0),FALSE()),"")</f>
        <v/>
      </c>
      <c r="G87" s="1" t="str">
        <f aca="false">IFERROR(VLOOKUP(A87,'Pass 2'!$A:$S,MATCH("Jan 2025 Referring Domains",'Pass 2'!$1:$1,0),FALSE()),"")</f>
        <v/>
      </c>
      <c r="H87" s="1" t="str">
        <f aca="false">IFERROR(VLOOKUP(A87,'Pass 2'!$A:$S,MATCH("Jun 2026 Referring Domains",'Pass 2'!$1:$1,0),FALSE()),"")</f>
        <v/>
      </c>
    </row>
    <row r="88" customFormat="false" ht="15" hidden="false" customHeight="true" outlineLevel="0" collapsed="false">
      <c r="B88" s="1" t="str">
        <f aca="false">IFERROR(VLOOKUP(A88,'Pass 2'!$A:$S,MATCH("Category",'Pass 2'!$1:$1,0),FALSE()),"")</f>
        <v/>
      </c>
      <c r="C88" s="1" t="str">
        <f aca="false">IFERROR(VLOOKUP(A88,'Pass 1 Archive'!$A:$AD,MATCH("LinkedIn Employee Count",'Pass 1 Archive'!$1:$1,0),FALSE()),"")</f>
        <v/>
      </c>
      <c r="D88" s="1" t="str">
        <f aca="false">IFERROR(VLOOKUP(A88,'Pass 2'!$A:$S,MATCH("Jan 2025 Traffic",'Pass 2'!$1:$1,0),FALSE()),"")</f>
        <v/>
      </c>
      <c r="E88" s="1" t="str">
        <f aca="false">IFERROR(VLOOKUP(A88,'Pass 2'!$A:$S,MATCH("Jun 2026 Traffic",'Pass 2'!$1:$1,0),FALSE()),"")</f>
        <v/>
      </c>
      <c r="F88" s="1" t="str">
        <f aca="false">IFERROR(VLOOKUP(A88,'Pass 2'!$A:$S,MATCH("Traffic % Change",'Pass 2'!$1:$1,0),FALSE()),"")</f>
        <v/>
      </c>
      <c r="G88" s="1" t="str">
        <f aca="false">IFERROR(VLOOKUP(A88,'Pass 2'!$A:$S,MATCH("Jan 2025 Referring Domains",'Pass 2'!$1:$1,0),FALSE()),"")</f>
        <v/>
      </c>
      <c r="H88" s="1" t="str">
        <f aca="false">IFERROR(VLOOKUP(A88,'Pass 2'!$A:$S,MATCH("Jun 2026 Referring Domains",'Pass 2'!$1:$1,0),FALSE()),"")</f>
        <v/>
      </c>
    </row>
    <row r="89" customFormat="false" ht="15" hidden="false" customHeight="true" outlineLevel="0" collapsed="false">
      <c r="B89" s="1" t="str">
        <f aca="false">IFERROR(VLOOKUP(A89,'Pass 2'!$A:$S,MATCH("Category",'Pass 2'!$1:$1,0),FALSE()),"")</f>
        <v/>
      </c>
      <c r="C89" s="1" t="str">
        <f aca="false">IFERROR(VLOOKUP(A89,'Pass 1 Archive'!$A:$AD,MATCH("LinkedIn Employee Count",'Pass 1 Archive'!$1:$1,0),FALSE()),"")</f>
        <v/>
      </c>
      <c r="D89" s="1" t="str">
        <f aca="false">IFERROR(VLOOKUP(A89,'Pass 2'!$A:$S,MATCH("Jan 2025 Traffic",'Pass 2'!$1:$1,0),FALSE()),"")</f>
        <v/>
      </c>
      <c r="E89" s="1" t="str">
        <f aca="false">IFERROR(VLOOKUP(A89,'Pass 2'!$A:$S,MATCH("Jun 2026 Traffic",'Pass 2'!$1:$1,0),FALSE()),"")</f>
        <v/>
      </c>
      <c r="F89" s="1" t="str">
        <f aca="false">IFERROR(VLOOKUP(A89,'Pass 2'!$A:$S,MATCH("Traffic % Change",'Pass 2'!$1:$1,0),FALSE()),"")</f>
        <v/>
      </c>
      <c r="G89" s="1" t="str">
        <f aca="false">IFERROR(VLOOKUP(A89,'Pass 2'!$A:$S,MATCH("Jan 2025 Referring Domains",'Pass 2'!$1:$1,0),FALSE()),"")</f>
        <v/>
      </c>
      <c r="H89" s="1" t="str">
        <f aca="false">IFERROR(VLOOKUP(A89,'Pass 2'!$A:$S,MATCH("Jun 2026 Referring Domains",'Pass 2'!$1:$1,0),FALSE()),"")</f>
        <v/>
      </c>
    </row>
    <row r="90" customFormat="false" ht="15" hidden="false" customHeight="true" outlineLevel="0" collapsed="false">
      <c r="B90" s="1" t="str">
        <f aca="false">IFERROR(VLOOKUP(A90,'Pass 2'!$A:$S,MATCH("Category",'Pass 2'!$1:$1,0),FALSE()),"")</f>
        <v/>
      </c>
      <c r="C90" s="1" t="str">
        <f aca="false">IFERROR(VLOOKUP(A90,'Pass 1 Archive'!$A:$AD,MATCH("LinkedIn Employee Count",'Pass 1 Archive'!$1:$1,0),FALSE()),"")</f>
        <v/>
      </c>
      <c r="D90" s="1" t="str">
        <f aca="false">IFERROR(VLOOKUP(A90,'Pass 2'!$A:$S,MATCH("Jan 2025 Traffic",'Pass 2'!$1:$1,0),FALSE()),"")</f>
        <v/>
      </c>
      <c r="E90" s="1" t="str">
        <f aca="false">IFERROR(VLOOKUP(A90,'Pass 2'!$A:$S,MATCH("Jun 2026 Traffic",'Pass 2'!$1:$1,0),FALSE()),"")</f>
        <v/>
      </c>
      <c r="F90" s="1" t="str">
        <f aca="false">IFERROR(VLOOKUP(A90,'Pass 2'!$A:$S,MATCH("Traffic % Change",'Pass 2'!$1:$1,0),FALSE()),"")</f>
        <v/>
      </c>
      <c r="G90" s="1" t="str">
        <f aca="false">IFERROR(VLOOKUP(A90,'Pass 2'!$A:$S,MATCH("Jan 2025 Referring Domains",'Pass 2'!$1:$1,0),FALSE()),"")</f>
        <v/>
      </c>
      <c r="H90" s="1" t="str">
        <f aca="false">IFERROR(VLOOKUP(A90,'Pass 2'!$A:$S,MATCH("Jun 2026 Referring Domains",'Pass 2'!$1:$1,0),FALSE()),"")</f>
        <v/>
      </c>
    </row>
    <row r="91" customFormat="false" ht="15" hidden="false" customHeight="true" outlineLevel="0" collapsed="false">
      <c r="B91" s="1" t="str">
        <f aca="false">IFERROR(VLOOKUP(A91,'Pass 2'!$A:$S,MATCH("Category",'Pass 2'!$1:$1,0),FALSE()),"")</f>
        <v/>
      </c>
      <c r="C91" s="1" t="str">
        <f aca="false">IFERROR(VLOOKUP(A91,'Pass 1 Archive'!$A:$AD,MATCH("LinkedIn Employee Count",'Pass 1 Archive'!$1:$1,0),FALSE()),"")</f>
        <v/>
      </c>
      <c r="D91" s="1" t="str">
        <f aca="false">IFERROR(VLOOKUP(A91,'Pass 2'!$A:$S,MATCH("Jan 2025 Traffic",'Pass 2'!$1:$1,0),FALSE()),"")</f>
        <v/>
      </c>
      <c r="E91" s="1" t="str">
        <f aca="false">IFERROR(VLOOKUP(A91,'Pass 2'!$A:$S,MATCH("Jun 2026 Traffic",'Pass 2'!$1:$1,0),FALSE()),"")</f>
        <v/>
      </c>
      <c r="F91" s="1" t="str">
        <f aca="false">IFERROR(VLOOKUP(A91,'Pass 2'!$A:$S,MATCH("Traffic % Change",'Pass 2'!$1:$1,0),FALSE()),"")</f>
        <v/>
      </c>
      <c r="G91" s="1" t="str">
        <f aca="false">IFERROR(VLOOKUP(A91,'Pass 2'!$A:$S,MATCH("Jan 2025 Referring Domains",'Pass 2'!$1:$1,0),FALSE()),"")</f>
        <v/>
      </c>
      <c r="H91" s="1" t="str">
        <f aca="false">IFERROR(VLOOKUP(A91,'Pass 2'!$A:$S,MATCH("Jun 2026 Referring Domains",'Pass 2'!$1:$1,0),FALSE()),"")</f>
        <v/>
      </c>
    </row>
    <row r="92" customFormat="false" ht="15" hidden="false" customHeight="true" outlineLevel="0" collapsed="false">
      <c r="B92" s="1" t="str">
        <f aca="false">IFERROR(VLOOKUP(A92,'Pass 2'!$A:$S,MATCH("Category",'Pass 2'!$1:$1,0),FALSE()),"")</f>
        <v/>
      </c>
      <c r="C92" s="1" t="str">
        <f aca="false">IFERROR(VLOOKUP(A92,'Pass 1 Archive'!$A:$AD,MATCH("LinkedIn Employee Count",'Pass 1 Archive'!$1:$1,0),FALSE()),"")</f>
        <v/>
      </c>
      <c r="D92" s="1" t="str">
        <f aca="false">IFERROR(VLOOKUP(A92,'Pass 2'!$A:$S,MATCH("Jan 2025 Traffic",'Pass 2'!$1:$1,0),FALSE()),"")</f>
        <v/>
      </c>
      <c r="E92" s="1" t="str">
        <f aca="false">IFERROR(VLOOKUP(A92,'Pass 2'!$A:$S,MATCH("Jun 2026 Traffic",'Pass 2'!$1:$1,0),FALSE()),"")</f>
        <v/>
      </c>
      <c r="F92" s="1" t="str">
        <f aca="false">IFERROR(VLOOKUP(A92,'Pass 2'!$A:$S,MATCH("Traffic % Change",'Pass 2'!$1:$1,0),FALSE()),"")</f>
        <v/>
      </c>
      <c r="G92" s="1" t="str">
        <f aca="false">IFERROR(VLOOKUP(A92,'Pass 2'!$A:$S,MATCH("Jan 2025 Referring Domains",'Pass 2'!$1:$1,0),FALSE()),"")</f>
        <v/>
      </c>
      <c r="H92" s="1" t="str">
        <f aca="false">IFERROR(VLOOKUP(A92,'Pass 2'!$A:$S,MATCH("Jun 2026 Referring Domains",'Pass 2'!$1:$1,0),FALSE()),"")</f>
        <v/>
      </c>
    </row>
    <row r="93" customFormat="false" ht="15" hidden="false" customHeight="true" outlineLevel="0" collapsed="false">
      <c r="B93" s="1" t="str">
        <f aca="false">IFERROR(VLOOKUP(A93,'Pass 2'!$A:$S,MATCH("Category",'Pass 2'!$1:$1,0),FALSE()),"")</f>
        <v/>
      </c>
      <c r="C93" s="1" t="str">
        <f aca="false">IFERROR(VLOOKUP(A93,'Pass 1 Archive'!$A:$AD,MATCH("LinkedIn Employee Count",'Pass 1 Archive'!$1:$1,0),FALSE()),"")</f>
        <v/>
      </c>
      <c r="D93" s="1" t="str">
        <f aca="false">IFERROR(VLOOKUP(A93,'Pass 2'!$A:$S,MATCH("Jan 2025 Traffic",'Pass 2'!$1:$1,0),FALSE()),"")</f>
        <v/>
      </c>
      <c r="E93" s="1" t="str">
        <f aca="false">IFERROR(VLOOKUP(A93,'Pass 2'!$A:$S,MATCH("Jun 2026 Traffic",'Pass 2'!$1:$1,0),FALSE()),"")</f>
        <v/>
      </c>
      <c r="F93" s="1" t="str">
        <f aca="false">IFERROR(VLOOKUP(A93,'Pass 2'!$A:$S,MATCH("Traffic % Change",'Pass 2'!$1:$1,0),FALSE()),"")</f>
        <v/>
      </c>
      <c r="G93" s="1" t="str">
        <f aca="false">IFERROR(VLOOKUP(A93,'Pass 2'!$A:$S,MATCH("Jan 2025 Referring Domains",'Pass 2'!$1:$1,0),FALSE()),"")</f>
        <v/>
      </c>
      <c r="H93" s="1" t="str">
        <f aca="false">IFERROR(VLOOKUP(A93,'Pass 2'!$A:$S,MATCH("Jun 2026 Referring Domains",'Pass 2'!$1:$1,0),FALSE()),"")</f>
        <v/>
      </c>
    </row>
    <row r="94" customFormat="false" ht="15" hidden="false" customHeight="true" outlineLevel="0" collapsed="false">
      <c r="B94" s="1" t="str">
        <f aca="false">IFERROR(VLOOKUP(A94,'Pass 2'!$A:$S,MATCH("Category",'Pass 2'!$1:$1,0),FALSE()),"")</f>
        <v/>
      </c>
      <c r="C94" s="1" t="str">
        <f aca="false">IFERROR(VLOOKUP(A94,'Pass 1 Archive'!$A:$AD,MATCH("LinkedIn Employee Count",'Pass 1 Archive'!$1:$1,0),FALSE()),"")</f>
        <v/>
      </c>
      <c r="D94" s="1" t="str">
        <f aca="false">IFERROR(VLOOKUP(A94,'Pass 2'!$A:$S,MATCH("Jan 2025 Traffic",'Pass 2'!$1:$1,0),FALSE()),"")</f>
        <v/>
      </c>
      <c r="E94" s="1" t="str">
        <f aca="false">IFERROR(VLOOKUP(A94,'Pass 2'!$A:$S,MATCH("Jun 2026 Traffic",'Pass 2'!$1:$1,0),FALSE()),"")</f>
        <v/>
      </c>
      <c r="F94" s="1" t="str">
        <f aca="false">IFERROR(VLOOKUP(A94,'Pass 2'!$A:$S,MATCH("Traffic % Change",'Pass 2'!$1:$1,0),FALSE()),"")</f>
        <v/>
      </c>
      <c r="G94" s="1" t="str">
        <f aca="false">IFERROR(VLOOKUP(A94,'Pass 2'!$A:$S,MATCH("Jan 2025 Referring Domains",'Pass 2'!$1:$1,0),FALSE()),"")</f>
        <v/>
      </c>
      <c r="H94" s="1" t="str">
        <f aca="false">IFERROR(VLOOKUP(A94,'Pass 2'!$A:$S,MATCH("Jun 2026 Referring Domains",'Pass 2'!$1:$1,0),FALSE()),"")</f>
        <v/>
      </c>
    </row>
    <row r="95" customFormat="false" ht="15" hidden="false" customHeight="true" outlineLevel="0" collapsed="false">
      <c r="B95" s="1" t="str">
        <f aca="false">IFERROR(VLOOKUP(A95,'Pass 2'!$A:$S,MATCH("Category",'Pass 2'!$1:$1,0),FALSE()),"")</f>
        <v/>
      </c>
      <c r="C95" s="1" t="str">
        <f aca="false">IFERROR(VLOOKUP(A95,'Pass 1 Archive'!$A:$AD,MATCH("LinkedIn Employee Count",'Pass 1 Archive'!$1:$1,0),FALSE()),"")</f>
        <v/>
      </c>
      <c r="D95" s="1" t="str">
        <f aca="false">IFERROR(VLOOKUP(A95,'Pass 2'!$A:$S,MATCH("Jan 2025 Traffic",'Pass 2'!$1:$1,0),FALSE()),"")</f>
        <v/>
      </c>
      <c r="E95" s="1" t="str">
        <f aca="false">IFERROR(VLOOKUP(A95,'Pass 2'!$A:$S,MATCH("Jun 2026 Traffic",'Pass 2'!$1:$1,0),FALSE()),"")</f>
        <v/>
      </c>
      <c r="F95" s="1" t="str">
        <f aca="false">IFERROR(VLOOKUP(A95,'Pass 2'!$A:$S,MATCH("Traffic % Change",'Pass 2'!$1:$1,0),FALSE()),"")</f>
        <v/>
      </c>
      <c r="G95" s="1" t="str">
        <f aca="false">IFERROR(VLOOKUP(A95,'Pass 2'!$A:$S,MATCH("Jan 2025 Referring Domains",'Pass 2'!$1:$1,0),FALSE()),"")</f>
        <v/>
      </c>
      <c r="H95" s="1" t="str">
        <f aca="false">IFERROR(VLOOKUP(A95,'Pass 2'!$A:$S,MATCH("Jun 2026 Referring Domains",'Pass 2'!$1:$1,0),FALSE()),"")</f>
        <v/>
      </c>
    </row>
    <row r="96" customFormat="false" ht="15" hidden="false" customHeight="true" outlineLevel="0" collapsed="false">
      <c r="B96" s="1" t="str">
        <f aca="false">IFERROR(VLOOKUP(A96,'Pass 2'!$A:$S,MATCH("Category",'Pass 2'!$1:$1,0),FALSE()),"")</f>
        <v/>
      </c>
      <c r="C96" s="1" t="str">
        <f aca="false">IFERROR(VLOOKUP(A96,'Pass 1 Archive'!$A:$AD,MATCH("LinkedIn Employee Count",'Pass 1 Archive'!$1:$1,0),FALSE()),"")</f>
        <v/>
      </c>
      <c r="D96" s="1" t="str">
        <f aca="false">IFERROR(VLOOKUP(A96,'Pass 2'!$A:$S,MATCH("Jan 2025 Traffic",'Pass 2'!$1:$1,0),FALSE()),"")</f>
        <v/>
      </c>
      <c r="E96" s="1" t="str">
        <f aca="false">IFERROR(VLOOKUP(A96,'Pass 2'!$A:$S,MATCH("Jun 2026 Traffic",'Pass 2'!$1:$1,0),FALSE()),"")</f>
        <v/>
      </c>
      <c r="F96" s="1" t="str">
        <f aca="false">IFERROR(VLOOKUP(A96,'Pass 2'!$A:$S,MATCH("Traffic % Change",'Pass 2'!$1:$1,0),FALSE()),"")</f>
        <v/>
      </c>
      <c r="G96" s="1" t="str">
        <f aca="false">IFERROR(VLOOKUP(A96,'Pass 2'!$A:$S,MATCH("Jan 2025 Referring Domains",'Pass 2'!$1:$1,0),FALSE()),"")</f>
        <v/>
      </c>
      <c r="H96" s="1" t="str">
        <f aca="false">IFERROR(VLOOKUP(A96,'Pass 2'!$A:$S,MATCH("Jun 2026 Referring Domains",'Pass 2'!$1:$1,0),FALSE()),"")</f>
        <v/>
      </c>
    </row>
    <row r="97" customFormat="false" ht="15" hidden="false" customHeight="true" outlineLevel="0" collapsed="false">
      <c r="B97" s="1" t="str">
        <f aca="false">IFERROR(VLOOKUP(A97,'Pass 2'!$A:$S,MATCH("Category",'Pass 2'!$1:$1,0),FALSE()),"")</f>
        <v/>
      </c>
      <c r="C97" s="1" t="str">
        <f aca="false">IFERROR(VLOOKUP(A97,'Pass 1 Archive'!$A:$AD,MATCH("LinkedIn Employee Count",'Pass 1 Archive'!$1:$1,0),FALSE()),"")</f>
        <v/>
      </c>
      <c r="D97" s="1" t="str">
        <f aca="false">IFERROR(VLOOKUP(A97,'Pass 2'!$A:$S,MATCH("Jan 2025 Traffic",'Pass 2'!$1:$1,0),FALSE()),"")</f>
        <v/>
      </c>
      <c r="E97" s="1" t="str">
        <f aca="false">IFERROR(VLOOKUP(A97,'Pass 2'!$A:$S,MATCH("Jun 2026 Traffic",'Pass 2'!$1:$1,0),FALSE()),"")</f>
        <v/>
      </c>
      <c r="F97" s="1" t="str">
        <f aca="false">IFERROR(VLOOKUP(A97,'Pass 2'!$A:$S,MATCH("Traffic % Change",'Pass 2'!$1:$1,0),FALSE()),"")</f>
        <v/>
      </c>
      <c r="G97" s="1" t="str">
        <f aca="false">IFERROR(VLOOKUP(A97,'Pass 2'!$A:$S,MATCH("Jan 2025 Referring Domains",'Pass 2'!$1:$1,0),FALSE()),"")</f>
        <v/>
      </c>
      <c r="H97" s="1" t="str">
        <f aca="false">IFERROR(VLOOKUP(A97,'Pass 2'!$A:$S,MATCH("Jun 2026 Referring Domains",'Pass 2'!$1:$1,0),FALSE()),"")</f>
        <v/>
      </c>
    </row>
    <row r="98" customFormat="false" ht="15" hidden="false" customHeight="true" outlineLevel="0" collapsed="false">
      <c r="B98" s="1" t="str">
        <f aca="false">IFERROR(VLOOKUP(A98,'Pass 2'!$A:$S,MATCH("Category",'Pass 2'!$1:$1,0),FALSE()),"")</f>
        <v/>
      </c>
      <c r="C98" s="1" t="str">
        <f aca="false">IFERROR(VLOOKUP(A98,'Pass 1 Archive'!$A:$AD,MATCH("LinkedIn Employee Count",'Pass 1 Archive'!$1:$1,0),FALSE()),"")</f>
        <v/>
      </c>
      <c r="D98" s="1" t="str">
        <f aca="false">IFERROR(VLOOKUP(A98,'Pass 2'!$A:$S,MATCH("Jan 2025 Traffic",'Pass 2'!$1:$1,0),FALSE()),"")</f>
        <v/>
      </c>
      <c r="E98" s="1" t="str">
        <f aca="false">IFERROR(VLOOKUP(A98,'Pass 2'!$A:$S,MATCH("Jun 2026 Traffic",'Pass 2'!$1:$1,0),FALSE()),"")</f>
        <v/>
      </c>
      <c r="F98" s="1" t="str">
        <f aca="false">IFERROR(VLOOKUP(A98,'Pass 2'!$A:$S,MATCH("Traffic % Change",'Pass 2'!$1:$1,0),FALSE()),"")</f>
        <v/>
      </c>
      <c r="G98" s="1" t="str">
        <f aca="false">IFERROR(VLOOKUP(A98,'Pass 2'!$A:$S,MATCH("Jan 2025 Referring Domains",'Pass 2'!$1:$1,0),FALSE()),"")</f>
        <v/>
      </c>
      <c r="H98" s="1" t="str">
        <f aca="false">IFERROR(VLOOKUP(A98,'Pass 2'!$A:$S,MATCH("Jun 2026 Referring Domains",'Pass 2'!$1:$1,0),FALSE()),"")</f>
        <v/>
      </c>
    </row>
    <row r="99" customFormat="false" ht="15" hidden="false" customHeight="true" outlineLevel="0" collapsed="false">
      <c r="B99" s="1" t="str">
        <f aca="false">IFERROR(VLOOKUP(A99,'Pass 2'!$A:$S,MATCH("Category",'Pass 2'!$1:$1,0),FALSE()),"")</f>
        <v/>
      </c>
      <c r="C99" s="1" t="str">
        <f aca="false">IFERROR(VLOOKUP(A99,'Pass 1 Archive'!$A:$AD,MATCH("LinkedIn Employee Count",'Pass 1 Archive'!$1:$1,0),FALSE()),"")</f>
        <v/>
      </c>
      <c r="D99" s="1" t="str">
        <f aca="false">IFERROR(VLOOKUP(A99,'Pass 2'!$A:$S,MATCH("Jan 2025 Traffic",'Pass 2'!$1:$1,0),FALSE()),"")</f>
        <v/>
      </c>
      <c r="E99" s="1" t="str">
        <f aca="false">IFERROR(VLOOKUP(A99,'Pass 2'!$A:$S,MATCH("Jun 2026 Traffic",'Pass 2'!$1:$1,0),FALSE()),"")</f>
        <v/>
      </c>
      <c r="F99" s="1" t="str">
        <f aca="false">IFERROR(VLOOKUP(A99,'Pass 2'!$A:$S,MATCH("Traffic % Change",'Pass 2'!$1:$1,0),FALSE()),"")</f>
        <v/>
      </c>
      <c r="G99" s="1" t="str">
        <f aca="false">IFERROR(VLOOKUP(A99,'Pass 2'!$A:$S,MATCH("Jan 2025 Referring Domains",'Pass 2'!$1:$1,0),FALSE()),"")</f>
        <v/>
      </c>
      <c r="H99" s="1" t="str">
        <f aca="false">IFERROR(VLOOKUP(A99,'Pass 2'!$A:$S,MATCH("Jun 2026 Referring Domains",'Pass 2'!$1:$1,0),FALSE()),"")</f>
        <v/>
      </c>
    </row>
    <row r="100" customFormat="false" ht="15" hidden="false" customHeight="true" outlineLevel="0" collapsed="false">
      <c r="B100" s="1" t="str">
        <f aca="false">IFERROR(VLOOKUP(A100,'Pass 2'!$A:$S,MATCH("Category",'Pass 2'!$1:$1,0),FALSE()),"")</f>
        <v/>
      </c>
      <c r="C100" s="1" t="str">
        <f aca="false">IFERROR(VLOOKUP(A100,'Pass 1 Archive'!$A:$AD,MATCH("LinkedIn Employee Count",'Pass 1 Archive'!$1:$1,0),FALSE()),"")</f>
        <v/>
      </c>
      <c r="D100" s="1" t="str">
        <f aca="false">IFERROR(VLOOKUP(A100,'Pass 2'!$A:$S,MATCH("Jan 2025 Traffic",'Pass 2'!$1:$1,0),FALSE()),"")</f>
        <v/>
      </c>
      <c r="E100" s="1" t="str">
        <f aca="false">IFERROR(VLOOKUP(A100,'Pass 2'!$A:$S,MATCH("Jun 2026 Traffic",'Pass 2'!$1:$1,0),FALSE()),"")</f>
        <v/>
      </c>
      <c r="F100" s="1" t="str">
        <f aca="false">IFERROR(VLOOKUP(A100,'Pass 2'!$A:$S,MATCH("Traffic % Change",'Pass 2'!$1:$1,0),FALSE()),"")</f>
        <v/>
      </c>
      <c r="G100" s="1" t="str">
        <f aca="false">IFERROR(VLOOKUP(A100,'Pass 2'!$A:$S,MATCH("Jan 2025 Referring Domains",'Pass 2'!$1:$1,0),FALSE()),"")</f>
        <v/>
      </c>
      <c r="H100" s="1" t="str">
        <f aca="false">IFERROR(VLOOKUP(A100,'Pass 2'!$A:$S,MATCH("Jun 2026 Referring Domains",'Pass 2'!$1:$1,0),FALSE()),"")</f>
        <v/>
      </c>
    </row>
    <row r="101" customFormat="false" ht="15" hidden="false" customHeight="true" outlineLevel="0" collapsed="false">
      <c r="B101" s="1" t="str">
        <f aca="false">IFERROR(VLOOKUP(A101,'Pass 2'!$A:$S,MATCH("Category",'Pass 2'!$1:$1,0),FALSE()),"")</f>
        <v/>
      </c>
      <c r="C101" s="1" t="str">
        <f aca="false">IFERROR(VLOOKUP(A101,'Pass 1 Archive'!$A:$AD,MATCH("LinkedIn Employee Count",'Pass 1 Archive'!$1:$1,0),FALSE()),"")</f>
        <v/>
      </c>
      <c r="D101" s="1" t="str">
        <f aca="false">IFERROR(VLOOKUP(A101,'Pass 2'!$A:$S,MATCH("Jan 2025 Traffic",'Pass 2'!$1:$1,0),FALSE()),"")</f>
        <v/>
      </c>
      <c r="E101" s="1" t="str">
        <f aca="false">IFERROR(VLOOKUP(A101,'Pass 2'!$A:$S,MATCH("Jun 2026 Traffic",'Pass 2'!$1:$1,0),FALSE()),"")</f>
        <v/>
      </c>
      <c r="F101" s="1" t="str">
        <f aca="false">IFERROR(VLOOKUP(A101,'Pass 2'!$A:$S,MATCH("Traffic % Change",'Pass 2'!$1:$1,0),FALSE()),"")</f>
        <v/>
      </c>
      <c r="G101" s="1" t="str">
        <f aca="false">IFERROR(VLOOKUP(A101,'Pass 2'!$A:$S,MATCH("Jan 2025 Referring Domains",'Pass 2'!$1:$1,0),FALSE()),"")</f>
        <v/>
      </c>
      <c r="H101" s="1" t="str">
        <f aca="false">IFERROR(VLOOKUP(A101,'Pass 2'!$A:$S,MATCH("Jun 2026 Referring Domains",'Pass 2'!$1:$1,0),FALSE()),"")</f>
        <v/>
      </c>
    </row>
    <row r="102" customFormat="false" ht="15" hidden="false" customHeight="true" outlineLevel="0" collapsed="false">
      <c r="B102" s="1" t="str">
        <f aca="false">IFERROR(VLOOKUP(A102,'Pass 2'!$A:$S,MATCH("Category",'Pass 2'!$1:$1,0),FALSE()),"")</f>
        <v/>
      </c>
      <c r="C102" s="1" t="str">
        <f aca="false">IFERROR(VLOOKUP(A102,'Pass 1 Archive'!$A:$AD,MATCH("LinkedIn Employee Count",'Pass 1 Archive'!$1:$1,0),FALSE()),"")</f>
        <v/>
      </c>
      <c r="D102" s="1" t="str">
        <f aca="false">IFERROR(VLOOKUP(A102,'Pass 2'!$A:$S,MATCH("Jan 2025 Traffic",'Pass 2'!$1:$1,0),FALSE()),"")</f>
        <v/>
      </c>
      <c r="E102" s="1" t="str">
        <f aca="false">IFERROR(VLOOKUP(A102,'Pass 2'!$A:$S,MATCH("Jun 2026 Traffic",'Pass 2'!$1:$1,0),FALSE()),"")</f>
        <v/>
      </c>
      <c r="F102" s="1" t="str">
        <f aca="false">IFERROR(VLOOKUP(A102,'Pass 2'!$A:$S,MATCH("Traffic % Change",'Pass 2'!$1:$1,0),FALSE()),"")</f>
        <v/>
      </c>
      <c r="G102" s="1" t="str">
        <f aca="false">IFERROR(VLOOKUP(A102,'Pass 2'!$A:$S,MATCH("Jan 2025 Referring Domains",'Pass 2'!$1:$1,0),FALSE()),"")</f>
        <v/>
      </c>
      <c r="H102" s="1" t="str">
        <f aca="false">IFERROR(VLOOKUP(A102,'Pass 2'!$A:$S,MATCH("Jun 2026 Referring Domains",'Pass 2'!$1:$1,0),FALSE()),"")</f>
        <v/>
      </c>
    </row>
    <row r="103" customFormat="false" ht="15" hidden="false" customHeight="true" outlineLevel="0" collapsed="false">
      <c r="B103" s="1" t="str">
        <f aca="false">IFERROR(VLOOKUP(A103,'Pass 2'!$A:$S,MATCH("Category",'Pass 2'!$1:$1,0),FALSE()),"")</f>
        <v/>
      </c>
      <c r="C103" s="1" t="str">
        <f aca="false">IFERROR(VLOOKUP(A103,'Pass 1 Archive'!$A:$AD,MATCH("LinkedIn Employee Count",'Pass 1 Archive'!$1:$1,0),FALSE()),"")</f>
        <v/>
      </c>
      <c r="D103" s="1" t="str">
        <f aca="false">IFERROR(VLOOKUP(A103,'Pass 2'!$A:$S,MATCH("Jan 2025 Traffic",'Pass 2'!$1:$1,0),FALSE()),"")</f>
        <v/>
      </c>
      <c r="E103" s="1" t="str">
        <f aca="false">IFERROR(VLOOKUP(A103,'Pass 2'!$A:$S,MATCH("Jun 2026 Traffic",'Pass 2'!$1:$1,0),FALSE()),"")</f>
        <v/>
      </c>
      <c r="F103" s="1" t="str">
        <f aca="false">IFERROR(VLOOKUP(A103,'Pass 2'!$A:$S,MATCH("Traffic % Change",'Pass 2'!$1:$1,0),FALSE()),"")</f>
        <v/>
      </c>
      <c r="G103" s="1" t="str">
        <f aca="false">IFERROR(VLOOKUP(A103,'Pass 2'!$A:$S,MATCH("Jan 2025 Referring Domains",'Pass 2'!$1:$1,0),FALSE()),"")</f>
        <v/>
      </c>
      <c r="H103" s="1" t="str">
        <f aca="false">IFERROR(VLOOKUP(A103,'Pass 2'!$A:$S,MATCH("Jun 2026 Referring Domains",'Pass 2'!$1:$1,0),FALSE()),"")</f>
        <v/>
      </c>
    </row>
    <row r="104" customFormat="false" ht="15" hidden="false" customHeight="true" outlineLevel="0" collapsed="false">
      <c r="B104" s="1" t="str">
        <f aca="false">IFERROR(VLOOKUP(A104,'Pass 2'!$A:$S,MATCH("Category",'Pass 2'!$1:$1,0),FALSE()),"")</f>
        <v/>
      </c>
      <c r="C104" s="1" t="str">
        <f aca="false">IFERROR(VLOOKUP(A104,'Pass 1 Archive'!$A:$AD,MATCH("LinkedIn Employee Count",'Pass 1 Archive'!$1:$1,0),FALSE()),"")</f>
        <v/>
      </c>
      <c r="D104" s="1" t="str">
        <f aca="false">IFERROR(VLOOKUP(A104,'Pass 2'!$A:$S,MATCH("Jan 2025 Traffic",'Pass 2'!$1:$1,0),FALSE()),"")</f>
        <v/>
      </c>
      <c r="E104" s="1" t="str">
        <f aca="false">IFERROR(VLOOKUP(A104,'Pass 2'!$A:$S,MATCH("Jun 2026 Traffic",'Pass 2'!$1:$1,0),FALSE()),"")</f>
        <v/>
      </c>
      <c r="F104" s="1" t="str">
        <f aca="false">IFERROR(VLOOKUP(A104,'Pass 2'!$A:$S,MATCH("Traffic % Change",'Pass 2'!$1:$1,0),FALSE()),"")</f>
        <v/>
      </c>
      <c r="G104" s="1" t="str">
        <f aca="false">IFERROR(VLOOKUP(A104,'Pass 2'!$A:$S,MATCH("Jan 2025 Referring Domains",'Pass 2'!$1:$1,0),FALSE()),"")</f>
        <v/>
      </c>
      <c r="H104" s="1" t="str">
        <f aca="false">IFERROR(VLOOKUP(A104,'Pass 2'!$A:$S,MATCH("Jun 2026 Referring Domains",'Pass 2'!$1:$1,0),FALSE()),"")</f>
        <v/>
      </c>
    </row>
    <row r="105" customFormat="false" ht="15" hidden="false" customHeight="true" outlineLevel="0" collapsed="false">
      <c r="B105" s="1" t="str">
        <f aca="false">IFERROR(VLOOKUP(A105,'Pass 2'!$A:$S,MATCH("Category",'Pass 2'!$1:$1,0),FALSE()),"")</f>
        <v/>
      </c>
      <c r="C105" s="1" t="str">
        <f aca="false">IFERROR(VLOOKUP(A105,'Pass 1 Archive'!$A:$AD,MATCH("LinkedIn Employee Count",'Pass 1 Archive'!$1:$1,0),FALSE()),"")</f>
        <v/>
      </c>
      <c r="D105" s="1" t="str">
        <f aca="false">IFERROR(VLOOKUP(A105,'Pass 2'!$A:$S,MATCH("Jan 2025 Traffic",'Pass 2'!$1:$1,0),FALSE()),"")</f>
        <v/>
      </c>
      <c r="E105" s="1" t="str">
        <f aca="false">IFERROR(VLOOKUP(A105,'Pass 2'!$A:$S,MATCH("Jun 2026 Traffic",'Pass 2'!$1:$1,0),FALSE()),"")</f>
        <v/>
      </c>
      <c r="F105" s="1" t="str">
        <f aca="false">IFERROR(VLOOKUP(A105,'Pass 2'!$A:$S,MATCH("Traffic % Change",'Pass 2'!$1:$1,0),FALSE()),"")</f>
        <v/>
      </c>
      <c r="G105" s="1" t="str">
        <f aca="false">IFERROR(VLOOKUP(A105,'Pass 2'!$A:$S,MATCH("Jan 2025 Referring Domains",'Pass 2'!$1:$1,0),FALSE()),"")</f>
        <v/>
      </c>
      <c r="H105" s="1" t="str">
        <f aca="false">IFERROR(VLOOKUP(A105,'Pass 2'!$A:$S,MATCH("Jun 2026 Referring Domains",'Pass 2'!$1:$1,0),FALSE()),"")</f>
        <v/>
      </c>
    </row>
    <row r="106" customFormat="false" ht="15" hidden="false" customHeight="true" outlineLevel="0" collapsed="false">
      <c r="B106" s="1" t="str">
        <f aca="false">IFERROR(VLOOKUP(A106,'Pass 2'!$A:$S,MATCH("Category",'Pass 2'!$1:$1,0),FALSE()),"")</f>
        <v/>
      </c>
      <c r="C106" s="1" t="str">
        <f aca="false">IFERROR(VLOOKUP(A106,'Pass 1 Archive'!$A:$AD,MATCH("LinkedIn Employee Count",'Pass 1 Archive'!$1:$1,0),FALSE()),"")</f>
        <v/>
      </c>
      <c r="D106" s="1" t="str">
        <f aca="false">IFERROR(VLOOKUP(A106,'Pass 2'!$A:$S,MATCH("Jan 2025 Traffic",'Pass 2'!$1:$1,0),FALSE()),"")</f>
        <v/>
      </c>
      <c r="E106" s="1" t="str">
        <f aca="false">IFERROR(VLOOKUP(A106,'Pass 2'!$A:$S,MATCH("Jun 2026 Traffic",'Pass 2'!$1:$1,0),FALSE()),"")</f>
        <v/>
      </c>
      <c r="F106" s="1" t="str">
        <f aca="false">IFERROR(VLOOKUP(A106,'Pass 2'!$A:$S,MATCH("Traffic % Change",'Pass 2'!$1:$1,0),FALSE()),"")</f>
        <v/>
      </c>
      <c r="G106" s="1" t="str">
        <f aca="false">IFERROR(VLOOKUP(A106,'Pass 2'!$A:$S,MATCH("Jan 2025 Referring Domains",'Pass 2'!$1:$1,0),FALSE()),"")</f>
        <v/>
      </c>
      <c r="H106" s="1" t="str">
        <f aca="false">IFERROR(VLOOKUP(A106,'Pass 2'!$A:$S,MATCH("Jun 2026 Referring Domains",'Pass 2'!$1:$1,0),FALSE()),"")</f>
        <v/>
      </c>
    </row>
    <row r="107" customFormat="false" ht="15" hidden="false" customHeight="true" outlineLevel="0" collapsed="false">
      <c r="B107" s="1" t="str">
        <f aca="false">IFERROR(VLOOKUP(A107,'Pass 2'!$A:$S,MATCH("Category",'Pass 2'!$1:$1,0),FALSE()),"")</f>
        <v/>
      </c>
      <c r="C107" s="1" t="str">
        <f aca="false">IFERROR(VLOOKUP(A107,'Pass 1 Archive'!$A:$AD,MATCH("LinkedIn Employee Count",'Pass 1 Archive'!$1:$1,0),FALSE()),"")</f>
        <v/>
      </c>
      <c r="D107" s="1" t="str">
        <f aca="false">IFERROR(VLOOKUP(A107,'Pass 2'!$A:$S,MATCH("Jan 2025 Traffic",'Pass 2'!$1:$1,0),FALSE()),"")</f>
        <v/>
      </c>
      <c r="E107" s="1" t="str">
        <f aca="false">IFERROR(VLOOKUP(A107,'Pass 2'!$A:$S,MATCH("Jun 2026 Traffic",'Pass 2'!$1:$1,0),FALSE()),"")</f>
        <v/>
      </c>
      <c r="F107" s="1" t="str">
        <f aca="false">IFERROR(VLOOKUP(A107,'Pass 2'!$A:$S,MATCH("Traffic % Change",'Pass 2'!$1:$1,0),FALSE()),"")</f>
        <v/>
      </c>
      <c r="G107" s="1" t="str">
        <f aca="false">IFERROR(VLOOKUP(A107,'Pass 2'!$A:$S,MATCH("Jan 2025 Referring Domains",'Pass 2'!$1:$1,0),FALSE()),"")</f>
        <v/>
      </c>
      <c r="H107" s="1" t="str">
        <f aca="false">IFERROR(VLOOKUP(A107,'Pass 2'!$A:$S,MATCH("Jun 2026 Referring Domains",'Pass 2'!$1:$1,0),FALSE()),"")</f>
        <v/>
      </c>
    </row>
    <row r="108" customFormat="false" ht="15" hidden="false" customHeight="true" outlineLevel="0" collapsed="false">
      <c r="B108" s="1" t="str">
        <f aca="false">IFERROR(VLOOKUP(A108,'Pass 2'!$A:$S,MATCH("Category",'Pass 2'!$1:$1,0),FALSE()),"")</f>
        <v/>
      </c>
      <c r="C108" s="1" t="str">
        <f aca="false">IFERROR(VLOOKUP(A108,'Pass 1 Archive'!$A:$AD,MATCH("LinkedIn Employee Count",'Pass 1 Archive'!$1:$1,0),FALSE()),"")</f>
        <v/>
      </c>
      <c r="D108" s="1" t="str">
        <f aca="false">IFERROR(VLOOKUP(A108,'Pass 2'!$A:$S,MATCH("Jan 2025 Traffic",'Pass 2'!$1:$1,0),FALSE()),"")</f>
        <v/>
      </c>
      <c r="E108" s="1" t="str">
        <f aca="false">IFERROR(VLOOKUP(A108,'Pass 2'!$A:$S,MATCH("Jun 2026 Traffic",'Pass 2'!$1:$1,0),FALSE()),"")</f>
        <v/>
      </c>
      <c r="F108" s="1" t="str">
        <f aca="false">IFERROR(VLOOKUP(A108,'Pass 2'!$A:$S,MATCH("Traffic % Change",'Pass 2'!$1:$1,0),FALSE()),"")</f>
        <v/>
      </c>
      <c r="G108" s="1" t="str">
        <f aca="false">IFERROR(VLOOKUP(A108,'Pass 2'!$A:$S,MATCH("Jan 2025 Referring Domains",'Pass 2'!$1:$1,0),FALSE()),"")</f>
        <v/>
      </c>
      <c r="H108" s="1" t="str">
        <f aca="false">IFERROR(VLOOKUP(A108,'Pass 2'!$A:$S,MATCH("Jun 2026 Referring Domains",'Pass 2'!$1:$1,0),FALSE()),"")</f>
        <v/>
      </c>
    </row>
    <row r="109" customFormat="false" ht="15" hidden="false" customHeight="true" outlineLevel="0" collapsed="false">
      <c r="B109" s="1" t="str">
        <f aca="false">IFERROR(VLOOKUP(A109,'Pass 2'!$A:$S,MATCH("Category",'Pass 2'!$1:$1,0),FALSE()),"")</f>
        <v/>
      </c>
      <c r="C109" s="1" t="str">
        <f aca="false">IFERROR(VLOOKUP(A109,'Pass 1 Archive'!$A:$AD,MATCH("LinkedIn Employee Count",'Pass 1 Archive'!$1:$1,0),FALSE()),"")</f>
        <v/>
      </c>
      <c r="D109" s="1" t="str">
        <f aca="false">IFERROR(VLOOKUP(A109,'Pass 2'!$A:$S,MATCH("Jan 2025 Traffic",'Pass 2'!$1:$1,0),FALSE()),"")</f>
        <v/>
      </c>
      <c r="E109" s="1" t="str">
        <f aca="false">IFERROR(VLOOKUP(A109,'Pass 2'!$A:$S,MATCH("Jun 2026 Traffic",'Pass 2'!$1:$1,0),FALSE()),"")</f>
        <v/>
      </c>
      <c r="F109" s="1" t="str">
        <f aca="false">IFERROR(VLOOKUP(A109,'Pass 2'!$A:$S,MATCH("Traffic % Change",'Pass 2'!$1:$1,0),FALSE()),"")</f>
        <v/>
      </c>
      <c r="G109" s="1" t="str">
        <f aca="false">IFERROR(VLOOKUP(A109,'Pass 2'!$A:$S,MATCH("Jan 2025 Referring Domains",'Pass 2'!$1:$1,0),FALSE()),"")</f>
        <v/>
      </c>
      <c r="H109" s="1" t="str">
        <f aca="false">IFERROR(VLOOKUP(A109,'Pass 2'!$A:$S,MATCH("Jun 2026 Referring Domains",'Pass 2'!$1:$1,0),FALSE()),"")</f>
        <v/>
      </c>
    </row>
    <row r="110" customFormat="false" ht="15" hidden="false" customHeight="true" outlineLevel="0" collapsed="false">
      <c r="B110" s="1" t="str">
        <f aca="false">IFERROR(VLOOKUP(A110,'Pass 2'!$A:$S,MATCH("Category",'Pass 2'!$1:$1,0),FALSE()),"")</f>
        <v/>
      </c>
      <c r="C110" s="1" t="str">
        <f aca="false">IFERROR(VLOOKUP(A110,'Pass 1 Archive'!$A:$AD,MATCH("LinkedIn Employee Count",'Pass 1 Archive'!$1:$1,0),FALSE()),"")</f>
        <v/>
      </c>
      <c r="D110" s="1" t="str">
        <f aca="false">IFERROR(VLOOKUP(A110,'Pass 2'!$A:$S,MATCH("Jan 2025 Traffic",'Pass 2'!$1:$1,0),FALSE()),"")</f>
        <v/>
      </c>
      <c r="E110" s="1" t="str">
        <f aca="false">IFERROR(VLOOKUP(A110,'Pass 2'!$A:$S,MATCH("Jun 2026 Traffic",'Pass 2'!$1:$1,0),FALSE()),"")</f>
        <v/>
      </c>
      <c r="F110" s="1" t="str">
        <f aca="false">IFERROR(VLOOKUP(A110,'Pass 2'!$A:$S,MATCH("Traffic % Change",'Pass 2'!$1:$1,0),FALSE()),"")</f>
        <v/>
      </c>
      <c r="G110" s="1" t="str">
        <f aca="false">IFERROR(VLOOKUP(A110,'Pass 2'!$A:$S,MATCH("Jan 2025 Referring Domains",'Pass 2'!$1:$1,0),FALSE()),"")</f>
        <v/>
      </c>
      <c r="H110" s="1" t="str">
        <f aca="false">IFERROR(VLOOKUP(A110,'Pass 2'!$A:$S,MATCH("Jun 2026 Referring Domains",'Pass 2'!$1:$1,0),FALSE()),"")</f>
        <v/>
      </c>
    </row>
    <row r="111" customFormat="false" ht="15" hidden="false" customHeight="true" outlineLevel="0" collapsed="false">
      <c r="B111" s="1" t="str">
        <f aca="false">IFERROR(VLOOKUP(A111,'Pass 2'!$A:$S,MATCH("Category",'Pass 2'!$1:$1,0),FALSE()),"")</f>
        <v/>
      </c>
      <c r="C111" s="1" t="str">
        <f aca="false">IFERROR(VLOOKUP(A111,'Pass 1 Archive'!$A:$AD,MATCH("LinkedIn Employee Count",'Pass 1 Archive'!$1:$1,0),FALSE()),"")</f>
        <v/>
      </c>
      <c r="D111" s="1" t="str">
        <f aca="false">IFERROR(VLOOKUP(A111,'Pass 2'!$A:$S,MATCH("Jan 2025 Traffic",'Pass 2'!$1:$1,0),FALSE()),"")</f>
        <v/>
      </c>
      <c r="E111" s="1" t="str">
        <f aca="false">IFERROR(VLOOKUP(A111,'Pass 2'!$A:$S,MATCH("Jun 2026 Traffic",'Pass 2'!$1:$1,0),FALSE()),"")</f>
        <v/>
      </c>
      <c r="F111" s="1" t="str">
        <f aca="false">IFERROR(VLOOKUP(A111,'Pass 2'!$A:$S,MATCH("Traffic % Change",'Pass 2'!$1:$1,0),FALSE()),"")</f>
        <v/>
      </c>
      <c r="G111" s="1" t="str">
        <f aca="false">IFERROR(VLOOKUP(A111,'Pass 2'!$A:$S,MATCH("Jan 2025 Referring Domains",'Pass 2'!$1:$1,0),FALSE()),"")</f>
        <v/>
      </c>
      <c r="H111" s="1" t="str">
        <f aca="false">IFERROR(VLOOKUP(A111,'Pass 2'!$A:$S,MATCH("Jun 2026 Referring Domains",'Pass 2'!$1:$1,0),FALSE()),"")</f>
        <v/>
      </c>
    </row>
    <row r="112" customFormat="false" ht="15" hidden="false" customHeight="true" outlineLevel="0" collapsed="false">
      <c r="B112" s="1" t="str">
        <f aca="false">IFERROR(VLOOKUP(A112,'Pass 2'!$A:$S,MATCH("Category",'Pass 2'!$1:$1,0),FALSE()),"")</f>
        <v/>
      </c>
      <c r="C112" s="1" t="str">
        <f aca="false">IFERROR(VLOOKUP(A112,'Pass 1 Archive'!$A:$AD,MATCH("LinkedIn Employee Count",'Pass 1 Archive'!$1:$1,0),FALSE()),"")</f>
        <v/>
      </c>
      <c r="D112" s="1" t="str">
        <f aca="false">IFERROR(VLOOKUP(A112,'Pass 2'!$A:$S,MATCH("Jan 2025 Traffic",'Pass 2'!$1:$1,0),FALSE()),"")</f>
        <v/>
      </c>
      <c r="E112" s="1" t="str">
        <f aca="false">IFERROR(VLOOKUP(A112,'Pass 2'!$A:$S,MATCH("Jun 2026 Traffic",'Pass 2'!$1:$1,0),FALSE()),"")</f>
        <v/>
      </c>
      <c r="F112" s="1" t="str">
        <f aca="false">IFERROR(VLOOKUP(A112,'Pass 2'!$A:$S,MATCH("Traffic % Change",'Pass 2'!$1:$1,0),FALSE()),"")</f>
        <v/>
      </c>
      <c r="G112" s="1" t="str">
        <f aca="false">IFERROR(VLOOKUP(A112,'Pass 2'!$A:$S,MATCH("Jan 2025 Referring Domains",'Pass 2'!$1:$1,0),FALSE()),"")</f>
        <v/>
      </c>
      <c r="H112" s="1" t="str">
        <f aca="false">IFERROR(VLOOKUP(A112,'Pass 2'!$A:$S,MATCH("Jun 2026 Referring Domains",'Pass 2'!$1:$1,0),FALSE()),"")</f>
        <v/>
      </c>
    </row>
    <row r="113" customFormat="false" ht="15" hidden="false" customHeight="true" outlineLevel="0" collapsed="false">
      <c r="B113" s="1" t="str">
        <f aca="false">IFERROR(VLOOKUP(A113,'Pass 2'!$A:$S,MATCH("Category",'Pass 2'!$1:$1,0),FALSE()),"")</f>
        <v/>
      </c>
      <c r="C113" s="1" t="str">
        <f aca="false">IFERROR(VLOOKUP(A113,'Pass 1 Archive'!$A:$AD,MATCH("LinkedIn Employee Count",'Pass 1 Archive'!$1:$1,0),FALSE()),"")</f>
        <v/>
      </c>
      <c r="D113" s="1" t="str">
        <f aca="false">IFERROR(VLOOKUP(A113,'Pass 2'!$A:$S,MATCH("Jan 2025 Traffic",'Pass 2'!$1:$1,0),FALSE()),"")</f>
        <v/>
      </c>
      <c r="E113" s="1" t="str">
        <f aca="false">IFERROR(VLOOKUP(A113,'Pass 2'!$A:$S,MATCH("Jun 2026 Traffic",'Pass 2'!$1:$1,0),FALSE()),"")</f>
        <v/>
      </c>
      <c r="F113" s="1" t="str">
        <f aca="false">IFERROR(VLOOKUP(A113,'Pass 2'!$A:$S,MATCH("Traffic % Change",'Pass 2'!$1:$1,0),FALSE()),"")</f>
        <v/>
      </c>
      <c r="G113" s="1" t="str">
        <f aca="false">IFERROR(VLOOKUP(A113,'Pass 2'!$A:$S,MATCH("Jan 2025 Referring Domains",'Pass 2'!$1:$1,0),FALSE()),"")</f>
        <v/>
      </c>
      <c r="H113" s="1" t="str">
        <f aca="false">IFERROR(VLOOKUP(A113,'Pass 2'!$A:$S,MATCH("Jun 2026 Referring Domains",'Pass 2'!$1:$1,0),FALSE()),"")</f>
        <v/>
      </c>
    </row>
    <row r="114" customFormat="false" ht="15" hidden="false" customHeight="true" outlineLevel="0" collapsed="false">
      <c r="B114" s="1" t="str">
        <f aca="false">IFERROR(VLOOKUP(A114,'Pass 2'!$A:$S,MATCH("Category",'Pass 2'!$1:$1,0),FALSE()),"")</f>
        <v/>
      </c>
      <c r="C114" s="1" t="str">
        <f aca="false">IFERROR(VLOOKUP(A114,'Pass 1 Archive'!$A:$AD,MATCH("LinkedIn Employee Count",'Pass 1 Archive'!$1:$1,0),FALSE()),"")</f>
        <v/>
      </c>
      <c r="D114" s="1" t="str">
        <f aca="false">IFERROR(VLOOKUP(A114,'Pass 2'!$A:$S,MATCH("Jan 2025 Traffic",'Pass 2'!$1:$1,0),FALSE()),"")</f>
        <v/>
      </c>
      <c r="E114" s="1" t="str">
        <f aca="false">IFERROR(VLOOKUP(A114,'Pass 2'!$A:$S,MATCH("Jun 2026 Traffic",'Pass 2'!$1:$1,0),FALSE()),"")</f>
        <v/>
      </c>
      <c r="F114" s="1" t="str">
        <f aca="false">IFERROR(VLOOKUP(A114,'Pass 2'!$A:$S,MATCH("Traffic % Change",'Pass 2'!$1:$1,0),FALSE()),"")</f>
        <v/>
      </c>
      <c r="G114" s="1" t="str">
        <f aca="false">IFERROR(VLOOKUP(A114,'Pass 2'!$A:$S,MATCH("Jan 2025 Referring Domains",'Pass 2'!$1:$1,0),FALSE()),"")</f>
        <v/>
      </c>
      <c r="H114" s="1" t="str">
        <f aca="false">IFERROR(VLOOKUP(A114,'Pass 2'!$A:$S,MATCH("Jun 2026 Referring Domains",'Pass 2'!$1:$1,0),FALSE()),"")</f>
        <v/>
      </c>
    </row>
    <row r="115" customFormat="false" ht="15" hidden="false" customHeight="true" outlineLevel="0" collapsed="false">
      <c r="B115" s="1" t="str">
        <f aca="false">IFERROR(VLOOKUP(A115,'Pass 2'!$A:$S,MATCH("Category",'Pass 2'!$1:$1,0),FALSE()),"")</f>
        <v/>
      </c>
      <c r="C115" s="1" t="str">
        <f aca="false">IFERROR(VLOOKUP(A115,'Pass 1 Archive'!$A:$AD,MATCH("LinkedIn Employee Count",'Pass 1 Archive'!$1:$1,0),FALSE()),"")</f>
        <v/>
      </c>
      <c r="D115" s="1" t="str">
        <f aca="false">IFERROR(VLOOKUP(A115,'Pass 2'!$A:$S,MATCH("Jan 2025 Traffic",'Pass 2'!$1:$1,0),FALSE()),"")</f>
        <v/>
      </c>
      <c r="E115" s="1" t="str">
        <f aca="false">IFERROR(VLOOKUP(A115,'Pass 2'!$A:$S,MATCH("Jun 2026 Traffic",'Pass 2'!$1:$1,0),FALSE()),"")</f>
        <v/>
      </c>
      <c r="F115" s="1" t="str">
        <f aca="false">IFERROR(VLOOKUP(A115,'Pass 2'!$A:$S,MATCH("Traffic % Change",'Pass 2'!$1:$1,0),FALSE()),"")</f>
        <v/>
      </c>
      <c r="G115" s="1" t="str">
        <f aca="false">IFERROR(VLOOKUP(A115,'Pass 2'!$A:$S,MATCH("Jan 2025 Referring Domains",'Pass 2'!$1:$1,0),FALSE()),"")</f>
        <v/>
      </c>
      <c r="H115" s="1" t="str">
        <f aca="false">IFERROR(VLOOKUP(A115,'Pass 2'!$A:$S,MATCH("Jun 2026 Referring Domains",'Pass 2'!$1:$1,0),FALSE()),"")</f>
        <v/>
      </c>
    </row>
    <row r="116" customFormat="false" ht="15" hidden="false" customHeight="true" outlineLevel="0" collapsed="false">
      <c r="B116" s="1" t="str">
        <f aca="false">IFERROR(VLOOKUP(A116,'Pass 2'!$A:$S,MATCH("Category",'Pass 2'!$1:$1,0),FALSE()),"")</f>
        <v/>
      </c>
      <c r="C116" s="1" t="str">
        <f aca="false">IFERROR(VLOOKUP(A116,'Pass 1 Archive'!$A:$AD,MATCH("LinkedIn Employee Count",'Pass 1 Archive'!$1:$1,0),FALSE()),"")</f>
        <v/>
      </c>
      <c r="D116" s="1" t="str">
        <f aca="false">IFERROR(VLOOKUP(A116,'Pass 2'!$A:$S,MATCH("Jan 2025 Traffic",'Pass 2'!$1:$1,0),FALSE()),"")</f>
        <v/>
      </c>
      <c r="E116" s="1" t="str">
        <f aca="false">IFERROR(VLOOKUP(A116,'Pass 2'!$A:$S,MATCH("Jun 2026 Traffic",'Pass 2'!$1:$1,0),FALSE()),"")</f>
        <v/>
      </c>
      <c r="F116" s="1" t="str">
        <f aca="false">IFERROR(VLOOKUP(A116,'Pass 2'!$A:$S,MATCH("Traffic % Change",'Pass 2'!$1:$1,0),FALSE()),"")</f>
        <v/>
      </c>
      <c r="G116" s="1" t="str">
        <f aca="false">IFERROR(VLOOKUP(A116,'Pass 2'!$A:$S,MATCH("Jan 2025 Referring Domains",'Pass 2'!$1:$1,0),FALSE()),"")</f>
        <v/>
      </c>
      <c r="H116" s="1" t="str">
        <f aca="false">IFERROR(VLOOKUP(A116,'Pass 2'!$A:$S,MATCH("Jun 2026 Referring Domains",'Pass 2'!$1:$1,0),FALSE()),"")</f>
        <v/>
      </c>
    </row>
    <row r="117" customFormat="false" ht="15" hidden="false" customHeight="true" outlineLevel="0" collapsed="false">
      <c r="B117" s="1" t="str">
        <f aca="false">IFERROR(VLOOKUP(A117,'Pass 2'!$A:$S,MATCH("Category",'Pass 2'!$1:$1,0),FALSE()),"")</f>
        <v/>
      </c>
      <c r="C117" s="1" t="str">
        <f aca="false">IFERROR(VLOOKUP(A117,'Pass 1 Archive'!$A:$AD,MATCH("LinkedIn Employee Count",'Pass 1 Archive'!$1:$1,0),FALSE()),"")</f>
        <v/>
      </c>
      <c r="D117" s="1" t="str">
        <f aca="false">IFERROR(VLOOKUP(A117,'Pass 2'!$A:$S,MATCH("Jan 2025 Traffic",'Pass 2'!$1:$1,0),FALSE()),"")</f>
        <v/>
      </c>
      <c r="E117" s="1" t="str">
        <f aca="false">IFERROR(VLOOKUP(A117,'Pass 2'!$A:$S,MATCH("Jun 2026 Traffic",'Pass 2'!$1:$1,0),FALSE()),"")</f>
        <v/>
      </c>
      <c r="F117" s="1" t="str">
        <f aca="false">IFERROR(VLOOKUP(A117,'Pass 2'!$A:$S,MATCH("Traffic % Change",'Pass 2'!$1:$1,0),FALSE()),"")</f>
        <v/>
      </c>
      <c r="G117" s="1" t="str">
        <f aca="false">IFERROR(VLOOKUP(A117,'Pass 2'!$A:$S,MATCH("Jan 2025 Referring Domains",'Pass 2'!$1:$1,0),FALSE()),"")</f>
        <v/>
      </c>
      <c r="H117" s="1" t="str">
        <f aca="false">IFERROR(VLOOKUP(A117,'Pass 2'!$A:$S,MATCH("Jun 2026 Referring Domains",'Pass 2'!$1:$1,0),FALSE()),"")</f>
        <v/>
      </c>
    </row>
    <row r="118" customFormat="false" ht="15" hidden="false" customHeight="true" outlineLevel="0" collapsed="false">
      <c r="B118" s="1" t="str">
        <f aca="false">IFERROR(VLOOKUP(A118,'Pass 2'!$A:$S,MATCH("Category",'Pass 2'!$1:$1,0),FALSE()),"")</f>
        <v/>
      </c>
      <c r="C118" s="1" t="str">
        <f aca="false">IFERROR(VLOOKUP(A118,'Pass 1 Archive'!$A:$AD,MATCH("LinkedIn Employee Count",'Pass 1 Archive'!$1:$1,0),FALSE()),"")</f>
        <v/>
      </c>
      <c r="D118" s="1" t="str">
        <f aca="false">IFERROR(VLOOKUP(A118,'Pass 2'!$A:$S,MATCH("Jan 2025 Traffic",'Pass 2'!$1:$1,0),FALSE()),"")</f>
        <v/>
      </c>
      <c r="E118" s="1" t="str">
        <f aca="false">IFERROR(VLOOKUP(A118,'Pass 2'!$A:$S,MATCH("Jun 2026 Traffic",'Pass 2'!$1:$1,0),FALSE()),"")</f>
        <v/>
      </c>
      <c r="F118" s="1" t="str">
        <f aca="false">IFERROR(VLOOKUP(A118,'Pass 2'!$A:$S,MATCH("Traffic % Change",'Pass 2'!$1:$1,0),FALSE()),"")</f>
        <v/>
      </c>
      <c r="G118" s="1" t="str">
        <f aca="false">IFERROR(VLOOKUP(A118,'Pass 2'!$A:$S,MATCH("Jan 2025 Referring Domains",'Pass 2'!$1:$1,0),FALSE()),"")</f>
        <v/>
      </c>
      <c r="H118" s="1" t="str">
        <f aca="false">IFERROR(VLOOKUP(A118,'Pass 2'!$A:$S,MATCH("Jun 2026 Referring Domains",'Pass 2'!$1:$1,0),FALSE()),"")</f>
        <v/>
      </c>
    </row>
    <row r="119" customFormat="false" ht="15" hidden="false" customHeight="true" outlineLevel="0" collapsed="false">
      <c r="B119" s="1" t="str">
        <f aca="false">IFERROR(VLOOKUP(A119,'Pass 2'!$A:$S,MATCH("Category",'Pass 2'!$1:$1,0),FALSE()),"")</f>
        <v/>
      </c>
      <c r="C119" s="1" t="str">
        <f aca="false">IFERROR(VLOOKUP(A119,'Pass 1 Archive'!$A:$AD,MATCH("LinkedIn Employee Count",'Pass 1 Archive'!$1:$1,0),FALSE()),"")</f>
        <v/>
      </c>
      <c r="D119" s="1" t="str">
        <f aca="false">IFERROR(VLOOKUP(A119,'Pass 2'!$A:$S,MATCH("Jan 2025 Traffic",'Pass 2'!$1:$1,0),FALSE()),"")</f>
        <v/>
      </c>
      <c r="E119" s="1" t="str">
        <f aca="false">IFERROR(VLOOKUP(A119,'Pass 2'!$A:$S,MATCH("Jun 2026 Traffic",'Pass 2'!$1:$1,0),FALSE()),"")</f>
        <v/>
      </c>
      <c r="F119" s="1" t="str">
        <f aca="false">IFERROR(VLOOKUP(A119,'Pass 2'!$A:$S,MATCH("Traffic % Change",'Pass 2'!$1:$1,0),FALSE()),"")</f>
        <v/>
      </c>
      <c r="G119" s="1" t="str">
        <f aca="false">IFERROR(VLOOKUP(A119,'Pass 2'!$A:$S,MATCH("Jan 2025 Referring Domains",'Pass 2'!$1:$1,0),FALSE()),"")</f>
        <v/>
      </c>
      <c r="H119" s="1" t="str">
        <f aca="false">IFERROR(VLOOKUP(A119,'Pass 2'!$A:$S,MATCH("Jun 2026 Referring Domains",'Pass 2'!$1:$1,0),FALSE()),"")</f>
        <v/>
      </c>
    </row>
    <row r="120" customFormat="false" ht="15" hidden="false" customHeight="true" outlineLevel="0" collapsed="false">
      <c r="B120" s="1" t="str">
        <f aca="false">IFERROR(VLOOKUP(A120,'Pass 2'!$A:$S,MATCH("Category",'Pass 2'!$1:$1,0),FALSE()),"")</f>
        <v/>
      </c>
      <c r="C120" s="1" t="str">
        <f aca="false">IFERROR(VLOOKUP(A120,'Pass 1 Archive'!$A:$AD,MATCH("LinkedIn Employee Count",'Pass 1 Archive'!$1:$1,0),FALSE()),"")</f>
        <v/>
      </c>
      <c r="D120" s="1" t="str">
        <f aca="false">IFERROR(VLOOKUP(A120,'Pass 2'!$A:$S,MATCH("Jan 2025 Traffic",'Pass 2'!$1:$1,0),FALSE()),"")</f>
        <v/>
      </c>
      <c r="E120" s="1" t="str">
        <f aca="false">IFERROR(VLOOKUP(A120,'Pass 2'!$A:$S,MATCH("Jun 2026 Traffic",'Pass 2'!$1:$1,0),FALSE()),"")</f>
        <v/>
      </c>
      <c r="F120" s="1" t="str">
        <f aca="false">IFERROR(VLOOKUP(A120,'Pass 2'!$A:$S,MATCH("Traffic % Change",'Pass 2'!$1:$1,0),FALSE()),"")</f>
        <v/>
      </c>
      <c r="G120" s="1" t="str">
        <f aca="false">IFERROR(VLOOKUP(A120,'Pass 2'!$A:$S,MATCH("Jan 2025 Referring Domains",'Pass 2'!$1:$1,0),FALSE()),"")</f>
        <v/>
      </c>
      <c r="H120" s="1" t="str">
        <f aca="false">IFERROR(VLOOKUP(A120,'Pass 2'!$A:$S,MATCH("Jun 2026 Referring Domains",'Pass 2'!$1:$1,0),FALSE()),"")</f>
        <v/>
      </c>
    </row>
    <row r="121" customFormat="false" ht="15" hidden="false" customHeight="true" outlineLevel="0" collapsed="false">
      <c r="B121" s="1" t="str">
        <f aca="false">IFERROR(VLOOKUP(A121,'Pass 2'!$A:$S,MATCH("Category",'Pass 2'!$1:$1,0),FALSE()),"")</f>
        <v/>
      </c>
      <c r="C121" s="1" t="str">
        <f aca="false">IFERROR(VLOOKUP(A121,'Pass 1 Archive'!$A:$AD,MATCH("LinkedIn Employee Count",'Pass 1 Archive'!$1:$1,0),FALSE()),"")</f>
        <v/>
      </c>
      <c r="D121" s="1" t="str">
        <f aca="false">IFERROR(VLOOKUP(A121,'Pass 2'!$A:$S,MATCH("Jan 2025 Traffic",'Pass 2'!$1:$1,0),FALSE()),"")</f>
        <v/>
      </c>
      <c r="E121" s="1" t="str">
        <f aca="false">IFERROR(VLOOKUP(A121,'Pass 2'!$A:$S,MATCH("Jun 2026 Traffic",'Pass 2'!$1:$1,0),FALSE()),"")</f>
        <v/>
      </c>
      <c r="F121" s="1" t="str">
        <f aca="false">IFERROR(VLOOKUP(A121,'Pass 2'!$A:$S,MATCH("Traffic % Change",'Pass 2'!$1:$1,0),FALSE()),"")</f>
        <v/>
      </c>
      <c r="G121" s="1" t="str">
        <f aca="false">IFERROR(VLOOKUP(A121,'Pass 2'!$A:$S,MATCH("Jan 2025 Referring Domains",'Pass 2'!$1:$1,0),FALSE()),"")</f>
        <v/>
      </c>
      <c r="H121" s="1" t="str">
        <f aca="false">IFERROR(VLOOKUP(A121,'Pass 2'!$A:$S,MATCH("Jun 2026 Referring Domains",'Pass 2'!$1:$1,0),FALSE()),"")</f>
        <v/>
      </c>
    </row>
    <row r="122" customFormat="false" ht="15" hidden="false" customHeight="true" outlineLevel="0" collapsed="false">
      <c r="B122" s="1" t="str">
        <f aca="false">IFERROR(VLOOKUP(A122,'Pass 2'!$A:$S,MATCH("Category",'Pass 2'!$1:$1,0),FALSE()),"")</f>
        <v/>
      </c>
      <c r="C122" s="1" t="str">
        <f aca="false">IFERROR(VLOOKUP(A122,'Pass 1 Archive'!$A:$AD,MATCH("LinkedIn Employee Count",'Pass 1 Archive'!$1:$1,0),FALSE()),"")</f>
        <v/>
      </c>
      <c r="D122" s="1" t="str">
        <f aca="false">IFERROR(VLOOKUP(A122,'Pass 2'!$A:$S,MATCH("Jan 2025 Traffic",'Pass 2'!$1:$1,0),FALSE()),"")</f>
        <v/>
      </c>
      <c r="E122" s="1" t="str">
        <f aca="false">IFERROR(VLOOKUP(A122,'Pass 2'!$A:$S,MATCH("Jun 2026 Traffic",'Pass 2'!$1:$1,0),FALSE()),"")</f>
        <v/>
      </c>
      <c r="F122" s="1" t="str">
        <f aca="false">IFERROR(VLOOKUP(A122,'Pass 2'!$A:$S,MATCH("Traffic % Change",'Pass 2'!$1:$1,0),FALSE()),"")</f>
        <v/>
      </c>
      <c r="G122" s="1" t="str">
        <f aca="false">IFERROR(VLOOKUP(A122,'Pass 2'!$A:$S,MATCH("Jan 2025 Referring Domains",'Pass 2'!$1:$1,0),FALSE()),"")</f>
        <v/>
      </c>
      <c r="H122" s="1" t="str">
        <f aca="false">IFERROR(VLOOKUP(A122,'Pass 2'!$A:$S,MATCH("Jun 2026 Referring Domains",'Pass 2'!$1:$1,0),FALSE()),"")</f>
        <v/>
      </c>
    </row>
    <row r="123" customFormat="false" ht="15" hidden="false" customHeight="true" outlineLevel="0" collapsed="false">
      <c r="B123" s="1" t="str">
        <f aca="false">IFERROR(VLOOKUP(A123,'Pass 2'!$A:$S,MATCH("Category",'Pass 2'!$1:$1,0),FALSE()),"")</f>
        <v/>
      </c>
      <c r="C123" s="1" t="str">
        <f aca="false">IFERROR(VLOOKUP(A123,'Pass 1 Archive'!$A:$AD,MATCH("LinkedIn Employee Count",'Pass 1 Archive'!$1:$1,0),FALSE()),"")</f>
        <v/>
      </c>
      <c r="D123" s="1" t="str">
        <f aca="false">IFERROR(VLOOKUP(A123,'Pass 2'!$A:$S,MATCH("Jan 2025 Traffic",'Pass 2'!$1:$1,0),FALSE()),"")</f>
        <v/>
      </c>
      <c r="E123" s="1" t="str">
        <f aca="false">IFERROR(VLOOKUP(A123,'Pass 2'!$A:$S,MATCH("Jun 2026 Traffic",'Pass 2'!$1:$1,0),FALSE()),"")</f>
        <v/>
      </c>
      <c r="F123" s="1" t="str">
        <f aca="false">IFERROR(VLOOKUP(A123,'Pass 2'!$A:$S,MATCH("Traffic % Change",'Pass 2'!$1:$1,0),FALSE()),"")</f>
        <v/>
      </c>
      <c r="G123" s="1" t="str">
        <f aca="false">IFERROR(VLOOKUP(A123,'Pass 2'!$A:$S,MATCH("Jan 2025 Referring Domains",'Pass 2'!$1:$1,0),FALSE()),"")</f>
        <v/>
      </c>
      <c r="H123" s="1" t="str">
        <f aca="false">IFERROR(VLOOKUP(A123,'Pass 2'!$A:$S,MATCH("Jun 2026 Referring Domains",'Pass 2'!$1:$1,0),FALSE()),"")</f>
        <v/>
      </c>
    </row>
    <row r="124" customFormat="false" ht="15" hidden="false" customHeight="true" outlineLevel="0" collapsed="false">
      <c r="B124" s="1" t="str">
        <f aca="false">IFERROR(VLOOKUP(A124,'Pass 2'!$A:$S,MATCH("Category",'Pass 2'!$1:$1,0),FALSE()),"")</f>
        <v/>
      </c>
      <c r="C124" s="1" t="str">
        <f aca="false">IFERROR(VLOOKUP(A124,'Pass 1 Archive'!$A:$AD,MATCH("LinkedIn Employee Count",'Pass 1 Archive'!$1:$1,0),FALSE()),"")</f>
        <v/>
      </c>
      <c r="D124" s="1" t="str">
        <f aca="false">IFERROR(VLOOKUP(A124,'Pass 2'!$A:$S,MATCH("Jan 2025 Traffic",'Pass 2'!$1:$1,0),FALSE()),"")</f>
        <v/>
      </c>
      <c r="E124" s="1" t="str">
        <f aca="false">IFERROR(VLOOKUP(A124,'Pass 2'!$A:$S,MATCH("Jun 2026 Traffic",'Pass 2'!$1:$1,0),FALSE()),"")</f>
        <v/>
      </c>
      <c r="F124" s="1" t="str">
        <f aca="false">IFERROR(VLOOKUP(A124,'Pass 2'!$A:$S,MATCH("Traffic % Change",'Pass 2'!$1:$1,0),FALSE()),"")</f>
        <v/>
      </c>
      <c r="G124" s="1" t="str">
        <f aca="false">IFERROR(VLOOKUP(A124,'Pass 2'!$A:$S,MATCH("Jan 2025 Referring Domains",'Pass 2'!$1:$1,0),FALSE()),"")</f>
        <v/>
      </c>
      <c r="H124" s="1" t="str">
        <f aca="false">IFERROR(VLOOKUP(A124,'Pass 2'!$A:$S,MATCH("Jun 2026 Referring Domains",'Pass 2'!$1:$1,0),FALSE()),"")</f>
        <v/>
      </c>
    </row>
    <row r="125" customFormat="false" ht="15" hidden="false" customHeight="true" outlineLevel="0" collapsed="false">
      <c r="B125" s="1" t="str">
        <f aca="false">IFERROR(VLOOKUP(A125,'Pass 2'!$A:$S,MATCH("Category",'Pass 2'!$1:$1,0),FALSE()),"")</f>
        <v/>
      </c>
      <c r="C125" s="1" t="str">
        <f aca="false">IFERROR(VLOOKUP(A125,'Pass 1 Archive'!$A:$AD,MATCH("LinkedIn Employee Count",'Pass 1 Archive'!$1:$1,0),FALSE()),"")</f>
        <v/>
      </c>
      <c r="D125" s="1" t="str">
        <f aca="false">IFERROR(VLOOKUP(A125,'Pass 2'!$A:$S,MATCH("Jan 2025 Traffic",'Pass 2'!$1:$1,0),FALSE()),"")</f>
        <v/>
      </c>
      <c r="E125" s="1" t="str">
        <f aca="false">IFERROR(VLOOKUP(A125,'Pass 2'!$A:$S,MATCH("Jun 2026 Traffic",'Pass 2'!$1:$1,0),FALSE()),"")</f>
        <v/>
      </c>
      <c r="F125" s="1" t="str">
        <f aca="false">IFERROR(VLOOKUP(A125,'Pass 2'!$A:$S,MATCH("Traffic % Change",'Pass 2'!$1:$1,0),FALSE()),"")</f>
        <v/>
      </c>
      <c r="G125" s="1" t="str">
        <f aca="false">IFERROR(VLOOKUP(A125,'Pass 2'!$A:$S,MATCH("Jan 2025 Referring Domains",'Pass 2'!$1:$1,0),FALSE()),"")</f>
        <v/>
      </c>
      <c r="H125" s="1" t="str">
        <f aca="false">IFERROR(VLOOKUP(A125,'Pass 2'!$A:$S,MATCH("Jun 2026 Referring Domains",'Pass 2'!$1:$1,0),FALSE()),"")</f>
        <v/>
      </c>
    </row>
    <row r="126" customFormat="false" ht="15" hidden="false" customHeight="true" outlineLevel="0" collapsed="false">
      <c r="B126" s="1" t="str">
        <f aca="false">IFERROR(VLOOKUP(A126,'Pass 2'!$A:$S,MATCH("Category",'Pass 2'!$1:$1,0),FALSE()),"")</f>
        <v/>
      </c>
      <c r="C126" s="1" t="str">
        <f aca="false">IFERROR(VLOOKUP(A126,'Pass 1 Archive'!$A:$AD,MATCH("LinkedIn Employee Count",'Pass 1 Archive'!$1:$1,0),FALSE()),"")</f>
        <v/>
      </c>
      <c r="D126" s="1" t="str">
        <f aca="false">IFERROR(VLOOKUP(A126,'Pass 2'!$A:$S,MATCH("Jan 2025 Traffic",'Pass 2'!$1:$1,0),FALSE()),"")</f>
        <v/>
      </c>
      <c r="E126" s="1" t="str">
        <f aca="false">IFERROR(VLOOKUP(A126,'Pass 2'!$A:$S,MATCH("Jun 2026 Traffic",'Pass 2'!$1:$1,0),FALSE()),"")</f>
        <v/>
      </c>
      <c r="F126" s="1" t="str">
        <f aca="false">IFERROR(VLOOKUP(A126,'Pass 2'!$A:$S,MATCH("Traffic % Change",'Pass 2'!$1:$1,0),FALSE()),"")</f>
        <v/>
      </c>
      <c r="G126" s="1" t="str">
        <f aca="false">IFERROR(VLOOKUP(A126,'Pass 2'!$A:$S,MATCH("Jan 2025 Referring Domains",'Pass 2'!$1:$1,0),FALSE()),"")</f>
        <v/>
      </c>
      <c r="H126" s="1" t="str">
        <f aca="false">IFERROR(VLOOKUP(A126,'Pass 2'!$A:$S,MATCH("Jun 2026 Referring Domains",'Pass 2'!$1:$1,0),FALSE()),"")</f>
        <v/>
      </c>
    </row>
    <row r="127" customFormat="false" ht="15" hidden="false" customHeight="true" outlineLevel="0" collapsed="false">
      <c r="B127" s="1" t="str">
        <f aca="false">IFERROR(VLOOKUP(A127,'Pass 2'!$A:$S,MATCH("Category",'Pass 2'!$1:$1,0),FALSE()),"")</f>
        <v/>
      </c>
      <c r="C127" s="1" t="str">
        <f aca="false">IFERROR(VLOOKUP(A127,'Pass 1 Archive'!$A:$AD,MATCH("LinkedIn Employee Count",'Pass 1 Archive'!$1:$1,0),FALSE()),"")</f>
        <v/>
      </c>
      <c r="D127" s="1" t="str">
        <f aca="false">IFERROR(VLOOKUP(A127,'Pass 2'!$A:$S,MATCH("Jan 2025 Traffic",'Pass 2'!$1:$1,0),FALSE()),"")</f>
        <v/>
      </c>
      <c r="E127" s="1" t="str">
        <f aca="false">IFERROR(VLOOKUP(A127,'Pass 2'!$A:$S,MATCH("Jun 2026 Traffic",'Pass 2'!$1:$1,0),FALSE()),"")</f>
        <v/>
      </c>
      <c r="F127" s="1" t="str">
        <f aca="false">IFERROR(VLOOKUP(A127,'Pass 2'!$A:$S,MATCH("Traffic % Change",'Pass 2'!$1:$1,0),FALSE()),"")</f>
        <v/>
      </c>
      <c r="G127" s="1" t="str">
        <f aca="false">IFERROR(VLOOKUP(A127,'Pass 2'!$A:$S,MATCH("Jan 2025 Referring Domains",'Pass 2'!$1:$1,0),FALSE()),"")</f>
        <v/>
      </c>
      <c r="H127" s="1" t="str">
        <f aca="false">IFERROR(VLOOKUP(A127,'Pass 2'!$A:$S,MATCH("Jun 2026 Referring Domains",'Pass 2'!$1:$1,0),FALSE()),"")</f>
        <v/>
      </c>
    </row>
    <row r="128" customFormat="false" ht="15" hidden="false" customHeight="true" outlineLevel="0" collapsed="false">
      <c r="B128" s="1" t="str">
        <f aca="false">IFERROR(VLOOKUP(A128,'Pass 2'!$A:$S,MATCH("Category",'Pass 2'!$1:$1,0),FALSE()),"")</f>
        <v/>
      </c>
      <c r="C128" s="1" t="str">
        <f aca="false">IFERROR(VLOOKUP(A128,'Pass 1 Archive'!$A:$AD,MATCH("LinkedIn Employee Count",'Pass 1 Archive'!$1:$1,0),FALSE()),"")</f>
        <v/>
      </c>
      <c r="D128" s="1" t="str">
        <f aca="false">IFERROR(VLOOKUP(A128,'Pass 2'!$A:$S,MATCH("Jan 2025 Traffic",'Pass 2'!$1:$1,0),FALSE()),"")</f>
        <v/>
      </c>
      <c r="E128" s="1" t="str">
        <f aca="false">IFERROR(VLOOKUP(A128,'Pass 2'!$A:$S,MATCH("Jun 2026 Traffic",'Pass 2'!$1:$1,0),FALSE()),"")</f>
        <v/>
      </c>
      <c r="F128" s="1" t="str">
        <f aca="false">IFERROR(VLOOKUP(A128,'Pass 2'!$A:$S,MATCH("Traffic % Change",'Pass 2'!$1:$1,0),FALSE()),"")</f>
        <v/>
      </c>
      <c r="G128" s="1" t="str">
        <f aca="false">IFERROR(VLOOKUP(A128,'Pass 2'!$A:$S,MATCH("Jan 2025 Referring Domains",'Pass 2'!$1:$1,0),FALSE()),"")</f>
        <v/>
      </c>
      <c r="H128" s="1" t="str">
        <f aca="false">IFERROR(VLOOKUP(A128,'Pass 2'!$A:$S,MATCH("Jun 2026 Referring Domains",'Pass 2'!$1:$1,0),FALSE()),"")</f>
        <v/>
      </c>
    </row>
    <row r="129" customFormat="false" ht="15" hidden="false" customHeight="true" outlineLevel="0" collapsed="false">
      <c r="B129" s="1" t="str">
        <f aca="false">IFERROR(VLOOKUP(A129,'Pass 2'!$A:$S,MATCH("Category",'Pass 2'!$1:$1,0),FALSE()),"")</f>
        <v/>
      </c>
      <c r="C129" s="1" t="str">
        <f aca="false">IFERROR(VLOOKUP(A129,'Pass 1 Archive'!$A:$AD,MATCH("LinkedIn Employee Count",'Pass 1 Archive'!$1:$1,0),FALSE()),"")</f>
        <v/>
      </c>
      <c r="D129" s="1" t="str">
        <f aca="false">IFERROR(VLOOKUP(A129,'Pass 2'!$A:$S,MATCH("Jan 2025 Traffic",'Pass 2'!$1:$1,0),FALSE()),"")</f>
        <v/>
      </c>
      <c r="E129" s="1" t="str">
        <f aca="false">IFERROR(VLOOKUP(A129,'Pass 2'!$A:$S,MATCH("Jun 2026 Traffic",'Pass 2'!$1:$1,0),FALSE()),"")</f>
        <v/>
      </c>
      <c r="F129" s="1" t="str">
        <f aca="false">IFERROR(VLOOKUP(A129,'Pass 2'!$A:$S,MATCH("Traffic % Change",'Pass 2'!$1:$1,0),FALSE()),"")</f>
        <v/>
      </c>
      <c r="G129" s="1" t="str">
        <f aca="false">IFERROR(VLOOKUP(A129,'Pass 2'!$A:$S,MATCH("Jan 2025 Referring Domains",'Pass 2'!$1:$1,0),FALSE()),"")</f>
        <v/>
      </c>
      <c r="H129" s="1" t="str">
        <f aca="false">IFERROR(VLOOKUP(A129,'Pass 2'!$A:$S,MATCH("Jun 2026 Referring Domains",'Pass 2'!$1:$1,0),FALSE()),"")</f>
        <v/>
      </c>
    </row>
    <row r="130" customFormat="false" ht="15" hidden="false" customHeight="true" outlineLevel="0" collapsed="false">
      <c r="B130" s="1" t="str">
        <f aca="false">IFERROR(VLOOKUP(A130,'Pass 2'!$A:$S,MATCH("Category",'Pass 2'!$1:$1,0),FALSE()),"")</f>
        <v/>
      </c>
      <c r="C130" s="1" t="str">
        <f aca="false">IFERROR(VLOOKUP(A130,'Pass 1 Archive'!$A:$AD,MATCH("LinkedIn Employee Count",'Pass 1 Archive'!$1:$1,0),FALSE()),"")</f>
        <v/>
      </c>
      <c r="D130" s="1" t="str">
        <f aca="false">IFERROR(VLOOKUP(A130,'Pass 2'!$A:$S,MATCH("Jan 2025 Traffic",'Pass 2'!$1:$1,0),FALSE()),"")</f>
        <v/>
      </c>
      <c r="E130" s="1" t="str">
        <f aca="false">IFERROR(VLOOKUP(A130,'Pass 2'!$A:$S,MATCH("Jun 2026 Traffic",'Pass 2'!$1:$1,0),FALSE()),"")</f>
        <v/>
      </c>
      <c r="F130" s="1" t="str">
        <f aca="false">IFERROR(VLOOKUP(A130,'Pass 2'!$A:$S,MATCH("Traffic % Change",'Pass 2'!$1:$1,0),FALSE()),"")</f>
        <v/>
      </c>
      <c r="G130" s="1" t="str">
        <f aca="false">IFERROR(VLOOKUP(A130,'Pass 2'!$A:$S,MATCH("Jan 2025 Referring Domains",'Pass 2'!$1:$1,0),FALSE()),"")</f>
        <v/>
      </c>
      <c r="H130" s="1" t="str">
        <f aca="false">IFERROR(VLOOKUP(A130,'Pass 2'!$A:$S,MATCH("Jun 2026 Referring Domains",'Pass 2'!$1:$1,0),FALSE()),"")</f>
        <v/>
      </c>
    </row>
    <row r="131" customFormat="false" ht="15" hidden="false" customHeight="true" outlineLevel="0" collapsed="false">
      <c r="B131" s="1" t="str">
        <f aca="false">IFERROR(VLOOKUP(A131,'Pass 2'!$A:$S,MATCH("Category",'Pass 2'!$1:$1,0),FALSE()),"")</f>
        <v/>
      </c>
      <c r="C131" s="1" t="str">
        <f aca="false">IFERROR(VLOOKUP(A131,'Pass 1 Archive'!$A:$AD,MATCH("LinkedIn Employee Count",'Pass 1 Archive'!$1:$1,0),FALSE()),"")</f>
        <v/>
      </c>
      <c r="D131" s="1" t="str">
        <f aca="false">IFERROR(VLOOKUP(A131,'Pass 2'!$A:$S,MATCH("Jan 2025 Traffic",'Pass 2'!$1:$1,0),FALSE()),"")</f>
        <v/>
      </c>
      <c r="E131" s="1" t="str">
        <f aca="false">IFERROR(VLOOKUP(A131,'Pass 2'!$A:$S,MATCH("Jun 2026 Traffic",'Pass 2'!$1:$1,0),FALSE()),"")</f>
        <v/>
      </c>
      <c r="F131" s="1" t="str">
        <f aca="false">IFERROR(VLOOKUP(A131,'Pass 2'!$A:$S,MATCH("Traffic % Change",'Pass 2'!$1:$1,0),FALSE()),"")</f>
        <v/>
      </c>
      <c r="G131" s="1" t="str">
        <f aca="false">IFERROR(VLOOKUP(A131,'Pass 2'!$A:$S,MATCH("Jan 2025 Referring Domains",'Pass 2'!$1:$1,0),FALSE()),"")</f>
        <v/>
      </c>
      <c r="H131" s="1" t="str">
        <f aca="false">IFERROR(VLOOKUP(A131,'Pass 2'!$A:$S,MATCH("Jun 2026 Referring Domains",'Pass 2'!$1:$1,0),FALSE()),"")</f>
        <v/>
      </c>
    </row>
    <row r="132" customFormat="false" ht="15" hidden="false" customHeight="true" outlineLevel="0" collapsed="false">
      <c r="B132" s="1" t="str">
        <f aca="false">IFERROR(VLOOKUP(A132,'Pass 2'!$A:$S,MATCH("Category",'Pass 2'!$1:$1,0),FALSE()),"")</f>
        <v/>
      </c>
      <c r="C132" s="1" t="str">
        <f aca="false">IFERROR(VLOOKUP(A132,'Pass 1 Archive'!$A:$AD,MATCH("LinkedIn Employee Count",'Pass 1 Archive'!$1:$1,0),FALSE()),"")</f>
        <v/>
      </c>
      <c r="D132" s="1" t="str">
        <f aca="false">IFERROR(VLOOKUP(A132,'Pass 2'!$A:$S,MATCH("Jan 2025 Traffic",'Pass 2'!$1:$1,0),FALSE()),"")</f>
        <v/>
      </c>
      <c r="E132" s="1" t="str">
        <f aca="false">IFERROR(VLOOKUP(A132,'Pass 2'!$A:$S,MATCH("Jun 2026 Traffic",'Pass 2'!$1:$1,0),FALSE()),"")</f>
        <v/>
      </c>
      <c r="F132" s="1" t="str">
        <f aca="false">IFERROR(VLOOKUP(A132,'Pass 2'!$A:$S,MATCH("Traffic % Change",'Pass 2'!$1:$1,0),FALSE()),"")</f>
        <v/>
      </c>
      <c r="G132" s="1" t="str">
        <f aca="false">IFERROR(VLOOKUP(A132,'Pass 2'!$A:$S,MATCH("Jan 2025 Referring Domains",'Pass 2'!$1:$1,0),FALSE()),"")</f>
        <v/>
      </c>
      <c r="H132" s="1" t="str">
        <f aca="false">IFERROR(VLOOKUP(A132,'Pass 2'!$A:$S,MATCH("Jun 2026 Referring Domains",'Pass 2'!$1:$1,0),FALSE()),"")</f>
        <v/>
      </c>
    </row>
    <row r="133" customFormat="false" ht="15" hidden="false" customHeight="true" outlineLevel="0" collapsed="false">
      <c r="B133" s="1" t="str">
        <f aca="false">IFERROR(VLOOKUP(A133,'Pass 2'!$A:$S,MATCH("Category",'Pass 2'!$1:$1,0),FALSE()),"")</f>
        <v/>
      </c>
      <c r="C133" s="1" t="str">
        <f aca="false">IFERROR(VLOOKUP(A133,'Pass 1 Archive'!$A:$AD,MATCH("LinkedIn Employee Count",'Pass 1 Archive'!$1:$1,0),FALSE()),"")</f>
        <v/>
      </c>
      <c r="D133" s="1" t="str">
        <f aca="false">IFERROR(VLOOKUP(A133,'Pass 2'!$A:$S,MATCH("Jan 2025 Traffic",'Pass 2'!$1:$1,0),FALSE()),"")</f>
        <v/>
      </c>
      <c r="E133" s="1" t="str">
        <f aca="false">IFERROR(VLOOKUP(A133,'Pass 2'!$A:$S,MATCH("Jun 2026 Traffic",'Pass 2'!$1:$1,0),FALSE()),"")</f>
        <v/>
      </c>
      <c r="F133" s="1" t="str">
        <f aca="false">IFERROR(VLOOKUP(A133,'Pass 2'!$A:$S,MATCH("Traffic % Change",'Pass 2'!$1:$1,0),FALSE()),"")</f>
        <v/>
      </c>
      <c r="G133" s="1" t="str">
        <f aca="false">IFERROR(VLOOKUP(A133,'Pass 2'!$A:$S,MATCH("Jan 2025 Referring Domains",'Pass 2'!$1:$1,0),FALSE()),"")</f>
        <v/>
      </c>
      <c r="H133" s="1" t="str">
        <f aca="false">IFERROR(VLOOKUP(A133,'Pass 2'!$A:$S,MATCH("Jun 2026 Referring Domains",'Pass 2'!$1:$1,0),FALSE()),"")</f>
        <v/>
      </c>
    </row>
    <row r="134" customFormat="false" ht="15" hidden="false" customHeight="true" outlineLevel="0" collapsed="false">
      <c r="B134" s="1" t="str">
        <f aca="false">IFERROR(VLOOKUP(A134,'Pass 2'!$A:$S,MATCH("Category",'Pass 2'!$1:$1,0),FALSE()),"")</f>
        <v/>
      </c>
      <c r="C134" s="1" t="str">
        <f aca="false">IFERROR(VLOOKUP(A134,'Pass 1 Archive'!$A:$AD,MATCH("LinkedIn Employee Count",'Pass 1 Archive'!$1:$1,0),FALSE()),"")</f>
        <v/>
      </c>
      <c r="D134" s="1" t="str">
        <f aca="false">IFERROR(VLOOKUP(A134,'Pass 2'!$A:$S,MATCH("Jan 2025 Traffic",'Pass 2'!$1:$1,0),FALSE()),"")</f>
        <v/>
      </c>
      <c r="E134" s="1" t="str">
        <f aca="false">IFERROR(VLOOKUP(A134,'Pass 2'!$A:$S,MATCH("Jun 2026 Traffic",'Pass 2'!$1:$1,0),FALSE()),"")</f>
        <v/>
      </c>
      <c r="F134" s="1" t="str">
        <f aca="false">IFERROR(VLOOKUP(A134,'Pass 2'!$A:$S,MATCH("Traffic % Change",'Pass 2'!$1:$1,0),FALSE()),"")</f>
        <v/>
      </c>
      <c r="G134" s="1" t="str">
        <f aca="false">IFERROR(VLOOKUP(A134,'Pass 2'!$A:$S,MATCH("Jan 2025 Referring Domains",'Pass 2'!$1:$1,0),FALSE()),"")</f>
        <v/>
      </c>
      <c r="H134" s="1" t="str">
        <f aca="false">IFERROR(VLOOKUP(A134,'Pass 2'!$A:$S,MATCH("Jun 2026 Referring Domains",'Pass 2'!$1:$1,0),FALSE()),"")</f>
        <v/>
      </c>
    </row>
    <row r="135" customFormat="false" ht="15" hidden="false" customHeight="true" outlineLevel="0" collapsed="false">
      <c r="B135" s="1" t="str">
        <f aca="false">IFERROR(VLOOKUP(A135,'Pass 2'!$A:$S,MATCH("Category",'Pass 2'!$1:$1,0),FALSE()),"")</f>
        <v/>
      </c>
      <c r="C135" s="1" t="str">
        <f aca="false">IFERROR(VLOOKUP(A135,'Pass 1 Archive'!$A:$AD,MATCH("LinkedIn Employee Count",'Pass 1 Archive'!$1:$1,0),FALSE()),"")</f>
        <v/>
      </c>
      <c r="D135" s="1" t="str">
        <f aca="false">IFERROR(VLOOKUP(A135,'Pass 2'!$A:$S,MATCH("Jan 2025 Traffic",'Pass 2'!$1:$1,0),FALSE()),"")</f>
        <v/>
      </c>
      <c r="E135" s="1" t="str">
        <f aca="false">IFERROR(VLOOKUP(A135,'Pass 2'!$A:$S,MATCH("Jun 2026 Traffic",'Pass 2'!$1:$1,0),FALSE()),"")</f>
        <v/>
      </c>
      <c r="F135" s="1" t="str">
        <f aca="false">IFERROR(VLOOKUP(A135,'Pass 2'!$A:$S,MATCH("Traffic % Change",'Pass 2'!$1:$1,0),FALSE()),"")</f>
        <v/>
      </c>
      <c r="G135" s="1" t="str">
        <f aca="false">IFERROR(VLOOKUP(A135,'Pass 2'!$A:$S,MATCH("Jan 2025 Referring Domains",'Pass 2'!$1:$1,0),FALSE()),"")</f>
        <v/>
      </c>
      <c r="H135" s="1" t="str">
        <f aca="false">IFERROR(VLOOKUP(A135,'Pass 2'!$A:$S,MATCH("Jun 2026 Referring Domains",'Pass 2'!$1:$1,0),FALSE()),"")</f>
        <v/>
      </c>
    </row>
    <row r="136" customFormat="false" ht="15" hidden="false" customHeight="true" outlineLevel="0" collapsed="false">
      <c r="B136" s="1" t="str">
        <f aca="false">IFERROR(VLOOKUP(A136,'Pass 2'!$A:$S,MATCH("Category",'Pass 2'!$1:$1,0),FALSE()),"")</f>
        <v/>
      </c>
      <c r="C136" s="1" t="str">
        <f aca="false">IFERROR(VLOOKUP(A136,'Pass 1 Archive'!$A:$AD,MATCH("LinkedIn Employee Count",'Pass 1 Archive'!$1:$1,0),FALSE()),"")</f>
        <v/>
      </c>
      <c r="D136" s="1" t="str">
        <f aca="false">IFERROR(VLOOKUP(A136,'Pass 2'!$A:$S,MATCH("Jan 2025 Traffic",'Pass 2'!$1:$1,0),FALSE()),"")</f>
        <v/>
      </c>
      <c r="E136" s="1" t="str">
        <f aca="false">IFERROR(VLOOKUP(A136,'Pass 2'!$A:$S,MATCH("Jun 2026 Traffic",'Pass 2'!$1:$1,0),FALSE()),"")</f>
        <v/>
      </c>
      <c r="F136" s="1" t="str">
        <f aca="false">IFERROR(VLOOKUP(A136,'Pass 2'!$A:$S,MATCH("Traffic % Change",'Pass 2'!$1:$1,0),FALSE()),"")</f>
        <v/>
      </c>
      <c r="G136" s="1" t="str">
        <f aca="false">IFERROR(VLOOKUP(A136,'Pass 2'!$A:$S,MATCH("Jan 2025 Referring Domains",'Pass 2'!$1:$1,0),FALSE()),"")</f>
        <v/>
      </c>
      <c r="H136" s="1" t="str">
        <f aca="false">IFERROR(VLOOKUP(A136,'Pass 2'!$A:$S,MATCH("Jun 2026 Referring Domains",'Pass 2'!$1:$1,0),FALSE()),"")</f>
        <v/>
      </c>
    </row>
    <row r="137" customFormat="false" ht="15" hidden="false" customHeight="true" outlineLevel="0" collapsed="false">
      <c r="B137" s="1" t="str">
        <f aca="false">IFERROR(VLOOKUP(A137,'Pass 2'!$A:$S,MATCH("Category",'Pass 2'!$1:$1,0),FALSE()),"")</f>
        <v/>
      </c>
      <c r="C137" s="1" t="str">
        <f aca="false">IFERROR(VLOOKUP(A137,'Pass 1 Archive'!$A:$AD,MATCH("LinkedIn Employee Count",'Pass 1 Archive'!$1:$1,0),FALSE()),"")</f>
        <v/>
      </c>
      <c r="D137" s="1" t="str">
        <f aca="false">IFERROR(VLOOKUP(A137,'Pass 2'!$A:$S,MATCH("Jan 2025 Traffic",'Pass 2'!$1:$1,0),FALSE()),"")</f>
        <v/>
      </c>
      <c r="E137" s="1" t="str">
        <f aca="false">IFERROR(VLOOKUP(A137,'Pass 2'!$A:$S,MATCH("Jun 2026 Traffic",'Pass 2'!$1:$1,0),FALSE()),"")</f>
        <v/>
      </c>
      <c r="F137" s="1" t="str">
        <f aca="false">IFERROR(VLOOKUP(A137,'Pass 2'!$A:$S,MATCH("Traffic % Change",'Pass 2'!$1:$1,0),FALSE()),"")</f>
        <v/>
      </c>
      <c r="G137" s="1" t="str">
        <f aca="false">IFERROR(VLOOKUP(A137,'Pass 2'!$A:$S,MATCH("Jan 2025 Referring Domains",'Pass 2'!$1:$1,0),FALSE()),"")</f>
        <v/>
      </c>
      <c r="H137" s="1" t="str">
        <f aca="false">IFERROR(VLOOKUP(A137,'Pass 2'!$A:$S,MATCH("Jun 2026 Referring Domains",'Pass 2'!$1:$1,0),FALSE()),"")</f>
        <v/>
      </c>
    </row>
    <row r="138" customFormat="false" ht="15" hidden="false" customHeight="true" outlineLevel="0" collapsed="false">
      <c r="B138" s="1" t="str">
        <f aca="false">IFERROR(VLOOKUP(A138,'Pass 2'!$A:$S,MATCH("Category",'Pass 2'!$1:$1,0),FALSE()),"")</f>
        <v/>
      </c>
      <c r="C138" s="1" t="str">
        <f aca="false">IFERROR(VLOOKUP(A138,'Pass 1 Archive'!$A:$AD,MATCH("LinkedIn Employee Count",'Pass 1 Archive'!$1:$1,0),FALSE()),"")</f>
        <v/>
      </c>
      <c r="D138" s="1" t="str">
        <f aca="false">IFERROR(VLOOKUP(A138,'Pass 2'!$A:$S,MATCH("Jan 2025 Traffic",'Pass 2'!$1:$1,0),FALSE()),"")</f>
        <v/>
      </c>
      <c r="E138" s="1" t="str">
        <f aca="false">IFERROR(VLOOKUP(A138,'Pass 2'!$A:$S,MATCH("Jun 2026 Traffic",'Pass 2'!$1:$1,0),FALSE()),"")</f>
        <v/>
      </c>
      <c r="F138" s="1" t="str">
        <f aca="false">IFERROR(VLOOKUP(A138,'Pass 2'!$A:$S,MATCH("Traffic % Change",'Pass 2'!$1:$1,0),FALSE()),"")</f>
        <v/>
      </c>
      <c r="G138" s="1" t="str">
        <f aca="false">IFERROR(VLOOKUP(A138,'Pass 2'!$A:$S,MATCH("Jan 2025 Referring Domains",'Pass 2'!$1:$1,0),FALSE()),"")</f>
        <v/>
      </c>
      <c r="H138" s="1" t="str">
        <f aca="false">IFERROR(VLOOKUP(A138,'Pass 2'!$A:$S,MATCH("Jun 2026 Referring Domains",'Pass 2'!$1:$1,0),FALSE()),"")</f>
        <v/>
      </c>
    </row>
    <row r="139" customFormat="false" ht="15" hidden="false" customHeight="true" outlineLevel="0" collapsed="false">
      <c r="B139" s="1" t="str">
        <f aca="false">IFERROR(VLOOKUP(A139,'Pass 2'!$A:$S,MATCH("Category",'Pass 2'!$1:$1,0),FALSE()),"")</f>
        <v/>
      </c>
      <c r="C139" s="1" t="str">
        <f aca="false">IFERROR(VLOOKUP(A139,'Pass 1 Archive'!$A:$AD,MATCH("LinkedIn Employee Count",'Pass 1 Archive'!$1:$1,0),FALSE()),"")</f>
        <v/>
      </c>
      <c r="D139" s="1" t="str">
        <f aca="false">IFERROR(VLOOKUP(A139,'Pass 2'!$A:$S,MATCH("Jan 2025 Traffic",'Pass 2'!$1:$1,0),FALSE()),"")</f>
        <v/>
      </c>
      <c r="E139" s="1" t="str">
        <f aca="false">IFERROR(VLOOKUP(A139,'Pass 2'!$A:$S,MATCH("Jun 2026 Traffic",'Pass 2'!$1:$1,0),FALSE()),"")</f>
        <v/>
      </c>
      <c r="F139" s="1" t="str">
        <f aca="false">IFERROR(VLOOKUP(A139,'Pass 2'!$A:$S,MATCH("Traffic % Change",'Pass 2'!$1:$1,0),FALSE()),"")</f>
        <v/>
      </c>
      <c r="G139" s="1" t="str">
        <f aca="false">IFERROR(VLOOKUP(A139,'Pass 2'!$A:$S,MATCH("Jan 2025 Referring Domains",'Pass 2'!$1:$1,0),FALSE()),"")</f>
        <v/>
      </c>
      <c r="H139" s="1" t="str">
        <f aca="false">IFERROR(VLOOKUP(A139,'Pass 2'!$A:$S,MATCH("Jun 2026 Referring Domains",'Pass 2'!$1:$1,0),FALSE()),"")</f>
        <v/>
      </c>
    </row>
    <row r="140" customFormat="false" ht="15" hidden="false" customHeight="true" outlineLevel="0" collapsed="false">
      <c r="B140" s="1" t="str">
        <f aca="false">IFERROR(VLOOKUP(A140,'Pass 2'!$A:$S,MATCH("Category",'Pass 2'!$1:$1,0),FALSE()),"")</f>
        <v/>
      </c>
      <c r="C140" s="1" t="str">
        <f aca="false">IFERROR(VLOOKUP(A140,'Pass 1 Archive'!$A:$AD,MATCH("LinkedIn Employee Count",'Pass 1 Archive'!$1:$1,0),FALSE()),"")</f>
        <v/>
      </c>
      <c r="D140" s="1" t="str">
        <f aca="false">IFERROR(VLOOKUP(A140,'Pass 2'!$A:$S,MATCH("Jan 2025 Traffic",'Pass 2'!$1:$1,0),FALSE()),"")</f>
        <v/>
      </c>
      <c r="E140" s="1" t="str">
        <f aca="false">IFERROR(VLOOKUP(A140,'Pass 2'!$A:$S,MATCH("Jun 2026 Traffic",'Pass 2'!$1:$1,0),FALSE()),"")</f>
        <v/>
      </c>
      <c r="F140" s="1" t="str">
        <f aca="false">IFERROR(VLOOKUP(A140,'Pass 2'!$A:$S,MATCH("Traffic % Change",'Pass 2'!$1:$1,0),FALSE()),"")</f>
        <v/>
      </c>
      <c r="G140" s="1" t="str">
        <f aca="false">IFERROR(VLOOKUP(A140,'Pass 2'!$A:$S,MATCH("Jan 2025 Referring Domains",'Pass 2'!$1:$1,0),FALSE()),"")</f>
        <v/>
      </c>
      <c r="H140" s="1" t="str">
        <f aca="false">IFERROR(VLOOKUP(A140,'Pass 2'!$A:$S,MATCH("Jun 2026 Referring Domains",'Pass 2'!$1:$1,0),FALSE()),"")</f>
        <v/>
      </c>
    </row>
    <row r="141" customFormat="false" ht="15" hidden="false" customHeight="true" outlineLevel="0" collapsed="false">
      <c r="B141" s="1" t="str">
        <f aca="false">IFERROR(VLOOKUP(A141,'Pass 2'!$A:$S,MATCH("Category",'Pass 2'!$1:$1,0),FALSE()),"")</f>
        <v/>
      </c>
      <c r="C141" s="1" t="str">
        <f aca="false">IFERROR(VLOOKUP(A141,'Pass 1 Archive'!$A:$AD,MATCH("LinkedIn Employee Count",'Pass 1 Archive'!$1:$1,0),FALSE()),"")</f>
        <v/>
      </c>
      <c r="D141" s="1" t="str">
        <f aca="false">IFERROR(VLOOKUP(A141,'Pass 2'!$A:$S,MATCH("Jan 2025 Traffic",'Pass 2'!$1:$1,0),FALSE()),"")</f>
        <v/>
      </c>
      <c r="E141" s="1" t="str">
        <f aca="false">IFERROR(VLOOKUP(A141,'Pass 2'!$A:$S,MATCH("Jun 2026 Traffic",'Pass 2'!$1:$1,0),FALSE()),"")</f>
        <v/>
      </c>
      <c r="F141" s="1" t="str">
        <f aca="false">IFERROR(VLOOKUP(A141,'Pass 2'!$A:$S,MATCH("Traffic % Change",'Pass 2'!$1:$1,0),FALSE()),"")</f>
        <v/>
      </c>
      <c r="G141" s="1" t="str">
        <f aca="false">IFERROR(VLOOKUP(A141,'Pass 2'!$A:$S,MATCH("Jan 2025 Referring Domains",'Pass 2'!$1:$1,0),FALSE()),"")</f>
        <v/>
      </c>
      <c r="H141" s="1" t="str">
        <f aca="false">IFERROR(VLOOKUP(A141,'Pass 2'!$A:$S,MATCH("Jun 2026 Referring Domains",'Pass 2'!$1:$1,0),FALSE()),"")</f>
        <v/>
      </c>
    </row>
    <row r="142" customFormat="false" ht="15" hidden="false" customHeight="true" outlineLevel="0" collapsed="false">
      <c r="B142" s="1" t="str">
        <f aca="false">IFERROR(VLOOKUP(A142,'Pass 2'!$A:$S,MATCH("Category",'Pass 2'!$1:$1,0),FALSE()),"")</f>
        <v/>
      </c>
      <c r="C142" s="1" t="str">
        <f aca="false">IFERROR(VLOOKUP(A142,'Pass 1 Archive'!$A:$AD,MATCH("LinkedIn Employee Count",'Pass 1 Archive'!$1:$1,0),FALSE()),"")</f>
        <v/>
      </c>
      <c r="D142" s="1" t="str">
        <f aca="false">IFERROR(VLOOKUP(A142,'Pass 2'!$A:$S,MATCH("Jan 2025 Traffic",'Pass 2'!$1:$1,0),FALSE()),"")</f>
        <v/>
      </c>
      <c r="E142" s="1" t="str">
        <f aca="false">IFERROR(VLOOKUP(A142,'Pass 2'!$A:$S,MATCH("Jun 2026 Traffic",'Pass 2'!$1:$1,0),FALSE()),"")</f>
        <v/>
      </c>
      <c r="F142" s="1" t="str">
        <f aca="false">IFERROR(VLOOKUP(A142,'Pass 2'!$A:$S,MATCH("Traffic % Change",'Pass 2'!$1:$1,0),FALSE()),"")</f>
        <v/>
      </c>
      <c r="G142" s="1" t="str">
        <f aca="false">IFERROR(VLOOKUP(A142,'Pass 2'!$A:$S,MATCH("Jan 2025 Referring Domains",'Pass 2'!$1:$1,0),FALSE()),"")</f>
        <v/>
      </c>
      <c r="H142" s="1" t="str">
        <f aca="false">IFERROR(VLOOKUP(A142,'Pass 2'!$A:$S,MATCH("Jun 2026 Referring Domains",'Pass 2'!$1:$1,0),FALSE()),"")</f>
        <v/>
      </c>
    </row>
    <row r="143" customFormat="false" ht="15" hidden="false" customHeight="true" outlineLevel="0" collapsed="false">
      <c r="B143" s="1" t="str">
        <f aca="false">IFERROR(VLOOKUP(A143,'Pass 2'!$A:$S,MATCH("Category",'Pass 2'!$1:$1,0),FALSE()),"")</f>
        <v/>
      </c>
      <c r="C143" s="1" t="str">
        <f aca="false">IFERROR(VLOOKUP(A143,'Pass 1 Archive'!$A:$AD,MATCH("LinkedIn Employee Count",'Pass 1 Archive'!$1:$1,0),FALSE()),"")</f>
        <v/>
      </c>
      <c r="D143" s="1" t="str">
        <f aca="false">IFERROR(VLOOKUP(A143,'Pass 2'!$A:$S,MATCH("Jan 2025 Traffic",'Pass 2'!$1:$1,0),FALSE()),"")</f>
        <v/>
      </c>
      <c r="E143" s="1" t="str">
        <f aca="false">IFERROR(VLOOKUP(A143,'Pass 2'!$A:$S,MATCH("Jun 2026 Traffic",'Pass 2'!$1:$1,0),FALSE()),"")</f>
        <v/>
      </c>
      <c r="F143" s="1" t="str">
        <f aca="false">IFERROR(VLOOKUP(A143,'Pass 2'!$A:$S,MATCH("Traffic % Change",'Pass 2'!$1:$1,0),FALSE()),"")</f>
        <v/>
      </c>
      <c r="G143" s="1" t="str">
        <f aca="false">IFERROR(VLOOKUP(A143,'Pass 2'!$A:$S,MATCH("Jan 2025 Referring Domains",'Pass 2'!$1:$1,0),FALSE()),"")</f>
        <v/>
      </c>
      <c r="H143" s="1" t="str">
        <f aca="false">IFERROR(VLOOKUP(A143,'Pass 2'!$A:$S,MATCH("Jun 2026 Referring Domains",'Pass 2'!$1:$1,0),FALSE()),"")</f>
        <v/>
      </c>
    </row>
    <row r="144" customFormat="false" ht="15" hidden="false" customHeight="true" outlineLevel="0" collapsed="false">
      <c r="B144" s="1" t="str">
        <f aca="false">IFERROR(VLOOKUP(A144,'Pass 2'!$A:$S,MATCH("Category",'Pass 2'!$1:$1,0),FALSE()),"")</f>
        <v/>
      </c>
      <c r="C144" s="1" t="str">
        <f aca="false">IFERROR(VLOOKUP(A144,'Pass 1 Archive'!$A:$AD,MATCH("LinkedIn Employee Count",'Pass 1 Archive'!$1:$1,0),FALSE()),"")</f>
        <v/>
      </c>
      <c r="D144" s="1" t="str">
        <f aca="false">IFERROR(VLOOKUP(A144,'Pass 2'!$A:$S,MATCH("Jan 2025 Traffic",'Pass 2'!$1:$1,0),FALSE()),"")</f>
        <v/>
      </c>
      <c r="E144" s="1" t="str">
        <f aca="false">IFERROR(VLOOKUP(A144,'Pass 2'!$A:$S,MATCH("Jun 2026 Traffic",'Pass 2'!$1:$1,0),FALSE()),"")</f>
        <v/>
      </c>
      <c r="F144" s="1" t="str">
        <f aca="false">IFERROR(VLOOKUP(A144,'Pass 2'!$A:$S,MATCH("Traffic % Change",'Pass 2'!$1:$1,0),FALSE()),"")</f>
        <v/>
      </c>
      <c r="G144" s="1" t="str">
        <f aca="false">IFERROR(VLOOKUP(A144,'Pass 2'!$A:$S,MATCH("Jan 2025 Referring Domains",'Pass 2'!$1:$1,0),FALSE()),"")</f>
        <v/>
      </c>
      <c r="H144" s="1" t="str">
        <f aca="false">IFERROR(VLOOKUP(A144,'Pass 2'!$A:$S,MATCH("Jun 2026 Referring Domains",'Pass 2'!$1:$1,0),FALSE()),"")</f>
        <v/>
      </c>
    </row>
    <row r="145" customFormat="false" ht="15" hidden="false" customHeight="true" outlineLevel="0" collapsed="false">
      <c r="B145" s="1" t="str">
        <f aca="false">IFERROR(VLOOKUP(A145,'Pass 2'!$A:$S,MATCH("Category",'Pass 2'!$1:$1,0),FALSE()),"")</f>
        <v/>
      </c>
      <c r="C145" s="1" t="str">
        <f aca="false">IFERROR(VLOOKUP(A145,'Pass 1 Archive'!$A:$AD,MATCH("LinkedIn Employee Count",'Pass 1 Archive'!$1:$1,0),FALSE()),"")</f>
        <v/>
      </c>
      <c r="D145" s="1" t="str">
        <f aca="false">IFERROR(VLOOKUP(A145,'Pass 2'!$A:$S,MATCH("Jan 2025 Traffic",'Pass 2'!$1:$1,0),FALSE()),"")</f>
        <v/>
      </c>
      <c r="E145" s="1" t="str">
        <f aca="false">IFERROR(VLOOKUP(A145,'Pass 2'!$A:$S,MATCH("Jun 2026 Traffic",'Pass 2'!$1:$1,0),FALSE()),"")</f>
        <v/>
      </c>
      <c r="F145" s="1" t="str">
        <f aca="false">IFERROR(VLOOKUP(A145,'Pass 2'!$A:$S,MATCH("Traffic % Change",'Pass 2'!$1:$1,0),FALSE()),"")</f>
        <v/>
      </c>
      <c r="G145" s="1" t="str">
        <f aca="false">IFERROR(VLOOKUP(A145,'Pass 2'!$A:$S,MATCH("Jan 2025 Referring Domains",'Pass 2'!$1:$1,0),FALSE()),"")</f>
        <v/>
      </c>
      <c r="H145" s="1" t="str">
        <f aca="false">IFERROR(VLOOKUP(A145,'Pass 2'!$A:$S,MATCH("Jun 2026 Referring Domains",'Pass 2'!$1:$1,0),FALSE()),"")</f>
        <v/>
      </c>
    </row>
    <row r="146" customFormat="false" ht="15" hidden="false" customHeight="true" outlineLevel="0" collapsed="false">
      <c r="B146" s="1" t="str">
        <f aca="false">IFERROR(VLOOKUP(A146,'Pass 2'!$A:$S,MATCH("Category",'Pass 2'!$1:$1,0),FALSE()),"")</f>
        <v/>
      </c>
      <c r="C146" s="1" t="str">
        <f aca="false">IFERROR(VLOOKUP(A146,'Pass 1 Archive'!$A:$AD,MATCH("LinkedIn Employee Count",'Pass 1 Archive'!$1:$1,0),FALSE()),"")</f>
        <v/>
      </c>
      <c r="D146" s="1" t="str">
        <f aca="false">IFERROR(VLOOKUP(A146,'Pass 2'!$A:$S,MATCH("Jan 2025 Traffic",'Pass 2'!$1:$1,0),FALSE()),"")</f>
        <v/>
      </c>
      <c r="E146" s="1" t="str">
        <f aca="false">IFERROR(VLOOKUP(A146,'Pass 2'!$A:$S,MATCH("Jun 2026 Traffic",'Pass 2'!$1:$1,0),FALSE()),"")</f>
        <v/>
      </c>
      <c r="F146" s="1" t="str">
        <f aca="false">IFERROR(VLOOKUP(A146,'Pass 2'!$A:$S,MATCH("Traffic % Change",'Pass 2'!$1:$1,0),FALSE()),"")</f>
        <v/>
      </c>
      <c r="G146" s="1" t="str">
        <f aca="false">IFERROR(VLOOKUP(A146,'Pass 2'!$A:$S,MATCH("Jan 2025 Referring Domains",'Pass 2'!$1:$1,0),FALSE()),"")</f>
        <v/>
      </c>
      <c r="H146" s="1" t="str">
        <f aca="false">IFERROR(VLOOKUP(A146,'Pass 2'!$A:$S,MATCH("Jun 2026 Referring Domains",'Pass 2'!$1:$1,0),FALSE()),"")</f>
        <v/>
      </c>
    </row>
    <row r="147" customFormat="false" ht="15" hidden="false" customHeight="true" outlineLevel="0" collapsed="false">
      <c r="B147" s="1" t="str">
        <f aca="false">IFERROR(VLOOKUP(A147,'Pass 2'!$A:$S,MATCH("Category",'Pass 2'!$1:$1,0),FALSE()),"")</f>
        <v/>
      </c>
      <c r="C147" s="1" t="str">
        <f aca="false">IFERROR(VLOOKUP(A147,'Pass 1 Archive'!$A:$AD,MATCH("LinkedIn Employee Count",'Pass 1 Archive'!$1:$1,0),FALSE()),"")</f>
        <v/>
      </c>
      <c r="D147" s="1" t="str">
        <f aca="false">IFERROR(VLOOKUP(A147,'Pass 2'!$A:$S,MATCH("Jan 2025 Traffic",'Pass 2'!$1:$1,0),FALSE()),"")</f>
        <v/>
      </c>
      <c r="E147" s="1" t="str">
        <f aca="false">IFERROR(VLOOKUP(A147,'Pass 2'!$A:$S,MATCH("Jun 2026 Traffic",'Pass 2'!$1:$1,0),FALSE()),"")</f>
        <v/>
      </c>
      <c r="F147" s="1" t="str">
        <f aca="false">IFERROR(VLOOKUP(A147,'Pass 2'!$A:$S,MATCH("Traffic % Change",'Pass 2'!$1:$1,0),FALSE()),"")</f>
        <v/>
      </c>
      <c r="G147" s="1" t="str">
        <f aca="false">IFERROR(VLOOKUP(A147,'Pass 2'!$A:$S,MATCH("Jan 2025 Referring Domains",'Pass 2'!$1:$1,0),FALSE()),"")</f>
        <v/>
      </c>
      <c r="H147" s="1" t="str">
        <f aca="false">IFERROR(VLOOKUP(A147,'Pass 2'!$A:$S,MATCH("Jun 2026 Referring Domains",'Pass 2'!$1:$1,0),FALSE()),"")</f>
        <v/>
      </c>
    </row>
    <row r="148" customFormat="false" ht="15" hidden="false" customHeight="true" outlineLevel="0" collapsed="false">
      <c r="B148" s="1" t="str">
        <f aca="false">IFERROR(VLOOKUP(A148,'Pass 2'!$A:$S,MATCH("Category",'Pass 2'!$1:$1,0),FALSE()),"")</f>
        <v/>
      </c>
      <c r="C148" s="1" t="str">
        <f aca="false">IFERROR(VLOOKUP(A148,'Pass 1 Archive'!$A:$AD,MATCH("LinkedIn Employee Count",'Pass 1 Archive'!$1:$1,0),FALSE()),"")</f>
        <v/>
      </c>
      <c r="D148" s="1" t="str">
        <f aca="false">IFERROR(VLOOKUP(A148,'Pass 2'!$A:$S,MATCH("Jan 2025 Traffic",'Pass 2'!$1:$1,0),FALSE()),"")</f>
        <v/>
      </c>
      <c r="E148" s="1" t="str">
        <f aca="false">IFERROR(VLOOKUP(A148,'Pass 2'!$A:$S,MATCH("Jun 2026 Traffic",'Pass 2'!$1:$1,0),FALSE()),"")</f>
        <v/>
      </c>
      <c r="F148" s="1" t="str">
        <f aca="false">IFERROR(VLOOKUP(A148,'Pass 2'!$A:$S,MATCH("Traffic % Change",'Pass 2'!$1:$1,0),FALSE()),"")</f>
        <v/>
      </c>
      <c r="G148" s="1" t="str">
        <f aca="false">IFERROR(VLOOKUP(A148,'Pass 2'!$A:$S,MATCH("Jan 2025 Referring Domains",'Pass 2'!$1:$1,0),FALSE()),"")</f>
        <v/>
      </c>
      <c r="H148" s="1" t="str">
        <f aca="false">IFERROR(VLOOKUP(A148,'Pass 2'!$A:$S,MATCH("Jun 2026 Referring Domains",'Pass 2'!$1:$1,0),FALSE()),"")</f>
        <v/>
      </c>
    </row>
    <row r="149" customFormat="false" ht="15" hidden="false" customHeight="true" outlineLevel="0" collapsed="false">
      <c r="B149" s="1" t="str">
        <f aca="false">IFERROR(VLOOKUP(A149,'Pass 2'!$A:$S,MATCH("Category",'Pass 2'!$1:$1,0),FALSE()),"")</f>
        <v/>
      </c>
      <c r="C149" s="1" t="str">
        <f aca="false">IFERROR(VLOOKUP(A149,'Pass 1 Archive'!$A:$AD,MATCH("LinkedIn Employee Count",'Pass 1 Archive'!$1:$1,0),FALSE()),"")</f>
        <v/>
      </c>
      <c r="D149" s="1" t="str">
        <f aca="false">IFERROR(VLOOKUP(A149,'Pass 2'!$A:$S,MATCH("Jan 2025 Traffic",'Pass 2'!$1:$1,0),FALSE()),"")</f>
        <v/>
      </c>
      <c r="E149" s="1" t="str">
        <f aca="false">IFERROR(VLOOKUP(A149,'Pass 2'!$A:$S,MATCH("Jun 2026 Traffic",'Pass 2'!$1:$1,0),FALSE()),"")</f>
        <v/>
      </c>
      <c r="F149" s="1" t="str">
        <f aca="false">IFERROR(VLOOKUP(A149,'Pass 2'!$A:$S,MATCH("Traffic % Change",'Pass 2'!$1:$1,0),FALSE()),"")</f>
        <v/>
      </c>
      <c r="G149" s="1" t="str">
        <f aca="false">IFERROR(VLOOKUP(A149,'Pass 2'!$A:$S,MATCH("Jan 2025 Referring Domains",'Pass 2'!$1:$1,0),FALSE()),"")</f>
        <v/>
      </c>
      <c r="H149" s="1" t="str">
        <f aca="false">IFERROR(VLOOKUP(A149,'Pass 2'!$A:$S,MATCH("Jun 2026 Referring Domains",'Pass 2'!$1:$1,0),FALSE()),"")</f>
        <v/>
      </c>
    </row>
    <row r="150" customFormat="false" ht="15" hidden="false" customHeight="true" outlineLevel="0" collapsed="false">
      <c r="B150" s="1" t="str">
        <f aca="false">IFERROR(VLOOKUP(A150,'Pass 2'!$A:$S,MATCH("Category",'Pass 2'!$1:$1,0),FALSE()),"")</f>
        <v/>
      </c>
      <c r="C150" s="1" t="str">
        <f aca="false">IFERROR(VLOOKUP(A150,'Pass 1 Archive'!$A:$AD,MATCH("LinkedIn Employee Count",'Pass 1 Archive'!$1:$1,0),FALSE()),"")</f>
        <v/>
      </c>
      <c r="D150" s="1" t="str">
        <f aca="false">IFERROR(VLOOKUP(A150,'Pass 2'!$A:$S,MATCH("Jan 2025 Traffic",'Pass 2'!$1:$1,0),FALSE()),"")</f>
        <v/>
      </c>
      <c r="E150" s="1" t="str">
        <f aca="false">IFERROR(VLOOKUP(A150,'Pass 2'!$A:$S,MATCH("Jun 2026 Traffic",'Pass 2'!$1:$1,0),FALSE()),"")</f>
        <v/>
      </c>
      <c r="F150" s="1" t="str">
        <f aca="false">IFERROR(VLOOKUP(A150,'Pass 2'!$A:$S,MATCH("Traffic % Change",'Pass 2'!$1:$1,0),FALSE()),"")</f>
        <v/>
      </c>
      <c r="G150" s="1" t="str">
        <f aca="false">IFERROR(VLOOKUP(A150,'Pass 2'!$A:$S,MATCH("Jan 2025 Referring Domains",'Pass 2'!$1:$1,0),FALSE()),"")</f>
        <v/>
      </c>
      <c r="H150" s="1" t="str">
        <f aca="false">IFERROR(VLOOKUP(A150,'Pass 2'!$A:$S,MATCH("Jun 2026 Referring Domains",'Pass 2'!$1:$1,0),FALSE()),"")</f>
        <v/>
      </c>
    </row>
    <row r="151" customFormat="false" ht="15" hidden="false" customHeight="true" outlineLevel="0" collapsed="false">
      <c r="B151" s="1" t="str">
        <f aca="false">IFERROR(VLOOKUP(A151,'Pass 2'!$A:$S,MATCH("Category",'Pass 2'!$1:$1,0),FALSE()),"")</f>
        <v/>
      </c>
      <c r="C151" s="1" t="str">
        <f aca="false">IFERROR(VLOOKUP(A151,'Pass 1 Archive'!$A:$AD,MATCH("LinkedIn Employee Count",'Pass 1 Archive'!$1:$1,0),FALSE()),"")</f>
        <v/>
      </c>
      <c r="D151" s="1" t="str">
        <f aca="false">IFERROR(VLOOKUP(A151,'Pass 2'!$A:$S,MATCH("Jan 2025 Traffic",'Pass 2'!$1:$1,0),FALSE()),"")</f>
        <v/>
      </c>
      <c r="E151" s="1" t="str">
        <f aca="false">IFERROR(VLOOKUP(A151,'Pass 2'!$A:$S,MATCH("Jun 2026 Traffic",'Pass 2'!$1:$1,0),FALSE()),"")</f>
        <v/>
      </c>
      <c r="F151" s="1" t="str">
        <f aca="false">IFERROR(VLOOKUP(A151,'Pass 2'!$A:$S,MATCH("Traffic % Change",'Pass 2'!$1:$1,0),FALSE()),"")</f>
        <v/>
      </c>
      <c r="G151" s="1" t="str">
        <f aca="false">IFERROR(VLOOKUP(A151,'Pass 2'!$A:$S,MATCH("Jan 2025 Referring Domains",'Pass 2'!$1:$1,0),FALSE()),"")</f>
        <v/>
      </c>
      <c r="H151" s="1" t="str">
        <f aca="false">IFERROR(VLOOKUP(A151,'Pass 2'!$A:$S,MATCH("Jun 2026 Referring Domains",'Pass 2'!$1:$1,0),FALSE()),"")</f>
        <v/>
      </c>
    </row>
    <row r="152" customFormat="false" ht="15" hidden="false" customHeight="true" outlineLevel="0" collapsed="false">
      <c r="B152" s="1" t="str">
        <f aca="false">IFERROR(VLOOKUP(A152,'Pass 2'!$A:$S,MATCH("Category",'Pass 2'!$1:$1,0),FALSE()),"")</f>
        <v/>
      </c>
      <c r="C152" s="1" t="str">
        <f aca="false">IFERROR(VLOOKUP(A152,'Pass 1 Archive'!$A:$AD,MATCH("LinkedIn Employee Count",'Pass 1 Archive'!$1:$1,0),FALSE()),"")</f>
        <v/>
      </c>
      <c r="D152" s="1" t="str">
        <f aca="false">IFERROR(VLOOKUP(A152,'Pass 2'!$A:$S,MATCH("Jan 2025 Traffic",'Pass 2'!$1:$1,0),FALSE()),"")</f>
        <v/>
      </c>
      <c r="E152" s="1" t="str">
        <f aca="false">IFERROR(VLOOKUP(A152,'Pass 2'!$A:$S,MATCH("Jun 2026 Traffic",'Pass 2'!$1:$1,0),FALSE()),"")</f>
        <v/>
      </c>
      <c r="F152" s="1" t="str">
        <f aca="false">IFERROR(VLOOKUP(A152,'Pass 2'!$A:$S,MATCH("Traffic % Change",'Pass 2'!$1:$1,0),FALSE()),"")</f>
        <v/>
      </c>
      <c r="G152" s="1" t="str">
        <f aca="false">IFERROR(VLOOKUP(A152,'Pass 2'!$A:$S,MATCH("Jan 2025 Referring Domains",'Pass 2'!$1:$1,0),FALSE()),"")</f>
        <v/>
      </c>
      <c r="H152" s="1" t="str">
        <f aca="false">IFERROR(VLOOKUP(A152,'Pass 2'!$A:$S,MATCH("Jun 2026 Referring Domains",'Pass 2'!$1:$1,0),FALSE()),"")</f>
        <v/>
      </c>
    </row>
    <row r="153" customFormat="false" ht="15" hidden="false" customHeight="true" outlineLevel="0" collapsed="false">
      <c r="B153" s="1" t="str">
        <f aca="false">IFERROR(VLOOKUP(A153,'Pass 2'!$A:$S,MATCH("Category",'Pass 2'!$1:$1,0),FALSE()),"")</f>
        <v/>
      </c>
      <c r="C153" s="1" t="str">
        <f aca="false">IFERROR(VLOOKUP(A153,'Pass 1 Archive'!$A:$AD,MATCH("LinkedIn Employee Count",'Pass 1 Archive'!$1:$1,0),FALSE()),"")</f>
        <v/>
      </c>
      <c r="D153" s="1" t="str">
        <f aca="false">IFERROR(VLOOKUP(A153,'Pass 2'!$A:$S,MATCH("Jan 2025 Traffic",'Pass 2'!$1:$1,0),FALSE()),"")</f>
        <v/>
      </c>
      <c r="E153" s="1" t="str">
        <f aca="false">IFERROR(VLOOKUP(A153,'Pass 2'!$A:$S,MATCH("Jun 2026 Traffic",'Pass 2'!$1:$1,0),FALSE()),"")</f>
        <v/>
      </c>
      <c r="F153" s="1" t="str">
        <f aca="false">IFERROR(VLOOKUP(A153,'Pass 2'!$A:$S,MATCH("Traffic % Change",'Pass 2'!$1:$1,0),FALSE()),"")</f>
        <v/>
      </c>
      <c r="G153" s="1" t="str">
        <f aca="false">IFERROR(VLOOKUP(A153,'Pass 2'!$A:$S,MATCH("Jan 2025 Referring Domains",'Pass 2'!$1:$1,0),FALSE()),"")</f>
        <v/>
      </c>
      <c r="H153" s="1" t="str">
        <f aca="false">IFERROR(VLOOKUP(A153,'Pass 2'!$A:$S,MATCH("Jun 2026 Referring Domains",'Pass 2'!$1:$1,0),FALSE()),"")</f>
        <v/>
      </c>
    </row>
    <row r="154" customFormat="false" ht="15" hidden="false" customHeight="true" outlineLevel="0" collapsed="false">
      <c r="B154" s="1" t="str">
        <f aca="false">IFERROR(VLOOKUP(A154,'Pass 2'!$A:$S,MATCH("Category",'Pass 2'!$1:$1,0),FALSE()),"")</f>
        <v/>
      </c>
      <c r="C154" s="1" t="str">
        <f aca="false">IFERROR(VLOOKUP(A154,'Pass 1 Archive'!$A:$AD,MATCH("LinkedIn Employee Count",'Pass 1 Archive'!$1:$1,0),FALSE()),"")</f>
        <v/>
      </c>
      <c r="D154" s="1" t="str">
        <f aca="false">IFERROR(VLOOKUP(A154,'Pass 2'!$A:$S,MATCH("Jan 2025 Traffic",'Pass 2'!$1:$1,0),FALSE()),"")</f>
        <v/>
      </c>
      <c r="E154" s="1" t="str">
        <f aca="false">IFERROR(VLOOKUP(A154,'Pass 2'!$A:$S,MATCH("Jun 2026 Traffic",'Pass 2'!$1:$1,0),FALSE()),"")</f>
        <v/>
      </c>
      <c r="F154" s="1" t="str">
        <f aca="false">IFERROR(VLOOKUP(A154,'Pass 2'!$A:$S,MATCH("Traffic % Change",'Pass 2'!$1:$1,0),FALSE()),"")</f>
        <v/>
      </c>
      <c r="G154" s="1" t="str">
        <f aca="false">IFERROR(VLOOKUP(A154,'Pass 2'!$A:$S,MATCH("Jan 2025 Referring Domains",'Pass 2'!$1:$1,0),FALSE()),"")</f>
        <v/>
      </c>
      <c r="H154" s="1" t="str">
        <f aca="false">IFERROR(VLOOKUP(A154,'Pass 2'!$A:$S,MATCH("Jun 2026 Referring Domains",'Pass 2'!$1:$1,0),FALSE()),"")</f>
        <v/>
      </c>
    </row>
    <row r="155" customFormat="false" ht="15" hidden="false" customHeight="true" outlineLevel="0" collapsed="false">
      <c r="B155" s="1" t="str">
        <f aca="false">IFERROR(VLOOKUP(A155,'Pass 2'!$A:$S,MATCH("Category",'Pass 2'!$1:$1,0),FALSE()),"")</f>
        <v/>
      </c>
      <c r="C155" s="1" t="str">
        <f aca="false">IFERROR(VLOOKUP(A155,'Pass 1 Archive'!$A:$AD,MATCH("LinkedIn Employee Count",'Pass 1 Archive'!$1:$1,0),FALSE()),"")</f>
        <v/>
      </c>
      <c r="D155" s="1" t="str">
        <f aca="false">IFERROR(VLOOKUP(A155,'Pass 2'!$A:$S,MATCH("Jan 2025 Traffic",'Pass 2'!$1:$1,0),FALSE()),"")</f>
        <v/>
      </c>
      <c r="E155" s="1" t="str">
        <f aca="false">IFERROR(VLOOKUP(A155,'Pass 2'!$A:$S,MATCH("Jun 2026 Traffic",'Pass 2'!$1:$1,0),FALSE()),"")</f>
        <v/>
      </c>
      <c r="F155" s="1" t="str">
        <f aca="false">IFERROR(VLOOKUP(A155,'Pass 2'!$A:$S,MATCH("Traffic % Change",'Pass 2'!$1:$1,0),FALSE()),"")</f>
        <v/>
      </c>
      <c r="G155" s="1" t="str">
        <f aca="false">IFERROR(VLOOKUP(A155,'Pass 2'!$A:$S,MATCH("Jan 2025 Referring Domains",'Pass 2'!$1:$1,0),FALSE()),"")</f>
        <v/>
      </c>
      <c r="H155" s="1" t="str">
        <f aca="false">IFERROR(VLOOKUP(A155,'Pass 2'!$A:$S,MATCH("Jun 2026 Referring Domains",'Pass 2'!$1:$1,0),FALSE()),"")</f>
        <v/>
      </c>
    </row>
    <row r="156" customFormat="false" ht="15" hidden="false" customHeight="true" outlineLevel="0" collapsed="false">
      <c r="B156" s="1" t="str">
        <f aca="false">IFERROR(VLOOKUP(A156,'Pass 2'!$A:$S,MATCH("Category",'Pass 2'!$1:$1,0),FALSE()),"")</f>
        <v/>
      </c>
      <c r="C156" s="1" t="str">
        <f aca="false">IFERROR(VLOOKUP(A156,'Pass 1 Archive'!$A:$AD,MATCH("LinkedIn Employee Count",'Pass 1 Archive'!$1:$1,0),FALSE()),"")</f>
        <v/>
      </c>
      <c r="D156" s="1" t="str">
        <f aca="false">IFERROR(VLOOKUP(A156,'Pass 2'!$A:$S,MATCH("Jan 2025 Traffic",'Pass 2'!$1:$1,0),FALSE()),"")</f>
        <v/>
      </c>
      <c r="E156" s="1" t="str">
        <f aca="false">IFERROR(VLOOKUP(A156,'Pass 2'!$A:$S,MATCH("Jun 2026 Traffic",'Pass 2'!$1:$1,0),FALSE()),"")</f>
        <v/>
      </c>
      <c r="F156" s="1" t="str">
        <f aca="false">IFERROR(VLOOKUP(A156,'Pass 2'!$A:$S,MATCH("Traffic % Change",'Pass 2'!$1:$1,0),FALSE()),"")</f>
        <v/>
      </c>
      <c r="G156" s="1" t="str">
        <f aca="false">IFERROR(VLOOKUP(A156,'Pass 2'!$A:$S,MATCH("Jan 2025 Referring Domains",'Pass 2'!$1:$1,0),FALSE()),"")</f>
        <v/>
      </c>
      <c r="H156" s="1" t="str">
        <f aca="false">IFERROR(VLOOKUP(A156,'Pass 2'!$A:$S,MATCH("Jun 2026 Referring Domains",'Pass 2'!$1:$1,0),FALSE()),"")</f>
        <v/>
      </c>
    </row>
    <row r="157" customFormat="false" ht="15" hidden="false" customHeight="true" outlineLevel="0" collapsed="false">
      <c r="B157" s="1" t="str">
        <f aca="false">IFERROR(VLOOKUP(A157,'Pass 2'!$A:$S,MATCH("Category",'Pass 2'!$1:$1,0),FALSE()),"")</f>
        <v/>
      </c>
      <c r="C157" s="1" t="str">
        <f aca="false">IFERROR(VLOOKUP(A157,'Pass 1 Archive'!$A:$AD,MATCH("LinkedIn Employee Count",'Pass 1 Archive'!$1:$1,0),FALSE()),"")</f>
        <v/>
      </c>
      <c r="D157" s="1" t="str">
        <f aca="false">IFERROR(VLOOKUP(A157,'Pass 2'!$A:$S,MATCH("Jan 2025 Traffic",'Pass 2'!$1:$1,0),FALSE()),"")</f>
        <v/>
      </c>
      <c r="E157" s="1" t="str">
        <f aca="false">IFERROR(VLOOKUP(A157,'Pass 2'!$A:$S,MATCH("Jun 2026 Traffic",'Pass 2'!$1:$1,0),FALSE()),"")</f>
        <v/>
      </c>
      <c r="F157" s="1" t="str">
        <f aca="false">IFERROR(VLOOKUP(A157,'Pass 2'!$A:$S,MATCH("Traffic % Change",'Pass 2'!$1:$1,0),FALSE()),"")</f>
        <v/>
      </c>
      <c r="G157" s="1" t="str">
        <f aca="false">IFERROR(VLOOKUP(A157,'Pass 2'!$A:$S,MATCH("Jan 2025 Referring Domains",'Pass 2'!$1:$1,0),FALSE()),"")</f>
        <v/>
      </c>
      <c r="H157" s="1" t="str">
        <f aca="false">IFERROR(VLOOKUP(A157,'Pass 2'!$A:$S,MATCH("Jun 2026 Referring Domains",'Pass 2'!$1:$1,0),FALSE()),"")</f>
        <v/>
      </c>
    </row>
    <row r="158" customFormat="false" ht="15" hidden="false" customHeight="true" outlineLevel="0" collapsed="false">
      <c r="B158" s="1" t="str">
        <f aca="false">IFERROR(VLOOKUP(A158,'Pass 2'!$A:$S,MATCH("Category",'Pass 2'!$1:$1,0),FALSE()),"")</f>
        <v/>
      </c>
      <c r="C158" s="1" t="str">
        <f aca="false">IFERROR(VLOOKUP(A158,'Pass 1 Archive'!$A:$AD,MATCH("LinkedIn Employee Count",'Pass 1 Archive'!$1:$1,0),FALSE()),"")</f>
        <v/>
      </c>
      <c r="D158" s="1" t="str">
        <f aca="false">IFERROR(VLOOKUP(A158,'Pass 2'!$A:$S,MATCH("Jan 2025 Traffic",'Pass 2'!$1:$1,0),FALSE()),"")</f>
        <v/>
      </c>
      <c r="E158" s="1" t="str">
        <f aca="false">IFERROR(VLOOKUP(A158,'Pass 2'!$A:$S,MATCH("Jun 2026 Traffic",'Pass 2'!$1:$1,0),FALSE()),"")</f>
        <v/>
      </c>
      <c r="F158" s="1" t="str">
        <f aca="false">IFERROR(VLOOKUP(A158,'Pass 2'!$A:$S,MATCH("Traffic % Change",'Pass 2'!$1:$1,0),FALSE()),"")</f>
        <v/>
      </c>
      <c r="G158" s="1" t="str">
        <f aca="false">IFERROR(VLOOKUP(A158,'Pass 2'!$A:$S,MATCH("Jan 2025 Referring Domains",'Pass 2'!$1:$1,0),FALSE()),"")</f>
        <v/>
      </c>
      <c r="H158" s="1" t="str">
        <f aca="false">IFERROR(VLOOKUP(A158,'Pass 2'!$A:$S,MATCH("Jun 2026 Referring Domains",'Pass 2'!$1:$1,0),FALSE()),"")</f>
        <v/>
      </c>
    </row>
    <row r="159" customFormat="false" ht="15" hidden="false" customHeight="true" outlineLevel="0" collapsed="false">
      <c r="B159" s="1" t="str">
        <f aca="false">IFERROR(VLOOKUP(A159,'Pass 2'!$A:$S,MATCH("Category",'Pass 2'!$1:$1,0),FALSE()),"")</f>
        <v/>
      </c>
      <c r="C159" s="1" t="str">
        <f aca="false">IFERROR(VLOOKUP(A159,'Pass 1 Archive'!$A:$AD,MATCH("LinkedIn Employee Count",'Pass 1 Archive'!$1:$1,0),FALSE()),"")</f>
        <v/>
      </c>
      <c r="D159" s="1" t="str">
        <f aca="false">IFERROR(VLOOKUP(A159,'Pass 2'!$A:$S,MATCH("Jan 2025 Traffic",'Pass 2'!$1:$1,0),FALSE()),"")</f>
        <v/>
      </c>
      <c r="E159" s="1" t="str">
        <f aca="false">IFERROR(VLOOKUP(A159,'Pass 2'!$A:$S,MATCH("Jun 2026 Traffic",'Pass 2'!$1:$1,0),FALSE()),"")</f>
        <v/>
      </c>
      <c r="F159" s="1" t="str">
        <f aca="false">IFERROR(VLOOKUP(A159,'Pass 2'!$A:$S,MATCH("Traffic % Change",'Pass 2'!$1:$1,0),FALSE()),"")</f>
        <v/>
      </c>
      <c r="G159" s="1" t="str">
        <f aca="false">IFERROR(VLOOKUP(A159,'Pass 2'!$A:$S,MATCH("Jan 2025 Referring Domains",'Pass 2'!$1:$1,0),FALSE()),"")</f>
        <v/>
      </c>
      <c r="H159" s="1" t="str">
        <f aca="false">IFERROR(VLOOKUP(A159,'Pass 2'!$A:$S,MATCH("Jun 2026 Referring Domains",'Pass 2'!$1:$1,0),FALSE()),"")</f>
        <v/>
      </c>
    </row>
    <row r="160" customFormat="false" ht="15" hidden="false" customHeight="true" outlineLevel="0" collapsed="false">
      <c r="B160" s="1" t="str">
        <f aca="false">IFERROR(VLOOKUP(A160,'Pass 2'!$A:$S,MATCH("Category",'Pass 2'!$1:$1,0),FALSE()),"")</f>
        <v/>
      </c>
      <c r="C160" s="1" t="str">
        <f aca="false">IFERROR(VLOOKUP(A160,'Pass 1 Archive'!$A:$AD,MATCH("LinkedIn Employee Count",'Pass 1 Archive'!$1:$1,0),FALSE()),"")</f>
        <v/>
      </c>
      <c r="D160" s="1" t="str">
        <f aca="false">IFERROR(VLOOKUP(A160,'Pass 2'!$A:$S,MATCH("Jan 2025 Traffic",'Pass 2'!$1:$1,0),FALSE()),"")</f>
        <v/>
      </c>
      <c r="E160" s="1" t="str">
        <f aca="false">IFERROR(VLOOKUP(A160,'Pass 2'!$A:$S,MATCH("Jun 2026 Traffic",'Pass 2'!$1:$1,0),FALSE()),"")</f>
        <v/>
      </c>
      <c r="F160" s="1" t="str">
        <f aca="false">IFERROR(VLOOKUP(A160,'Pass 2'!$A:$S,MATCH("Traffic % Change",'Pass 2'!$1:$1,0),FALSE()),"")</f>
        <v/>
      </c>
      <c r="G160" s="1" t="str">
        <f aca="false">IFERROR(VLOOKUP(A160,'Pass 2'!$A:$S,MATCH("Jan 2025 Referring Domains",'Pass 2'!$1:$1,0),FALSE()),"")</f>
        <v/>
      </c>
      <c r="H160" s="1" t="str">
        <f aca="false">IFERROR(VLOOKUP(A160,'Pass 2'!$A:$S,MATCH("Jun 2026 Referring Domains",'Pass 2'!$1:$1,0),FALSE()),"")</f>
        <v/>
      </c>
    </row>
    <row r="161" customFormat="false" ht="15" hidden="false" customHeight="true" outlineLevel="0" collapsed="false">
      <c r="B161" s="1" t="str">
        <f aca="false">IFERROR(VLOOKUP(A161,'Pass 2'!$A:$S,MATCH("Category",'Pass 2'!$1:$1,0),FALSE()),"")</f>
        <v/>
      </c>
      <c r="C161" s="1" t="str">
        <f aca="false">IFERROR(VLOOKUP(A161,'Pass 1 Archive'!$A:$AD,MATCH("LinkedIn Employee Count",'Pass 1 Archive'!$1:$1,0),FALSE()),"")</f>
        <v/>
      </c>
      <c r="D161" s="1" t="str">
        <f aca="false">IFERROR(VLOOKUP(A161,'Pass 2'!$A:$S,MATCH("Jan 2025 Traffic",'Pass 2'!$1:$1,0),FALSE()),"")</f>
        <v/>
      </c>
      <c r="E161" s="1" t="str">
        <f aca="false">IFERROR(VLOOKUP(A161,'Pass 2'!$A:$S,MATCH("Jun 2026 Traffic",'Pass 2'!$1:$1,0),FALSE()),"")</f>
        <v/>
      </c>
      <c r="F161" s="1" t="str">
        <f aca="false">IFERROR(VLOOKUP(A161,'Pass 2'!$A:$S,MATCH("Traffic % Change",'Pass 2'!$1:$1,0),FALSE()),"")</f>
        <v/>
      </c>
      <c r="G161" s="1" t="str">
        <f aca="false">IFERROR(VLOOKUP(A161,'Pass 2'!$A:$S,MATCH("Jan 2025 Referring Domains",'Pass 2'!$1:$1,0),FALSE()),"")</f>
        <v/>
      </c>
      <c r="H161" s="1" t="str">
        <f aca="false">IFERROR(VLOOKUP(A161,'Pass 2'!$A:$S,MATCH("Jun 2026 Referring Domains",'Pass 2'!$1:$1,0),FALSE()),"")</f>
        <v/>
      </c>
    </row>
    <row r="162" customFormat="false" ht="15" hidden="false" customHeight="true" outlineLevel="0" collapsed="false">
      <c r="B162" s="1" t="str">
        <f aca="false">IFERROR(VLOOKUP(A162,'Pass 2'!$A:$S,MATCH("Category",'Pass 2'!$1:$1,0),FALSE()),"")</f>
        <v/>
      </c>
      <c r="C162" s="1" t="str">
        <f aca="false">IFERROR(VLOOKUP(A162,'Pass 1 Archive'!$A:$AD,MATCH("LinkedIn Employee Count",'Pass 1 Archive'!$1:$1,0),FALSE()),"")</f>
        <v/>
      </c>
      <c r="D162" s="1" t="str">
        <f aca="false">IFERROR(VLOOKUP(A162,'Pass 2'!$A:$S,MATCH("Jan 2025 Traffic",'Pass 2'!$1:$1,0),FALSE()),"")</f>
        <v/>
      </c>
      <c r="E162" s="1" t="str">
        <f aca="false">IFERROR(VLOOKUP(A162,'Pass 2'!$A:$S,MATCH("Jun 2026 Traffic",'Pass 2'!$1:$1,0),FALSE()),"")</f>
        <v/>
      </c>
      <c r="F162" s="1" t="str">
        <f aca="false">IFERROR(VLOOKUP(A162,'Pass 2'!$A:$S,MATCH("Traffic % Change",'Pass 2'!$1:$1,0),FALSE()),"")</f>
        <v/>
      </c>
      <c r="G162" s="1" t="str">
        <f aca="false">IFERROR(VLOOKUP(A162,'Pass 2'!$A:$S,MATCH("Jan 2025 Referring Domains",'Pass 2'!$1:$1,0),FALSE()),"")</f>
        <v/>
      </c>
      <c r="H162" s="1" t="str">
        <f aca="false">IFERROR(VLOOKUP(A162,'Pass 2'!$A:$S,MATCH("Jun 2026 Referring Domains",'Pass 2'!$1:$1,0),FALSE()),"")</f>
        <v/>
      </c>
    </row>
    <row r="163" customFormat="false" ht="15" hidden="false" customHeight="true" outlineLevel="0" collapsed="false">
      <c r="B163" s="1" t="str">
        <f aca="false">IFERROR(VLOOKUP(A163,'Pass 2'!$A:$S,MATCH("Category",'Pass 2'!$1:$1,0),FALSE()),"")</f>
        <v/>
      </c>
      <c r="C163" s="1" t="str">
        <f aca="false">IFERROR(VLOOKUP(A163,'Pass 1 Archive'!$A:$AD,MATCH("LinkedIn Employee Count",'Pass 1 Archive'!$1:$1,0),FALSE()),"")</f>
        <v/>
      </c>
      <c r="D163" s="1" t="str">
        <f aca="false">IFERROR(VLOOKUP(A163,'Pass 2'!$A:$S,MATCH("Jan 2025 Traffic",'Pass 2'!$1:$1,0),FALSE()),"")</f>
        <v/>
      </c>
      <c r="E163" s="1" t="str">
        <f aca="false">IFERROR(VLOOKUP(A163,'Pass 2'!$A:$S,MATCH("Jun 2026 Traffic",'Pass 2'!$1:$1,0),FALSE()),"")</f>
        <v/>
      </c>
      <c r="F163" s="1" t="str">
        <f aca="false">IFERROR(VLOOKUP(A163,'Pass 2'!$A:$S,MATCH("Traffic % Change",'Pass 2'!$1:$1,0),FALSE()),"")</f>
        <v/>
      </c>
      <c r="G163" s="1" t="str">
        <f aca="false">IFERROR(VLOOKUP(A163,'Pass 2'!$A:$S,MATCH("Jan 2025 Referring Domains",'Pass 2'!$1:$1,0),FALSE()),"")</f>
        <v/>
      </c>
      <c r="H163" s="1" t="str">
        <f aca="false">IFERROR(VLOOKUP(A163,'Pass 2'!$A:$S,MATCH("Jun 2026 Referring Domains",'Pass 2'!$1:$1,0),FALSE()),"")</f>
        <v/>
      </c>
    </row>
    <row r="164" customFormat="false" ht="15" hidden="false" customHeight="true" outlineLevel="0" collapsed="false">
      <c r="B164" s="1" t="str">
        <f aca="false">IFERROR(VLOOKUP(A164,'Pass 2'!$A:$S,MATCH("Category",'Pass 2'!$1:$1,0),FALSE()),"")</f>
        <v/>
      </c>
      <c r="C164" s="1" t="str">
        <f aca="false">IFERROR(VLOOKUP(A164,'Pass 1 Archive'!$A:$AD,MATCH("LinkedIn Employee Count",'Pass 1 Archive'!$1:$1,0),FALSE()),"")</f>
        <v/>
      </c>
      <c r="D164" s="1" t="str">
        <f aca="false">IFERROR(VLOOKUP(A164,'Pass 2'!$A:$S,MATCH("Jan 2025 Traffic",'Pass 2'!$1:$1,0),FALSE()),"")</f>
        <v/>
      </c>
      <c r="E164" s="1" t="str">
        <f aca="false">IFERROR(VLOOKUP(A164,'Pass 2'!$A:$S,MATCH("Jun 2026 Traffic",'Pass 2'!$1:$1,0),FALSE()),"")</f>
        <v/>
      </c>
      <c r="F164" s="1" t="str">
        <f aca="false">IFERROR(VLOOKUP(A164,'Pass 2'!$A:$S,MATCH("Traffic % Change",'Pass 2'!$1:$1,0),FALSE()),"")</f>
        <v/>
      </c>
      <c r="G164" s="1" t="str">
        <f aca="false">IFERROR(VLOOKUP(A164,'Pass 2'!$A:$S,MATCH("Jan 2025 Referring Domains",'Pass 2'!$1:$1,0),FALSE()),"")</f>
        <v/>
      </c>
      <c r="H164" s="1" t="str">
        <f aca="false">IFERROR(VLOOKUP(A164,'Pass 2'!$A:$S,MATCH("Jun 2026 Referring Domains",'Pass 2'!$1:$1,0),FALSE()),"")</f>
        <v/>
      </c>
    </row>
    <row r="165" customFormat="false" ht="15" hidden="false" customHeight="true" outlineLevel="0" collapsed="false">
      <c r="B165" s="1" t="str">
        <f aca="false">IFERROR(VLOOKUP(A165,'Pass 2'!$A:$S,MATCH("Category",'Pass 2'!$1:$1,0),FALSE()),"")</f>
        <v/>
      </c>
      <c r="C165" s="1" t="str">
        <f aca="false">IFERROR(VLOOKUP(A165,'Pass 1 Archive'!$A:$AD,MATCH("LinkedIn Employee Count",'Pass 1 Archive'!$1:$1,0),FALSE()),"")</f>
        <v/>
      </c>
      <c r="D165" s="1" t="str">
        <f aca="false">IFERROR(VLOOKUP(A165,'Pass 2'!$A:$S,MATCH("Jan 2025 Traffic",'Pass 2'!$1:$1,0),FALSE()),"")</f>
        <v/>
      </c>
      <c r="E165" s="1" t="str">
        <f aca="false">IFERROR(VLOOKUP(A165,'Pass 2'!$A:$S,MATCH("Jun 2026 Traffic",'Pass 2'!$1:$1,0),FALSE()),"")</f>
        <v/>
      </c>
      <c r="F165" s="1" t="str">
        <f aca="false">IFERROR(VLOOKUP(A165,'Pass 2'!$A:$S,MATCH("Traffic % Change",'Pass 2'!$1:$1,0),FALSE()),"")</f>
        <v/>
      </c>
      <c r="G165" s="1" t="str">
        <f aca="false">IFERROR(VLOOKUP(A165,'Pass 2'!$A:$S,MATCH("Jan 2025 Referring Domains",'Pass 2'!$1:$1,0),FALSE()),"")</f>
        <v/>
      </c>
      <c r="H165" s="1" t="str">
        <f aca="false">IFERROR(VLOOKUP(A165,'Pass 2'!$A:$S,MATCH("Jun 2026 Referring Domains",'Pass 2'!$1:$1,0),FALSE()),"")</f>
        <v/>
      </c>
    </row>
    <row r="166" customFormat="false" ht="15" hidden="false" customHeight="true" outlineLevel="0" collapsed="false">
      <c r="B166" s="1" t="str">
        <f aca="false">IFERROR(VLOOKUP(A166,'Pass 2'!$A:$S,MATCH("Category",'Pass 2'!$1:$1,0),FALSE()),"")</f>
        <v/>
      </c>
      <c r="C166" s="1" t="str">
        <f aca="false">IFERROR(VLOOKUP(A166,'Pass 1 Archive'!$A:$AD,MATCH("LinkedIn Employee Count",'Pass 1 Archive'!$1:$1,0),FALSE()),"")</f>
        <v/>
      </c>
      <c r="D166" s="1" t="str">
        <f aca="false">IFERROR(VLOOKUP(A166,'Pass 2'!$A:$S,MATCH("Jan 2025 Traffic",'Pass 2'!$1:$1,0),FALSE()),"")</f>
        <v/>
      </c>
      <c r="E166" s="1" t="str">
        <f aca="false">IFERROR(VLOOKUP(A166,'Pass 2'!$A:$S,MATCH("Jun 2026 Traffic",'Pass 2'!$1:$1,0),FALSE()),"")</f>
        <v/>
      </c>
      <c r="F166" s="1" t="str">
        <f aca="false">IFERROR(VLOOKUP(A166,'Pass 2'!$A:$S,MATCH("Traffic % Change",'Pass 2'!$1:$1,0),FALSE()),"")</f>
        <v/>
      </c>
      <c r="G166" s="1" t="str">
        <f aca="false">IFERROR(VLOOKUP(A166,'Pass 2'!$A:$S,MATCH("Jan 2025 Referring Domains",'Pass 2'!$1:$1,0),FALSE()),"")</f>
        <v/>
      </c>
      <c r="H166" s="1" t="str">
        <f aca="false">IFERROR(VLOOKUP(A166,'Pass 2'!$A:$S,MATCH("Jun 2026 Referring Domains",'Pass 2'!$1:$1,0),FALSE()),"")</f>
        <v/>
      </c>
    </row>
    <row r="167" customFormat="false" ht="15" hidden="false" customHeight="true" outlineLevel="0" collapsed="false">
      <c r="B167" s="1" t="str">
        <f aca="false">IFERROR(VLOOKUP(A167,'Pass 2'!$A:$S,MATCH("Category",'Pass 2'!$1:$1,0),FALSE()),"")</f>
        <v/>
      </c>
      <c r="C167" s="1" t="str">
        <f aca="false">IFERROR(VLOOKUP(A167,'Pass 1 Archive'!$A:$AD,MATCH("LinkedIn Employee Count",'Pass 1 Archive'!$1:$1,0),FALSE()),"")</f>
        <v/>
      </c>
      <c r="D167" s="1" t="str">
        <f aca="false">IFERROR(VLOOKUP(A167,'Pass 2'!$A:$S,MATCH("Jan 2025 Traffic",'Pass 2'!$1:$1,0),FALSE()),"")</f>
        <v/>
      </c>
      <c r="E167" s="1" t="str">
        <f aca="false">IFERROR(VLOOKUP(A167,'Pass 2'!$A:$S,MATCH("Jun 2026 Traffic",'Pass 2'!$1:$1,0),FALSE()),"")</f>
        <v/>
      </c>
      <c r="F167" s="1" t="str">
        <f aca="false">IFERROR(VLOOKUP(A167,'Pass 2'!$A:$S,MATCH("Traffic % Change",'Pass 2'!$1:$1,0),FALSE()),"")</f>
        <v/>
      </c>
      <c r="G167" s="1" t="str">
        <f aca="false">IFERROR(VLOOKUP(A167,'Pass 2'!$A:$S,MATCH("Jan 2025 Referring Domains",'Pass 2'!$1:$1,0),FALSE()),"")</f>
        <v/>
      </c>
      <c r="H167" s="1" t="str">
        <f aca="false">IFERROR(VLOOKUP(A167,'Pass 2'!$A:$S,MATCH("Jun 2026 Referring Domains",'Pass 2'!$1:$1,0),FALSE()),"")</f>
        <v/>
      </c>
    </row>
    <row r="168" customFormat="false" ht="15" hidden="false" customHeight="true" outlineLevel="0" collapsed="false">
      <c r="B168" s="1" t="str">
        <f aca="false">IFERROR(VLOOKUP(A168,'Pass 2'!$A:$S,MATCH("Category",'Pass 2'!$1:$1,0),FALSE()),"")</f>
        <v/>
      </c>
      <c r="C168" s="1" t="str">
        <f aca="false">IFERROR(VLOOKUP(A168,'Pass 1 Archive'!$A:$AD,MATCH("LinkedIn Employee Count",'Pass 1 Archive'!$1:$1,0),FALSE()),"")</f>
        <v/>
      </c>
      <c r="D168" s="1" t="str">
        <f aca="false">IFERROR(VLOOKUP(A168,'Pass 2'!$A:$S,MATCH("Jan 2025 Traffic",'Pass 2'!$1:$1,0),FALSE()),"")</f>
        <v/>
      </c>
      <c r="E168" s="1" t="str">
        <f aca="false">IFERROR(VLOOKUP(A168,'Pass 2'!$A:$S,MATCH("Jun 2026 Traffic",'Pass 2'!$1:$1,0),FALSE()),"")</f>
        <v/>
      </c>
      <c r="F168" s="1" t="str">
        <f aca="false">IFERROR(VLOOKUP(A168,'Pass 2'!$A:$S,MATCH("Traffic % Change",'Pass 2'!$1:$1,0),FALSE()),"")</f>
        <v/>
      </c>
      <c r="G168" s="1" t="str">
        <f aca="false">IFERROR(VLOOKUP(A168,'Pass 2'!$A:$S,MATCH("Jan 2025 Referring Domains",'Pass 2'!$1:$1,0),FALSE()),"")</f>
        <v/>
      </c>
      <c r="H168" s="1" t="str">
        <f aca="false">IFERROR(VLOOKUP(A168,'Pass 2'!$A:$S,MATCH("Jun 2026 Referring Domains",'Pass 2'!$1:$1,0),FALSE()),"")</f>
        <v/>
      </c>
    </row>
    <row r="169" customFormat="false" ht="15" hidden="false" customHeight="true" outlineLevel="0" collapsed="false">
      <c r="B169" s="1" t="str">
        <f aca="false">IFERROR(VLOOKUP(A169,'Pass 2'!$A:$S,MATCH("Category",'Pass 2'!$1:$1,0),FALSE()),"")</f>
        <v/>
      </c>
      <c r="C169" s="1" t="str">
        <f aca="false">IFERROR(VLOOKUP(A169,'Pass 1 Archive'!$A:$AD,MATCH("LinkedIn Employee Count",'Pass 1 Archive'!$1:$1,0),FALSE()),"")</f>
        <v/>
      </c>
      <c r="D169" s="1" t="str">
        <f aca="false">IFERROR(VLOOKUP(A169,'Pass 2'!$A:$S,MATCH("Jan 2025 Traffic",'Pass 2'!$1:$1,0),FALSE()),"")</f>
        <v/>
      </c>
      <c r="E169" s="1" t="str">
        <f aca="false">IFERROR(VLOOKUP(A169,'Pass 2'!$A:$S,MATCH("Jun 2026 Traffic",'Pass 2'!$1:$1,0),FALSE()),"")</f>
        <v/>
      </c>
      <c r="F169" s="1" t="str">
        <f aca="false">IFERROR(VLOOKUP(A169,'Pass 2'!$A:$S,MATCH("Traffic % Change",'Pass 2'!$1:$1,0),FALSE()),"")</f>
        <v/>
      </c>
      <c r="G169" s="1" t="str">
        <f aca="false">IFERROR(VLOOKUP(A169,'Pass 2'!$A:$S,MATCH("Jan 2025 Referring Domains",'Pass 2'!$1:$1,0),FALSE()),"")</f>
        <v/>
      </c>
      <c r="H169" s="1" t="str">
        <f aca="false">IFERROR(VLOOKUP(A169,'Pass 2'!$A:$S,MATCH("Jun 2026 Referring Domains",'Pass 2'!$1:$1,0),FALSE()),"")</f>
        <v/>
      </c>
    </row>
    <row r="170" customFormat="false" ht="15" hidden="false" customHeight="true" outlineLevel="0" collapsed="false">
      <c r="B170" s="1" t="str">
        <f aca="false">IFERROR(VLOOKUP(A170,'Pass 2'!$A:$S,MATCH("Category",'Pass 2'!$1:$1,0),FALSE()),"")</f>
        <v/>
      </c>
      <c r="C170" s="1" t="str">
        <f aca="false">IFERROR(VLOOKUP(A170,'Pass 1 Archive'!$A:$AD,MATCH("LinkedIn Employee Count",'Pass 1 Archive'!$1:$1,0),FALSE()),"")</f>
        <v/>
      </c>
      <c r="D170" s="1" t="str">
        <f aca="false">IFERROR(VLOOKUP(A170,'Pass 2'!$A:$S,MATCH("Jan 2025 Traffic",'Pass 2'!$1:$1,0),FALSE()),"")</f>
        <v/>
      </c>
      <c r="E170" s="1" t="str">
        <f aca="false">IFERROR(VLOOKUP(A170,'Pass 2'!$A:$S,MATCH("Jun 2026 Traffic",'Pass 2'!$1:$1,0),FALSE()),"")</f>
        <v/>
      </c>
      <c r="F170" s="1" t="str">
        <f aca="false">IFERROR(VLOOKUP(A170,'Pass 2'!$A:$S,MATCH("Traffic % Change",'Pass 2'!$1:$1,0),FALSE()),"")</f>
        <v/>
      </c>
      <c r="G170" s="1" t="str">
        <f aca="false">IFERROR(VLOOKUP(A170,'Pass 2'!$A:$S,MATCH("Jan 2025 Referring Domains",'Pass 2'!$1:$1,0),FALSE()),"")</f>
        <v/>
      </c>
      <c r="H170" s="1" t="str">
        <f aca="false">IFERROR(VLOOKUP(A170,'Pass 2'!$A:$S,MATCH("Jun 2026 Referring Domains",'Pass 2'!$1:$1,0),FALSE()),"")</f>
        <v/>
      </c>
    </row>
    <row r="171" customFormat="false" ht="15" hidden="false" customHeight="true" outlineLevel="0" collapsed="false">
      <c r="B171" s="1" t="str">
        <f aca="false">IFERROR(VLOOKUP(A171,'Pass 2'!$A:$S,MATCH("Category",'Pass 2'!$1:$1,0),FALSE()),"")</f>
        <v/>
      </c>
      <c r="C171" s="1" t="str">
        <f aca="false">IFERROR(VLOOKUP(A171,'Pass 1 Archive'!$A:$AD,MATCH("LinkedIn Employee Count",'Pass 1 Archive'!$1:$1,0),FALSE()),"")</f>
        <v/>
      </c>
      <c r="D171" s="1" t="str">
        <f aca="false">IFERROR(VLOOKUP(A171,'Pass 2'!$A:$S,MATCH("Jan 2025 Traffic",'Pass 2'!$1:$1,0),FALSE()),"")</f>
        <v/>
      </c>
      <c r="E171" s="1" t="str">
        <f aca="false">IFERROR(VLOOKUP(A171,'Pass 2'!$A:$S,MATCH("Jun 2026 Traffic",'Pass 2'!$1:$1,0),FALSE()),"")</f>
        <v/>
      </c>
      <c r="F171" s="1" t="str">
        <f aca="false">IFERROR(VLOOKUP(A171,'Pass 2'!$A:$S,MATCH("Traffic % Change",'Pass 2'!$1:$1,0),FALSE()),"")</f>
        <v/>
      </c>
      <c r="G171" s="1" t="str">
        <f aca="false">IFERROR(VLOOKUP(A171,'Pass 2'!$A:$S,MATCH("Jan 2025 Referring Domains",'Pass 2'!$1:$1,0),FALSE()),"")</f>
        <v/>
      </c>
      <c r="H171" s="1" t="str">
        <f aca="false">IFERROR(VLOOKUP(A171,'Pass 2'!$A:$S,MATCH("Jun 2026 Referring Domains",'Pass 2'!$1:$1,0),FALSE()),"")</f>
        <v/>
      </c>
    </row>
    <row r="172" customFormat="false" ht="15" hidden="false" customHeight="true" outlineLevel="0" collapsed="false">
      <c r="B172" s="1" t="str">
        <f aca="false">IFERROR(VLOOKUP(A172,'Pass 2'!$A:$S,MATCH("Category",'Pass 2'!$1:$1,0),FALSE()),"")</f>
        <v/>
      </c>
      <c r="C172" s="1" t="str">
        <f aca="false">IFERROR(VLOOKUP(A172,'Pass 1 Archive'!$A:$AD,MATCH("LinkedIn Employee Count",'Pass 1 Archive'!$1:$1,0),FALSE()),"")</f>
        <v/>
      </c>
      <c r="D172" s="1" t="str">
        <f aca="false">IFERROR(VLOOKUP(A172,'Pass 2'!$A:$S,MATCH("Jan 2025 Traffic",'Pass 2'!$1:$1,0),FALSE()),"")</f>
        <v/>
      </c>
      <c r="E172" s="1" t="str">
        <f aca="false">IFERROR(VLOOKUP(A172,'Pass 2'!$A:$S,MATCH("Jun 2026 Traffic",'Pass 2'!$1:$1,0),FALSE()),"")</f>
        <v/>
      </c>
      <c r="F172" s="1" t="str">
        <f aca="false">IFERROR(VLOOKUP(A172,'Pass 2'!$A:$S,MATCH("Traffic % Change",'Pass 2'!$1:$1,0),FALSE()),"")</f>
        <v/>
      </c>
      <c r="G172" s="1" t="str">
        <f aca="false">IFERROR(VLOOKUP(A172,'Pass 2'!$A:$S,MATCH("Jan 2025 Referring Domains",'Pass 2'!$1:$1,0),FALSE()),"")</f>
        <v/>
      </c>
      <c r="H172" s="1" t="str">
        <f aca="false">IFERROR(VLOOKUP(A172,'Pass 2'!$A:$S,MATCH("Jun 2026 Referring Domains",'Pass 2'!$1:$1,0),FALSE()),"")</f>
        <v/>
      </c>
    </row>
    <row r="173" customFormat="false" ht="15" hidden="false" customHeight="true" outlineLevel="0" collapsed="false">
      <c r="B173" s="1" t="str">
        <f aca="false">IFERROR(VLOOKUP(A173,'Pass 2'!$A:$S,MATCH("Category",'Pass 2'!$1:$1,0),FALSE()),"")</f>
        <v/>
      </c>
      <c r="C173" s="1" t="str">
        <f aca="false">IFERROR(VLOOKUP(A173,'Pass 1 Archive'!$A:$AD,MATCH("LinkedIn Employee Count",'Pass 1 Archive'!$1:$1,0),FALSE()),"")</f>
        <v/>
      </c>
      <c r="D173" s="1" t="str">
        <f aca="false">IFERROR(VLOOKUP(A173,'Pass 2'!$A:$S,MATCH("Jan 2025 Traffic",'Pass 2'!$1:$1,0),FALSE()),"")</f>
        <v/>
      </c>
      <c r="E173" s="1" t="str">
        <f aca="false">IFERROR(VLOOKUP(A173,'Pass 2'!$A:$S,MATCH("Jun 2026 Traffic",'Pass 2'!$1:$1,0),FALSE()),"")</f>
        <v/>
      </c>
      <c r="F173" s="1" t="str">
        <f aca="false">IFERROR(VLOOKUP(A173,'Pass 2'!$A:$S,MATCH("Traffic % Change",'Pass 2'!$1:$1,0),FALSE()),"")</f>
        <v/>
      </c>
      <c r="G173" s="1" t="str">
        <f aca="false">IFERROR(VLOOKUP(A173,'Pass 2'!$A:$S,MATCH("Jan 2025 Referring Domains",'Pass 2'!$1:$1,0),FALSE()),"")</f>
        <v/>
      </c>
      <c r="H173" s="1" t="str">
        <f aca="false">IFERROR(VLOOKUP(A173,'Pass 2'!$A:$S,MATCH("Jun 2026 Referring Domains",'Pass 2'!$1:$1,0),FALSE()),"")</f>
        <v/>
      </c>
    </row>
    <row r="174" customFormat="false" ht="15" hidden="false" customHeight="true" outlineLevel="0" collapsed="false">
      <c r="B174" s="1" t="str">
        <f aca="false">IFERROR(VLOOKUP(A174,'Pass 2'!$A:$S,MATCH("Category",'Pass 2'!$1:$1,0),FALSE()),"")</f>
        <v/>
      </c>
      <c r="C174" s="1" t="str">
        <f aca="false">IFERROR(VLOOKUP(A174,'Pass 1 Archive'!$A:$AD,MATCH("LinkedIn Employee Count",'Pass 1 Archive'!$1:$1,0),FALSE()),"")</f>
        <v/>
      </c>
      <c r="D174" s="1" t="str">
        <f aca="false">IFERROR(VLOOKUP(A174,'Pass 2'!$A:$S,MATCH("Jan 2025 Traffic",'Pass 2'!$1:$1,0),FALSE()),"")</f>
        <v/>
      </c>
      <c r="E174" s="1" t="str">
        <f aca="false">IFERROR(VLOOKUP(A174,'Pass 2'!$A:$S,MATCH("Jun 2026 Traffic",'Pass 2'!$1:$1,0),FALSE()),"")</f>
        <v/>
      </c>
      <c r="F174" s="1" t="str">
        <f aca="false">IFERROR(VLOOKUP(A174,'Pass 2'!$A:$S,MATCH("Traffic % Change",'Pass 2'!$1:$1,0),FALSE()),"")</f>
        <v/>
      </c>
      <c r="G174" s="1" t="str">
        <f aca="false">IFERROR(VLOOKUP(A174,'Pass 2'!$A:$S,MATCH("Jan 2025 Referring Domains",'Pass 2'!$1:$1,0),FALSE()),"")</f>
        <v/>
      </c>
      <c r="H174" s="1" t="str">
        <f aca="false">IFERROR(VLOOKUP(A174,'Pass 2'!$A:$S,MATCH("Jun 2026 Referring Domains",'Pass 2'!$1:$1,0),FALSE()),"")</f>
        <v/>
      </c>
    </row>
    <row r="175" customFormat="false" ht="15" hidden="false" customHeight="true" outlineLevel="0" collapsed="false">
      <c r="B175" s="1" t="str">
        <f aca="false">IFERROR(VLOOKUP(A175,'Pass 2'!$A:$S,MATCH("Category",'Pass 2'!$1:$1,0),FALSE()),"")</f>
        <v/>
      </c>
      <c r="C175" s="1" t="str">
        <f aca="false">IFERROR(VLOOKUP(A175,'Pass 1 Archive'!$A:$AD,MATCH("LinkedIn Employee Count",'Pass 1 Archive'!$1:$1,0),FALSE()),"")</f>
        <v/>
      </c>
      <c r="D175" s="1" t="str">
        <f aca="false">IFERROR(VLOOKUP(A175,'Pass 2'!$A:$S,MATCH("Jan 2025 Traffic",'Pass 2'!$1:$1,0),FALSE()),"")</f>
        <v/>
      </c>
      <c r="E175" s="1" t="str">
        <f aca="false">IFERROR(VLOOKUP(A175,'Pass 2'!$A:$S,MATCH("Jun 2026 Traffic",'Pass 2'!$1:$1,0),FALSE()),"")</f>
        <v/>
      </c>
      <c r="F175" s="1" t="str">
        <f aca="false">IFERROR(VLOOKUP(A175,'Pass 2'!$A:$S,MATCH("Traffic % Change",'Pass 2'!$1:$1,0),FALSE()),"")</f>
        <v/>
      </c>
      <c r="G175" s="1" t="str">
        <f aca="false">IFERROR(VLOOKUP(A175,'Pass 2'!$A:$S,MATCH("Jan 2025 Referring Domains",'Pass 2'!$1:$1,0),FALSE()),"")</f>
        <v/>
      </c>
      <c r="H175" s="1" t="str">
        <f aca="false">IFERROR(VLOOKUP(A175,'Pass 2'!$A:$S,MATCH("Jun 2026 Referring Domains",'Pass 2'!$1:$1,0),FALSE()),"")</f>
        <v/>
      </c>
    </row>
    <row r="176" customFormat="false" ht="15" hidden="false" customHeight="true" outlineLevel="0" collapsed="false">
      <c r="B176" s="1" t="str">
        <f aca="false">IFERROR(VLOOKUP(A176,'Pass 2'!$A:$S,MATCH("Category",'Pass 2'!$1:$1,0),FALSE()),"")</f>
        <v/>
      </c>
      <c r="C176" s="1" t="str">
        <f aca="false">IFERROR(VLOOKUP(A176,'Pass 1 Archive'!$A:$AD,MATCH("LinkedIn Employee Count",'Pass 1 Archive'!$1:$1,0),FALSE()),"")</f>
        <v/>
      </c>
      <c r="D176" s="1" t="str">
        <f aca="false">IFERROR(VLOOKUP(A176,'Pass 2'!$A:$S,MATCH("Jan 2025 Traffic",'Pass 2'!$1:$1,0),FALSE()),"")</f>
        <v/>
      </c>
      <c r="E176" s="1" t="str">
        <f aca="false">IFERROR(VLOOKUP(A176,'Pass 2'!$A:$S,MATCH("Jun 2026 Traffic",'Pass 2'!$1:$1,0),FALSE()),"")</f>
        <v/>
      </c>
      <c r="F176" s="1" t="str">
        <f aca="false">IFERROR(VLOOKUP(A176,'Pass 2'!$A:$S,MATCH("Traffic % Change",'Pass 2'!$1:$1,0),FALSE()),"")</f>
        <v/>
      </c>
      <c r="G176" s="1" t="str">
        <f aca="false">IFERROR(VLOOKUP(A176,'Pass 2'!$A:$S,MATCH("Jan 2025 Referring Domains",'Pass 2'!$1:$1,0),FALSE()),"")</f>
        <v/>
      </c>
      <c r="H176" s="1" t="str">
        <f aca="false">IFERROR(VLOOKUP(A176,'Pass 2'!$A:$S,MATCH("Jun 2026 Referring Domains",'Pass 2'!$1:$1,0),FALSE()),"")</f>
        <v/>
      </c>
    </row>
    <row r="177" customFormat="false" ht="15" hidden="false" customHeight="true" outlineLevel="0" collapsed="false">
      <c r="B177" s="1" t="str">
        <f aca="false">IFERROR(VLOOKUP(A177,'Pass 2'!$A:$S,MATCH("Category",'Pass 2'!$1:$1,0),FALSE()),"")</f>
        <v/>
      </c>
      <c r="C177" s="1" t="str">
        <f aca="false">IFERROR(VLOOKUP(A177,'Pass 1 Archive'!$A:$AD,MATCH("LinkedIn Employee Count",'Pass 1 Archive'!$1:$1,0),FALSE()),"")</f>
        <v/>
      </c>
      <c r="D177" s="1" t="str">
        <f aca="false">IFERROR(VLOOKUP(A177,'Pass 2'!$A:$S,MATCH("Jan 2025 Traffic",'Pass 2'!$1:$1,0),FALSE()),"")</f>
        <v/>
      </c>
      <c r="E177" s="1" t="str">
        <f aca="false">IFERROR(VLOOKUP(A177,'Pass 2'!$A:$S,MATCH("Jun 2026 Traffic",'Pass 2'!$1:$1,0),FALSE()),"")</f>
        <v/>
      </c>
      <c r="F177" s="1" t="str">
        <f aca="false">IFERROR(VLOOKUP(A177,'Pass 2'!$A:$S,MATCH("Traffic % Change",'Pass 2'!$1:$1,0),FALSE()),"")</f>
        <v/>
      </c>
      <c r="G177" s="1" t="str">
        <f aca="false">IFERROR(VLOOKUP(A177,'Pass 2'!$A:$S,MATCH("Jan 2025 Referring Domains",'Pass 2'!$1:$1,0),FALSE()),"")</f>
        <v/>
      </c>
      <c r="H177" s="1" t="str">
        <f aca="false">IFERROR(VLOOKUP(A177,'Pass 2'!$A:$S,MATCH("Jun 2026 Referring Domains",'Pass 2'!$1:$1,0),FALSE()),"")</f>
        <v/>
      </c>
    </row>
    <row r="178" customFormat="false" ht="15" hidden="false" customHeight="true" outlineLevel="0" collapsed="false">
      <c r="B178" s="1" t="str">
        <f aca="false">IFERROR(VLOOKUP(A178,'Pass 2'!$A:$S,MATCH("Category",'Pass 2'!$1:$1,0),FALSE()),"")</f>
        <v/>
      </c>
      <c r="C178" s="1" t="str">
        <f aca="false">IFERROR(VLOOKUP(A178,'Pass 1 Archive'!$A:$AD,MATCH("LinkedIn Employee Count",'Pass 1 Archive'!$1:$1,0),FALSE()),"")</f>
        <v/>
      </c>
      <c r="D178" s="1" t="str">
        <f aca="false">IFERROR(VLOOKUP(A178,'Pass 2'!$A:$S,MATCH("Jan 2025 Traffic",'Pass 2'!$1:$1,0),FALSE()),"")</f>
        <v/>
      </c>
      <c r="E178" s="1" t="str">
        <f aca="false">IFERROR(VLOOKUP(A178,'Pass 2'!$A:$S,MATCH("Jun 2026 Traffic",'Pass 2'!$1:$1,0),FALSE()),"")</f>
        <v/>
      </c>
      <c r="F178" s="1" t="str">
        <f aca="false">IFERROR(VLOOKUP(A178,'Pass 2'!$A:$S,MATCH("Traffic % Change",'Pass 2'!$1:$1,0),FALSE()),"")</f>
        <v/>
      </c>
      <c r="G178" s="1" t="str">
        <f aca="false">IFERROR(VLOOKUP(A178,'Pass 2'!$A:$S,MATCH("Jan 2025 Referring Domains",'Pass 2'!$1:$1,0),FALSE()),"")</f>
        <v/>
      </c>
      <c r="H178" s="1" t="str">
        <f aca="false">IFERROR(VLOOKUP(A178,'Pass 2'!$A:$S,MATCH("Jun 2026 Referring Domains",'Pass 2'!$1:$1,0),FALSE()),"")</f>
        <v/>
      </c>
    </row>
    <row r="179" customFormat="false" ht="15" hidden="false" customHeight="true" outlineLevel="0" collapsed="false">
      <c r="B179" s="1" t="str">
        <f aca="false">IFERROR(VLOOKUP(A179,'Pass 2'!$A:$S,MATCH("Category",'Pass 2'!$1:$1,0),FALSE()),"")</f>
        <v/>
      </c>
      <c r="C179" s="1" t="str">
        <f aca="false">IFERROR(VLOOKUP(A179,'Pass 1 Archive'!$A:$AD,MATCH("LinkedIn Employee Count",'Pass 1 Archive'!$1:$1,0),FALSE()),"")</f>
        <v/>
      </c>
      <c r="D179" s="1" t="str">
        <f aca="false">IFERROR(VLOOKUP(A179,'Pass 2'!$A:$S,MATCH("Jan 2025 Traffic",'Pass 2'!$1:$1,0),FALSE()),"")</f>
        <v/>
      </c>
      <c r="E179" s="1" t="str">
        <f aca="false">IFERROR(VLOOKUP(A179,'Pass 2'!$A:$S,MATCH("Jun 2026 Traffic",'Pass 2'!$1:$1,0),FALSE()),"")</f>
        <v/>
      </c>
      <c r="F179" s="1" t="str">
        <f aca="false">IFERROR(VLOOKUP(A179,'Pass 2'!$A:$S,MATCH("Traffic % Change",'Pass 2'!$1:$1,0),FALSE()),"")</f>
        <v/>
      </c>
      <c r="G179" s="1" t="str">
        <f aca="false">IFERROR(VLOOKUP(A179,'Pass 2'!$A:$S,MATCH("Jan 2025 Referring Domains",'Pass 2'!$1:$1,0),FALSE()),"")</f>
        <v/>
      </c>
      <c r="H179" s="1" t="str">
        <f aca="false">IFERROR(VLOOKUP(A179,'Pass 2'!$A:$S,MATCH("Jun 2026 Referring Domains",'Pass 2'!$1:$1,0),FALSE()),"")</f>
        <v/>
      </c>
    </row>
    <row r="180" customFormat="false" ht="15" hidden="false" customHeight="true" outlineLevel="0" collapsed="false">
      <c r="B180" s="1" t="str">
        <f aca="false">IFERROR(VLOOKUP(A180,'Pass 2'!$A:$S,MATCH("Category",'Pass 2'!$1:$1,0),FALSE()),"")</f>
        <v/>
      </c>
      <c r="C180" s="1" t="str">
        <f aca="false">IFERROR(VLOOKUP(A180,'Pass 1 Archive'!$A:$AD,MATCH("LinkedIn Employee Count",'Pass 1 Archive'!$1:$1,0),FALSE()),"")</f>
        <v/>
      </c>
      <c r="D180" s="1" t="str">
        <f aca="false">IFERROR(VLOOKUP(A180,'Pass 2'!$A:$S,MATCH("Jan 2025 Traffic",'Pass 2'!$1:$1,0),FALSE()),"")</f>
        <v/>
      </c>
      <c r="E180" s="1" t="str">
        <f aca="false">IFERROR(VLOOKUP(A180,'Pass 2'!$A:$S,MATCH("Jun 2026 Traffic",'Pass 2'!$1:$1,0),FALSE()),"")</f>
        <v/>
      </c>
      <c r="F180" s="1" t="str">
        <f aca="false">IFERROR(VLOOKUP(A180,'Pass 2'!$A:$S,MATCH("Traffic % Change",'Pass 2'!$1:$1,0),FALSE()),"")</f>
        <v/>
      </c>
      <c r="G180" s="1" t="str">
        <f aca="false">IFERROR(VLOOKUP(A180,'Pass 2'!$A:$S,MATCH("Jan 2025 Referring Domains",'Pass 2'!$1:$1,0),FALSE()),"")</f>
        <v/>
      </c>
      <c r="H180" s="1" t="str">
        <f aca="false">IFERROR(VLOOKUP(A180,'Pass 2'!$A:$S,MATCH("Jun 2026 Referring Domains",'Pass 2'!$1:$1,0),FALSE()),"")</f>
        <v/>
      </c>
    </row>
    <row r="181" customFormat="false" ht="15" hidden="false" customHeight="true" outlineLevel="0" collapsed="false">
      <c r="B181" s="1" t="str">
        <f aca="false">IFERROR(VLOOKUP(A181,'Pass 2'!$A:$S,MATCH("Category",'Pass 2'!$1:$1,0),FALSE()),"")</f>
        <v/>
      </c>
      <c r="C181" s="1" t="str">
        <f aca="false">IFERROR(VLOOKUP(A181,'Pass 1 Archive'!$A:$AD,MATCH("LinkedIn Employee Count",'Pass 1 Archive'!$1:$1,0),FALSE()),"")</f>
        <v/>
      </c>
      <c r="D181" s="1" t="str">
        <f aca="false">IFERROR(VLOOKUP(A181,'Pass 2'!$A:$S,MATCH("Jan 2025 Traffic",'Pass 2'!$1:$1,0),FALSE()),"")</f>
        <v/>
      </c>
      <c r="E181" s="1" t="str">
        <f aca="false">IFERROR(VLOOKUP(A181,'Pass 2'!$A:$S,MATCH("Jun 2026 Traffic",'Pass 2'!$1:$1,0),FALSE()),"")</f>
        <v/>
      </c>
      <c r="F181" s="1" t="str">
        <f aca="false">IFERROR(VLOOKUP(A181,'Pass 2'!$A:$S,MATCH("Traffic % Change",'Pass 2'!$1:$1,0),FALSE()),"")</f>
        <v/>
      </c>
      <c r="G181" s="1" t="str">
        <f aca="false">IFERROR(VLOOKUP(A181,'Pass 2'!$A:$S,MATCH("Jan 2025 Referring Domains",'Pass 2'!$1:$1,0),FALSE()),"")</f>
        <v/>
      </c>
      <c r="H181" s="1" t="str">
        <f aca="false">IFERROR(VLOOKUP(A181,'Pass 2'!$A:$S,MATCH("Jun 2026 Referring Domains",'Pass 2'!$1:$1,0),FALSE()),"")</f>
        <v/>
      </c>
    </row>
    <row r="182" customFormat="false" ht="15" hidden="false" customHeight="true" outlineLevel="0" collapsed="false">
      <c r="B182" s="1" t="str">
        <f aca="false">IFERROR(VLOOKUP(A182,'Pass 2'!$A:$S,MATCH("Category",'Pass 2'!$1:$1,0),FALSE()),"")</f>
        <v/>
      </c>
      <c r="C182" s="1" t="str">
        <f aca="false">IFERROR(VLOOKUP(A182,'Pass 1 Archive'!$A:$AD,MATCH("LinkedIn Employee Count",'Pass 1 Archive'!$1:$1,0),FALSE()),"")</f>
        <v/>
      </c>
      <c r="D182" s="1" t="str">
        <f aca="false">IFERROR(VLOOKUP(A182,'Pass 2'!$A:$S,MATCH("Jan 2025 Traffic",'Pass 2'!$1:$1,0),FALSE()),"")</f>
        <v/>
      </c>
      <c r="E182" s="1" t="str">
        <f aca="false">IFERROR(VLOOKUP(A182,'Pass 2'!$A:$S,MATCH("Jun 2026 Traffic",'Pass 2'!$1:$1,0),FALSE()),"")</f>
        <v/>
      </c>
      <c r="F182" s="1" t="str">
        <f aca="false">IFERROR(VLOOKUP(A182,'Pass 2'!$A:$S,MATCH("Traffic % Change",'Pass 2'!$1:$1,0),FALSE()),"")</f>
        <v/>
      </c>
      <c r="G182" s="1" t="str">
        <f aca="false">IFERROR(VLOOKUP(A182,'Pass 2'!$A:$S,MATCH("Jan 2025 Referring Domains",'Pass 2'!$1:$1,0),FALSE()),"")</f>
        <v/>
      </c>
      <c r="H182" s="1" t="str">
        <f aca="false">IFERROR(VLOOKUP(A182,'Pass 2'!$A:$S,MATCH("Jun 2026 Referring Domains",'Pass 2'!$1:$1,0),FALSE()),"")</f>
        <v/>
      </c>
    </row>
    <row r="183" customFormat="false" ht="15" hidden="false" customHeight="true" outlineLevel="0" collapsed="false">
      <c r="B183" s="1" t="str">
        <f aca="false">IFERROR(VLOOKUP(A183,'Pass 2'!$A:$S,MATCH("Category",'Pass 2'!$1:$1,0),FALSE()),"")</f>
        <v/>
      </c>
      <c r="C183" s="1" t="str">
        <f aca="false">IFERROR(VLOOKUP(A183,'Pass 1 Archive'!$A:$AD,MATCH("LinkedIn Employee Count",'Pass 1 Archive'!$1:$1,0),FALSE()),"")</f>
        <v/>
      </c>
      <c r="D183" s="1" t="str">
        <f aca="false">IFERROR(VLOOKUP(A183,'Pass 2'!$A:$S,MATCH("Jan 2025 Traffic",'Pass 2'!$1:$1,0),FALSE()),"")</f>
        <v/>
      </c>
      <c r="E183" s="1" t="str">
        <f aca="false">IFERROR(VLOOKUP(A183,'Pass 2'!$A:$S,MATCH("Jun 2026 Traffic",'Pass 2'!$1:$1,0),FALSE()),"")</f>
        <v/>
      </c>
      <c r="F183" s="1" t="str">
        <f aca="false">IFERROR(VLOOKUP(A183,'Pass 2'!$A:$S,MATCH("Traffic % Change",'Pass 2'!$1:$1,0),FALSE()),"")</f>
        <v/>
      </c>
      <c r="G183" s="1" t="str">
        <f aca="false">IFERROR(VLOOKUP(A183,'Pass 2'!$A:$S,MATCH("Jan 2025 Referring Domains",'Pass 2'!$1:$1,0),FALSE()),"")</f>
        <v/>
      </c>
      <c r="H183" s="1" t="str">
        <f aca="false">IFERROR(VLOOKUP(A183,'Pass 2'!$A:$S,MATCH("Jun 2026 Referring Domains",'Pass 2'!$1:$1,0),FALSE()),"")</f>
        <v/>
      </c>
    </row>
    <row r="184" customFormat="false" ht="15" hidden="false" customHeight="true" outlineLevel="0" collapsed="false">
      <c r="B184" s="1" t="str">
        <f aca="false">IFERROR(VLOOKUP(A184,'Pass 2'!$A:$S,MATCH("Category",'Pass 2'!$1:$1,0),FALSE()),"")</f>
        <v/>
      </c>
      <c r="C184" s="1" t="str">
        <f aca="false">IFERROR(VLOOKUP(A184,'Pass 1 Archive'!$A:$AD,MATCH("LinkedIn Employee Count",'Pass 1 Archive'!$1:$1,0),FALSE()),"")</f>
        <v/>
      </c>
      <c r="D184" s="1" t="str">
        <f aca="false">IFERROR(VLOOKUP(A184,'Pass 2'!$A:$S,MATCH("Jan 2025 Traffic",'Pass 2'!$1:$1,0),FALSE()),"")</f>
        <v/>
      </c>
      <c r="E184" s="1" t="str">
        <f aca="false">IFERROR(VLOOKUP(A184,'Pass 2'!$A:$S,MATCH("Jun 2026 Traffic",'Pass 2'!$1:$1,0),FALSE()),"")</f>
        <v/>
      </c>
      <c r="F184" s="1" t="str">
        <f aca="false">IFERROR(VLOOKUP(A184,'Pass 2'!$A:$S,MATCH("Traffic % Change",'Pass 2'!$1:$1,0),FALSE()),"")</f>
        <v/>
      </c>
      <c r="G184" s="1" t="str">
        <f aca="false">IFERROR(VLOOKUP(A184,'Pass 2'!$A:$S,MATCH("Jan 2025 Referring Domains",'Pass 2'!$1:$1,0),FALSE()),"")</f>
        <v/>
      </c>
      <c r="H184" s="1" t="str">
        <f aca="false">IFERROR(VLOOKUP(A184,'Pass 2'!$A:$S,MATCH("Jun 2026 Referring Domains",'Pass 2'!$1:$1,0),FALSE()),"")</f>
        <v/>
      </c>
    </row>
    <row r="185" customFormat="false" ht="15" hidden="false" customHeight="true" outlineLevel="0" collapsed="false">
      <c r="B185" s="1" t="str">
        <f aca="false">IFERROR(VLOOKUP(A185,'Pass 2'!$A:$S,MATCH("Category",'Pass 2'!$1:$1,0),FALSE()),"")</f>
        <v/>
      </c>
      <c r="C185" s="1" t="str">
        <f aca="false">IFERROR(VLOOKUP(A185,'Pass 1 Archive'!$A:$AD,MATCH("LinkedIn Employee Count",'Pass 1 Archive'!$1:$1,0),FALSE()),"")</f>
        <v/>
      </c>
      <c r="D185" s="1" t="str">
        <f aca="false">IFERROR(VLOOKUP(A185,'Pass 2'!$A:$S,MATCH("Jan 2025 Traffic",'Pass 2'!$1:$1,0),FALSE()),"")</f>
        <v/>
      </c>
      <c r="E185" s="1" t="str">
        <f aca="false">IFERROR(VLOOKUP(A185,'Pass 2'!$A:$S,MATCH("Jun 2026 Traffic",'Pass 2'!$1:$1,0),FALSE()),"")</f>
        <v/>
      </c>
      <c r="F185" s="1" t="str">
        <f aca="false">IFERROR(VLOOKUP(A185,'Pass 2'!$A:$S,MATCH("Traffic % Change",'Pass 2'!$1:$1,0),FALSE()),"")</f>
        <v/>
      </c>
      <c r="G185" s="1" t="str">
        <f aca="false">IFERROR(VLOOKUP(A185,'Pass 2'!$A:$S,MATCH("Jan 2025 Referring Domains",'Pass 2'!$1:$1,0),FALSE()),"")</f>
        <v/>
      </c>
      <c r="H185" s="1" t="str">
        <f aca="false">IFERROR(VLOOKUP(A185,'Pass 2'!$A:$S,MATCH("Jun 2026 Referring Domains",'Pass 2'!$1:$1,0),FALSE()),"")</f>
        <v/>
      </c>
    </row>
    <row r="186" customFormat="false" ht="15" hidden="false" customHeight="true" outlineLevel="0" collapsed="false">
      <c r="B186" s="1" t="str">
        <f aca="false">IFERROR(VLOOKUP(A186,'Pass 2'!$A:$S,MATCH("Category",'Pass 2'!$1:$1,0),FALSE()),"")</f>
        <v/>
      </c>
      <c r="C186" s="1" t="str">
        <f aca="false">IFERROR(VLOOKUP(A186,'Pass 1 Archive'!$A:$AD,MATCH("LinkedIn Employee Count",'Pass 1 Archive'!$1:$1,0),FALSE()),"")</f>
        <v/>
      </c>
      <c r="D186" s="1" t="str">
        <f aca="false">IFERROR(VLOOKUP(A186,'Pass 2'!$A:$S,MATCH("Jan 2025 Traffic",'Pass 2'!$1:$1,0),FALSE()),"")</f>
        <v/>
      </c>
      <c r="E186" s="1" t="str">
        <f aca="false">IFERROR(VLOOKUP(A186,'Pass 2'!$A:$S,MATCH("Jun 2026 Traffic",'Pass 2'!$1:$1,0),FALSE()),"")</f>
        <v/>
      </c>
      <c r="F186" s="1" t="str">
        <f aca="false">IFERROR(VLOOKUP(A186,'Pass 2'!$A:$S,MATCH("Traffic % Change",'Pass 2'!$1:$1,0),FALSE()),"")</f>
        <v/>
      </c>
      <c r="G186" s="1" t="str">
        <f aca="false">IFERROR(VLOOKUP(A186,'Pass 2'!$A:$S,MATCH("Jan 2025 Referring Domains",'Pass 2'!$1:$1,0),FALSE()),"")</f>
        <v/>
      </c>
      <c r="H186" s="1" t="str">
        <f aca="false">IFERROR(VLOOKUP(A186,'Pass 2'!$A:$S,MATCH("Jun 2026 Referring Domains",'Pass 2'!$1:$1,0),FALSE()),"")</f>
        <v/>
      </c>
    </row>
    <row r="187" customFormat="false" ht="15" hidden="false" customHeight="true" outlineLevel="0" collapsed="false">
      <c r="B187" s="1" t="str">
        <f aca="false">IFERROR(VLOOKUP(A187,'Pass 2'!$A:$S,MATCH("Category",'Pass 2'!$1:$1,0),FALSE()),"")</f>
        <v/>
      </c>
      <c r="C187" s="1" t="str">
        <f aca="false">IFERROR(VLOOKUP(A187,'Pass 1 Archive'!$A:$AD,MATCH("LinkedIn Employee Count",'Pass 1 Archive'!$1:$1,0),FALSE()),"")</f>
        <v/>
      </c>
      <c r="D187" s="1" t="str">
        <f aca="false">IFERROR(VLOOKUP(A187,'Pass 2'!$A:$S,MATCH("Jan 2025 Traffic",'Pass 2'!$1:$1,0),FALSE()),"")</f>
        <v/>
      </c>
      <c r="E187" s="1" t="str">
        <f aca="false">IFERROR(VLOOKUP(A187,'Pass 2'!$A:$S,MATCH("Jun 2026 Traffic",'Pass 2'!$1:$1,0),FALSE()),"")</f>
        <v/>
      </c>
      <c r="F187" s="1" t="str">
        <f aca="false">IFERROR(VLOOKUP(A187,'Pass 2'!$A:$S,MATCH("Traffic % Change",'Pass 2'!$1:$1,0),FALSE()),"")</f>
        <v/>
      </c>
      <c r="G187" s="1" t="str">
        <f aca="false">IFERROR(VLOOKUP(A187,'Pass 2'!$A:$S,MATCH("Jan 2025 Referring Domains",'Pass 2'!$1:$1,0),FALSE()),"")</f>
        <v/>
      </c>
      <c r="H187" s="1" t="str">
        <f aca="false">IFERROR(VLOOKUP(A187,'Pass 2'!$A:$S,MATCH("Jun 2026 Referring Domains",'Pass 2'!$1:$1,0),FALSE()),"")</f>
        <v/>
      </c>
    </row>
    <row r="188" customFormat="false" ht="15" hidden="false" customHeight="true" outlineLevel="0" collapsed="false">
      <c r="B188" s="1" t="str">
        <f aca="false">IFERROR(VLOOKUP(A188,'Pass 2'!$A:$S,MATCH("Category",'Pass 2'!$1:$1,0),FALSE()),"")</f>
        <v/>
      </c>
      <c r="C188" s="1" t="str">
        <f aca="false">IFERROR(VLOOKUP(A188,'Pass 1 Archive'!$A:$AD,MATCH("LinkedIn Employee Count",'Pass 1 Archive'!$1:$1,0),FALSE()),"")</f>
        <v/>
      </c>
      <c r="D188" s="1" t="str">
        <f aca="false">IFERROR(VLOOKUP(A188,'Pass 2'!$A:$S,MATCH("Jan 2025 Traffic",'Pass 2'!$1:$1,0),FALSE()),"")</f>
        <v/>
      </c>
      <c r="E188" s="1" t="str">
        <f aca="false">IFERROR(VLOOKUP(A188,'Pass 2'!$A:$S,MATCH("Jun 2026 Traffic",'Pass 2'!$1:$1,0),FALSE()),"")</f>
        <v/>
      </c>
      <c r="F188" s="1" t="str">
        <f aca="false">IFERROR(VLOOKUP(A188,'Pass 2'!$A:$S,MATCH("Traffic % Change",'Pass 2'!$1:$1,0),FALSE()),"")</f>
        <v/>
      </c>
      <c r="G188" s="1" t="str">
        <f aca="false">IFERROR(VLOOKUP(A188,'Pass 2'!$A:$S,MATCH("Jan 2025 Referring Domains",'Pass 2'!$1:$1,0),FALSE()),"")</f>
        <v/>
      </c>
      <c r="H188" s="1" t="str">
        <f aca="false">IFERROR(VLOOKUP(A188,'Pass 2'!$A:$S,MATCH("Jun 2026 Referring Domains",'Pass 2'!$1:$1,0),FALSE()),"")</f>
        <v/>
      </c>
    </row>
    <row r="189" customFormat="false" ht="15" hidden="false" customHeight="true" outlineLevel="0" collapsed="false">
      <c r="B189" s="1" t="str">
        <f aca="false">IFERROR(VLOOKUP(A189,'Pass 2'!$A:$S,MATCH("Category",'Pass 2'!$1:$1,0),FALSE()),"")</f>
        <v/>
      </c>
      <c r="C189" s="1" t="str">
        <f aca="false">IFERROR(VLOOKUP(A189,'Pass 1 Archive'!$A:$AD,MATCH("LinkedIn Employee Count",'Pass 1 Archive'!$1:$1,0),FALSE()),"")</f>
        <v/>
      </c>
      <c r="D189" s="1" t="str">
        <f aca="false">IFERROR(VLOOKUP(A189,'Pass 2'!$A:$S,MATCH("Jan 2025 Traffic",'Pass 2'!$1:$1,0),FALSE()),"")</f>
        <v/>
      </c>
      <c r="E189" s="1" t="str">
        <f aca="false">IFERROR(VLOOKUP(A189,'Pass 2'!$A:$S,MATCH("Jun 2026 Traffic",'Pass 2'!$1:$1,0),FALSE()),"")</f>
        <v/>
      </c>
      <c r="F189" s="1" t="str">
        <f aca="false">IFERROR(VLOOKUP(A189,'Pass 2'!$A:$S,MATCH("Traffic % Change",'Pass 2'!$1:$1,0),FALSE()),"")</f>
        <v/>
      </c>
      <c r="G189" s="1" t="str">
        <f aca="false">IFERROR(VLOOKUP(A189,'Pass 2'!$A:$S,MATCH("Jan 2025 Referring Domains",'Pass 2'!$1:$1,0),FALSE()),"")</f>
        <v/>
      </c>
      <c r="H189" s="1" t="str">
        <f aca="false">IFERROR(VLOOKUP(A189,'Pass 2'!$A:$S,MATCH("Jun 2026 Referring Domains",'Pass 2'!$1:$1,0),FALSE()),"")</f>
        <v/>
      </c>
    </row>
    <row r="190" customFormat="false" ht="15" hidden="false" customHeight="true" outlineLevel="0" collapsed="false">
      <c r="B190" s="1" t="str">
        <f aca="false">IFERROR(VLOOKUP(A190,'Pass 2'!$A:$S,MATCH("Category",'Pass 2'!$1:$1,0),FALSE()),"")</f>
        <v/>
      </c>
      <c r="C190" s="1" t="str">
        <f aca="false">IFERROR(VLOOKUP(A190,'Pass 1 Archive'!$A:$AD,MATCH("LinkedIn Employee Count",'Pass 1 Archive'!$1:$1,0),FALSE()),"")</f>
        <v/>
      </c>
      <c r="D190" s="1" t="str">
        <f aca="false">IFERROR(VLOOKUP(A190,'Pass 2'!$A:$S,MATCH("Jan 2025 Traffic",'Pass 2'!$1:$1,0),FALSE()),"")</f>
        <v/>
      </c>
      <c r="E190" s="1" t="str">
        <f aca="false">IFERROR(VLOOKUP(A190,'Pass 2'!$A:$S,MATCH("Jun 2026 Traffic",'Pass 2'!$1:$1,0),FALSE()),"")</f>
        <v/>
      </c>
      <c r="F190" s="1" t="str">
        <f aca="false">IFERROR(VLOOKUP(A190,'Pass 2'!$A:$S,MATCH("Traffic % Change",'Pass 2'!$1:$1,0),FALSE()),"")</f>
        <v/>
      </c>
      <c r="G190" s="1" t="str">
        <f aca="false">IFERROR(VLOOKUP(A190,'Pass 2'!$A:$S,MATCH("Jan 2025 Referring Domains",'Pass 2'!$1:$1,0),FALSE()),"")</f>
        <v/>
      </c>
      <c r="H190" s="1" t="str">
        <f aca="false">IFERROR(VLOOKUP(A190,'Pass 2'!$A:$S,MATCH("Jun 2026 Referring Domains",'Pass 2'!$1:$1,0),FALSE()),"")</f>
        <v/>
      </c>
    </row>
    <row r="191" customFormat="false" ht="15" hidden="false" customHeight="true" outlineLevel="0" collapsed="false">
      <c r="B191" s="1" t="str">
        <f aca="false">IFERROR(VLOOKUP(A191,'Pass 2'!$A:$S,MATCH("Category",'Pass 2'!$1:$1,0),FALSE()),"")</f>
        <v/>
      </c>
      <c r="C191" s="1" t="str">
        <f aca="false">IFERROR(VLOOKUP(A191,'Pass 1 Archive'!$A:$AD,MATCH("LinkedIn Employee Count",'Pass 1 Archive'!$1:$1,0),FALSE()),"")</f>
        <v/>
      </c>
      <c r="D191" s="1" t="str">
        <f aca="false">IFERROR(VLOOKUP(A191,'Pass 2'!$A:$S,MATCH("Jan 2025 Traffic",'Pass 2'!$1:$1,0),FALSE()),"")</f>
        <v/>
      </c>
      <c r="E191" s="1" t="str">
        <f aca="false">IFERROR(VLOOKUP(A191,'Pass 2'!$A:$S,MATCH("Jun 2026 Traffic",'Pass 2'!$1:$1,0),FALSE()),"")</f>
        <v/>
      </c>
      <c r="F191" s="1" t="str">
        <f aca="false">IFERROR(VLOOKUP(A191,'Pass 2'!$A:$S,MATCH("Traffic % Change",'Pass 2'!$1:$1,0),FALSE()),"")</f>
        <v/>
      </c>
      <c r="G191" s="1" t="str">
        <f aca="false">IFERROR(VLOOKUP(A191,'Pass 2'!$A:$S,MATCH("Jan 2025 Referring Domains",'Pass 2'!$1:$1,0),FALSE()),"")</f>
        <v/>
      </c>
      <c r="H191" s="1" t="str">
        <f aca="false">IFERROR(VLOOKUP(A191,'Pass 2'!$A:$S,MATCH("Jun 2026 Referring Domains",'Pass 2'!$1:$1,0),FALSE()),"")</f>
        <v/>
      </c>
    </row>
    <row r="192" customFormat="false" ht="15" hidden="false" customHeight="true" outlineLevel="0" collapsed="false">
      <c r="B192" s="1" t="str">
        <f aca="false">IFERROR(VLOOKUP(A192,'Pass 2'!$A:$S,MATCH("Category",'Pass 2'!$1:$1,0),FALSE()),"")</f>
        <v/>
      </c>
      <c r="C192" s="1" t="str">
        <f aca="false">IFERROR(VLOOKUP(A192,'Pass 1 Archive'!$A:$AD,MATCH("LinkedIn Employee Count",'Pass 1 Archive'!$1:$1,0),FALSE()),"")</f>
        <v/>
      </c>
      <c r="D192" s="1" t="str">
        <f aca="false">IFERROR(VLOOKUP(A192,'Pass 2'!$A:$S,MATCH("Jan 2025 Traffic",'Pass 2'!$1:$1,0),FALSE()),"")</f>
        <v/>
      </c>
      <c r="E192" s="1" t="str">
        <f aca="false">IFERROR(VLOOKUP(A192,'Pass 2'!$A:$S,MATCH("Jun 2026 Traffic",'Pass 2'!$1:$1,0),FALSE()),"")</f>
        <v/>
      </c>
      <c r="F192" s="1" t="str">
        <f aca="false">IFERROR(VLOOKUP(A192,'Pass 2'!$A:$S,MATCH("Traffic % Change",'Pass 2'!$1:$1,0),FALSE()),"")</f>
        <v/>
      </c>
      <c r="G192" s="1" t="str">
        <f aca="false">IFERROR(VLOOKUP(A192,'Pass 2'!$A:$S,MATCH("Jan 2025 Referring Domains",'Pass 2'!$1:$1,0),FALSE()),"")</f>
        <v/>
      </c>
      <c r="H192" s="1" t="str">
        <f aca="false">IFERROR(VLOOKUP(A192,'Pass 2'!$A:$S,MATCH("Jun 2026 Referring Domains",'Pass 2'!$1:$1,0),FALSE()),"")</f>
        <v/>
      </c>
    </row>
    <row r="193" customFormat="false" ht="15" hidden="false" customHeight="true" outlineLevel="0" collapsed="false">
      <c r="B193" s="1" t="str">
        <f aca="false">IFERROR(VLOOKUP(A193,'Pass 2'!$A:$S,MATCH("Category",'Pass 2'!$1:$1,0),FALSE()),"")</f>
        <v/>
      </c>
      <c r="C193" s="1" t="str">
        <f aca="false">IFERROR(VLOOKUP(A193,'Pass 1 Archive'!$A:$AD,MATCH("LinkedIn Employee Count",'Pass 1 Archive'!$1:$1,0),FALSE()),"")</f>
        <v/>
      </c>
      <c r="D193" s="1" t="str">
        <f aca="false">IFERROR(VLOOKUP(A193,'Pass 2'!$A:$S,MATCH("Jan 2025 Traffic",'Pass 2'!$1:$1,0),FALSE()),"")</f>
        <v/>
      </c>
      <c r="E193" s="1" t="str">
        <f aca="false">IFERROR(VLOOKUP(A193,'Pass 2'!$A:$S,MATCH("Jun 2026 Traffic",'Pass 2'!$1:$1,0),FALSE()),"")</f>
        <v/>
      </c>
      <c r="F193" s="1" t="str">
        <f aca="false">IFERROR(VLOOKUP(A193,'Pass 2'!$A:$S,MATCH("Traffic % Change",'Pass 2'!$1:$1,0),FALSE()),"")</f>
        <v/>
      </c>
      <c r="G193" s="1" t="str">
        <f aca="false">IFERROR(VLOOKUP(A193,'Pass 2'!$A:$S,MATCH("Jan 2025 Referring Domains",'Pass 2'!$1:$1,0),FALSE()),"")</f>
        <v/>
      </c>
      <c r="H193" s="1" t="str">
        <f aca="false">IFERROR(VLOOKUP(A193,'Pass 2'!$A:$S,MATCH("Jun 2026 Referring Domains",'Pass 2'!$1:$1,0),FALSE()),"")</f>
        <v/>
      </c>
    </row>
    <row r="194" customFormat="false" ht="15" hidden="false" customHeight="true" outlineLevel="0" collapsed="false">
      <c r="B194" s="1" t="str">
        <f aca="false">IFERROR(VLOOKUP(A194,'Pass 2'!$A:$S,MATCH("Category",'Pass 2'!$1:$1,0),FALSE()),"")</f>
        <v/>
      </c>
      <c r="C194" s="1" t="str">
        <f aca="false">IFERROR(VLOOKUP(A194,'Pass 1 Archive'!$A:$AD,MATCH("LinkedIn Employee Count",'Pass 1 Archive'!$1:$1,0),FALSE()),"")</f>
        <v/>
      </c>
      <c r="D194" s="1" t="str">
        <f aca="false">IFERROR(VLOOKUP(A194,'Pass 2'!$A:$S,MATCH("Jan 2025 Traffic",'Pass 2'!$1:$1,0),FALSE()),"")</f>
        <v/>
      </c>
      <c r="E194" s="1" t="str">
        <f aca="false">IFERROR(VLOOKUP(A194,'Pass 2'!$A:$S,MATCH("Jun 2026 Traffic",'Pass 2'!$1:$1,0),FALSE()),"")</f>
        <v/>
      </c>
      <c r="F194" s="1" t="str">
        <f aca="false">IFERROR(VLOOKUP(A194,'Pass 2'!$A:$S,MATCH("Traffic % Change",'Pass 2'!$1:$1,0),FALSE()),"")</f>
        <v/>
      </c>
      <c r="G194" s="1" t="str">
        <f aca="false">IFERROR(VLOOKUP(A194,'Pass 2'!$A:$S,MATCH("Jan 2025 Referring Domains",'Pass 2'!$1:$1,0),FALSE()),"")</f>
        <v/>
      </c>
      <c r="H194" s="1" t="str">
        <f aca="false">IFERROR(VLOOKUP(A194,'Pass 2'!$A:$S,MATCH("Jun 2026 Referring Domains",'Pass 2'!$1:$1,0),FALSE()),"")</f>
        <v/>
      </c>
    </row>
    <row r="195" customFormat="false" ht="15" hidden="false" customHeight="true" outlineLevel="0" collapsed="false">
      <c r="B195" s="1" t="str">
        <f aca="false">IFERROR(VLOOKUP(A195,'Pass 2'!$A:$S,MATCH("Category",'Pass 2'!$1:$1,0),FALSE()),"")</f>
        <v/>
      </c>
      <c r="C195" s="1" t="str">
        <f aca="false">IFERROR(VLOOKUP(A195,'Pass 1 Archive'!$A:$AD,MATCH("LinkedIn Employee Count",'Pass 1 Archive'!$1:$1,0),FALSE()),"")</f>
        <v/>
      </c>
      <c r="D195" s="1" t="str">
        <f aca="false">IFERROR(VLOOKUP(A195,'Pass 2'!$A:$S,MATCH("Jan 2025 Traffic",'Pass 2'!$1:$1,0),FALSE()),"")</f>
        <v/>
      </c>
      <c r="E195" s="1" t="str">
        <f aca="false">IFERROR(VLOOKUP(A195,'Pass 2'!$A:$S,MATCH("Jun 2026 Traffic",'Pass 2'!$1:$1,0),FALSE()),"")</f>
        <v/>
      </c>
      <c r="F195" s="1" t="str">
        <f aca="false">IFERROR(VLOOKUP(A195,'Pass 2'!$A:$S,MATCH("Traffic % Change",'Pass 2'!$1:$1,0),FALSE()),"")</f>
        <v/>
      </c>
      <c r="G195" s="1" t="str">
        <f aca="false">IFERROR(VLOOKUP(A195,'Pass 2'!$A:$S,MATCH("Jan 2025 Referring Domains",'Pass 2'!$1:$1,0),FALSE()),"")</f>
        <v/>
      </c>
      <c r="H195" s="1" t="str">
        <f aca="false">IFERROR(VLOOKUP(A195,'Pass 2'!$A:$S,MATCH("Jun 2026 Referring Domains",'Pass 2'!$1:$1,0),FALSE()),"")</f>
        <v/>
      </c>
    </row>
    <row r="196" customFormat="false" ht="15" hidden="false" customHeight="true" outlineLevel="0" collapsed="false">
      <c r="B196" s="1" t="str">
        <f aca="false">IFERROR(VLOOKUP(A196,'Pass 2'!$A:$S,MATCH("Category",'Pass 2'!$1:$1,0),FALSE()),"")</f>
        <v/>
      </c>
      <c r="C196" s="1" t="str">
        <f aca="false">IFERROR(VLOOKUP(A196,'Pass 1 Archive'!$A:$AD,MATCH("LinkedIn Employee Count",'Pass 1 Archive'!$1:$1,0),FALSE()),"")</f>
        <v/>
      </c>
      <c r="D196" s="1" t="str">
        <f aca="false">IFERROR(VLOOKUP(A196,'Pass 2'!$A:$S,MATCH("Jan 2025 Traffic",'Pass 2'!$1:$1,0),FALSE()),"")</f>
        <v/>
      </c>
      <c r="E196" s="1" t="str">
        <f aca="false">IFERROR(VLOOKUP(A196,'Pass 2'!$A:$S,MATCH("Jun 2026 Traffic",'Pass 2'!$1:$1,0),FALSE()),"")</f>
        <v/>
      </c>
      <c r="F196" s="1" t="str">
        <f aca="false">IFERROR(VLOOKUP(A196,'Pass 2'!$A:$S,MATCH("Traffic % Change",'Pass 2'!$1:$1,0),FALSE()),"")</f>
        <v/>
      </c>
      <c r="G196" s="1" t="str">
        <f aca="false">IFERROR(VLOOKUP(A196,'Pass 2'!$A:$S,MATCH("Jan 2025 Referring Domains",'Pass 2'!$1:$1,0),FALSE()),"")</f>
        <v/>
      </c>
      <c r="H196" s="1" t="str">
        <f aca="false">IFERROR(VLOOKUP(A196,'Pass 2'!$A:$S,MATCH("Jun 2026 Referring Domains",'Pass 2'!$1:$1,0),FALSE()),"")</f>
        <v/>
      </c>
    </row>
    <row r="197" customFormat="false" ht="15" hidden="false" customHeight="true" outlineLevel="0" collapsed="false">
      <c r="B197" s="1" t="str">
        <f aca="false">IFERROR(VLOOKUP(A197,'Pass 2'!$A:$S,MATCH("Category",'Pass 2'!$1:$1,0),FALSE()),"")</f>
        <v/>
      </c>
      <c r="C197" s="1" t="str">
        <f aca="false">IFERROR(VLOOKUP(A197,'Pass 1 Archive'!$A:$AD,MATCH("LinkedIn Employee Count",'Pass 1 Archive'!$1:$1,0),FALSE()),"")</f>
        <v/>
      </c>
      <c r="D197" s="1" t="str">
        <f aca="false">IFERROR(VLOOKUP(A197,'Pass 2'!$A:$S,MATCH("Jan 2025 Traffic",'Pass 2'!$1:$1,0),FALSE()),"")</f>
        <v/>
      </c>
      <c r="E197" s="1" t="str">
        <f aca="false">IFERROR(VLOOKUP(A197,'Pass 2'!$A:$S,MATCH("Jun 2026 Traffic",'Pass 2'!$1:$1,0),FALSE()),"")</f>
        <v/>
      </c>
      <c r="F197" s="1" t="str">
        <f aca="false">IFERROR(VLOOKUP(A197,'Pass 2'!$A:$S,MATCH("Traffic % Change",'Pass 2'!$1:$1,0),FALSE()),"")</f>
        <v/>
      </c>
      <c r="G197" s="1" t="str">
        <f aca="false">IFERROR(VLOOKUP(A197,'Pass 2'!$A:$S,MATCH("Jan 2025 Referring Domains",'Pass 2'!$1:$1,0),FALSE()),"")</f>
        <v/>
      </c>
      <c r="H197" s="1" t="str">
        <f aca="false">IFERROR(VLOOKUP(A197,'Pass 2'!$A:$S,MATCH("Jun 2026 Referring Domains",'Pass 2'!$1:$1,0),FALSE()),"")</f>
        <v/>
      </c>
    </row>
    <row r="198" customFormat="false" ht="15" hidden="false" customHeight="true" outlineLevel="0" collapsed="false">
      <c r="B198" s="1" t="str">
        <f aca="false">IFERROR(VLOOKUP(A198,'Pass 2'!$A:$S,MATCH("Category",'Pass 2'!$1:$1,0),FALSE()),"")</f>
        <v/>
      </c>
      <c r="C198" s="1" t="str">
        <f aca="false">IFERROR(VLOOKUP(A198,'Pass 1 Archive'!$A:$AD,MATCH("LinkedIn Employee Count",'Pass 1 Archive'!$1:$1,0),FALSE()),"")</f>
        <v/>
      </c>
      <c r="D198" s="1" t="str">
        <f aca="false">IFERROR(VLOOKUP(A198,'Pass 2'!$A:$S,MATCH("Jan 2025 Traffic",'Pass 2'!$1:$1,0),FALSE()),"")</f>
        <v/>
      </c>
      <c r="E198" s="1" t="str">
        <f aca="false">IFERROR(VLOOKUP(A198,'Pass 2'!$A:$S,MATCH("Jun 2026 Traffic",'Pass 2'!$1:$1,0),FALSE()),"")</f>
        <v/>
      </c>
      <c r="F198" s="1" t="str">
        <f aca="false">IFERROR(VLOOKUP(A198,'Pass 2'!$A:$S,MATCH("Traffic % Change",'Pass 2'!$1:$1,0),FALSE()),"")</f>
        <v/>
      </c>
      <c r="G198" s="1" t="str">
        <f aca="false">IFERROR(VLOOKUP(A198,'Pass 2'!$A:$S,MATCH("Jan 2025 Referring Domains",'Pass 2'!$1:$1,0),FALSE()),"")</f>
        <v/>
      </c>
      <c r="H198" s="1" t="str">
        <f aca="false">IFERROR(VLOOKUP(A198,'Pass 2'!$A:$S,MATCH("Jun 2026 Referring Domains",'Pass 2'!$1:$1,0),FALSE()),"")</f>
        <v/>
      </c>
    </row>
    <row r="199" customFormat="false" ht="15" hidden="false" customHeight="true" outlineLevel="0" collapsed="false">
      <c r="B199" s="1" t="str">
        <f aca="false">IFERROR(VLOOKUP(A199,'Pass 2'!$A:$S,MATCH("Category",'Pass 2'!$1:$1,0),FALSE()),"")</f>
        <v/>
      </c>
      <c r="C199" s="1" t="str">
        <f aca="false">IFERROR(VLOOKUP(A199,'Pass 1 Archive'!$A:$AD,MATCH("LinkedIn Employee Count",'Pass 1 Archive'!$1:$1,0),FALSE()),"")</f>
        <v/>
      </c>
      <c r="D199" s="1" t="str">
        <f aca="false">IFERROR(VLOOKUP(A199,'Pass 2'!$A:$S,MATCH("Jan 2025 Traffic",'Pass 2'!$1:$1,0),FALSE()),"")</f>
        <v/>
      </c>
      <c r="E199" s="1" t="str">
        <f aca="false">IFERROR(VLOOKUP(A199,'Pass 2'!$A:$S,MATCH("Jun 2026 Traffic",'Pass 2'!$1:$1,0),FALSE()),"")</f>
        <v/>
      </c>
      <c r="F199" s="1" t="str">
        <f aca="false">IFERROR(VLOOKUP(A199,'Pass 2'!$A:$S,MATCH("Traffic % Change",'Pass 2'!$1:$1,0),FALSE()),"")</f>
        <v/>
      </c>
      <c r="G199" s="1" t="str">
        <f aca="false">IFERROR(VLOOKUP(A199,'Pass 2'!$A:$S,MATCH("Jan 2025 Referring Domains",'Pass 2'!$1:$1,0),FALSE()),"")</f>
        <v/>
      </c>
      <c r="H199" s="1" t="str">
        <f aca="false">IFERROR(VLOOKUP(A199,'Pass 2'!$A:$S,MATCH("Jun 2026 Referring Domains",'Pass 2'!$1:$1,0),FALSE()),"")</f>
        <v/>
      </c>
    </row>
    <row r="200" customFormat="false" ht="15" hidden="false" customHeight="true" outlineLevel="0" collapsed="false">
      <c r="B200" s="1" t="str">
        <f aca="false">IFERROR(VLOOKUP(A200,'Pass 2'!$A:$S,MATCH("Category",'Pass 2'!$1:$1,0),FALSE()),"")</f>
        <v/>
      </c>
      <c r="C200" s="1" t="str">
        <f aca="false">IFERROR(VLOOKUP(A200,'Pass 1 Archive'!$A:$AD,MATCH("LinkedIn Employee Count",'Pass 1 Archive'!$1:$1,0),FALSE()),"")</f>
        <v/>
      </c>
      <c r="D200" s="1" t="str">
        <f aca="false">IFERROR(VLOOKUP(A200,'Pass 2'!$A:$S,MATCH("Jan 2025 Traffic",'Pass 2'!$1:$1,0),FALSE()),"")</f>
        <v/>
      </c>
      <c r="E200" s="1" t="str">
        <f aca="false">IFERROR(VLOOKUP(A200,'Pass 2'!$A:$S,MATCH("Jun 2026 Traffic",'Pass 2'!$1:$1,0),FALSE()),"")</f>
        <v/>
      </c>
      <c r="F200" s="1" t="str">
        <f aca="false">IFERROR(VLOOKUP(A200,'Pass 2'!$A:$S,MATCH("Traffic % Change",'Pass 2'!$1:$1,0),FALSE()),"")</f>
        <v/>
      </c>
      <c r="G200" s="1" t="str">
        <f aca="false">IFERROR(VLOOKUP(A200,'Pass 2'!$A:$S,MATCH("Jan 2025 Referring Domains",'Pass 2'!$1:$1,0),FALSE()),"")</f>
        <v/>
      </c>
      <c r="H200" s="1" t="str">
        <f aca="false">IFERROR(VLOOKUP(A200,'Pass 2'!$A:$S,MATCH("Jun 2026 Referring Domains",'Pass 2'!$1:$1,0),FALSE()),"")</f>
        <v/>
      </c>
    </row>
    <row r="201" customFormat="false" ht="15" hidden="false" customHeight="true" outlineLevel="0" collapsed="false">
      <c r="B201" s="1" t="str">
        <f aca="false">IFERROR(VLOOKUP(A201,'Pass 2'!$A:$S,MATCH("Category",'Pass 2'!$1:$1,0),FALSE()),"")</f>
        <v/>
      </c>
      <c r="C201" s="1" t="str">
        <f aca="false">IFERROR(VLOOKUP(A201,'Pass 1 Archive'!$A:$AD,MATCH("LinkedIn Employee Count",'Pass 1 Archive'!$1:$1,0),FALSE()),"")</f>
        <v/>
      </c>
      <c r="D201" s="1" t="str">
        <f aca="false">IFERROR(VLOOKUP(A201,'Pass 2'!$A:$S,MATCH("Jan 2025 Traffic",'Pass 2'!$1:$1,0),FALSE()),"")</f>
        <v/>
      </c>
      <c r="E201" s="1" t="str">
        <f aca="false">IFERROR(VLOOKUP(A201,'Pass 2'!$A:$S,MATCH("Jun 2026 Traffic",'Pass 2'!$1:$1,0),FALSE()),"")</f>
        <v/>
      </c>
      <c r="F201" s="1" t="str">
        <f aca="false">IFERROR(VLOOKUP(A201,'Pass 2'!$A:$S,MATCH("Traffic % Change",'Pass 2'!$1:$1,0),FALSE()),"")</f>
        <v/>
      </c>
      <c r="G201" s="1" t="str">
        <f aca="false">IFERROR(VLOOKUP(A201,'Pass 2'!$A:$S,MATCH("Jan 2025 Referring Domains",'Pass 2'!$1:$1,0),FALSE()),"")</f>
        <v/>
      </c>
      <c r="H201" s="1" t="str">
        <f aca="false">IFERROR(VLOOKUP(A201,'Pass 2'!$A:$S,MATCH("Jun 2026 Referring Domains",'Pass 2'!$1:$1,0),FALSE()),"")</f>
        <v/>
      </c>
    </row>
    <row r="202" customFormat="false" ht="15" hidden="false" customHeight="true" outlineLevel="0" collapsed="false">
      <c r="B202" s="1" t="str">
        <f aca="false">IFERROR(VLOOKUP(A202,'Pass 2'!$A:$S,MATCH("Category",'Pass 2'!$1:$1,0),FALSE()),"")</f>
        <v/>
      </c>
      <c r="C202" s="1" t="str">
        <f aca="false">IFERROR(VLOOKUP(A202,'Pass 1 Archive'!$A:$AD,MATCH("LinkedIn Employee Count",'Pass 1 Archive'!$1:$1,0),FALSE()),"")</f>
        <v/>
      </c>
      <c r="D202" s="1" t="str">
        <f aca="false">IFERROR(VLOOKUP(A202,'Pass 2'!$A:$S,MATCH("Jan 2025 Traffic",'Pass 2'!$1:$1,0),FALSE()),"")</f>
        <v/>
      </c>
      <c r="E202" s="1" t="str">
        <f aca="false">IFERROR(VLOOKUP(A202,'Pass 2'!$A:$S,MATCH("Jun 2026 Traffic",'Pass 2'!$1:$1,0),FALSE()),"")</f>
        <v/>
      </c>
      <c r="F202" s="1" t="str">
        <f aca="false">IFERROR(VLOOKUP(A202,'Pass 2'!$A:$S,MATCH("Traffic % Change",'Pass 2'!$1:$1,0),FALSE()),"")</f>
        <v/>
      </c>
      <c r="G202" s="1" t="str">
        <f aca="false">IFERROR(VLOOKUP(A202,'Pass 2'!$A:$S,MATCH("Jan 2025 Referring Domains",'Pass 2'!$1:$1,0),FALSE()),"")</f>
        <v/>
      </c>
      <c r="H202" s="1" t="str">
        <f aca="false">IFERROR(VLOOKUP(A202,'Pass 2'!$A:$S,MATCH("Jun 2026 Referring Domains",'Pass 2'!$1:$1,0),FALSE()),"")</f>
        <v/>
      </c>
    </row>
    <row r="203" customFormat="false" ht="15" hidden="false" customHeight="true" outlineLevel="0" collapsed="false">
      <c r="B203" s="1" t="str">
        <f aca="false">IFERROR(VLOOKUP(A203,'Pass 2'!$A:$S,MATCH("Category",'Pass 2'!$1:$1,0),FALSE()),"")</f>
        <v/>
      </c>
      <c r="C203" s="1" t="str">
        <f aca="false">IFERROR(VLOOKUP(A203,'Pass 1 Archive'!$A:$AD,MATCH("LinkedIn Employee Count",'Pass 1 Archive'!$1:$1,0),FALSE()),"")</f>
        <v/>
      </c>
      <c r="D203" s="1" t="str">
        <f aca="false">IFERROR(VLOOKUP(A203,'Pass 2'!$A:$S,MATCH("Jan 2025 Traffic",'Pass 2'!$1:$1,0),FALSE()),"")</f>
        <v/>
      </c>
      <c r="E203" s="1" t="str">
        <f aca="false">IFERROR(VLOOKUP(A203,'Pass 2'!$A:$S,MATCH("Jun 2026 Traffic",'Pass 2'!$1:$1,0),FALSE()),"")</f>
        <v/>
      </c>
      <c r="F203" s="1" t="str">
        <f aca="false">IFERROR(VLOOKUP(A203,'Pass 2'!$A:$S,MATCH("Traffic % Change",'Pass 2'!$1:$1,0),FALSE()),"")</f>
        <v/>
      </c>
      <c r="G203" s="1" t="str">
        <f aca="false">IFERROR(VLOOKUP(A203,'Pass 2'!$A:$S,MATCH("Jan 2025 Referring Domains",'Pass 2'!$1:$1,0),FALSE()),"")</f>
        <v/>
      </c>
      <c r="H203" s="1" t="str">
        <f aca="false">IFERROR(VLOOKUP(A203,'Pass 2'!$A:$S,MATCH("Jun 2026 Referring Domains",'Pass 2'!$1:$1,0),FALSE()),"")</f>
        <v/>
      </c>
    </row>
    <row r="204" customFormat="false" ht="15" hidden="false" customHeight="true" outlineLevel="0" collapsed="false">
      <c r="B204" s="1" t="str">
        <f aca="false">IFERROR(VLOOKUP(A204,'Pass 2'!$A:$S,MATCH("Category",'Pass 2'!$1:$1,0),FALSE()),"")</f>
        <v/>
      </c>
      <c r="C204" s="1" t="str">
        <f aca="false">IFERROR(VLOOKUP(A204,'Pass 1 Archive'!$A:$AD,MATCH("LinkedIn Employee Count",'Pass 1 Archive'!$1:$1,0),FALSE()),"")</f>
        <v/>
      </c>
      <c r="D204" s="1" t="str">
        <f aca="false">IFERROR(VLOOKUP(A204,'Pass 2'!$A:$S,MATCH("Jan 2025 Traffic",'Pass 2'!$1:$1,0),FALSE()),"")</f>
        <v/>
      </c>
      <c r="E204" s="1" t="str">
        <f aca="false">IFERROR(VLOOKUP(A204,'Pass 2'!$A:$S,MATCH("Jun 2026 Traffic",'Pass 2'!$1:$1,0),FALSE()),"")</f>
        <v/>
      </c>
      <c r="F204" s="1" t="str">
        <f aca="false">IFERROR(VLOOKUP(A204,'Pass 2'!$A:$S,MATCH("Traffic % Change",'Pass 2'!$1:$1,0),FALSE()),"")</f>
        <v/>
      </c>
      <c r="G204" s="1" t="str">
        <f aca="false">IFERROR(VLOOKUP(A204,'Pass 2'!$A:$S,MATCH("Jan 2025 Referring Domains",'Pass 2'!$1:$1,0),FALSE()),"")</f>
        <v/>
      </c>
      <c r="H204" s="1" t="str">
        <f aca="false">IFERROR(VLOOKUP(A204,'Pass 2'!$A:$S,MATCH("Jun 2026 Referring Domains",'Pass 2'!$1:$1,0),FALSE()),"")</f>
        <v/>
      </c>
    </row>
    <row r="205" customFormat="false" ht="15" hidden="false" customHeight="true" outlineLevel="0" collapsed="false">
      <c r="B205" s="1" t="str">
        <f aca="false">IFERROR(VLOOKUP(A205,'Pass 2'!$A:$S,MATCH("Category",'Pass 2'!$1:$1,0),FALSE()),"")</f>
        <v/>
      </c>
      <c r="C205" s="1" t="str">
        <f aca="false">IFERROR(VLOOKUP(A205,'Pass 1 Archive'!$A:$AD,MATCH("LinkedIn Employee Count",'Pass 1 Archive'!$1:$1,0),FALSE()),"")</f>
        <v/>
      </c>
      <c r="D205" s="1" t="str">
        <f aca="false">IFERROR(VLOOKUP(A205,'Pass 2'!$A:$S,MATCH("Jan 2025 Traffic",'Pass 2'!$1:$1,0),FALSE()),"")</f>
        <v/>
      </c>
      <c r="E205" s="1" t="str">
        <f aca="false">IFERROR(VLOOKUP(A205,'Pass 2'!$A:$S,MATCH("Jun 2026 Traffic",'Pass 2'!$1:$1,0),FALSE()),"")</f>
        <v/>
      </c>
      <c r="F205" s="1" t="str">
        <f aca="false">IFERROR(VLOOKUP(A205,'Pass 2'!$A:$S,MATCH("Traffic % Change",'Pass 2'!$1:$1,0),FALSE()),"")</f>
        <v/>
      </c>
      <c r="G205" s="1" t="str">
        <f aca="false">IFERROR(VLOOKUP(A205,'Pass 2'!$A:$S,MATCH("Jan 2025 Referring Domains",'Pass 2'!$1:$1,0),FALSE()),"")</f>
        <v/>
      </c>
      <c r="H205" s="1" t="str">
        <f aca="false">IFERROR(VLOOKUP(A205,'Pass 2'!$A:$S,MATCH("Jun 2026 Referring Domains",'Pass 2'!$1:$1,0),FALSE()),"")</f>
        <v/>
      </c>
    </row>
    <row r="206" customFormat="false" ht="15" hidden="false" customHeight="true" outlineLevel="0" collapsed="false">
      <c r="B206" s="1" t="str">
        <f aca="false">IFERROR(VLOOKUP(A206,'Pass 2'!$A:$S,MATCH("Category",'Pass 2'!$1:$1,0),FALSE()),"")</f>
        <v/>
      </c>
      <c r="C206" s="1" t="str">
        <f aca="false">IFERROR(VLOOKUP(A206,'Pass 1 Archive'!$A:$AD,MATCH("LinkedIn Employee Count",'Pass 1 Archive'!$1:$1,0),FALSE()),"")</f>
        <v/>
      </c>
      <c r="D206" s="1" t="str">
        <f aca="false">IFERROR(VLOOKUP(A206,'Pass 2'!$A:$S,MATCH("Jan 2025 Traffic",'Pass 2'!$1:$1,0),FALSE()),"")</f>
        <v/>
      </c>
      <c r="E206" s="1" t="str">
        <f aca="false">IFERROR(VLOOKUP(A206,'Pass 2'!$A:$S,MATCH("Jun 2026 Traffic",'Pass 2'!$1:$1,0),FALSE()),"")</f>
        <v/>
      </c>
      <c r="F206" s="1" t="str">
        <f aca="false">IFERROR(VLOOKUP(A206,'Pass 2'!$A:$S,MATCH("Traffic % Change",'Pass 2'!$1:$1,0),FALSE()),"")</f>
        <v/>
      </c>
      <c r="G206" s="1" t="str">
        <f aca="false">IFERROR(VLOOKUP(A206,'Pass 2'!$A:$S,MATCH("Jan 2025 Referring Domains",'Pass 2'!$1:$1,0),FALSE()),"")</f>
        <v/>
      </c>
      <c r="H206" s="1" t="str">
        <f aca="false">IFERROR(VLOOKUP(A206,'Pass 2'!$A:$S,MATCH("Jun 2026 Referring Domains",'Pass 2'!$1:$1,0),FALSE()),"")</f>
        <v/>
      </c>
    </row>
    <row r="207" customFormat="false" ht="15" hidden="false" customHeight="true" outlineLevel="0" collapsed="false">
      <c r="B207" s="1" t="str">
        <f aca="false">IFERROR(VLOOKUP(A207,'Pass 2'!$A:$S,MATCH("Category",'Pass 2'!$1:$1,0),FALSE()),"")</f>
        <v/>
      </c>
      <c r="C207" s="1" t="str">
        <f aca="false">IFERROR(VLOOKUP(A207,'Pass 1 Archive'!$A:$AD,MATCH("LinkedIn Employee Count",'Pass 1 Archive'!$1:$1,0),FALSE()),"")</f>
        <v/>
      </c>
      <c r="D207" s="1" t="str">
        <f aca="false">IFERROR(VLOOKUP(A207,'Pass 2'!$A:$S,MATCH("Jan 2025 Traffic",'Pass 2'!$1:$1,0),FALSE()),"")</f>
        <v/>
      </c>
      <c r="E207" s="1" t="str">
        <f aca="false">IFERROR(VLOOKUP(A207,'Pass 2'!$A:$S,MATCH("Jun 2026 Traffic",'Pass 2'!$1:$1,0),FALSE()),"")</f>
        <v/>
      </c>
      <c r="F207" s="1" t="str">
        <f aca="false">IFERROR(VLOOKUP(A207,'Pass 2'!$A:$S,MATCH("Traffic % Change",'Pass 2'!$1:$1,0),FALSE()),"")</f>
        <v/>
      </c>
      <c r="G207" s="1" t="str">
        <f aca="false">IFERROR(VLOOKUP(A207,'Pass 2'!$A:$S,MATCH("Jan 2025 Referring Domains",'Pass 2'!$1:$1,0),FALSE()),"")</f>
        <v/>
      </c>
      <c r="H207" s="1" t="str">
        <f aca="false">IFERROR(VLOOKUP(A207,'Pass 2'!$A:$S,MATCH("Jun 2026 Referring Domains",'Pass 2'!$1:$1,0),FALSE()),"")</f>
        <v/>
      </c>
    </row>
    <row r="208" customFormat="false" ht="15" hidden="false" customHeight="true" outlineLevel="0" collapsed="false">
      <c r="B208" s="1" t="str">
        <f aca="false">IFERROR(VLOOKUP(A208,'Pass 2'!$A:$S,MATCH("Category",'Pass 2'!$1:$1,0),FALSE()),"")</f>
        <v/>
      </c>
      <c r="C208" s="1" t="str">
        <f aca="false">IFERROR(VLOOKUP(A208,'Pass 1 Archive'!$A:$AD,MATCH("LinkedIn Employee Count",'Pass 1 Archive'!$1:$1,0),FALSE()),"")</f>
        <v/>
      </c>
      <c r="D208" s="1" t="str">
        <f aca="false">IFERROR(VLOOKUP(A208,'Pass 2'!$A:$S,MATCH("Jan 2025 Traffic",'Pass 2'!$1:$1,0),FALSE()),"")</f>
        <v/>
      </c>
      <c r="E208" s="1" t="str">
        <f aca="false">IFERROR(VLOOKUP(A208,'Pass 2'!$A:$S,MATCH("Jun 2026 Traffic",'Pass 2'!$1:$1,0),FALSE()),"")</f>
        <v/>
      </c>
      <c r="F208" s="1" t="str">
        <f aca="false">IFERROR(VLOOKUP(A208,'Pass 2'!$A:$S,MATCH("Traffic % Change",'Pass 2'!$1:$1,0),FALSE()),"")</f>
        <v/>
      </c>
      <c r="G208" s="1" t="str">
        <f aca="false">IFERROR(VLOOKUP(A208,'Pass 2'!$A:$S,MATCH("Jan 2025 Referring Domains",'Pass 2'!$1:$1,0),FALSE()),"")</f>
        <v/>
      </c>
      <c r="H208" s="1" t="str">
        <f aca="false">IFERROR(VLOOKUP(A208,'Pass 2'!$A:$S,MATCH("Jun 2026 Referring Domains",'Pass 2'!$1:$1,0),FALSE()),"")</f>
        <v/>
      </c>
    </row>
    <row r="209" customFormat="false" ht="15" hidden="false" customHeight="true" outlineLevel="0" collapsed="false">
      <c r="B209" s="1" t="str">
        <f aca="false">IFERROR(VLOOKUP(A209,'Pass 2'!$A:$S,MATCH("Category",'Pass 2'!$1:$1,0),FALSE()),"")</f>
        <v/>
      </c>
      <c r="C209" s="1" t="str">
        <f aca="false">IFERROR(VLOOKUP(A209,'Pass 1 Archive'!$A:$AD,MATCH("LinkedIn Employee Count",'Pass 1 Archive'!$1:$1,0),FALSE()),"")</f>
        <v/>
      </c>
      <c r="D209" s="1" t="str">
        <f aca="false">IFERROR(VLOOKUP(A209,'Pass 2'!$A:$S,MATCH("Jan 2025 Traffic",'Pass 2'!$1:$1,0),FALSE()),"")</f>
        <v/>
      </c>
      <c r="E209" s="1" t="str">
        <f aca="false">IFERROR(VLOOKUP(A209,'Pass 2'!$A:$S,MATCH("Jun 2026 Traffic",'Pass 2'!$1:$1,0),FALSE()),"")</f>
        <v/>
      </c>
      <c r="F209" s="1" t="str">
        <f aca="false">IFERROR(VLOOKUP(A209,'Pass 2'!$A:$S,MATCH("Traffic % Change",'Pass 2'!$1:$1,0),FALSE()),"")</f>
        <v/>
      </c>
      <c r="G209" s="1" t="str">
        <f aca="false">IFERROR(VLOOKUP(A209,'Pass 2'!$A:$S,MATCH("Jan 2025 Referring Domains",'Pass 2'!$1:$1,0),FALSE()),"")</f>
        <v/>
      </c>
      <c r="H209" s="1" t="str">
        <f aca="false">IFERROR(VLOOKUP(A209,'Pass 2'!$A:$S,MATCH("Jun 2026 Referring Domains",'Pass 2'!$1:$1,0),FALSE()),"")</f>
        <v/>
      </c>
    </row>
    <row r="210" customFormat="false" ht="15" hidden="false" customHeight="true" outlineLevel="0" collapsed="false">
      <c r="B210" s="1" t="str">
        <f aca="false">IFERROR(VLOOKUP(A210,'Pass 2'!$A:$S,MATCH("Category",'Pass 2'!$1:$1,0),FALSE()),"")</f>
        <v/>
      </c>
      <c r="C210" s="1" t="str">
        <f aca="false">IFERROR(VLOOKUP(A210,'Pass 1 Archive'!$A:$AD,MATCH("LinkedIn Employee Count",'Pass 1 Archive'!$1:$1,0),FALSE()),"")</f>
        <v/>
      </c>
      <c r="D210" s="1" t="str">
        <f aca="false">IFERROR(VLOOKUP(A210,'Pass 2'!$A:$S,MATCH("Jan 2025 Traffic",'Pass 2'!$1:$1,0),FALSE()),"")</f>
        <v/>
      </c>
      <c r="E210" s="1" t="str">
        <f aca="false">IFERROR(VLOOKUP(A210,'Pass 2'!$A:$S,MATCH("Jun 2026 Traffic",'Pass 2'!$1:$1,0),FALSE()),"")</f>
        <v/>
      </c>
      <c r="F210" s="1" t="str">
        <f aca="false">IFERROR(VLOOKUP(A210,'Pass 2'!$A:$S,MATCH("Traffic % Change",'Pass 2'!$1:$1,0),FALSE()),"")</f>
        <v/>
      </c>
      <c r="G210" s="1" t="str">
        <f aca="false">IFERROR(VLOOKUP(A210,'Pass 2'!$A:$S,MATCH("Jan 2025 Referring Domains",'Pass 2'!$1:$1,0),FALSE()),"")</f>
        <v/>
      </c>
      <c r="H210" s="1" t="str">
        <f aca="false">IFERROR(VLOOKUP(A210,'Pass 2'!$A:$S,MATCH("Jun 2026 Referring Domains",'Pass 2'!$1:$1,0),FALSE()),"")</f>
        <v/>
      </c>
    </row>
    <row r="211" customFormat="false" ht="15" hidden="false" customHeight="true" outlineLevel="0" collapsed="false">
      <c r="B211" s="1" t="str">
        <f aca="false">IFERROR(VLOOKUP(A211,'Pass 2'!$A:$S,MATCH("Category",'Pass 2'!$1:$1,0),FALSE()),"")</f>
        <v/>
      </c>
      <c r="C211" s="1" t="str">
        <f aca="false">IFERROR(VLOOKUP(A211,'Pass 1 Archive'!$A:$AD,MATCH("LinkedIn Employee Count",'Pass 1 Archive'!$1:$1,0),FALSE()),"")</f>
        <v/>
      </c>
      <c r="D211" s="1" t="str">
        <f aca="false">IFERROR(VLOOKUP(A211,'Pass 2'!$A:$S,MATCH("Jan 2025 Traffic",'Pass 2'!$1:$1,0),FALSE()),"")</f>
        <v/>
      </c>
      <c r="E211" s="1" t="str">
        <f aca="false">IFERROR(VLOOKUP(A211,'Pass 2'!$A:$S,MATCH("Jun 2026 Traffic",'Pass 2'!$1:$1,0),FALSE()),"")</f>
        <v/>
      </c>
      <c r="F211" s="1" t="str">
        <f aca="false">IFERROR(VLOOKUP(A211,'Pass 2'!$A:$S,MATCH("Traffic % Change",'Pass 2'!$1:$1,0),FALSE()),"")</f>
        <v/>
      </c>
      <c r="G211" s="1" t="str">
        <f aca="false">IFERROR(VLOOKUP(A211,'Pass 2'!$A:$S,MATCH("Jan 2025 Referring Domains",'Pass 2'!$1:$1,0),FALSE()),"")</f>
        <v/>
      </c>
      <c r="H211" s="1" t="str">
        <f aca="false">IFERROR(VLOOKUP(A211,'Pass 2'!$A:$S,MATCH("Jun 2026 Referring Domains",'Pass 2'!$1:$1,0),FALSE()),"")</f>
        <v/>
      </c>
    </row>
    <row r="212" customFormat="false" ht="15" hidden="false" customHeight="true" outlineLevel="0" collapsed="false">
      <c r="B212" s="1" t="str">
        <f aca="false">IFERROR(VLOOKUP(A212,'Pass 2'!$A:$S,MATCH("Category",'Pass 2'!$1:$1,0),FALSE()),"")</f>
        <v/>
      </c>
      <c r="C212" s="1" t="str">
        <f aca="false">IFERROR(VLOOKUP(A212,'Pass 1 Archive'!$A:$AD,MATCH("LinkedIn Employee Count",'Pass 1 Archive'!$1:$1,0),FALSE()),"")</f>
        <v/>
      </c>
      <c r="D212" s="1" t="str">
        <f aca="false">IFERROR(VLOOKUP(A212,'Pass 2'!$A:$S,MATCH("Jan 2025 Traffic",'Pass 2'!$1:$1,0),FALSE()),"")</f>
        <v/>
      </c>
      <c r="E212" s="1" t="str">
        <f aca="false">IFERROR(VLOOKUP(A212,'Pass 2'!$A:$S,MATCH("Jun 2026 Traffic",'Pass 2'!$1:$1,0),FALSE()),"")</f>
        <v/>
      </c>
      <c r="F212" s="1" t="str">
        <f aca="false">IFERROR(VLOOKUP(A212,'Pass 2'!$A:$S,MATCH("Traffic % Change",'Pass 2'!$1:$1,0),FALSE()),"")</f>
        <v/>
      </c>
      <c r="G212" s="1" t="str">
        <f aca="false">IFERROR(VLOOKUP(A212,'Pass 2'!$A:$S,MATCH("Jan 2025 Referring Domains",'Pass 2'!$1:$1,0),FALSE()),"")</f>
        <v/>
      </c>
      <c r="H212" s="1" t="str">
        <f aca="false">IFERROR(VLOOKUP(A212,'Pass 2'!$A:$S,MATCH("Jun 2026 Referring Domains",'Pass 2'!$1:$1,0),FALSE()),"")</f>
        <v/>
      </c>
    </row>
    <row r="213" customFormat="false" ht="15" hidden="false" customHeight="true" outlineLevel="0" collapsed="false">
      <c r="B213" s="1" t="str">
        <f aca="false">IFERROR(VLOOKUP(A213,'Pass 2'!$A:$S,MATCH("Category",'Pass 2'!$1:$1,0),FALSE()),"")</f>
        <v/>
      </c>
      <c r="C213" s="1" t="str">
        <f aca="false">IFERROR(VLOOKUP(A213,'Pass 1 Archive'!$A:$AD,MATCH("LinkedIn Employee Count",'Pass 1 Archive'!$1:$1,0),FALSE()),"")</f>
        <v/>
      </c>
      <c r="D213" s="1" t="str">
        <f aca="false">IFERROR(VLOOKUP(A213,'Pass 2'!$A:$S,MATCH("Jan 2025 Traffic",'Pass 2'!$1:$1,0),FALSE()),"")</f>
        <v/>
      </c>
      <c r="E213" s="1" t="str">
        <f aca="false">IFERROR(VLOOKUP(A213,'Pass 2'!$A:$S,MATCH("Jun 2026 Traffic",'Pass 2'!$1:$1,0),FALSE()),"")</f>
        <v/>
      </c>
      <c r="F213" s="1" t="str">
        <f aca="false">IFERROR(VLOOKUP(A213,'Pass 2'!$A:$S,MATCH("Traffic % Change",'Pass 2'!$1:$1,0),FALSE()),"")</f>
        <v/>
      </c>
      <c r="G213" s="1" t="str">
        <f aca="false">IFERROR(VLOOKUP(A213,'Pass 2'!$A:$S,MATCH("Jan 2025 Referring Domains",'Pass 2'!$1:$1,0),FALSE()),"")</f>
        <v/>
      </c>
      <c r="H213" s="1" t="str">
        <f aca="false">IFERROR(VLOOKUP(A213,'Pass 2'!$A:$S,MATCH("Jun 2026 Referring Domains",'Pass 2'!$1:$1,0),FALSE()),"")</f>
        <v/>
      </c>
    </row>
    <row r="214" customFormat="false" ht="15" hidden="false" customHeight="true" outlineLevel="0" collapsed="false">
      <c r="B214" s="1" t="str">
        <f aca="false">IFERROR(VLOOKUP(A214,'Pass 2'!$A:$S,MATCH("Category",'Pass 2'!$1:$1,0),FALSE()),"")</f>
        <v/>
      </c>
      <c r="C214" s="1" t="str">
        <f aca="false">IFERROR(VLOOKUP(A214,'Pass 1 Archive'!$A:$AD,MATCH("LinkedIn Employee Count",'Pass 1 Archive'!$1:$1,0),FALSE()),"")</f>
        <v/>
      </c>
      <c r="D214" s="1" t="str">
        <f aca="false">IFERROR(VLOOKUP(A214,'Pass 2'!$A:$S,MATCH("Jan 2025 Traffic",'Pass 2'!$1:$1,0),FALSE()),"")</f>
        <v/>
      </c>
      <c r="E214" s="1" t="str">
        <f aca="false">IFERROR(VLOOKUP(A214,'Pass 2'!$A:$S,MATCH("Jun 2026 Traffic",'Pass 2'!$1:$1,0),FALSE()),"")</f>
        <v/>
      </c>
      <c r="F214" s="1" t="str">
        <f aca="false">IFERROR(VLOOKUP(A214,'Pass 2'!$A:$S,MATCH("Traffic % Change",'Pass 2'!$1:$1,0),FALSE()),"")</f>
        <v/>
      </c>
      <c r="G214" s="1" t="str">
        <f aca="false">IFERROR(VLOOKUP(A214,'Pass 2'!$A:$S,MATCH("Jan 2025 Referring Domains",'Pass 2'!$1:$1,0),FALSE()),"")</f>
        <v/>
      </c>
      <c r="H214" s="1" t="str">
        <f aca="false">IFERROR(VLOOKUP(A214,'Pass 2'!$A:$S,MATCH("Jun 2026 Referring Domains",'Pass 2'!$1:$1,0),FALSE()),"")</f>
        <v/>
      </c>
    </row>
    <row r="215" customFormat="false" ht="15" hidden="false" customHeight="true" outlineLevel="0" collapsed="false">
      <c r="B215" s="1" t="str">
        <f aca="false">IFERROR(VLOOKUP(A215,'Pass 2'!$A:$S,MATCH("Category",'Pass 2'!$1:$1,0),FALSE()),"")</f>
        <v/>
      </c>
      <c r="C215" s="1" t="str">
        <f aca="false">IFERROR(VLOOKUP(A215,'Pass 1 Archive'!$A:$AD,MATCH("LinkedIn Employee Count",'Pass 1 Archive'!$1:$1,0),FALSE()),"")</f>
        <v/>
      </c>
      <c r="D215" s="1" t="str">
        <f aca="false">IFERROR(VLOOKUP(A215,'Pass 2'!$A:$S,MATCH("Jan 2025 Traffic",'Pass 2'!$1:$1,0),FALSE()),"")</f>
        <v/>
      </c>
      <c r="E215" s="1" t="str">
        <f aca="false">IFERROR(VLOOKUP(A215,'Pass 2'!$A:$S,MATCH("Jun 2026 Traffic",'Pass 2'!$1:$1,0),FALSE()),"")</f>
        <v/>
      </c>
      <c r="F215" s="1" t="str">
        <f aca="false">IFERROR(VLOOKUP(A215,'Pass 2'!$A:$S,MATCH("Traffic % Change",'Pass 2'!$1:$1,0),FALSE()),"")</f>
        <v/>
      </c>
      <c r="G215" s="1" t="str">
        <f aca="false">IFERROR(VLOOKUP(A215,'Pass 2'!$A:$S,MATCH("Jan 2025 Referring Domains",'Pass 2'!$1:$1,0),FALSE()),"")</f>
        <v/>
      </c>
      <c r="H215" s="1" t="str">
        <f aca="false">IFERROR(VLOOKUP(A215,'Pass 2'!$A:$S,MATCH("Jun 2026 Referring Domains",'Pass 2'!$1:$1,0),FALSE()),"")</f>
        <v/>
      </c>
    </row>
    <row r="216" customFormat="false" ht="15" hidden="false" customHeight="true" outlineLevel="0" collapsed="false">
      <c r="B216" s="1" t="str">
        <f aca="false">IFERROR(VLOOKUP(A216,'Pass 2'!$A:$S,MATCH("Category",'Pass 2'!$1:$1,0),FALSE()),"")</f>
        <v/>
      </c>
      <c r="C216" s="1" t="str">
        <f aca="false">IFERROR(VLOOKUP(A216,'Pass 1 Archive'!$A:$AD,MATCH("LinkedIn Employee Count",'Pass 1 Archive'!$1:$1,0),FALSE()),"")</f>
        <v/>
      </c>
      <c r="D216" s="1" t="str">
        <f aca="false">IFERROR(VLOOKUP(A216,'Pass 2'!$A:$S,MATCH("Jan 2025 Traffic",'Pass 2'!$1:$1,0),FALSE()),"")</f>
        <v/>
      </c>
      <c r="E216" s="1" t="str">
        <f aca="false">IFERROR(VLOOKUP(A216,'Pass 2'!$A:$S,MATCH("Jun 2026 Traffic",'Pass 2'!$1:$1,0),FALSE()),"")</f>
        <v/>
      </c>
      <c r="F216" s="1" t="str">
        <f aca="false">IFERROR(VLOOKUP(A216,'Pass 2'!$A:$S,MATCH("Traffic % Change",'Pass 2'!$1:$1,0),FALSE()),"")</f>
        <v/>
      </c>
      <c r="G216" s="1" t="str">
        <f aca="false">IFERROR(VLOOKUP(A216,'Pass 2'!$A:$S,MATCH("Jan 2025 Referring Domains",'Pass 2'!$1:$1,0),FALSE()),"")</f>
        <v/>
      </c>
      <c r="H216" s="1" t="str">
        <f aca="false">IFERROR(VLOOKUP(A216,'Pass 2'!$A:$S,MATCH("Jun 2026 Referring Domains",'Pass 2'!$1:$1,0),FALSE()),"")</f>
        <v/>
      </c>
    </row>
    <row r="217" customFormat="false" ht="15" hidden="false" customHeight="true" outlineLevel="0" collapsed="false">
      <c r="B217" s="1" t="str">
        <f aca="false">IFERROR(VLOOKUP(A217,'Pass 2'!$A:$S,MATCH("Category",'Pass 2'!$1:$1,0),FALSE()),"")</f>
        <v/>
      </c>
      <c r="C217" s="1" t="str">
        <f aca="false">IFERROR(VLOOKUP(A217,'Pass 1 Archive'!$A:$AD,MATCH("LinkedIn Employee Count",'Pass 1 Archive'!$1:$1,0),FALSE()),"")</f>
        <v/>
      </c>
      <c r="D217" s="1" t="str">
        <f aca="false">IFERROR(VLOOKUP(A217,'Pass 2'!$A:$S,MATCH("Jan 2025 Traffic",'Pass 2'!$1:$1,0),FALSE()),"")</f>
        <v/>
      </c>
      <c r="E217" s="1" t="str">
        <f aca="false">IFERROR(VLOOKUP(A217,'Pass 2'!$A:$S,MATCH("Jun 2026 Traffic",'Pass 2'!$1:$1,0),FALSE()),"")</f>
        <v/>
      </c>
      <c r="F217" s="1" t="str">
        <f aca="false">IFERROR(VLOOKUP(A217,'Pass 2'!$A:$S,MATCH("Traffic % Change",'Pass 2'!$1:$1,0),FALSE()),"")</f>
        <v/>
      </c>
      <c r="G217" s="1" t="str">
        <f aca="false">IFERROR(VLOOKUP(A217,'Pass 2'!$A:$S,MATCH("Jan 2025 Referring Domains",'Pass 2'!$1:$1,0),FALSE()),"")</f>
        <v/>
      </c>
      <c r="H217" s="1" t="str">
        <f aca="false">IFERROR(VLOOKUP(A217,'Pass 2'!$A:$S,MATCH("Jun 2026 Referring Domains",'Pass 2'!$1:$1,0),FALSE()),"")</f>
        <v/>
      </c>
    </row>
    <row r="218" customFormat="false" ht="15" hidden="false" customHeight="true" outlineLevel="0" collapsed="false">
      <c r="B218" s="1" t="str">
        <f aca="false">IFERROR(VLOOKUP(A218,'Pass 2'!$A:$S,MATCH("Category",'Pass 2'!$1:$1,0),FALSE()),"")</f>
        <v/>
      </c>
      <c r="C218" s="1" t="str">
        <f aca="false">IFERROR(VLOOKUP(A218,'Pass 1 Archive'!$A:$AD,MATCH("LinkedIn Employee Count",'Pass 1 Archive'!$1:$1,0),FALSE()),"")</f>
        <v/>
      </c>
      <c r="D218" s="1" t="str">
        <f aca="false">IFERROR(VLOOKUP(A218,'Pass 2'!$A:$S,MATCH("Jan 2025 Traffic",'Pass 2'!$1:$1,0),FALSE()),"")</f>
        <v/>
      </c>
      <c r="E218" s="1" t="str">
        <f aca="false">IFERROR(VLOOKUP(A218,'Pass 2'!$A:$S,MATCH("Jun 2026 Traffic",'Pass 2'!$1:$1,0),FALSE()),"")</f>
        <v/>
      </c>
      <c r="F218" s="1" t="str">
        <f aca="false">IFERROR(VLOOKUP(A218,'Pass 2'!$A:$S,MATCH("Traffic % Change",'Pass 2'!$1:$1,0),FALSE()),"")</f>
        <v/>
      </c>
      <c r="G218" s="1" t="str">
        <f aca="false">IFERROR(VLOOKUP(A218,'Pass 2'!$A:$S,MATCH("Jan 2025 Referring Domains",'Pass 2'!$1:$1,0),FALSE()),"")</f>
        <v/>
      </c>
      <c r="H218" s="1" t="str">
        <f aca="false">IFERROR(VLOOKUP(A218,'Pass 2'!$A:$S,MATCH("Jun 2026 Referring Domains",'Pass 2'!$1:$1,0),FALSE()),"")</f>
        <v/>
      </c>
    </row>
    <row r="219" customFormat="false" ht="15" hidden="false" customHeight="true" outlineLevel="0" collapsed="false">
      <c r="B219" s="1" t="str">
        <f aca="false">IFERROR(VLOOKUP(A219,'Pass 2'!$A:$S,MATCH("Category",'Pass 2'!$1:$1,0),FALSE()),"")</f>
        <v/>
      </c>
      <c r="C219" s="1" t="str">
        <f aca="false">IFERROR(VLOOKUP(A219,'Pass 1 Archive'!$A:$AD,MATCH("LinkedIn Employee Count",'Pass 1 Archive'!$1:$1,0),FALSE()),"")</f>
        <v/>
      </c>
      <c r="D219" s="1" t="str">
        <f aca="false">IFERROR(VLOOKUP(A219,'Pass 2'!$A:$S,MATCH("Jan 2025 Traffic",'Pass 2'!$1:$1,0),FALSE()),"")</f>
        <v/>
      </c>
      <c r="E219" s="1" t="str">
        <f aca="false">IFERROR(VLOOKUP(A219,'Pass 2'!$A:$S,MATCH("Jun 2026 Traffic",'Pass 2'!$1:$1,0),FALSE()),"")</f>
        <v/>
      </c>
      <c r="F219" s="1" t="str">
        <f aca="false">IFERROR(VLOOKUP(A219,'Pass 2'!$A:$S,MATCH("Traffic % Change",'Pass 2'!$1:$1,0),FALSE()),"")</f>
        <v/>
      </c>
      <c r="G219" s="1" t="str">
        <f aca="false">IFERROR(VLOOKUP(A219,'Pass 2'!$A:$S,MATCH("Jan 2025 Referring Domains",'Pass 2'!$1:$1,0),FALSE()),"")</f>
        <v/>
      </c>
      <c r="H219" s="1" t="str">
        <f aca="false">IFERROR(VLOOKUP(A219,'Pass 2'!$A:$S,MATCH("Jun 2026 Referring Domains",'Pass 2'!$1:$1,0),FALSE()),"")</f>
        <v/>
      </c>
    </row>
    <row r="220" customFormat="false" ht="15" hidden="false" customHeight="true" outlineLevel="0" collapsed="false">
      <c r="B220" s="1" t="str">
        <f aca="false">IFERROR(VLOOKUP(A220,'Pass 2'!$A:$S,MATCH("Category",'Pass 2'!$1:$1,0),FALSE()),"")</f>
        <v/>
      </c>
      <c r="C220" s="1" t="str">
        <f aca="false">IFERROR(VLOOKUP(A220,'Pass 1 Archive'!$A:$AD,MATCH("LinkedIn Employee Count",'Pass 1 Archive'!$1:$1,0),FALSE()),"")</f>
        <v/>
      </c>
      <c r="D220" s="1" t="str">
        <f aca="false">IFERROR(VLOOKUP(A220,'Pass 2'!$A:$S,MATCH("Jan 2025 Traffic",'Pass 2'!$1:$1,0),FALSE()),"")</f>
        <v/>
      </c>
      <c r="E220" s="1" t="str">
        <f aca="false">IFERROR(VLOOKUP(A220,'Pass 2'!$A:$S,MATCH("Jun 2026 Traffic",'Pass 2'!$1:$1,0),FALSE()),"")</f>
        <v/>
      </c>
      <c r="F220" s="1" t="str">
        <f aca="false">IFERROR(VLOOKUP(A220,'Pass 2'!$A:$S,MATCH("Traffic % Change",'Pass 2'!$1:$1,0),FALSE()),"")</f>
        <v/>
      </c>
      <c r="G220" s="1" t="str">
        <f aca="false">IFERROR(VLOOKUP(A220,'Pass 2'!$A:$S,MATCH("Jan 2025 Referring Domains",'Pass 2'!$1:$1,0),FALSE()),"")</f>
        <v/>
      </c>
      <c r="H220" s="1" t="str">
        <f aca="false">IFERROR(VLOOKUP(A220,'Pass 2'!$A:$S,MATCH("Jun 2026 Referring Domains",'Pass 2'!$1:$1,0),FALSE()),"")</f>
        <v/>
      </c>
    </row>
    <row r="221" customFormat="false" ht="15" hidden="false" customHeight="true" outlineLevel="0" collapsed="false">
      <c r="B221" s="1" t="str">
        <f aca="false">IFERROR(VLOOKUP(A221,'Pass 2'!$A:$S,MATCH("Category",'Pass 2'!$1:$1,0),FALSE()),"")</f>
        <v/>
      </c>
      <c r="C221" s="1" t="str">
        <f aca="false">IFERROR(VLOOKUP(A221,'Pass 1 Archive'!$A:$AD,MATCH("LinkedIn Employee Count",'Pass 1 Archive'!$1:$1,0),FALSE()),"")</f>
        <v/>
      </c>
      <c r="D221" s="1" t="str">
        <f aca="false">IFERROR(VLOOKUP(A221,'Pass 2'!$A:$S,MATCH("Jan 2025 Traffic",'Pass 2'!$1:$1,0),FALSE()),"")</f>
        <v/>
      </c>
      <c r="E221" s="1" t="str">
        <f aca="false">IFERROR(VLOOKUP(A221,'Pass 2'!$A:$S,MATCH("Jun 2026 Traffic",'Pass 2'!$1:$1,0),FALSE()),"")</f>
        <v/>
      </c>
      <c r="F221" s="1" t="str">
        <f aca="false">IFERROR(VLOOKUP(A221,'Pass 2'!$A:$S,MATCH("Traffic % Change",'Pass 2'!$1:$1,0),FALSE()),"")</f>
        <v/>
      </c>
      <c r="G221" s="1" t="str">
        <f aca="false">IFERROR(VLOOKUP(A221,'Pass 2'!$A:$S,MATCH("Jan 2025 Referring Domains",'Pass 2'!$1:$1,0),FALSE()),"")</f>
        <v/>
      </c>
      <c r="H221" s="1" t="str">
        <f aca="false">IFERROR(VLOOKUP(A221,'Pass 2'!$A:$S,MATCH("Jun 2026 Referring Domains",'Pass 2'!$1:$1,0),FALSE()),"")</f>
        <v/>
      </c>
    </row>
    <row r="222" customFormat="false" ht="15" hidden="false" customHeight="true" outlineLevel="0" collapsed="false">
      <c r="B222" s="1" t="str">
        <f aca="false">IFERROR(VLOOKUP(A222,'Pass 2'!$A:$S,MATCH("Category",'Pass 2'!$1:$1,0),FALSE()),"")</f>
        <v/>
      </c>
      <c r="C222" s="1" t="str">
        <f aca="false">IFERROR(VLOOKUP(A222,'Pass 1 Archive'!$A:$AD,MATCH("LinkedIn Employee Count",'Pass 1 Archive'!$1:$1,0),FALSE()),"")</f>
        <v/>
      </c>
      <c r="D222" s="1" t="str">
        <f aca="false">IFERROR(VLOOKUP(A222,'Pass 2'!$A:$S,MATCH("Jan 2025 Traffic",'Pass 2'!$1:$1,0),FALSE()),"")</f>
        <v/>
      </c>
      <c r="E222" s="1" t="str">
        <f aca="false">IFERROR(VLOOKUP(A222,'Pass 2'!$A:$S,MATCH("Jun 2026 Traffic",'Pass 2'!$1:$1,0),FALSE()),"")</f>
        <v/>
      </c>
      <c r="F222" s="1" t="str">
        <f aca="false">IFERROR(VLOOKUP(A222,'Pass 2'!$A:$S,MATCH("Traffic % Change",'Pass 2'!$1:$1,0),FALSE()),"")</f>
        <v/>
      </c>
      <c r="G222" s="1" t="str">
        <f aca="false">IFERROR(VLOOKUP(A222,'Pass 2'!$A:$S,MATCH("Jan 2025 Referring Domains",'Pass 2'!$1:$1,0),FALSE()),"")</f>
        <v/>
      </c>
      <c r="H222" s="1" t="str">
        <f aca="false">IFERROR(VLOOKUP(A222,'Pass 2'!$A:$S,MATCH("Jun 2026 Referring Domains",'Pass 2'!$1:$1,0),FALSE()),"")</f>
        <v/>
      </c>
    </row>
    <row r="223" customFormat="false" ht="15" hidden="false" customHeight="true" outlineLevel="0" collapsed="false">
      <c r="B223" s="1" t="str">
        <f aca="false">IFERROR(VLOOKUP(A223,'Pass 2'!$A:$S,MATCH("Category",'Pass 2'!$1:$1,0),FALSE()),"")</f>
        <v/>
      </c>
      <c r="C223" s="1" t="str">
        <f aca="false">IFERROR(VLOOKUP(A223,'Pass 1 Archive'!$A:$AD,MATCH("LinkedIn Employee Count",'Pass 1 Archive'!$1:$1,0),FALSE()),"")</f>
        <v/>
      </c>
      <c r="D223" s="1" t="str">
        <f aca="false">IFERROR(VLOOKUP(A223,'Pass 2'!$A:$S,MATCH("Jan 2025 Traffic",'Pass 2'!$1:$1,0),FALSE()),"")</f>
        <v/>
      </c>
      <c r="E223" s="1" t="str">
        <f aca="false">IFERROR(VLOOKUP(A223,'Pass 2'!$A:$S,MATCH("Jun 2026 Traffic",'Pass 2'!$1:$1,0),FALSE()),"")</f>
        <v/>
      </c>
      <c r="F223" s="1" t="str">
        <f aca="false">IFERROR(VLOOKUP(A223,'Pass 2'!$A:$S,MATCH("Traffic % Change",'Pass 2'!$1:$1,0),FALSE()),"")</f>
        <v/>
      </c>
      <c r="G223" s="1" t="str">
        <f aca="false">IFERROR(VLOOKUP(A223,'Pass 2'!$A:$S,MATCH("Jan 2025 Referring Domains",'Pass 2'!$1:$1,0),FALSE()),"")</f>
        <v/>
      </c>
      <c r="H223" s="1" t="str">
        <f aca="false">IFERROR(VLOOKUP(A223,'Pass 2'!$A:$S,MATCH("Jun 2026 Referring Domains",'Pass 2'!$1:$1,0),FALSE()),"")</f>
        <v/>
      </c>
    </row>
    <row r="224" customFormat="false" ht="15" hidden="false" customHeight="true" outlineLevel="0" collapsed="false">
      <c r="B224" s="1" t="str">
        <f aca="false">IFERROR(VLOOKUP(A224,'Pass 2'!$A:$S,MATCH("Category",'Pass 2'!$1:$1,0),FALSE()),"")</f>
        <v/>
      </c>
      <c r="C224" s="1" t="str">
        <f aca="false">IFERROR(VLOOKUP(A224,'Pass 1 Archive'!$A:$AD,MATCH("LinkedIn Employee Count",'Pass 1 Archive'!$1:$1,0),FALSE()),"")</f>
        <v/>
      </c>
      <c r="D224" s="1" t="str">
        <f aca="false">IFERROR(VLOOKUP(A224,'Pass 2'!$A:$S,MATCH("Jan 2025 Traffic",'Pass 2'!$1:$1,0),FALSE()),"")</f>
        <v/>
      </c>
      <c r="E224" s="1" t="str">
        <f aca="false">IFERROR(VLOOKUP(A224,'Pass 2'!$A:$S,MATCH("Jun 2026 Traffic",'Pass 2'!$1:$1,0),FALSE()),"")</f>
        <v/>
      </c>
      <c r="F224" s="1" t="str">
        <f aca="false">IFERROR(VLOOKUP(A224,'Pass 2'!$A:$S,MATCH("Traffic % Change",'Pass 2'!$1:$1,0),FALSE()),"")</f>
        <v/>
      </c>
      <c r="G224" s="1" t="str">
        <f aca="false">IFERROR(VLOOKUP(A224,'Pass 2'!$A:$S,MATCH("Jan 2025 Referring Domains",'Pass 2'!$1:$1,0),FALSE()),"")</f>
        <v/>
      </c>
      <c r="H224" s="1" t="str">
        <f aca="false">IFERROR(VLOOKUP(A224,'Pass 2'!$A:$S,MATCH("Jun 2026 Referring Domains",'Pass 2'!$1:$1,0),FALSE()),"")</f>
        <v/>
      </c>
    </row>
    <row r="225" customFormat="false" ht="15" hidden="false" customHeight="true" outlineLevel="0" collapsed="false">
      <c r="B225" s="1" t="str">
        <f aca="false">IFERROR(VLOOKUP(A225,'Pass 2'!$A:$S,MATCH("Category",'Pass 2'!$1:$1,0),FALSE()),"")</f>
        <v/>
      </c>
      <c r="C225" s="1" t="str">
        <f aca="false">IFERROR(VLOOKUP(A225,'Pass 1 Archive'!$A:$AD,MATCH("LinkedIn Employee Count",'Pass 1 Archive'!$1:$1,0),FALSE()),"")</f>
        <v/>
      </c>
      <c r="D225" s="1" t="str">
        <f aca="false">IFERROR(VLOOKUP(A225,'Pass 2'!$A:$S,MATCH("Jan 2025 Traffic",'Pass 2'!$1:$1,0),FALSE()),"")</f>
        <v/>
      </c>
      <c r="E225" s="1" t="str">
        <f aca="false">IFERROR(VLOOKUP(A225,'Pass 2'!$A:$S,MATCH("Jun 2026 Traffic",'Pass 2'!$1:$1,0),FALSE()),"")</f>
        <v/>
      </c>
      <c r="F225" s="1" t="str">
        <f aca="false">IFERROR(VLOOKUP(A225,'Pass 2'!$A:$S,MATCH("Traffic % Change",'Pass 2'!$1:$1,0),FALSE()),"")</f>
        <v/>
      </c>
      <c r="G225" s="1" t="str">
        <f aca="false">IFERROR(VLOOKUP(A225,'Pass 2'!$A:$S,MATCH("Jan 2025 Referring Domains",'Pass 2'!$1:$1,0),FALSE()),"")</f>
        <v/>
      </c>
      <c r="H225" s="1" t="str">
        <f aca="false">IFERROR(VLOOKUP(A225,'Pass 2'!$A:$S,MATCH("Jun 2026 Referring Domains",'Pass 2'!$1:$1,0),FALSE()),"")</f>
        <v/>
      </c>
    </row>
    <row r="226" customFormat="false" ht="15" hidden="false" customHeight="true" outlineLevel="0" collapsed="false">
      <c r="B226" s="1" t="str">
        <f aca="false">IFERROR(VLOOKUP(A226,'Pass 2'!$A:$S,MATCH("Category",'Pass 2'!$1:$1,0),FALSE()),"")</f>
        <v/>
      </c>
      <c r="C226" s="1" t="str">
        <f aca="false">IFERROR(VLOOKUP(A226,'Pass 1 Archive'!$A:$AD,MATCH("LinkedIn Employee Count",'Pass 1 Archive'!$1:$1,0),FALSE()),"")</f>
        <v/>
      </c>
      <c r="D226" s="1" t="str">
        <f aca="false">IFERROR(VLOOKUP(A226,'Pass 2'!$A:$S,MATCH("Jan 2025 Traffic",'Pass 2'!$1:$1,0),FALSE()),"")</f>
        <v/>
      </c>
      <c r="E226" s="1" t="str">
        <f aca="false">IFERROR(VLOOKUP(A226,'Pass 2'!$A:$S,MATCH("Jun 2026 Traffic",'Pass 2'!$1:$1,0),FALSE()),"")</f>
        <v/>
      </c>
      <c r="F226" s="1" t="str">
        <f aca="false">IFERROR(VLOOKUP(A226,'Pass 2'!$A:$S,MATCH("Traffic % Change",'Pass 2'!$1:$1,0),FALSE()),"")</f>
        <v/>
      </c>
      <c r="G226" s="1" t="str">
        <f aca="false">IFERROR(VLOOKUP(A226,'Pass 2'!$A:$S,MATCH("Jan 2025 Referring Domains",'Pass 2'!$1:$1,0),FALSE()),"")</f>
        <v/>
      </c>
      <c r="H226" s="1" t="str">
        <f aca="false">IFERROR(VLOOKUP(A226,'Pass 2'!$A:$S,MATCH("Jun 2026 Referring Domains",'Pass 2'!$1:$1,0),FALSE()),"")</f>
        <v/>
      </c>
    </row>
    <row r="227" customFormat="false" ht="15" hidden="false" customHeight="true" outlineLevel="0" collapsed="false">
      <c r="B227" s="1" t="str">
        <f aca="false">IFERROR(VLOOKUP(A227,'Pass 2'!$A:$S,MATCH("Category",'Pass 2'!$1:$1,0),FALSE()),"")</f>
        <v/>
      </c>
      <c r="C227" s="1" t="str">
        <f aca="false">IFERROR(VLOOKUP(A227,'Pass 1 Archive'!$A:$AD,MATCH("LinkedIn Employee Count",'Pass 1 Archive'!$1:$1,0),FALSE()),"")</f>
        <v/>
      </c>
      <c r="D227" s="1" t="str">
        <f aca="false">IFERROR(VLOOKUP(A227,'Pass 2'!$A:$S,MATCH("Jan 2025 Traffic",'Pass 2'!$1:$1,0),FALSE()),"")</f>
        <v/>
      </c>
      <c r="E227" s="1" t="str">
        <f aca="false">IFERROR(VLOOKUP(A227,'Pass 2'!$A:$S,MATCH("Jun 2026 Traffic",'Pass 2'!$1:$1,0),FALSE()),"")</f>
        <v/>
      </c>
      <c r="F227" s="1" t="str">
        <f aca="false">IFERROR(VLOOKUP(A227,'Pass 2'!$A:$S,MATCH("Traffic % Change",'Pass 2'!$1:$1,0),FALSE()),"")</f>
        <v/>
      </c>
      <c r="G227" s="1" t="str">
        <f aca="false">IFERROR(VLOOKUP(A227,'Pass 2'!$A:$S,MATCH("Jan 2025 Referring Domains",'Pass 2'!$1:$1,0),FALSE()),"")</f>
        <v/>
      </c>
      <c r="H227" s="1" t="str">
        <f aca="false">IFERROR(VLOOKUP(A227,'Pass 2'!$A:$S,MATCH("Jun 2026 Referring Domains",'Pass 2'!$1:$1,0),FALSE()),"")</f>
        <v/>
      </c>
    </row>
    <row r="228" customFormat="false" ht="15" hidden="false" customHeight="true" outlineLevel="0" collapsed="false">
      <c r="B228" s="1" t="str">
        <f aca="false">IFERROR(VLOOKUP(A228,'Pass 2'!$A:$S,MATCH("Category",'Pass 2'!$1:$1,0),FALSE()),"")</f>
        <v/>
      </c>
      <c r="C228" s="1" t="str">
        <f aca="false">IFERROR(VLOOKUP(A228,'Pass 1 Archive'!$A:$AD,MATCH("LinkedIn Employee Count",'Pass 1 Archive'!$1:$1,0),FALSE()),"")</f>
        <v/>
      </c>
      <c r="D228" s="1" t="str">
        <f aca="false">IFERROR(VLOOKUP(A228,'Pass 2'!$A:$S,MATCH("Jan 2025 Traffic",'Pass 2'!$1:$1,0),FALSE()),"")</f>
        <v/>
      </c>
      <c r="E228" s="1" t="str">
        <f aca="false">IFERROR(VLOOKUP(A228,'Pass 2'!$A:$S,MATCH("Jun 2026 Traffic",'Pass 2'!$1:$1,0),FALSE()),"")</f>
        <v/>
      </c>
      <c r="F228" s="1" t="str">
        <f aca="false">IFERROR(VLOOKUP(A228,'Pass 2'!$A:$S,MATCH("Traffic % Change",'Pass 2'!$1:$1,0),FALSE()),"")</f>
        <v/>
      </c>
      <c r="G228" s="1" t="str">
        <f aca="false">IFERROR(VLOOKUP(A228,'Pass 2'!$A:$S,MATCH("Jan 2025 Referring Domains",'Pass 2'!$1:$1,0),FALSE()),"")</f>
        <v/>
      </c>
      <c r="H228" s="1" t="str">
        <f aca="false">IFERROR(VLOOKUP(A228,'Pass 2'!$A:$S,MATCH("Jun 2026 Referring Domains",'Pass 2'!$1:$1,0),FALSE()),"")</f>
        <v/>
      </c>
    </row>
    <row r="229" customFormat="false" ht="15" hidden="false" customHeight="true" outlineLevel="0" collapsed="false">
      <c r="B229" s="1" t="str">
        <f aca="false">IFERROR(VLOOKUP(A229,'Pass 2'!$A:$S,MATCH("Category",'Pass 2'!$1:$1,0),FALSE()),"")</f>
        <v/>
      </c>
      <c r="C229" s="1" t="str">
        <f aca="false">IFERROR(VLOOKUP(A229,'Pass 1 Archive'!$A:$AD,MATCH("LinkedIn Employee Count",'Pass 1 Archive'!$1:$1,0),FALSE()),"")</f>
        <v/>
      </c>
      <c r="D229" s="1" t="str">
        <f aca="false">IFERROR(VLOOKUP(A229,'Pass 2'!$A:$S,MATCH("Jan 2025 Traffic",'Pass 2'!$1:$1,0),FALSE()),"")</f>
        <v/>
      </c>
      <c r="E229" s="1" t="str">
        <f aca="false">IFERROR(VLOOKUP(A229,'Pass 2'!$A:$S,MATCH("Jun 2026 Traffic",'Pass 2'!$1:$1,0),FALSE()),"")</f>
        <v/>
      </c>
      <c r="F229" s="1" t="str">
        <f aca="false">IFERROR(VLOOKUP(A229,'Pass 2'!$A:$S,MATCH("Traffic % Change",'Pass 2'!$1:$1,0),FALSE()),"")</f>
        <v/>
      </c>
      <c r="G229" s="1" t="str">
        <f aca="false">IFERROR(VLOOKUP(A229,'Pass 2'!$A:$S,MATCH("Jan 2025 Referring Domains",'Pass 2'!$1:$1,0),FALSE()),"")</f>
        <v/>
      </c>
      <c r="H229" s="1" t="str">
        <f aca="false">IFERROR(VLOOKUP(A229,'Pass 2'!$A:$S,MATCH("Jun 2026 Referring Domains",'Pass 2'!$1:$1,0),FALSE()),"")</f>
        <v/>
      </c>
    </row>
    <row r="230" customFormat="false" ht="15" hidden="false" customHeight="true" outlineLevel="0" collapsed="false">
      <c r="B230" s="1" t="str">
        <f aca="false">IFERROR(VLOOKUP(A230,'Pass 2'!$A:$S,MATCH("Category",'Pass 2'!$1:$1,0),FALSE()),"")</f>
        <v/>
      </c>
      <c r="C230" s="1" t="str">
        <f aca="false">IFERROR(VLOOKUP(A230,'Pass 1 Archive'!$A:$AD,MATCH("LinkedIn Employee Count",'Pass 1 Archive'!$1:$1,0),FALSE()),"")</f>
        <v/>
      </c>
      <c r="D230" s="1" t="str">
        <f aca="false">IFERROR(VLOOKUP(A230,'Pass 2'!$A:$S,MATCH("Jan 2025 Traffic",'Pass 2'!$1:$1,0),FALSE()),"")</f>
        <v/>
      </c>
      <c r="E230" s="1" t="str">
        <f aca="false">IFERROR(VLOOKUP(A230,'Pass 2'!$A:$S,MATCH("Jun 2026 Traffic",'Pass 2'!$1:$1,0),FALSE()),"")</f>
        <v/>
      </c>
      <c r="F230" s="1" t="str">
        <f aca="false">IFERROR(VLOOKUP(A230,'Pass 2'!$A:$S,MATCH("Traffic % Change",'Pass 2'!$1:$1,0),FALSE()),"")</f>
        <v/>
      </c>
      <c r="G230" s="1" t="str">
        <f aca="false">IFERROR(VLOOKUP(A230,'Pass 2'!$A:$S,MATCH("Jan 2025 Referring Domains",'Pass 2'!$1:$1,0),FALSE()),"")</f>
        <v/>
      </c>
      <c r="H230" s="1" t="str">
        <f aca="false">IFERROR(VLOOKUP(A230,'Pass 2'!$A:$S,MATCH("Jun 2026 Referring Domains",'Pass 2'!$1:$1,0),FALSE()),"")</f>
        <v/>
      </c>
    </row>
    <row r="231" customFormat="false" ht="15" hidden="false" customHeight="true" outlineLevel="0" collapsed="false">
      <c r="B231" s="1" t="str">
        <f aca="false">IFERROR(VLOOKUP(A231,'Pass 2'!$A:$S,MATCH("Category",'Pass 2'!$1:$1,0),FALSE()),"")</f>
        <v/>
      </c>
      <c r="C231" s="1" t="str">
        <f aca="false">IFERROR(VLOOKUP(A231,'Pass 1 Archive'!$A:$AD,MATCH("LinkedIn Employee Count",'Pass 1 Archive'!$1:$1,0),FALSE()),"")</f>
        <v/>
      </c>
      <c r="D231" s="1" t="str">
        <f aca="false">IFERROR(VLOOKUP(A231,'Pass 2'!$A:$S,MATCH("Jan 2025 Traffic",'Pass 2'!$1:$1,0),FALSE()),"")</f>
        <v/>
      </c>
      <c r="E231" s="1" t="str">
        <f aca="false">IFERROR(VLOOKUP(A231,'Pass 2'!$A:$S,MATCH("Jun 2026 Traffic",'Pass 2'!$1:$1,0),FALSE()),"")</f>
        <v/>
      </c>
      <c r="F231" s="1" t="str">
        <f aca="false">IFERROR(VLOOKUP(A231,'Pass 2'!$A:$S,MATCH("Traffic % Change",'Pass 2'!$1:$1,0),FALSE()),"")</f>
        <v/>
      </c>
      <c r="G231" s="1" t="str">
        <f aca="false">IFERROR(VLOOKUP(A231,'Pass 2'!$A:$S,MATCH("Jan 2025 Referring Domains",'Pass 2'!$1:$1,0),FALSE()),"")</f>
        <v/>
      </c>
      <c r="H231" s="1" t="str">
        <f aca="false">IFERROR(VLOOKUP(A231,'Pass 2'!$A:$S,MATCH("Jun 2026 Referring Domains",'Pass 2'!$1:$1,0),FALSE()),"")</f>
        <v/>
      </c>
    </row>
    <row r="232" customFormat="false" ht="15" hidden="false" customHeight="true" outlineLevel="0" collapsed="false">
      <c r="B232" s="1" t="str">
        <f aca="false">IFERROR(VLOOKUP(A232,'Pass 2'!$A:$S,MATCH("Category",'Pass 2'!$1:$1,0),FALSE()),"")</f>
        <v/>
      </c>
      <c r="C232" s="1" t="str">
        <f aca="false">IFERROR(VLOOKUP(A232,'Pass 1 Archive'!$A:$AD,MATCH("LinkedIn Employee Count",'Pass 1 Archive'!$1:$1,0),FALSE()),"")</f>
        <v/>
      </c>
      <c r="D232" s="1" t="str">
        <f aca="false">IFERROR(VLOOKUP(A232,'Pass 2'!$A:$S,MATCH("Jan 2025 Traffic",'Pass 2'!$1:$1,0),FALSE()),"")</f>
        <v/>
      </c>
      <c r="E232" s="1" t="str">
        <f aca="false">IFERROR(VLOOKUP(A232,'Pass 2'!$A:$S,MATCH("Jun 2026 Traffic",'Pass 2'!$1:$1,0),FALSE()),"")</f>
        <v/>
      </c>
      <c r="F232" s="1" t="str">
        <f aca="false">IFERROR(VLOOKUP(A232,'Pass 2'!$A:$S,MATCH("Traffic % Change",'Pass 2'!$1:$1,0),FALSE()),"")</f>
        <v/>
      </c>
      <c r="G232" s="1" t="str">
        <f aca="false">IFERROR(VLOOKUP(A232,'Pass 2'!$A:$S,MATCH("Jan 2025 Referring Domains",'Pass 2'!$1:$1,0),FALSE()),"")</f>
        <v/>
      </c>
      <c r="H232" s="1" t="str">
        <f aca="false">IFERROR(VLOOKUP(A232,'Pass 2'!$A:$S,MATCH("Jun 2026 Referring Domains",'Pass 2'!$1:$1,0),FALSE()),"")</f>
        <v/>
      </c>
    </row>
    <row r="233" customFormat="false" ht="15" hidden="false" customHeight="true" outlineLevel="0" collapsed="false">
      <c r="B233" s="1" t="str">
        <f aca="false">IFERROR(VLOOKUP(A233,'Pass 2'!$A:$S,MATCH("Category",'Pass 2'!$1:$1,0),FALSE()),"")</f>
        <v/>
      </c>
      <c r="C233" s="1" t="str">
        <f aca="false">IFERROR(VLOOKUP(A233,'Pass 1 Archive'!$A:$AD,MATCH("LinkedIn Employee Count",'Pass 1 Archive'!$1:$1,0),FALSE()),"")</f>
        <v/>
      </c>
      <c r="D233" s="1" t="str">
        <f aca="false">IFERROR(VLOOKUP(A233,'Pass 2'!$A:$S,MATCH("Jan 2025 Traffic",'Pass 2'!$1:$1,0),FALSE()),"")</f>
        <v/>
      </c>
      <c r="E233" s="1" t="str">
        <f aca="false">IFERROR(VLOOKUP(A233,'Pass 2'!$A:$S,MATCH("Jun 2026 Traffic",'Pass 2'!$1:$1,0),FALSE()),"")</f>
        <v/>
      </c>
      <c r="F233" s="1" t="str">
        <f aca="false">IFERROR(VLOOKUP(A233,'Pass 2'!$A:$S,MATCH("Traffic % Change",'Pass 2'!$1:$1,0),FALSE()),"")</f>
        <v/>
      </c>
      <c r="G233" s="1" t="str">
        <f aca="false">IFERROR(VLOOKUP(A233,'Pass 2'!$A:$S,MATCH("Jan 2025 Referring Domains",'Pass 2'!$1:$1,0),FALSE()),"")</f>
        <v/>
      </c>
      <c r="H233" s="1" t="str">
        <f aca="false">IFERROR(VLOOKUP(A233,'Pass 2'!$A:$S,MATCH("Jun 2026 Referring Domains",'Pass 2'!$1:$1,0),FALSE()),"")</f>
        <v/>
      </c>
    </row>
    <row r="234" customFormat="false" ht="15" hidden="false" customHeight="true" outlineLevel="0" collapsed="false">
      <c r="B234" s="1" t="str">
        <f aca="false">IFERROR(VLOOKUP(A234,'Pass 2'!$A:$S,MATCH("Category",'Pass 2'!$1:$1,0),FALSE()),"")</f>
        <v/>
      </c>
      <c r="C234" s="1" t="str">
        <f aca="false">IFERROR(VLOOKUP(A234,'Pass 1 Archive'!$A:$AD,MATCH("LinkedIn Employee Count",'Pass 1 Archive'!$1:$1,0),FALSE()),"")</f>
        <v/>
      </c>
      <c r="D234" s="1" t="str">
        <f aca="false">IFERROR(VLOOKUP(A234,'Pass 2'!$A:$S,MATCH("Jan 2025 Traffic",'Pass 2'!$1:$1,0),FALSE()),"")</f>
        <v/>
      </c>
      <c r="E234" s="1" t="str">
        <f aca="false">IFERROR(VLOOKUP(A234,'Pass 2'!$A:$S,MATCH("Jun 2026 Traffic",'Pass 2'!$1:$1,0),FALSE()),"")</f>
        <v/>
      </c>
      <c r="F234" s="1" t="str">
        <f aca="false">IFERROR(VLOOKUP(A234,'Pass 2'!$A:$S,MATCH("Traffic % Change",'Pass 2'!$1:$1,0),FALSE()),"")</f>
        <v/>
      </c>
      <c r="G234" s="1" t="str">
        <f aca="false">IFERROR(VLOOKUP(A234,'Pass 2'!$A:$S,MATCH("Jan 2025 Referring Domains",'Pass 2'!$1:$1,0),FALSE()),"")</f>
        <v/>
      </c>
      <c r="H234" s="1" t="str">
        <f aca="false">IFERROR(VLOOKUP(A234,'Pass 2'!$A:$S,MATCH("Jun 2026 Referring Domains",'Pass 2'!$1:$1,0),FALSE()),"")</f>
        <v/>
      </c>
    </row>
    <row r="235" customFormat="false" ht="15" hidden="false" customHeight="true" outlineLevel="0" collapsed="false">
      <c r="B235" s="1" t="str">
        <f aca="false">IFERROR(VLOOKUP(A235,'Pass 2'!$A:$S,MATCH("Category",'Pass 2'!$1:$1,0),FALSE()),"")</f>
        <v/>
      </c>
      <c r="C235" s="1" t="str">
        <f aca="false">IFERROR(VLOOKUP(A235,'Pass 1 Archive'!$A:$AD,MATCH("LinkedIn Employee Count",'Pass 1 Archive'!$1:$1,0),FALSE()),"")</f>
        <v/>
      </c>
      <c r="D235" s="1" t="str">
        <f aca="false">IFERROR(VLOOKUP(A235,'Pass 2'!$A:$S,MATCH("Jan 2025 Traffic",'Pass 2'!$1:$1,0),FALSE()),"")</f>
        <v/>
      </c>
      <c r="E235" s="1" t="str">
        <f aca="false">IFERROR(VLOOKUP(A235,'Pass 2'!$A:$S,MATCH("Jun 2026 Traffic",'Pass 2'!$1:$1,0),FALSE()),"")</f>
        <v/>
      </c>
      <c r="F235" s="1" t="str">
        <f aca="false">IFERROR(VLOOKUP(A235,'Pass 2'!$A:$S,MATCH("Traffic % Change",'Pass 2'!$1:$1,0),FALSE()),"")</f>
        <v/>
      </c>
      <c r="G235" s="1" t="str">
        <f aca="false">IFERROR(VLOOKUP(A235,'Pass 2'!$A:$S,MATCH("Jan 2025 Referring Domains",'Pass 2'!$1:$1,0),FALSE()),"")</f>
        <v/>
      </c>
      <c r="H235" s="1" t="str">
        <f aca="false">IFERROR(VLOOKUP(A235,'Pass 2'!$A:$S,MATCH("Jun 2026 Referring Domains",'Pass 2'!$1:$1,0),FALSE()),"")</f>
        <v/>
      </c>
    </row>
    <row r="236" customFormat="false" ht="15" hidden="false" customHeight="true" outlineLevel="0" collapsed="false">
      <c r="B236" s="1" t="str">
        <f aca="false">IFERROR(VLOOKUP(A236,'Pass 2'!$A:$S,MATCH("Category",'Pass 2'!$1:$1,0),FALSE()),"")</f>
        <v/>
      </c>
      <c r="C236" s="1" t="str">
        <f aca="false">IFERROR(VLOOKUP(A236,'Pass 1 Archive'!$A:$AD,MATCH("LinkedIn Employee Count",'Pass 1 Archive'!$1:$1,0),FALSE()),"")</f>
        <v/>
      </c>
      <c r="D236" s="1" t="str">
        <f aca="false">IFERROR(VLOOKUP(A236,'Pass 2'!$A:$S,MATCH("Jan 2025 Traffic",'Pass 2'!$1:$1,0),FALSE()),"")</f>
        <v/>
      </c>
      <c r="E236" s="1" t="str">
        <f aca="false">IFERROR(VLOOKUP(A236,'Pass 2'!$A:$S,MATCH("Jun 2026 Traffic",'Pass 2'!$1:$1,0),FALSE()),"")</f>
        <v/>
      </c>
      <c r="F236" s="1" t="str">
        <f aca="false">IFERROR(VLOOKUP(A236,'Pass 2'!$A:$S,MATCH("Traffic % Change",'Pass 2'!$1:$1,0),FALSE()),"")</f>
        <v/>
      </c>
      <c r="G236" s="1" t="str">
        <f aca="false">IFERROR(VLOOKUP(A236,'Pass 2'!$A:$S,MATCH("Jan 2025 Referring Domains",'Pass 2'!$1:$1,0),FALSE()),"")</f>
        <v/>
      </c>
      <c r="H236" s="1" t="str">
        <f aca="false">IFERROR(VLOOKUP(A236,'Pass 2'!$A:$S,MATCH("Jun 2026 Referring Domains",'Pass 2'!$1:$1,0),FALSE()),"")</f>
        <v/>
      </c>
    </row>
    <row r="237" customFormat="false" ht="15" hidden="false" customHeight="true" outlineLevel="0" collapsed="false">
      <c r="B237" s="1" t="str">
        <f aca="false">IFERROR(VLOOKUP(A237,'Pass 2'!$A:$S,MATCH("Category",'Pass 2'!$1:$1,0),FALSE()),"")</f>
        <v/>
      </c>
      <c r="C237" s="1" t="str">
        <f aca="false">IFERROR(VLOOKUP(A237,'Pass 1 Archive'!$A:$AD,MATCH("LinkedIn Employee Count",'Pass 1 Archive'!$1:$1,0),FALSE()),"")</f>
        <v/>
      </c>
      <c r="D237" s="1" t="str">
        <f aca="false">IFERROR(VLOOKUP(A237,'Pass 2'!$A:$S,MATCH("Jan 2025 Traffic",'Pass 2'!$1:$1,0),FALSE()),"")</f>
        <v/>
      </c>
      <c r="E237" s="1" t="str">
        <f aca="false">IFERROR(VLOOKUP(A237,'Pass 2'!$A:$S,MATCH("Jun 2026 Traffic",'Pass 2'!$1:$1,0),FALSE()),"")</f>
        <v/>
      </c>
      <c r="F237" s="1" t="str">
        <f aca="false">IFERROR(VLOOKUP(A237,'Pass 2'!$A:$S,MATCH("Traffic % Change",'Pass 2'!$1:$1,0),FALSE()),"")</f>
        <v/>
      </c>
      <c r="G237" s="1" t="str">
        <f aca="false">IFERROR(VLOOKUP(A237,'Pass 2'!$A:$S,MATCH("Jan 2025 Referring Domains",'Pass 2'!$1:$1,0),FALSE()),"")</f>
        <v/>
      </c>
      <c r="H237" s="1" t="str">
        <f aca="false">IFERROR(VLOOKUP(A237,'Pass 2'!$A:$S,MATCH("Jun 2026 Referring Domains",'Pass 2'!$1:$1,0),FALSE()),"")</f>
        <v/>
      </c>
    </row>
    <row r="238" customFormat="false" ht="15" hidden="false" customHeight="true" outlineLevel="0" collapsed="false">
      <c r="B238" s="1" t="str">
        <f aca="false">IFERROR(VLOOKUP(A238,'Pass 2'!$A:$S,MATCH("Category",'Pass 2'!$1:$1,0),FALSE()),"")</f>
        <v/>
      </c>
      <c r="C238" s="1" t="str">
        <f aca="false">IFERROR(VLOOKUP(A238,'Pass 1 Archive'!$A:$AD,MATCH("LinkedIn Employee Count",'Pass 1 Archive'!$1:$1,0),FALSE()),"")</f>
        <v/>
      </c>
      <c r="D238" s="1" t="str">
        <f aca="false">IFERROR(VLOOKUP(A238,'Pass 2'!$A:$S,MATCH("Jan 2025 Traffic",'Pass 2'!$1:$1,0),FALSE()),"")</f>
        <v/>
      </c>
      <c r="E238" s="1" t="str">
        <f aca="false">IFERROR(VLOOKUP(A238,'Pass 2'!$A:$S,MATCH("Jun 2026 Traffic",'Pass 2'!$1:$1,0),FALSE()),"")</f>
        <v/>
      </c>
      <c r="F238" s="1" t="str">
        <f aca="false">IFERROR(VLOOKUP(A238,'Pass 2'!$A:$S,MATCH("Traffic % Change",'Pass 2'!$1:$1,0),FALSE()),"")</f>
        <v/>
      </c>
      <c r="G238" s="1" t="str">
        <f aca="false">IFERROR(VLOOKUP(A238,'Pass 2'!$A:$S,MATCH("Jan 2025 Referring Domains",'Pass 2'!$1:$1,0),FALSE()),"")</f>
        <v/>
      </c>
      <c r="H238" s="1" t="str">
        <f aca="false">IFERROR(VLOOKUP(A238,'Pass 2'!$A:$S,MATCH("Jun 2026 Referring Domains",'Pass 2'!$1:$1,0),FALSE()),"")</f>
        <v/>
      </c>
    </row>
    <row r="239" customFormat="false" ht="15" hidden="false" customHeight="true" outlineLevel="0" collapsed="false">
      <c r="B239" s="1" t="str">
        <f aca="false">IFERROR(VLOOKUP(A239,'Pass 2'!$A:$S,MATCH("Category",'Pass 2'!$1:$1,0),FALSE()),"")</f>
        <v/>
      </c>
      <c r="C239" s="1" t="str">
        <f aca="false">IFERROR(VLOOKUP(A239,'Pass 1 Archive'!$A:$AD,MATCH("LinkedIn Employee Count",'Pass 1 Archive'!$1:$1,0),FALSE()),"")</f>
        <v/>
      </c>
      <c r="D239" s="1" t="str">
        <f aca="false">IFERROR(VLOOKUP(A239,'Pass 2'!$A:$S,MATCH("Jan 2025 Traffic",'Pass 2'!$1:$1,0),FALSE()),"")</f>
        <v/>
      </c>
      <c r="E239" s="1" t="str">
        <f aca="false">IFERROR(VLOOKUP(A239,'Pass 2'!$A:$S,MATCH("Jun 2026 Traffic",'Pass 2'!$1:$1,0),FALSE()),"")</f>
        <v/>
      </c>
      <c r="F239" s="1" t="str">
        <f aca="false">IFERROR(VLOOKUP(A239,'Pass 2'!$A:$S,MATCH("Traffic % Change",'Pass 2'!$1:$1,0),FALSE()),"")</f>
        <v/>
      </c>
      <c r="G239" s="1" t="str">
        <f aca="false">IFERROR(VLOOKUP(A239,'Pass 2'!$A:$S,MATCH("Jan 2025 Referring Domains",'Pass 2'!$1:$1,0),FALSE()),"")</f>
        <v/>
      </c>
      <c r="H239" s="1" t="str">
        <f aca="false">IFERROR(VLOOKUP(A239,'Pass 2'!$A:$S,MATCH("Jun 2026 Referring Domains",'Pass 2'!$1:$1,0),FALSE()),"")</f>
        <v/>
      </c>
    </row>
    <row r="240" customFormat="false" ht="15" hidden="false" customHeight="true" outlineLevel="0" collapsed="false">
      <c r="B240" s="1" t="str">
        <f aca="false">IFERROR(VLOOKUP(A240,'Pass 2'!$A:$S,MATCH("Category",'Pass 2'!$1:$1,0),FALSE()),"")</f>
        <v/>
      </c>
      <c r="C240" s="1" t="str">
        <f aca="false">IFERROR(VLOOKUP(A240,'Pass 1 Archive'!$A:$AD,MATCH("LinkedIn Employee Count",'Pass 1 Archive'!$1:$1,0),FALSE()),"")</f>
        <v/>
      </c>
      <c r="D240" s="1" t="str">
        <f aca="false">IFERROR(VLOOKUP(A240,'Pass 2'!$A:$S,MATCH("Jan 2025 Traffic",'Pass 2'!$1:$1,0),FALSE()),"")</f>
        <v/>
      </c>
      <c r="E240" s="1" t="str">
        <f aca="false">IFERROR(VLOOKUP(A240,'Pass 2'!$A:$S,MATCH("Jun 2026 Traffic",'Pass 2'!$1:$1,0),FALSE()),"")</f>
        <v/>
      </c>
      <c r="F240" s="1" t="str">
        <f aca="false">IFERROR(VLOOKUP(A240,'Pass 2'!$A:$S,MATCH("Traffic % Change",'Pass 2'!$1:$1,0),FALSE()),"")</f>
        <v/>
      </c>
      <c r="G240" s="1" t="str">
        <f aca="false">IFERROR(VLOOKUP(A240,'Pass 2'!$A:$S,MATCH("Jan 2025 Referring Domains",'Pass 2'!$1:$1,0),FALSE()),"")</f>
        <v/>
      </c>
      <c r="H240" s="1" t="str">
        <f aca="false">IFERROR(VLOOKUP(A240,'Pass 2'!$A:$S,MATCH("Jun 2026 Referring Domains",'Pass 2'!$1:$1,0),FALSE()),"")</f>
        <v/>
      </c>
    </row>
    <row r="241" customFormat="false" ht="15" hidden="false" customHeight="true" outlineLevel="0" collapsed="false">
      <c r="B241" s="1" t="str">
        <f aca="false">IFERROR(VLOOKUP(A241,'Pass 2'!$A:$S,MATCH("Category",'Pass 2'!$1:$1,0),FALSE()),"")</f>
        <v/>
      </c>
      <c r="C241" s="1" t="str">
        <f aca="false">IFERROR(VLOOKUP(A241,'Pass 1 Archive'!$A:$AD,MATCH("LinkedIn Employee Count",'Pass 1 Archive'!$1:$1,0),FALSE()),"")</f>
        <v/>
      </c>
      <c r="D241" s="1" t="str">
        <f aca="false">IFERROR(VLOOKUP(A241,'Pass 2'!$A:$S,MATCH("Jan 2025 Traffic",'Pass 2'!$1:$1,0),FALSE()),"")</f>
        <v/>
      </c>
      <c r="E241" s="1" t="str">
        <f aca="false">IFERROR(VLOOKUP(A241,'Pass 2'!$A:$S,MATCH("Jun 2026 Traffic",'Pass 2'!$1:$1,0),FALSE()),"")</f>
        <v/>
      </c>
      <c r="F241" s="1" t="str">
        <f aca="false">IFERROR(VLOOKUP(A241,'Pass 2'!$A:$S,MATCH("Traffic % Change",'Pass 2'!$1:$1,0),FALSE()),"")</f>
        <v/>
      </c>
      <c r="G241" s="1" t="str">
        <f aca="false">IFERROR(VLOOKUP(A241,'Pass 2'!$A:$S,MATCH("Jan 2025 Referring Domains",'Pass 2'!$1:$1,0),FALSE()),"")</f>
        <v/>
      </c>
      <c r="H241" s="1" t="str">
        <f aca="false">IFERROR(VLOOKUP(A241,'Pass 2'!$A:$S,MATCH("Jun 2026 Referring Domains",'Pass 2'!$1:$1,0),FALSE()),"")</f>
        <v/>
      </c>
    </row>
    <row r="242" customFormat="false" ht="15" hidden="false" customHeight="true" outlineLevel="0" collapsed="false">
      <c r="B242" s="1" t="str">
        <f aca="false">IFERROR(VLOOKUP(A242,'Pass 2'!$A:$S,MATCH("Category",'Pass 2'!$1:$1,0),FALSE()),"")</f>
        <v/>
      </c>
      <c r="C242" s="1" t="str">
        <f aca="false">IFERROR(VLOOKUP(A242,'Pass 1 Archive'!$A:$AD,MATCH("LinkedIn Employee Count",'Pass 1 Archive'!$1:$1,0),FALSE()),"")</f>
        <v/>
      </c>
      <c r="D242" s="1" t="str">
        <f aca="false">IFERROR(VLOOKUP(A242,'Pass 2'!$A:$S,MATCH("Jan 2025 Traffic",'Pass 2'!$1:$1,0),FALSE()),"")</f>
        <v/>
      </c>
      <c r="E242" s="1" t="str">
        <f aca="false">IFERROR(VLOOKUP(A242,'Pass 2'!$A:$S,MATCH("Jun 2026 Traffic",'Pass 2'!$1:$1,0),FALSE()),"")</f>
        <v/>
      </c>
      <c r="F242" s="1" t="str">
        <f aca="false">IFERROR(VLOOKUP(A242,'Pass 2'!$A:$S,MATCH("Traffic % Change",'Pass 2'!$1:$1,0),FALSE()),"")</f>
        <v/>
      </c>
      <c r="G242" s="1" t="str">
        <f aca="false">IFERROR(VLOOKUP(A242,'Pass 2'!$A:$S,MATCH("Jan 2025 Referring Domains",'Pass 2'!$1:$1,0),FALSE()),"")</f>
        <v/>
      </c>
      <c r="H242" s="1" t="str">
        <f aca="false">IFERROR(VLOOKUP(A242,'Pass 2'!$A:$S,MATCH("Jun 2026 Referring Domains",'Pass 2'!$1:$1,0),FALSE()),"")</f>
        <v/>
      </c>
    </row>
    <row r="243" customFormat="false" ht="15" hidden="false" customHeight="true" outlineLevel="0" collapsed="false">
      <c r="B243" s="1" t="str">
        <f aca="false">IFERROR(VLOOKUP(A243,'Pass 2'!$A:$S,MATCH("Category",'Pass 2'!$1:$1,0),FALSE()),"")</f>
        <v/>
      </c>
      <c r="C243" s="1" t="str">
        <f aca="false">IFERROR(VLOOKUP(A243,'Pass 1 Archive'!$A:$AD,MATCH("LinkedIn Employee Count",'Pass 1 Archive'!$1:$1,0),FALSE()),"")</f>
        <v/>
      </c>
      <c r="D243" s="1" t="str">
        <f aca="false">IFERROR(VLOOKUP(A243,'Pass 2'!$A:$S,MATCH("Jan 2025 Traffic",'Pass 2'!$1:$1,0),FALSE()),"")</f>
        <v/>
      </c>
      <c r="E243" s="1" t="str">
        <f aca="false">IFERROR(VLOOKUP(A243,'Pass 2'!$A:$S,MATCH("Jun 2026 Traffic",'Pass 2'!$1:$1,0),FALSE()),"")</f>
        <v/>
      </c>
      <c r="F243" s="1" t="str">
        <f aca="false">IFERROR(VLOOKUP(A243,'Pass 2'!$A:$S,MATCH("Traffic % Change",'Pass 2'!$1:$1,0),FALSE()),"")</f>
        <v/>
      </c>
      <c r="G243" s="1" t="str">
        <f aca="false">IFERROR(VLOOKUP(A243,'Pass 2'!$A:$S,MATCH("Jan 2025 Referring Domains",'Pass 2'!$1:$1,0),FALSE()),"")</f>
        <v/>
      </c>
      <c r="H243" s="1" t="str">
        <f aca="false">IFERROR(VLOOKUP(A243,'Pass 2'!$A:$S,MATCH("Jun 2026 Referring Domains",'Pass 2'!$1:$1,0),FALSE()),"")</f>
        <v/>
      </c>
    </row>
    <row r="244" customFormat="false" ht="15" hidden="false" customHeight="true" outlineLevel="0" collapsed="false">
      <c r="B244" s="1" t="str">
        <f aca="false">IFERROR(VLOOKUP(A244,'Pass 2'!$A:$S,MATCH("Category",'Pass 2'!$1:$1,0),FALSE()),"")</f>
        <v/>
      </c>
      <c r="C244" s="1" t="str">
        <f aca="false">IFERROR(VLOOKUP(A244,'Pass 1 Archive'!$A:$AD,MATCH("LinkedIn Employee Count",'Pass 1 Archive'!$1:$1,0),FALSE()),"")</f>
        <v/>
      </c>
      <c r="D244" s="1" t="str">
        <f aca="false">IFERROR(VLOOKUP(A244,'Pass 2'!$A:$S,MATCH("Jan 2025 Traffic",'Pass 2'!$1:$1,0),FALSE()),"")</f>
        <v/>
      </c>
      <c r="E244" s="1" t="str">
        <f aca="false">IFERROR(VLOOKUP(A244,'Pass 2'!$A:$S,MATCH("Jun 2026 Traffic",'Pass 2'!$1:$1,0),FALSE()),"")</f>
        <v/>
      </c>
      <c r="F244" s="1" t="str">
        <f aca="false">IFERROR(VLOOKUP(A244,'Pass 2'!$A:$S,MATCH("Traffic % Change",'Pass 2'!$1:$1,0),FALSE()),"")</f>
        <v/>
      </c>
      <c r="G244" s="1" t="str">
        <f aca="false">IFERROR(VLOOKUP(A244,'Pass 2'!$A:$S,MATCH("Jan 2025 Referring Domains",'Pass 2'!$1:$1,0),FALSE()),"")</f>
        <v/>
      </c>
      <c r="H244" s="1" t="str">
        <f aca="false">IFERROR(VLOOKUP(A244,'Pass 2'!$A:$S,MATCH("Jun 2026 Referring Domains",'Pass 2'!$1:$1,0),FALSE()),"")</f>
        <v/>
      </c>
    </row>
    <row r="245" customFormat="false" ht="15" hidden="false" customHeight="true" outlineLevel="0" collapsed="false">
      <c r="B245" s="1" t="str">
        <f aca="false">IFERROR(VLOOKUP(A245,'Pass 2'!$A:$S,MATCH("Category",'Pass 2'!$1:$1,0),FALSE()),"")</f>
        <v/>
      </c>
      <c r="C245" s="1" t="str">
        <f aca="false">IFERROR(VLOOKUP(A245,'Pass 1 Archive'!$A:$AD,MATCH("LinkedIn Employee Count",'Pass 1 Archive'!$1:$1,0),FALSE()),"")</f>
        <v/>
      </c>
      <c r="D245" s="1" t="str">
        <f aca="false">IFERROR(VLOOKUP(A245,'Pass 2'!$A:$S,MATCH("Jan 2025 Traffic",'Pass 2'!$1:$1,0),FALSE()),"")</f>
        <v/>
      </c>
      <c r="E245" s="1" t="str">
        <f aca="false">IFERROR(VLOOKUP(A245,'Pass 2'!$A:$S,MATCH("Jun 2026 Traffic",'Pass 2'!$1:$1,0),FALSE()),"")</f>
        <v/>
      </c>
      <c r="F245" s="1" t="str">
        <f aca="false">IFERROR(VLOOKUP(A245,'Pass 2'!$A:$S,MATCH("Traffic % Change",'Pass 2'!$1:$1,0),FALSE()),"")</f>
        <v/>
      </c>
      <c r="G245" s="1" t="str">
        <f aca="false">IFERROR(VLOOKUP(A245,'Pass 2'!$A:$S,MATCH("Jan 2025 Referring Domains",'Pass 2'!$1:$1,0),FALSE()),"")</f>
        <v/>
      </c>
      <c r="H245" s="1" t="str">
        <f aca="false">IFERROR(VLOOKUP(A245,'Pass 2'!$A:$S,MATCH("Jun 2026 Referring Domains",'Pass 2'!$1:$1,0),FALSE()),"")</f>
        <v/>
      </c>
    </row>
    <row r="246" customFormat="false" ht="15" hidden="false" customHeight="true" outlineLevel="0" collapsed="false">
      <c r="B246" s="1" t="str">
        <f aca="false">IFERROR(VLOOKUP(A246,'Pass 2'!$A:$S,MATCH("Category",'Pass 2'!$1:$1,0),FALSE()),"")</f>
        <v/>
      </c>
      <c r="C246" s="1" t="str">
        <f aca="false">IFERROR(VLOOKUP(A246,'Pass 1 Archive'!$A:$AD,MATCH("LinkedIn Employee Count",'Pass 1 Archive'!$1:$1,0),FALSE()),"")</f>
        <v/>
      </c>
      <c r="D246" s="1" t="str">
        <f aca="false">IFERROR(VLOOKUP(A246,'Pass 2'!$A:$S,MATCH("Jan 2025 Traffic",'Pass 2'!$1:$1,0),FALSE()),"")</f>
        <v/>
      </c>
      <c r="E246" s="1" t="str">
        <f aca="false">IFERROR(VLOOKUP(A246,'Pass 2'!$A:$S,MATCH("Jun 2026 Traffic",'Pass 2'!$1:$1,0),FALSE()),"")</f>
        <v/>
      </c>
      <c r="F246" s="1" t="str">
        <f aca="false">IFERROR(VLOOKUP(A246,'Pass 2'!$A:$S,MATCH("Traffic % Change",'Pass 2'!$1:$1,0),FALSE()),"")</f>
        <v/>
      </c>
      <c r="G246" s="1" t="str">
        <f aca="false">IFERROR(VLOOKUP(A246,'Pass 2'!$A:$S,MATCH("Jan 2025 Referring Domains",'Pass 2'!$1:$1,0),FALSE()),"")</f>
        <v/>
      </c>
      <c r="H246" s="1" t="str">
        <f aca="false">IFERROR(VLOOKUP(A246,'Pass 2'!$A:$S,MATCH("Jun 2026 Referring Domains",'Pass 2'!$1:$1,0),FALSE()),"")</f>
        <v/>
      </c>
    </row>
    <row r="247" customFormat="false" ht="15" hidden="false" customHeight="true" outlineLevel="0" collapsed="false">
      <c r="B247" s="1" t="str">
        <f aca="false">IFERROR(VLOOKUP(A247,'Pass 2'!$A:$S,MATCH("Category",'Pass 2'!$1:$1,0),FALSE()),"")</f>
        <v/>
      </c>
      <c r="C247" s="1" t="str">
        <f aca="false">IFERROR(VLOOKUP(A247,'Pass 1 Archive'!$A:$AD,MATCH("LinkedIn Employee Count",'Pass 1 Archive'!$1:$1,0),FALSE()),"")</f>
        <v/>
      </c>
      <c r="D247" s="1" t="str">
        <f aca="false">IFERROR(VLOOKUP(A247,'Pass 2'!$A:$S,MATCH("Jan 2025 Traffic",'Pass 2'!$1:$1,0),FALSE()),"")</f>
        <v/>
      </c>
      <c r="E247" s="1" t="str">
        <f aca="false">IFERROR(VLOOKUP(A247,'Pass 2'!$A:$S,MATCH("Jun 2026 Traffic",'Pass 2'!$1:$1,0),FALSE()),"")</f>
        <v/>
      </c>
      <c r="F247" s="1" t="str">
        <f aca="false">IFERROR(VLOOKUP(A247,'Pass 2'!$A:$S,MATCH("Traffic % Change",'Pass 2'!$1:$1,0),FALSE()),"")</f>
        <v/>
      </c>
      <c r="G247" s="1" t="str">
        <f aca="false">IFERROR(VLOOKUP(A247,'Pass 2'!$A:$S,MATCH("Jan 2025 Referring Domains",'Pass 2'!$1:$1,0),FALSE()),"")</f>
        <v/>
      </c>
      <c r="H247" s="1" t="str">
        <f aca="false">IFERROR(VLOOKUP(A247,'Pass 2'!$A:$S,MATCH("Jun 2026 Referring Domains",'Pass 2'!$1:$1,0),FALSE()),"")</f>
        <v/>
      </c>
    </row>
    <row r="248" customFormat="false" ht="15" hidden="false" customHeight="true" outlineLevel="0" collapsed="false">
      <c r="B248" s="1" t="str">
        <f aca="false">IFERROR(VLOOKUP(A248,'Pass 2'!$A:$S,MATCH("Category",'Pass 2'!$1:$1,0),FALSE()),"")</f>
        <v/>
      </c>
      <c r="C248" s="1" t="str">
        <f aca="false">IFERROR(VLOOKUP(A248,'Pass 1 Archive'!$A:$AD,MATCH("LinkedIn Employee Count",'Pass 1 Archive'!$1:$1,0),FALSE()),"")</f>
        <v/>
      </c>
      <c r="D248" s="1" t="str">
        <f aca="false">IFERROR(VLOOKUP(A248,'Pass 2'!$A:$S,MATCH("Jan 2025 Traffic",'Pass 2'!$1:$1,0),FALSE()),"")</f>
        <v/>
      </c>
      <c r="E248" s="1" t="str">
        <f aca="false">IFERROR(VLOOKUP(A248,'Pass 2'!$A:$S,MATCH("Jun 2026 Traffic",'Pass 2'!$1:$1,0),FALSE()),"")</f>
        <v/>
      </c>
      <c r="F248" s="1" t="str">
        <f aca="false">IFERROR(VLOOKUP(A248,'Pass 2'!$A:$S,MATCH("Traffic % Change",'Pass 2'!$1:$1,0),FALSE()),"")</f>
        <v/>
      </c>
      <c r="G248" s="1" t="str">
        <f aca="false">IFERROR(VLOOKUP(A248,'Pass 2'!$A:$S,MATCH("Jan 2025 Referring Domains",'Pass 2'!$1:$1,0),FALSE()),"")</f>
        <v/>
      </c>
      <c r="H248" s="1" t="str">
        <f aca="false">IFERROR(VLOOKUP(A248,'Pass 2'!$A:$S,MATCH("Jun 2026 Referring Domains",'Pass 2'!$1:$1,0),FALSE()),"")</f>
        <v/>
      </c>
    </row>
    <row r="249" customFormat="false" ht="15" hidden="false" customHeight="true" outlineLevel="0" collapsed="false">
      <c r="B249" s="1" t="str">
        <f aca="false">IFERROR(VLOOKUP(A249,'Pass 2'!$A:$S,MATCH("Category",'Pass 2'!$1:$1,0),FALSE()),"")</f>
        <v/>
      </c>
      <c r="C249" s="1" t="str">
        <f aca="false">IFERROR(VLOOKUP(A249,'Pass 1 Archive'!$A:$AD,MATCH("LinkedIn Employee Count",'Pass 1 Archive'!$1:$1,0),FALSE()),"")</f>
        <v/>
      </c>
      <c r="D249" s="1" t="str">
        <f aca="false">IFERROR(VLOOKUP(A249,'Pass 2'!$A:$S,MATCH("Jan 2025 Traffic",'Pass 2'!$1:$1,0),FALSE()),"")</f>
        <v/>
      </c>
      <c r="E249" s="1" t="str">
        <f aca="false">IFERROR(VLOOKUP(A249,'Pass 2'!$A:$S,MATCH("Jun 2026 Traffic",'Pass 2'!$1:$1,0),FALSE()),"")</f>
        <v/>
      </c>
      <c r="F249" s="1" t="str">
        <f aca="false">IFERROR(VLOOKUP(A249,'Pass 2'!$A:$S,MATCH("Traffic % Change",'Pass 2'!$1:$1,0),FALSE()),"")</f>
        <v/>
      </c>
      <c r="G249" s="1" t="str">
        <f aca="false">IFERROR(VLOOKUP(A249,'Pass 2'!$A:$S,MATCH("Jan 2025 Referring Domains",'Pass 2'!$1:$1,0),FALSE()),"")</f>
        <v/>
      </c>
      <c r="H249" s="1" t="str">
        <f aca="false">IFERROR(VLOOKUP(A249,'Pass 2'!$A:$S,MATCH("Jun 2026 Referring Domains",'Pass 2'!$1:$1,0),FALSE()),"")</f>
        <v/>
      </c>
    </row>
    <row r="250" customFormat="false" ht="15" hidden="false" customHeight="true" outlineLevel="0" collapsed="false">
      <c r="B250" s="1" t="str">
        <f aca="false">IFERROR(VLOOKUP(A250,'Pass 2'!$A:$S,MATCH("Category",'Pass 2'!$1:$1,0),FALSE()),"")</f>
        <v/>
      </c>
      <c r="C250" s="1" t="str">
        <f aca="false">IFERROR(VLOOKUP(A250,'Pass 1 Archive'!$A:$AD,MATCH("LinkedIn Employee Count",'Pass 1 Archive'!$1:$1,0),FALSE()),"")</f>
        <v/>
      </c>
      <c r="D250" s="1" t="str">
        <f aca="false">IFERROR(VLOOKUP(A250,'Pass 2'!$A:$S,MATCH("Jan 2025 Traffic",'Pass 2'!$1:$1,0),FALSE()),"")</f>
        <v/>
      </c>
      <c r="E250" s="1" t="str">
        <f aca="false">IFERROR(VLOOKUP(A250,'Pass 2'!$A:$S,MATCH("Jun 2026 Traffic",'Pass 2'!$1:$1,0),FALSE()),"")</f>
        <v/>
      </c>
      <c r="F250" s="1" t="str">
        <f aca="false">IFERROR(VLOOKUP(A250,'Pass 2'!$A:$S,MATCH("Traffic % Change",'Pass 2'!$1:$1,0),FALSE()),"")</f>
        <v/>
      </c>
      <c r="G250" s="1" t="str">
        <f aca="false">IFERROR(VLOOKUP(A250,'Pass 2'!$A:$S,MATCH("Jan 2025 Referring Domains",'Pass 2'!$1:$1,0),FALSE()),"")</f>
        <v/>
      </c>
      <c r="H250" s="1" t="str">
        <f aca="false">IFERROR(VLOOKUP(A250,'Pass 2'!$A:$S,MATCH("Jun 2026 Referring Domains",'Pass 2'!$1:$1,0),FALSE()),"")</f>
        <v/>
      </c>
    </row>
    <row r="251" customFormat="false" ht="15" hidden="false" customHeight="true" outlineLevel="0" collapsed="false">
      <c r="B251" s="1" t="str">
        <f aca="false">IFERROR(VLOOKUP(A251,'Pass 2'!$A:$S,MATCH("Category",'Pass 2'!$1:$1,0),FALSE()),"")</f>
        <v/>
      </c>
      <c r="C251" s="1" t="str">
        <f aca="false">IFERROR(VLOOKUP(A251,'Pass 1 Archive'!$A:$AD,MATCH("LinkedIn Employee Count",'Pass 1 Archive'!$1:$1,0),FALSE()),"")</f>
        <v/>
      </c>
      <c r="D251" s="1" t="str">
        <f aca="false">IFERROR(VLOOKUP(A251,'Pass 2'!$A:$S,MATCH("Jan 2025 Traffic",'Pass 2'!$1:$1,0),FALSE()),"")</f>
        <v/>
      </c>
      <c r="E251" s="1" t="str">
        <f aca="false">IFERROR(VLOOKUP(A251,'Pass 2'!$A:$S,MATCH("Jun 2026 Traffic",'Pass 2'!$1:$1,0),FALSE()),"")</f>
        <v/>
      </c>
      <c r="F251" s="1" t="str">
        <f aca="false">IFERROR(VLOOKUP(A251,'Pass 2'!$A:$S,MATCH("Traffic % Change",'Pass 2'!$1:$1,0),FALSE()),"")</f>
        <v/>
      </c>
      <c r="G251" s="1" t="str">
        <f aca="false">IFERROR(VLOOKUP(A251,'Pass 2'!$A:$S,MATCH("Jan 2025 Referring Domains",'Pass 2'!$1:$1,0),FALSE()),"")</f>
        <v/>
      </c>
      <c r="H251" s="1" t="str">
        <f aca="false">IFERROR(VLOOKUP(A251,'Pass 2'!$A:$S,MATCH("Jun 2026 Referring Domains",'Pass 2'!$1:$1,0),FALSE()),"")</f>
        <v/>
      </c>
    </row>
    <row r="252" customFormat="false" ht="15" hidden="false" customHeight="true" outlineLevel="0" collapsed="false">
      <c r="B252" s="1" t="str">
        <f aca="false">IFERROR(VLOOKUP(A252,'Pass 2'!$A:$S,MATCH("Category",'Pass 2'!$1:$1,0),FALSE()),"")</f>
        <v/>
      </c>
      <c r="C252" s="1" t="str">
        <f aca="false">IFERROR(VLOOKUP(A252,'Pass 1 Archive'!$A:$AD,MATCH("LinkedIn Employee Count",'Pass 1 Archive'!$1:$1,0),FALSE()),"")</f>
        <v/>
      </c>
      <c r="D252" s="1" t="str">
        <f aca="false">IFERROR(VLOOKUP(A252,'Pass 2'!$A:$S,MATCH("Jan 2025 Traffic",'Pass 2'!$1:$1,0),FALSE()),"")</f>
        <v/>
      </c>
      <c r="E252" s="1" t="str">
        <f aca="false">IFERROR(VLOOKUP(A252,'Pass 2'!$A:$S,MATCH("Jun 2026 Traffic",'Pass 2'!$1:$1,0),FALSE()),"")</f>
        <v/>
      </c>
      <c r="F252" s="1" t="str">
        <f aca="false">IFERROR(VLOOKUP(A252,'Pass 2'!$A:$S,MATCH("Traffic % Change",'Pass 2'!$1:$1,0),FALSE()),"")</f>
        <v/>
      </c>
      <c r="G252" s="1" t="str">
        <f aca="false">IFERROR(VLOOKUP(A252,'Pass 2'!$A:$S,MATCH("Jan 2025 Referring Domains",'Pass 2'!$1:$1,0),FALSE()),"")</f>
        <v/>
      </c>
      <c r="H252" s="1" t="str">
        <f aca="false">IFERROR(VLOOKUP(A252,'Pass 2'!$A:$S,MATCH("Jun 2026 Referring Domains",'Pass 2'!$1:$1,0),FALSE()),"")</f>
        <v/>
      </c>
    </row>
    <row r="253" customFormat="false" ht="15" hidden="false" customHeight="true" outlineLevel="0" collapsed="false">
      <c r="B253" s="1" t="str">
        <f aca="false">IFERROR(VLOOKUP(A253,'Pass 2'!$A:$S,MATCH("Category",'Pass 2'!$1:$1,0),FALSE()),"")</f>
        <v/>
      </c>
      <c r="C253" s="1" t="str">
        <f aca="false">IFERROR(VLOOKUP(A253,'Pass 1 Archive'!$A:$AD,MATCH("LinkedIn Employee Count",'Pass 1 Archive'!$1:$1,0),FALSE()),"")</f>
        <v/>
      </c>
      <c r="D253" s="1" t="str">
        <f aca="false">IFERROR(VLOOKUP(A253,'Pass 2'!$A:$S,MATCH("Jan 2025 Traffic",'Pass 2'!$1:$1,0),FALSE()),"")</f>
        <v/>
      </c>
      <c r="E253" s="1" t="str">
        <f aca="false">IFERROR(VLOOKUP(A253,'Pass 2'!$A:$S,MATCH("Jun 2026 Traffic",'Pass 2'!$1:$1,0),FALSE()),"")</f>
        <v/>
      </c>
      <c r="F253" s="1" t="str">
        <f aca="false">IFERROR(VLOOKUP(A253,'Pass 2'!$A:$S,MATCH("Traffic % Change",'Pass 2'!$1:$1,0),FALSE()),"")</f>
        <v/>
      </c>
      <c r="G253" s="1" t="str">
        <f aca="false">IFERROR(VLOOKUP(A253,'Pass 2'!$A:$S,MATCH("Jan 2025 Referring Domains",'Pass 2'!$1:$1,0),FALSE()),"")</f>
        <v/>
      </c>
      <c r="H253" s="1" t="str">
        <f aca="false">IFERROR(VLOOKUP(A253,'Pass 2'!$A:$S,MATCH("Jun 2026 Referring Domains",'Pass 2'!$1:$1,0),FALSE()),"")</f>
        <v/>
      </c>
    </row>
    <row r="254" customFormat="false" ht="15" hidden="false" customHeight="true" outlineLevel="0" collapsed="false">
      <c r="B254" s="1" t="str">
        <f aca="false">IFERROR(VLOOKUP(A254,'Pass 2'!$A:$S,MATCH("Category",'Pass 2'!$1:$1,0),FALSE()),"")</f>
        <v/>
      </c>
      <c r="C254" s="1" t="str">
        <f aca="false">IFERROR(VLOOKUP(A254,'Pass 1 Archive'!$A:$AD,MATCH("LinkedIn Employee Count",'Pass 1 Archive'!$1:$1,0),FALSE()),"")</f>
        <v/>
      </c>
      <c r="D254" s="1" t="str">
        <f aca="false">IFERROR(VLOOKUP(A254,'Pass 2'!$A:$S,MATCH("Jan 2025 Traffic",'Pass 2'!$1:$1,0),FALSE()),"")</f>
        <v/>
      </c>
      <c r="E254" s="1" t="str">
        <f aca="false">IFERROR(VLOOKUP(A254,'Pass 2'!$A:$S,MATCH("Jun 2026 Traffic",'Pass 2'!$1:$1,0),FALSE()),"")</f>
        <v/>
      </c>
      <c r="F254" s="1" t="str">
        <f aca="false">IFERROR(VLOOKUP(A254,'Pass 2'!$A:$S,MATCH("Traffic % Change",'Pass 2'!$1:$1,0),FALSE()),"")</f>
        <v/>
      </c>
      <c r="G254" s="1" t="str">
        <f aca="false">IFERROR(VLOOKUP(A254,'Pass 2'!$A:$S,MATCH("Jan 2025 Referring Domains",'Pass 2'!$1:$1,0),FALSE()),"")</f>
        <v/>
      </c>
      <c r="H254" s="1" t="str">
        <f aca="false">IFERROR(VLOOKUP(A254,'Pass 2'!$A:$S,MATCH("Jun 2026 Referring Domains",'Pass 2'!$1:$1,0),FALSE()),"")</f>
        <v/>
      </c>
    </row>
    <row r="255" customFormat="false" ht="15" hidden="false" customHeight="true" outlineLevel="0" collapsed="false">
      <c r="B255" s="1" t="str">
        <f aca="false">IFERROR(VLOOKUP(A255,'Pass 2'!$A:$S,MATCH("Category",'Pass 2'!$1:$1,0),FALSE()),"")</f>
        <v/>
      </c>
      <c r="C255" s="1" t="str">
        <f aca="false">IFERROR(VLOOKUP(A255,'Pass 1 Archive'!$A:$AD,MATCH("LinkedIn Employee Count",'Pass 1 Archive'!$1:$1,0),FALSE()),"")</f>
        <v/>
      </c>
      <c r="D255" s="1" t="str">
        <f aca="false">IFERROR(VLOOKUP(A255,'Pass 2'!$A:$S,MATCH("Jan 2025 Traffic",'Pass 2'!$1:$1,0),FALSE()),"")</f>
        <v/>
      </c>
      <c r="E255" s="1" t="str">
        <f aca="false">IFERROR(VLOOKUP(A255,'Pass 2'!$A:$S,MATCH("Jun 2026 Traffic",'Pass 2'!$1:$1,0),FALSE()),"")</f>
        <v/>
      </c>
      <c r="F255" s="1" t="str">
        <f aca="false">IFERROR(VLOOKUP(A255,'Pass 2'!$A:$S,MATCH("Traffic % Change",'Pass 2'!$1:$1,0),FALSE()),"")</f>
        <v/>
      </c>
      <c r="G255" s="1" t="str">
        <f aca="false">IFERROR(VLOOKUP(A255,'Pass 2'!$A:$S,MATCH("Jan 2025 Referring Domains",'Pass 2'!$1:$1,0),FALSE()),"")</f>
        <v/>
      </c>
      <c r="H255" s="1" t="str">
        <f aca="false">IFERROR(VLOOKUP(A255,'Pass 2'!$A:$S,MATCH("Jun 2026 Referring Domains",'Pass 2'!$1:$1,0),FALSE()),"")</f>
        <v/>
      </c>
    </row>
    <row r="256" customFormat="false" ht="15" hidden="false" customHeight="true" outlineLevel="0" collapsed="false">
      <c r="B256" s="1" t="str">
        <f aca="false">IFERROR(VLOOKUP(A256,'Pass 2'!$A:$S,MATCH("Category",'Pass 2'!$1:$1,0),FALSE()),"")</f>
        <v/>
      </c>
      <c r="C256" s="1" t="str">
        <f aca="false">IFERROR(VLOOKUP(A256,'Pass 1 Archive'!$A:$AD,MATCH("LinkedIn Employee Count",'Pass 1 Archive'!$1:$1,0),FALSE()),"")</f>
        <v/>
      </c>
      <c r="D256" s="1" t="str">
        <f aca="false">IFERROR(VLOOKUP(A256,'Pass 2'!$A:$S,MATCH("Jan 2025 Traffic",'Pass 2'!$1:$1,0),FALSE()),"")</f>
        <v/>
      </c>
      <c r="E256" s="1" t="str">
        <f aca="false">IFERROR(VLOOKUP(A256,'Pass 2'!$A:$S,MATCH("Jun 2026 Traffic",'Pass 2'!$1:$1,0),FALSE()),"")</f>
        <v/>
      </c>
      <c r="F256" s="1" t="str">
        <f aca="false">IFERROR(VLOOKUP(A256,'Pass 2'!$A:$S,MATCH("Traffic % Change",'Pass 2'!$1:$1,0),FALSE()),"")</f>
        <v/>
      </c>
      <c r="G256" s="1" t="str">
        <f aca="false">IFERROR(VLOOKUP(A256,'Pass 2'!$A:$S,MATCH("Jan 2025 Referring Domains",'Pass 2'!$1:$1,0),FALSE()),"")</f>
        <v/>
      </c>
      <c r="H256" s="1" t="str">
        <f aca="false">IFERROR(VLOOKUP(A256,'Pass 2'!$A:$S,MATCH("Jun 2026 Referring Domains",'Pass 2'!$1:$1,0),FALSE()),"")</f>
        <v/>
      </c>
    </row>
    <row r="257" customFormat="false" ht="15" hidden="false" customHeight="true" outlineLevel="0" collapsed="false">
      <c r="B257" s="1" t="str">
        <f aca="false">IFERROR(VLOOKUP(A257,'Pass 2'!$A:$S,MATCH("Category",'Pass 2'!$1:$1,0),FALSE()),"")</f>
        <v/>
      </c>
      <c r="C257" s="1" t="str">
        <f aca="false">IFERROR(VLOOKUP(A257,'Pass 1 Archive'!$A:$AD,MATCH("LinkedIn Employee Count",'Pass 1 Archive'!$1:$1,0),FALSE()),"")</f>
        <v/>
      </c>
      <c r="D257" s="1" t="str">
        <f aca="false">IFERROR(VLOOKUP(A257,'Pass 2'!$A:$S,MATCH("Jan 2025 Traffic",'Pass 2'!$1:$1,0),FALSE()),"")</f>
        <v/>
      </c>
      <c r="E257" s="1" t="str">
        <f aca="false">IFERROR(VLOOKUP(A257,'Pass 2'!$A:$S,MATCH("Jun 2026 Traffic",'Pass 2'!$1:$1,0),FALSE()),"")</f>
        <v/>
      </c>
      <c r="F257" s="1" t="str">
        <f aca="false">IFERROR(VLOOKUP(A257,'Pass 2'!$A:$S,MATCH("Traffic % Change",'Pass 2'!$1:$1,0),FALSE()),"")</f>
        <v/>
      </c>
      <c r="G257" s="1" t="str">
        <f aca="false">IFERROR(VLOOKUP(A257,'Pass 2'!$A:$S,MATCH("Jan 2025 Referring Domains",'Pass 2'!$1:$1,0),FALSE()),"")</f>
        <v/>
      </c>
      <c r="H257" s="1" t="str">
        <f aca="false">IFERROR(VLOOKUP(A257,'Pass 2'!$A:$S,MATCH("Jun 2026 Referring Domains",'Pass 2'!$1:$1,0),FALSE()),"")</f>
        <v/>
      </c>
    </row>
    <row r="258" customFormat="false" ht="15" hidden="false" customHeight="true" outlineLevel="0" collapsed="false">
      <c r="B258" s="1" t="str">
        <f aca="false">IFERROR(VLOOKUP(A258,'Pass 2'!$A:$S,MATCH("Category",'Pass 2'!$1:$1,0),FALSE()),"")</f>
        <v/>
      </c>
      <c r="C258" s="1" t="str">
        <f aca="false">IFERROR(VLOOKUP(A258,'Pass 1 Archive'!$A:$AD,MATCH("LinkedIn Employee Count",'Pass 1 Archive'!$1:$1,0),FALSE()),"")</f>
        <v/>
      </c>
      <c r="D258" s="1" t="str">
        <f aca="false">IFERROR(VLOOKUP(A258,'Pass 2'!$A:$S,MATCH("Jan 2025 Traffic",'Pass 2'!$1:$1,0),FALSE()),"")</f>
        <v/>
      </c>
      <c r="E258" s="1" t="str">
        <f aca="false">IFERROR(VLOOKUP(A258,'Pass 2'!$A:$S,MATCH("Jun 2026 Traffic",'Pass 2'!$1:$1,0),FALSE()),"")</f>
        <v/>
      </c>
      <c r="F258" s="1" t="str">
        <f aca="false">IFERROR(VLOOKUP(A258,'Pass 2'!$A:$S,MATCH("Traffic % Change",'Pass 2'!$1:$1,0),FALSE()),"")</f>
        <v/>
      </c>
      <c r="G258" s="1" t="str">
        <f aca="false">IFERROR(VLOOKUP(A258,'Pass 2'!$A:$S,MATCH("Jan 2025 Referring Domains",'Pass 2'!$1:$1,0),FALSE()),"")</f>
        <v/>
      </c>
      <c r="H258" s="1" t="str">
        <f aca="false">IFERROR(VLOOKUP(A258,'Pass 2'!$A:$S,MATCH("Jun 2026 Referring Domains",'Pass 2'!$1:$1,0),FALSE()),"")</f>
        <v/>
      </c>
    </row>
    <row r="259" customFormat="false" ht="15" hidden="false" customHeight="true" outlineLevel="0" collapsed="false">
      <c r="B259" s="1" t="str">
        <f aca="false">IFERROR(VLOOKUP(A259,'Pass 2'!$A:$S,MATCH("Category",'Pass 2'!$1:$1,0),FALSE()),"")</f>
        <v/>
      </c>
      <c r="C259" s="1" t="str">
        <f aca="false">IFERROR(VLOOKUP(A259,'Pass 1 Archive'!$A:$AD,MATCH("LinkedIn Employee Count",'Pass 1 Archive'!$1:$1,0),FALSE()),"")</f>
        <v/>
      </c>
      <c r="D259" s="1" t="str">
        <f aca="false">IFERROR(VLOOKUP(A259,'Pass 2'!$A:$S,MATCH("Jan 2025 Traffic",'Pass 2'!$1:$1,0),FALSE()),"")</f>
        <v/>
      </c>
      <c r="E259" s="1" t="str">
        <f aca="false">IFERROR(VLOOKUP(A259,'Pass 2'!$A:$S,MATCH("Jun 2026 Traffic",'Pass 2'!$1:$1,0),FALSE()),"")</f>
        <v/>
      </c>
      <c r="F259" s="1" t="str">
        <f aca="false">IFERROR(VLOOKUP(A259,'Pass 2'!$A:$S,MATCH("Traffic % Change",'Pass 2'!$1:$1,0),FALSE()),"")</f>
        <v/>
      </c>
      <c r="G259" s="1" t="str">
        <f aca="false">IFERROR(VLOOKUP(A259,'Pass 2'!$A:$S,MATCH("Jan 2025 Referring Domains",'Pass 2'!$1:$1,0),FALSE()),"")</f>
        <v/>
      </c>
      <c r="H259" s="1" t="str">
        <f aca="false">IFERROR(VLOOKUP(A259,'Pass 2'!$A:$S,MATCH("Jun 2026 Referring Domains",'Pass 2'!$1:$1,0),FALSE()),"")</f>
        <v/>
      </c>
    </row>
    <row r="260" customFormat="false" ht="15" hidden="false" customHeight="true" outlineLevel="0" collapsed="false">
      <c r="B260" s="1" t="str">
        <f aca="false">IFERROR(VLOOKUP(A260,'Pass 2'!$A:$S,MATCH("Category",'Pass 2'!$1:$1,0),FALSE()),"")</f>
        <v/>
      </c>
      <c r="C260" s="1" t="str">
        <f aca="false">IFERROR(VLOOKUP(A260,'Pass 1 Archive'!$A:$AD,MATCH("LinkedIn Employee Count",'Pass 1 Archive'!$1:$1,0),FALSE()),"")</f>
        <v/>
      </c>
      <c r="D260" s="1" t="str">
        <f aca="false">IFERROR(VLOOKUP(A260,'Pass 2'!$A:$S,MATCH("Jan 2025 Traffic",'Pass 2'!$1:$1,0),FALSE()),"")</f>
        <v/>
      </c>
      <c r="E260" s="1" t="str">
        <f aca="false">IFERROR(VLOOKUP(A260,'Pass 2'!$A:$S,MATCH("Jun 2026 Traffic",'Pass 2'!$1:$1,0),FALSE()),"")</f>
        <v/>
      </c>
      <c r="F260" s="1" t="str">
        <f aca="false">IFERROR(VLOOKUP(A260,'Pass 2'!$A:$S,MATCH("Traffic % Change",'Pass 2'!$1:$1,0),FALSE()),"")</f>
        <v/>
      </c>
      <c r="G260" s="1" t="str">
        <f aca="false">IFERROR(VLOOKUP(A260,'Pass 2'!$A:$S,MATCH("Jan 2025 Referring Domains",'Pass 2'!$1:$1,0),FALSE()),"")</f>
        <v/>
      </c>
      <c r="H260" s="1" t="str">
        <f aca="false">IFERROR(VLOOKUP(A260,'Pass 2'!$A:$S,MATCH("Jun 2026 Referring Domains",'Pass 2'!$1:$1,0),FALSE()),"")</f>
        <v/>
      </c>
    </row>
    <row r="261" customFormat="false" ht="15" hidden="false" customHeight="true" outlineLevel="0" collapsed="false">
      <c r="B261" s="1" t="str">
        <f aca="false">IFERROR(VLOOKUP(A261,'Pass 2'!$A:$S,MATCH("Category",'Pass 2'!$1:$1,0),FALSE()),"")</f>
        <v/>
      </c>
      <c r="C261" s="1" t="str">
        <f aca="false">IFERROR(VLOOKUP(A261,'Pass 1 Archive'!$A:$AD,MATCH("LinkedIn Employee Count",'Pass 1 Archive'!$1:$1,0),FALSE()),"")</f>
        <v/>
      </c>
      <c r="D261" s="1" t="str">
        <f aca="false">IFERROR(VLOOKUP(A261,'Pass 2'!$A:$S,MATCH("Jan 2025 Traffic",'Pass 2'!$1:$1,0),FALSE()),"")</f>
        <v/>
      </c>
      <c r="E261" s="1" t="str">
        <f aca="false">IFERROR(VLOOKUP(A261,'Pass 2'!$A:$S,MATCH("Jun 2026 Traffic",'Pass 2'!$1:$1,0),FALSE()),"")</f>
        <v/>
      </c>
      <c r="F261" s="1" t="str">
        <f aca="false">IFERROR(VLOOKUP(A261,'Pass 2'!$A:$S,MATCH("Traffic % Change",'Pass 2'!$1:$1,0),FALSE()),"")</f>
        <v/>
      </c>
      <c r="G261" s="1" t="str">
        <f aca="false">IFERROR(VLOOKUP(A261,'Pass 2'!$A:$S,MATCH("Jan 2025 Referring Domains",'Pass 2'!$1:$1,0),FALSE()),"")</f>
        <v/>
      </c>
      <c r="H261" s="1" t="str">
        <f aca="false">IFERROR(VLOOKUP(A261,'Pass 2'!$A:$S,MATCH("Jun 2026 Referring Domains",'Pass 2'!$1:$1,0),FALSE()),"")</f>
        <v/>
      </c>
    </row>
    <row r="262" customFormat="false" ht="15" hidden="false" customHeight="true" outlineLevel="0" collapsed="false">
      <c r="B262" s="1" t="str">
        <f aca="false">IFERROR(VLOOKUP(A262,'Pass 2'!$A:$S,MATCH("Category",'Pass 2'!$1:$1,0),FALSE()),"")</f>
        <v/>
      </c>
      <c r="C262" s="1" t="str">
        <f aca="false">IFERROR(VLOOKUP(A262,'Pass 1 Archive'!$A:$AD,MATCH("LinkedIn Employee Count",'Pass 1 Archive'!$1:$1,0),FALSE()),"")</f>
        <v/>
      </c>
      <c r="D262" s="1" t="str">
        <f aca="false">IFERROR(VLOOKUP(A262,'Pass 2'!$A:$S,MATCH("Jan 2025 Traffic",'Pass 2'!$1:$1,0),FALSE()),"")</f>
        <v/>
      </c>
      <c r="E262" s="1" t="str">
        <f aca="false">IFERROR(VLOOKUP(A262,'Pass 2'!$A:$S,MATCH("Jun 2026 Traffic",'Pass 2'!$1:$1,0),FALSE()),"")</f>
        <v/>
      </c>
      <c r="F262" s="1" t="str">
        <f aca="false">IFERROR(VLOOKUP(A262,'Pass 2'!$A:$S,MATCH("Traffic % Change",'Pass 2'!$1:$1,0),FALSE()),"")</f>
        <v/>
      </c>
      <c r="G262" s="1" t="str">
        <f aca="false">IFERROR(VLOOKUP(A262,'Pass 2'!$A:$S,MATCH("Jan 2025 Referring Domains",'Pass 2'!$1:$1,0),FALSE()),"")</f>
        <v/>
      </c>
      <c r="H262" s="1" t="str">
        <f aca="false">IFERROR(VLOOKUP(A262,'Pass 2'!$A:$S,MATCH("Jun 2026 Referring Domains",'Pass 2'!$1:$1,0),FALSE()),"")</f>
        <v/>
      </c>
    </row>
    <row r="263" customFormat="false" ht="15" hidden="false" customHeight="true" outlineLevel="0" collapsed="false">
      <c r="B263" s="1" t="str">
        <f aca="false">IFERROR(VLOOKUP(A263,'Pass 2'!$A:$S,MATCH("Category",'Pass 2'!$1:$1,0),FALSE()),"")</f>
        <v/>
      </c>
      <c r="C263" s="1" t="str">
        <f aca="false">IFERROR(VLOOKUP(A263,'Pass 1 Archive'!$A:$AD,MATCH("LinkedIn Employee Count",'Pass 1 Archive'!$1:$1,0),FALSE()),"")</f>
        <v/>
      </c>
      <c r="D263" s="1" t="str">
        <f aca="false">IFERROR(VLOOKUP(A263,'Pass 2'!$A:$S,MATCH("Jan 2025 Traffic",'Pass 2'!$1:$1,0),FALSE()),"")</f>
        <v/>
      </c>
      <c r="E263" s="1" t="str">
        <f aca="false">IFERROR(VLOOKUP(A263,'Pass 2'!$A:$S,MATCH("Jun 2026 Traffic",'Pass 2'!$1:$1,0),FALSE()),"")</f>
        <v/>
      </c>
      <c r="F263" s="1" t="str">
        <f aca="false">IFERROR(VLOOKUP(A263,'Pass 2'!$A:$S,MATCH("Traffic % Change",'Pass 2'!$1:$1,0),FALSE()),"")</f>
        <v/>
      </c>
      <c r="G263" s="1" t="str">
        <f aca="false">IFERROR(VLOOKUP(A263,'Pass 2'!$A:$S,MATCH("Jan 2025 Referring Domains",'Pass 2'!$1:$1,0),FALSE()),"")</f>
        <v/>
      </c>
      <c r="H263" s="1" t="str">
        <f aca="false">IFERROR(VLOOKUP(A263,'Pass 2'!$A:$S,MATCH("Jun 2026 Referring Domains",'Pass 2'!$1:$1,0),FALSE()),"")</f>
        <v/>
      </c>
    </row>
    <row r="264" customFormat="false" ht="15" hidden="false" customHeight="true" outlineLevel="0" collapsed="false">
      <c r="B264" s="1" t="str">
        <f aca="false">IFERROR(VLOOKUP(A264,'Pass 2'!$A:$S,MATCH("Category",'Pass 2'!$1:$1,0),FALSE()),"")</f>
        <v/>
      </c>
      <c r="C264" s="1" t="str">
        <f aca="false">IFERROR(VLOOKUP(A264,'Pass 1 Archive'!$A:$AD,MATCH("LinkedIn Employee Count",'Pass 1 Archive'!$1:$1,0),FALSE()),"")</f>
        <v/>
      </c>
      <c r="D264" s="1" t="str">
        <f aca="false">IFERROR(VLOOKUP(A264,'Pass 2'!$A:$S,MATCH("Jan 2025 Traffic",'Pass 2'!$1:$1,0),FALSE()),"")</f>
        <v/>
      </c>
      <c r="E264" s="1" t="str">
        <f aca="false">IFERROR(VLOOKUP(A264,'Pass 2'!$A:$S,MATCH("Jun 2026 Traffic",'Pass 2'!$1:$1,0),FALSE()),"")</f>
        <v/>
      </c>
      <c r="F264" s="1" t="str">
        <f aca="false">IFERROR(VLOOKUP(A264,'Pass 2'!$A:$S,MATCH("Traffic % Change",'Pass 2'!$1:$1,0),FALSE()),"")</f>
        <v/>
      </c>
      <c r="G264" s="1" t="str">
        <f aca="false">IFERROR(VLOOKUP(A264,'Pass 2'!$A:$S,MATCH("Jan 2025 Referring Domains",'Pass 2'!$1:$1,0),FALSE()),"")</f>
        <v/>
      </c>
      <c r="H264" s="1" t="str">
        <f aca="false">IFERROR(VLOOKUP(A264,'Pass 2'!$A:$S,MATCH("Jun 2026 Referring Domains",'Pass 2'!$1:$1,0),FALSE()),"")</f>
        <v/>
      </c>
    </row>
    <row r="265" customFormat="false" ht="15" hidden="false" customHeight="true" outlineLevel="0" collapsed="false">
      <c r="B265" s="1" t="str">
        <f aca="false">IFERROR(VLOOKUP(A265,'Pass 2'!$A:$S,MATCH("Category",'Pass 2'!$1:$1,0),FALSE()),"")</f>
        <v/>
      </c>
      <c r="C265" s="1" t="str">
        <f aca="false">IFERROR(VLOOKUP(A265,'Pass 1 Archive'!$A:$AD,MATCH("LinkedIn Employee Count",'Pass 1 Archive'!$1:$1,0),FALSE()),"")</f>
        <v/>
      </c>
      <c r="D265" s="1" t="str">
        <f aca="false">IFERROR(VLOOKUP(A265,'Pass 2'!$A:$S,MATCH("Jan 2025 Traffic",'Pass 2'!$1:$1,0),FALSE()),"")</f>
        <v/>
      </c>
      <c r="E265" s="1" t="str">
        <f aca="false">IFERROR(VLOOKUP(A265,'Pass 2'!$A:$S,MATCH("Jun 2026 Traffic",'Pass 2'!$1:$1,0),FALSE()),"")</f>
        <v/>
      </c>
      <c r="F265" s="1" t="str">
        <f aca="false">IFERROR(VLOOKUP(A265,'Pass 2'!$A:$S,MATCH("Traffic % Change",'Pass 2'!$1:$1,0),FALSE()),"")</f>
        <v/>
      </c>
      <c r="G265" s="1" t="str">
        <f aca="false">IFERROR(VLOOKUP(A265,'Pass 2'!$A:$S,MATCH("Jan 2025 Referring Domains",'Pass 2'!$1:$1,0),FALSE()),"")</f>
        <v/>
      </c>
      <c r="H265" s="1" t="str">
        <f aca="false">IFERROR(VLOOKUP(A265,'Pass 2'!$A:$S,MATCH("Jun 2026 Referring Domains",'Pass 2'!$1:$1,0),FALSE()),"")</f>
        <v/>
      </c>
    </row>
    <row r="266" customFormat="false" ht="15" hidden="false" customHeight="true" outlineLevel="0" collapsed="false">
      <c r="B266" s="1" t="str">
        <f aca="false">IFERROR(VLOOKUP(A266,'Pass 2'!$A:$S,MATCH("Category",'Pass 2'!$1:$1,0),FALSE()),"")</f>
        <v/>
      </c>
      <c r="C266" s="1" t="str">
        <f aca="false">IFERROR(VLOOKUP(A266,'Pass 1 Archive'!$A:$AD,MATCH("LinkedIn Employee Count",'Pass 1 Archive'!$1:$1,0),FALSE()),"")</f>
        <v/>
      </c>
      <c r="D266" s="1" t="str">
        <f aca="false">IFERROR(VLOOKUP(A266,'Pass 2'!$A:$S,MATCH("Jan 2025 Traffic",'Pass 2'!$1:$1,0),FALSE()),"")</f>
        <v/>
      </c>
      <c r="E266" s="1" t="str">
        <f aca="false">IFERROR(VLOOKUP(A266,'Pass 2'!$A:$S,MATCH("Jun 2026 Traffic",'Pass 2'!$1:$1,0),FALSE()),"")</f>
        <v/>
      </c>
      <c r="F266" s="1" t="str">
        <f aca="false">IFERROR(VLOOKUP(A266,'Pass 2'!$A:$S,MATCH("Traffic % Change",'Pass 2'!$1:$1,0),FALSE()),"")</f>
        <v/>
      </c>
      <c r="G266" s="1" t="str">
        <f aca="false">IFERROR(VLOOKUP(A266,'Pass 2'!$A:$S,MATCH("Jan 2025 Referring Domains",'Pass 2'!$1:$1,0),FALSE()),"")</f>
        <v/>
      </c>
      <c r="H266" s="1" t="str">
        <f aca="false">IFERROR(VLOOKUP(A266,'Pass 2'!$A:$S,MATCH("Jun 2026 Referring Domains",'Pass 2'!$1:$1,0),FALSE()),"")</f>
        <v/>
      </c>
    </row>
    <row r="267" customFormat="false" ht="15" hidden="false" customHeight="true" outlineLevel="0" collapsed="false">
      <c r="B267" s="1" t="str">
        <f aca="false">IFERROR(VLOOKUP(A267,'Pass 2'!$A:$S,MATCH("Category",'Pass 2'!$1:$1,0),FALSE()),"")</f>
        <v/>
      </c>
      <c r="C267" s="1" t="str">
        <f aca="false">IFERROR(VLOOKUP(A267,'Pass 1 Archive'!$A:$AD,MATCH("LinkedIn Employee Count",'Pass 1 Archive'!$1:$1,0),FALSE()),"")</f>
        <v/>
      </c>
      <c r="D267" s="1" t="str">
        <f aca="false">IFERROR(VLOOKUP(A267,'Pass 2'!$A:$S,MATCH("Jan 2025 Traffic",'Pass 2'!$1:$1,0),FALSE()),"")</f>
        <v/>
      </c>
      <c r="E267" s="1" t="str">
        <f aca="false">IFERROR(VLOOKUP(A267,'Pass 2'!$A:$S,MATCH("Jun 2026 Traffic",'Pass 2'!$1:$1,0),FALSE()),"")</f>
        <v/>
      </c>
      <c r="F267" s="1" t="str">
        <f aca="false">IFERROR(VLOOKUP(A267,'Pass 2'!$A:$S,MATCH("Traffic % Change",'Pass 2'!$1:$1,0),FALSE()),"")</f>
        <v/>
      </c>
      <c r="G267" s="1" t="str">
        <f aca="false">IFERROR(VLOOKUP(A267,'Pass 2'!$A:$S,MATCH("Jan 2025 Referring Domains",'Pass 2'!$1:$1,0),FALSE()),"")</f>
        <v/>
      </c>
      <c r="H267" s="1" t="str">
        <f aca="false">IFERROR(VLOOKUP(A267,'Pass 2'!$A:$S,MATCH("Jun 2026 Referring Domains",'Pass 2'!$1:$1,0),FALSE()),"")</f>
        <v/>
      </c>
    </row>
    <row r="268" customFormat="false" ht="15" hidden="false" customHeight="true" outlineLevel="0" collapsed="false">
      <c r="B268" s="1" t="str">
        <f aca="false">IFERROR(VLOOKUP(A268,'Pass 2'!$A:$S,MATCH("Category",'Pass 2'!$1:$1,0),FALSE()),"")</f>
        <v/>
      </c>
      <c r="C268" s="1" t="str">
        <f aca="false">IFERROR(VLOOKUP(A268,'Pass 1 Archive'!$A:$AD,MATCH("LinkedIn Employee Count",'Pass 1 Archive'!$1:$1,0),FALSE()),"")</f>
        <v/>
      </c>
      <c r="D268" s="1" t="str">
        <f aca="false">IFERROR(VLOOKUP(A268,'Pass 2'!$A:$S,MATCH("Jan 2025 Traffic",'Pass 2'!$1:$1,0),FALSE()),"")</f>
        <v/>
      </c>
      <c r="E268" s="1" t="str">
        <f aca="false">IFERROR(VLOOKUP(A268,'Pass 2'!$A:$S,MATCH("Jun 2026 Traffic",'Pass 2'!$1:$1,0),FALSE()),"")</f>
        <v/>
      </c>
      <c r="F268" s="1" t="str">
        <f aca="false">IFERROR(VLOOKUP(A268,'Pass 2'!$A:$S,MATCH("Traffic % Change",'Pass 2'!$1:$1,0),FALSE()),"")</f>
        <v/>
      </c>
      <c r="G268" s="1" t="str">
        <f aca="false">IFERROR(VLOOKUP(A268,'Pass 2'!$A:$S,MATCH("Jan 2025 Referring Domains",'Pass 2'!$1:$1,0),FALSE()),"")</f>
        <v/>
      </c>
      <c r="H268" s="1" t="str">
        <f aca="false">IFERROR(VLOOKUP(A268,'Pass 2'!$A:$S,MATCH("Jun 2026 Referring Domains",'Pass 2'!$1:$1,0),FALSE()),"")</f>
        <v/>
      </c>
    </row>
    <row r="269" customFormat="false" ht="15" hidden="false" customHeight="true" outlineLevel="0" collapsed="false">
      <c r="B269" s="1" t="str">
        <f aca="false">IFERROR(VLOOKUP(A269,'Pass 2'!$A:$S,MATCH("Category",'Pass 2'!$1:$1,0),FALSE()),"")</f>
        <v/>
      </c>
      <c r="C269" s="1" t="str">
        <f aca="false">IFERROR(VLOOKUP(A269,'Pass 1 Archive'!$A:$AD,MATCH("LinkedIn Employee Count",'Pass 1 Archive'!$1:$1,0),FALSE()),"")</f>
        <v/>
      </c>
      <c r="D269" s="1" t="str">
        <f aca="false">IFERROR(VLOOKUP(A269,'Pass 2'!$A:$S,MATCH("Jan 2025 Traffic",'Pass 2'!$1:$1,0),FALSE()),"")</f>
        <v/>
      </c>
      <c r="E269" s="1" t="str">
        <f aca="false">IFERROR(VLOOKUP(A269,'Pass 2'!$A:$S,MATCH("Jun 2026 Traffic",'Pass 2'!$1:$1,0),FALSE()),"")</f>
        <v/>
      </c>
      <c r="F269" s="1" t="str">
        <f aca="false">IFERROR(VLOOKUP(A269,'Pass 2'!$A:$S,MATCH("Traffic % Change",'Pass 2'!$1:$1,0),FALSE()),"")</f>
        <v/>
      </c>
      <c r="G269" s="1" t="str">
        <f aca="false">IFERROR(VLOOKUP(A269,'Pass 2'!$A:$S,MATCH("Jan 2025 Referring Domains",'Pass 2'!$1:$1,0),FALSE()),"")</f>
        <v/>
      </c>
      <c r="H269" s="1" t="str">
        <f aca="false">IFERROR(VLOOKUP(A269,'Pass 2'!$A:$S,MATCH("Jun 2026 Referring Domains",'Pass 2'!$1:$1,0),FALSE()),"")</f>
        <v/>
      </c>
    </row>
    <row r="270" customFormat="false" ht="15" hidden="false" customHeight="true" outlineLevel="0" collapsed="false">
      <c r="B270" s="1" t="str">
        <f aca="false">IFERROR(VLOOKUP(A270,'Pass 2'!$A:$S,MATCH("Category",'Pass 2'!$1:$1,0),FALSE()),"")</f>
        <v/>
      </c>
      <c r="C270" s="1" t="str">
        <f aca="false">IFERROR(VLOOKUP(A270,'Pass 1 Archive'!$A:$AD,MATCH("LinkedIn Employee Count",'Pass 1 Archive'!$1:$1,0),FALSE()),"")</f>
        <v/>
      </c>
      <c r="D270" s="1" t="str">
        <f aca="false">IFERROR(VLOOKUP(A270,'Pass 2'!$A:$S,MATCH("Jan 2025 Traffic",'Pass 2'!$1:$1,0),FALSE()),"")</f>
        <v/>
      </c>
      <c r="E270" s="1" t="str">
        <f aca="false">IFERROR(VLOOKUP(A270,'Pass 2'!$A:$S,MATCH("Jun 2026 Traffic",'Pass 2'!$1:$1,0),FALSE()),"")</f>
        <v/>
      </c>
      <c r="F270" s="1" t="str">
        <f aca="false">IFERROR(VLOOKUP(A270,'Pass 2'!$A:$S,MATCH("Traffic % Change",'Pass 2'!$1:$1,0),FALSE()),"")</f>
        <v/>
      </c>
      <c r="G270" s="1" t="str">
        <f aca="false">IFERROR(VLOOKUP(A270,'Pass 2'!$A:$S,MATCH("Jan 2025 Referring Domains",'Pass 2'!$1:$1,0),FALSE()),"")</f>
        <v/>
      </c>
      <c r="H270" s="1" t="str">
        <f aca="false">IFERROR(VLOOKUP(A270,'Pass 2'!$A:$S,MATCH("Jun 2026 Referring Domains",'Pass 2'!$1:$1,0),FALSE()),"")</f>
        <v/>
      </c>
    </row>
    <row r="271" customFormat="false" ht="15" hidden="false" customHeight="true" outlineLevel="0" collapsed="false">
      <c r="B271" s="1" t="str">
        <f aca="false">IFERROR(VLOOKUP(A271,'Pass 2'!$A:$S,MATCH("Category",'Pass 2'!$1:$1,0),FALSE()),"")</f>
        <v/>
      </c>
      <c r="C271" s="1" t="str">
        <f aca="false">IFERROR(VLOOKUP(A271,'Pass 1 Archive'!$A:$AD,MATCH("LinkedIn Employee Count",'Pass 1 Archive'!$1:$1,0),FALSE()),"")</f>
        <v/>
      </c>
      <c r="D271" s="1" t="str">
        <f aca="false">IFERROR(VLOOKUP(A271,'Pass 2'!$A:$S,MATCH("Jan 2025 Traffic",'Pass 2'!$1:$1,0),FALSE()),"")</f>
        <v/>
      </c>
      <c r="E271" s="1" t="str">
        <f aca="false">IFERROR(VLOOKUP(A271,'Pass 2'!$A:$S,MATCH("Jun 2026 Traffic",'Pass 2'!$1:$1,0),FALSE()),"")</f>
        <v/>
      </c>
      <c r="F271" s="1" t="str">
        <f aca="false">IFERROR(VLOOKUP(A271,'Pass 2'!$A:$S,MATCH("Traffic % Change",'Pass 2'!$1:$1,0),FALSE()),"")</f>
        <v/>
      </c>
      <c r="G271" s="1" t="str">
        <f aca="false">IFERROR(VLOOKUP(A271,'Pass 2'!$A:$S,MATCH("Jan 2025 Referring Domains",'Pass 2'!$1:$1,0),FALSE()),"")</f>
        <v/>
      </c>
      <c r="H271" s="1" t="str">
        <f aca="false">IFERROR(VLOOKUP(A271,'Pass 2'!$A:$S,MATCH("Jun 2026 Referring Domains",'Pass 2'!$1:$1,0),FALSE()),"")</f>
        <v/>
      </c>
    </row>
    <row r="272" customFormat="false" ht="15" hidden="false" customHeight="true" outlineLevel="0" collapsed="false">
      <c r="B272" s="1" t="str">
        <f aca="false">IFERROR(VLOOKUP(A272,'Pass 2'!$A:$S,MATCH("Category",'Pass 2'!$1:$1,0),FALSE()),"")</f>
        <v/>
      </c>
      <c r="C272" s="1" t="str">
        <f aca="false">IFERROR(VLOOKUP(A272,'Pass 1 Archive'!$A:$AD,MATCH("LinkedIn Employee Count",'Pass 1 Archive'!$1:$1,0),FALSE()),"")</f>
        <v/>
      </c>
      <c r="D272" s="1" t="str">
        <f aca="false">IFERROR(VLOOKUP(A272,'Pass 2'!$A:$S,MATCH("Jan 2025 Traffic",'Pass 2'!$1:$1,0),FALSE()),"")</f>
        <v/>
      </c>
      <c r="E272" s="1" t="str">
        <f aca="false">IFERROR(VLOOKUP(A272,'Pass 2'!$A:$S,MATCH("Jun 2026 Traffic",'Pass 2'!$1:$1,0),FALSE()),"")</f>
        <v/>
      </c>
      <c r="F272" s="1" t="str">
        <f aca="false">IFERROR(VLOOKUP(A272,'Pass 2'!$A:$S,MATCH("Traffic % Change",'Pass 2'!$1:$1,0),FALSE()),"")</f>
        <v/>
      </c>
      <c r="G272" s="1" t="str">
        <f aca="false">IFERROR(VLOOKUP(A272,'Pass 2'!$A:$S,MATCH("Jan 2025 Referring Domains",'Pass 2'!$1:$1,0),FALSE()),"")</f>
        <v/>
      </c>
      <c r="H272" s="1" t="str">
        <f aca="false">IFERROR(VLOOKUP(A272,'Pass 2'!$A:$S,MATCH("Jun 2026 Referring Domains",'Pass 2'!$1:$1,0),FALSE()),"")</f>
        <v/>
      </c>
    </row>
    <row r="273" customFormat="false" ht="15" hidden="false" customHeight="true" outlineLevel="0" collapsed="false">
      <c r="B273" s="1" t="str">
        <f aca="false">IFERROR(VLOOKUP(A273,'Pass 2'!$A:$S,MATCH("Category",'Pass 2'!$1:$1,0),FALSE()),"")</f>
        <v/>
      </c>
      <c r="C273" s="1" t="str">
        <f aca="false">IFERROR(VLOOKUP(A273,'Pass 1 Archive'!$A:$AD,MATCH("LinkedIn Employee Count",'Pass 1 Archive'!$1:$1,0),FALSE()),"")</f>
        <v/>
      </c>
      <c r="D273" s="1" t="str">
        <f aca="false">IFERROR(VLOOKUP(A273,'Pass 2'!$A:$S,MATCH("Jan 2025 Traffic",'Pass 2'!$1:$1,0),FALSE()),"")</f>
        <v/>
      </c>
      <c r="E273" s="1" t="str">
        <f aca="false">IFERROR(VLOOKUP(A273,'Pass 2'!$A:$S,MATCH("Jun 2026 Traffic",'Pass 2'!$1:$1,0),FALSE()),"")</f>
        <v/>
      </c>
      <c r="F273" s="1" t="str">
        <f aca="false">IFERROR(VLOOKUP(A273,'Pass 2'!$A:$S,MATCH("Traffic % Change",'Pass 2'!$1:$1,0),FALSE()),"")</f>
        <v/>
      </c>
      <c r="G273" s="1" t="str">
        <f aca="false">IFERROR(VLOOKUP(A273,'Pass 2'!$A:$S,MATCH("Jan 2025 Referring Domains",'Pass 2'!$1:$1,0),FALSE()),"")</f>
        <v/>
      </c>
      <c r="H273" s="1" t="str">
        <f aca="false">IFERROR(VLOOKUP(A273,'Pass 2'!$A:$S,MATCH("Jun 2026 Referring Domains",'Pass 2'!$1:$1,0),FALSE()),"")</f>
        <v/>
      </c>
    </row>
    <row r="274" customFormat="false" ht="15" hidden="false" customHeight="true" outlineLevel="0" collapsed="false">
      <c r="B274" s="1" t="str">
        <f aca="false">IFERROR(VLOOKUP(A274,'Pass 2'!$A:$S,MATCH("Category",'Pass 2'!$1:$1,0),FALSE()),"")</f>
        <v/>
      </c>
      <c r="C274" s="1" t="str">
        <f aca="false">IFERROR(VLOOKUP(A274,'Pass 1 Archive'!$A:$AD,MATCH("LinkedIn Employee Count",'Pass 1 Archive'!$1:$1,0),FALSE()),"")</f>
        <v/>
      </c>
      <c r="D274" s="1" t="str">
        <f aca="false">IFERROR(VLOOKUP(A274,'Pass 2'!$A:$S,MATCH("Jan 2025 Traffic",'Pass 2'!$1:$1,0),FALSE()),"")</f>
        <v/>
      </c>
      <c r="E274" s="1" t="str">
        <f aca="false">IFERROR(VLOOKUP(A274,'Pass 2'!$A:$S,MATCH("Jun 2026 Traffic",'Pass 2'!$1:$1,0),FALSE()),"")</f>
        <v/>
      </c>
      <c r="F274" s="1" t="str">
        <f aca="false">IFERROR(VLOOKUP(A274,'Pass 2'!$A:$S,MATCH("Traffic % Change",'Pass 2'!$1:$1,0),FALSE()),"")</f>
        <v/>
      </c>
      <c r="G274" s="1" t="str">
        <f aca="false">IFERROR(VLOOKUP(A274,'Pass 2'!$A:$S,MATCH("Jan 2025 Referring Domains",'Pass 2'!$1:$1,0),FALSE()),"")</f>
        <v/>
      </c>
      <c r="H274" s="1" t="str">
        <f aca="false">IFERROR(VLOOKUP(A274,'Pass 2'!$A:$S,MATCH("Jun 2026 Referring Domains",'Pass 2'!$1:$1,0),FALSE()),"")</f>
        <v/>
      </c>
    </row>
    <row r="275" customFormat="false" ht="15" hidden="false" customHeight="true" outlineLevel="0" collapsed="false">
      <c r="B275" s="1" t="str">
        <f aca="false">IFERROR(VLOOKUP(A275,'Pass 2'!$A:$S,MATCH("Category",'Pass 2'!$1:$1,0),FALSE()),"")</f>
        <v/>
      </c>
      <c r="C275" s="1" t="str">
        <f aca="false">IFERROR(VLOOKUP(A275,'Pass 1 Archive'!$A:$AD,MATCH("LinkedIn Employee Count",'Pass 1 Archive'!$1:$1,0),FALSE()),"")</f>
        <v/>
      </c>
      <c r="D275" s="1" t="str">
        <f aca="false">IFERROR(VLOOKUP(A275,'Pass 2'!$A:$S,MATCH("Jan 2025 Traffic",'Pass 2'!$1:$1,0),FALSE()),"")</f>
        <v/>
      </c>
      <c r="E275" s="1" t="str">
        <f aca="false">IFERROR(VLOOKUP(A275,'Pass 2'!$A:$S,MATCH("Jun 2026 Traffic",'Pass 2'!$1:$1,0),FALSE()),"")</f>
        <v/>
      </c>
      <c r="F275" s="1" t="str">
        <f aca="false">IFERROR(VLOOKUP(A275,'Pass 2'!$A:$S,MATCH("Traffic % Change",'Pass 2'!$1:$1,0),FALSE()),"")</f>
        <v/>
      </c>
      <c r="G275" s="1" t="str">
        <f aca="false">IFERROR(VLOOKUP(A275,'Pass 2'!$A:$S,MATCH("Jan 2025 Referring Domains",'Pass 2'!$1:$1,0),FALSE()),"")</f>
        <v/>
      </c>
      <c r="H275" s="1" t="str">
        <f aca="false">IFERROR(VLOOKUP(A275,'Pass 2'!$A:$S,MATCH("Jun 2026 Referring Domains",'Pass 2'!$1:$1,0),FALSE()),"")</f>
        <v/>
      </c>
    </row>
    <row r="276" customFormat="false" ht="15" hidden="false" customHeight="true" outlineLevel="0" collapsed="false">
      <c r="B276" s="1" t="str">
        <f aca="false">IFERROR(VLOOKUP(A276,'Pass 2'!$A:$S,MATCH("Category",'Pass 2'!$1:$1,0),FALSE()),"")</f>
        <v/>
      </c>
      <c r="C276" s="1" t="str">
        <f aca="false">IFERROR(VLOOKUP(A276,'Pass 1 Archive'!$A:$AD,MATCH("LinkedIn Employee Count",'Pass 1 Archive'!$1:$1,0),FALSE()),"")</f>
        <v/>
      </c>
      <c r="D276" s="1" t="str">
        <f aca="false">IFERROR(VLOOKUP(A276,'Pass 2'!$A:$S,MATCH("Jan 2025 Traffic",'Pass 2'!$1:$1,0),FALSE()),"")</f>
        <v/>
      </c>
      <c r="E276" s="1" t="str">
        <f aca="false">IFERROR(VLOOKUP(A276,'Pass 2'!$A:$S,MATCH("Jun 2026 Traffic",'Pass 2'!$1:$1,0),FALSE()),"")</f>
        <v/>
      </c>
      <c r="F276" s="1" t="str">
        <f aca="false">IFERROR(VLOOKUP(A276,'Pass 2'!$A:$S,MATCH("Traffic % Change",'Pass 2'!$1:$1,0),FALSE()),"")</f>
        <v/>
      </c>
      <c r="G276" s="1" t="str">
        <f aca="false">IFERROR(VLOOKUP(A276,'Pass 2'!$A:$S,MATCH("Jan 2025 Referring Domains",'Pass 2'!$1:$1,0),FALSE()),"")</f>
        <v/>
      </c>
      <c r="H276" s="1" t="str">
        <f aca="false">IFERROR(VLOOKUP(A276,'Pass 2'!$A:$S,MATCH("Jun 2026 Referring Domains",'Pass 2'!$1:$1,0),FALSE()),"")</f>
        <v/>
      </c>
    </row>
    <row r="277" customFormat="false" ht="15" hidden="false" customHeight="true" outlineLevel="0" collapsed="false">
      <c r="B277" s="1" t="str">
        <f aca="false">IFERROR(VLOOKUP(A277,'Pass 2'!$A:$S,MATCH("Category",'Pass 2'!$1:$1,0),FALSE()),"")</f>
        <v/>
      </c>
      <c r="C277" s="1" t="str">
        <f aca="false">IFERROR(VLOOKUP(A277,'Pass 1 Archive'!$A:$AD,MATCH("LinkedIn Employee Count",'Pass 1 Archive'!$1:$1,0),FALSE()),"")</f>
        <v/>
      </c>
      <c r="D277" s="1" t="str">
        <f aca="false">IFERROR(VLOOKUP(A277,'Pass 2'!$A:$S,MATCH("Jan 2025 Traffic",'Pass 2'!$1:$1,0),FALSE()),"")</f>
        <v/>
      </c>
      <c r="E277" s="1" t="str">
        <f aca="false">IFERROR(VLOOKUP(A277,'Pass 2'!$A:$S,MATCH("Jun 2026 Traffic",'Pass 2'!$1:$1,0),FALSE()),"")</f>
        <v/>
      </c>
      <c r="F277" s="1" t="str">
        <f aca="false">IFERROR(VLOOKUP(A277,'Pass 2'!$A:$S,MATCH("Traffic % Change",'Pass 2'!$1:$1,0),FALSE()),"")</f>
        <v/>
      </c>
      <c r="G277" s="1" t="str">
        <f aca="false">IFERROR(VLOOKUP(A277,'Pass 2'!$A:$S,MATCH("Jan 2025 Referring Domains",'Pass 2'!$1:$1,0),FALSE()),"")</f>
        <v/>
      </c>
      <c r="H277" s="1" t="str">
        <f aca="false">IFERROR(VLOOKUP(A277,'Pass 2'!$A:$S,MATCH("Jun 2026 Referring Domains",'Pass 2'!$1:$1,0),FALSE()),"")</f>
        <v/>
      </c>
    </row>
    <row r="278" customFormat="false" ht="15" hidden="false" customHeight="true" outlineLevel="0" collapsed="false">
      <c r="B278" s="1" t="str">
        <f aca="false">IFERROR(VLOOKUP(A278,'Pass 2'!$A:$S,MATCH("Category",'Pass 2'!$1:$1,0),FALSE()),"")</f>
        <v/>
      </c>
      <c r="C278" s="1" t="str">
        <f aca="false">IFERROR(VLOOKUP(A278,'Pass 1 Archive'!$A:$AD,MATCH("LinkedIn Employee Count",'Pass 1 Archive'!$1:$1,0),FALSE()),"")</f>
        <v/>
      </c>
      <c r="D278" s="1" t="str">
        <f aca="false">IFERROR(VLOOKUP(A278,'Pass 2'!$A:$S,MATCH("Jan 2025 Traffic",'Pass 2'!$1:$1,0),FALSE()),"")</f>
        <v/>
      </c>
      <c r="E278" s="1" t="str">
        <f aca="false">IFERROR(VLOOKUP(A278,'Pass 2'!$A:$S,MATCH("Jun 2026 Traffic",'Pass 2'!$1:$1,0),FALSE()),"")</f>
        <v/>
      </c>
      <c r="F278" s="1" t="str">
        <f aca="false">IFERROR(VLOOKUP(A278,'Pass 2'!$A:$S,MATCH("Traffic % Change",'Pass 2'!$1:$1,0),FALSE()),"")</f>
        <v/>
      </c>
      <c r="G278" s="1" t="str">
        <f aca="false">IFERROR(VLOOKUP(A278,'Pass 2'!$A:$S,MATCH("Jan 2025 Referring Domains",'Pass 2'!$1:$1,0),FALSE()),"")</f>
        <v/>
      </c>
      <c r="H278" s="1" t="str">
        <f aca="false">IFERROR(VLOOKUP(A278,'Pass 2'!$A:$S,MATCH("Jun 2026 Referring Domains",'Pass 2'!$1:$1,0),FALSE()),"")</f>
        <v/>
      </c>
    </row>
    <row r="279" customFormat="false" ht="15" hidden="false" customHeight="true" outlineLevel="0" collapsed="false">
      <c r="B279" s="1" t="str">
        <f aca="false">IFERROR(VLOOKUP(A279,'Pass 2'!$A:$S,MATCH("Category",'Pass 2'!$1:$1,0),FALSE()),"")</f>
        <v/>
      </c>
      <c r="C279" s="1" t="str">
        <f aca="false">IFERROR(VLOOKUP(A279,'Pass 1 Archive'!$A:$AD,MATCH("LinkedIn Employee Count",'Pass 1 Archive'!$1:$1,0),FALSE()),"")</f>
        <v/>
      </c>
      <c r="D279" s="1" t="str">
        <f aca="false">IFERROR(VLOOKUP(A279,'Pass 2'!$A:$S,MATCH("Jan 2025 Traffic",'Pass 2'!$1:$1,0),FALSE()),"")</f>
        <v/>
      </c>
      <c r="E279" s="1" t="str">
        <f aca="false">IFERROR(VLOOKUP(A279,'Pass 2'!$A:$S,MATCH("Jun 2026 Traffic",'Pass 2'!$1:$1,0),FALSE()),"")</f>
        <v/>
      </c>
      <c r="F279" s="1" t="str">
        <f aca="false">IFERROR(VLOOKUP(A279,'Pass 2'!$A:$S,MATCH("Traffic % Change",'Pass 2'!$1:$1,0),FALSE()),"")</f>
        <v/>
      </c>
      <c r="G279" s="1" t="str">
        <f aca="false">IFERROR(VLOOKUP(A279,'Pass 2'!$A:$S,MATCH("Jan 2025 Referring Domains",'Pass 2'!$1:$1,0),FALSE()),"")</f>
        <v/>
      </c>
      <c r="H279" s="1" t="str">
        <f aca="false">IFERROR(VLOOKUP(A279,'Pass 2'!$A:$S,MATCH("Jun 2026 Referring Domains",'Pass 2'!$1:$1,0),FALSE()),"")</f>
        <v/>
      </c>
    </row>
    <row r="280" customFormat="false" ht="15" hidden="false" customHeight="true" outlineLevel="0" collapsed="false">
      <c r="B280" s="1" t="str">
        <f aca="false">IFERROR(VLOOKUP(A280,'Pass 2'!$A:$S,MATCH("Category",'Pass 2'!$1:$1,0),FALSE()),"")</f>
        <v/>
      </c>
      <c r="C280" s="1" t="str">
        <f aca="false">IFERROR(VLOOKUP(A280,'Pass 1 Archive'!$A:$AD,MATCH("LinkedIn Employee Count",'Pass 1 Archive'!$1:$1,0),FALSE()),"")</f>
        <v/>
      </c>
      <c r="D280" s="1" t="str">
        <f aca="false">IFERROR(VLOOKUP(A280,'Pass 2'!$A:$S,MATCH("Jan 2025 Traffic",'Pass 2'!$1:$1,0),FALSE()),"")</f>
        <v/>
      </c>
      <c r="E280" s="1" t="str">
        <f aca="false">IFERROR(VLOOKUP(A280,'Pass 2'!$A:$S,MATCH("Jun 2026 Traffic",'Pass 2'!$1:$1,0),FALSE()),"")</f>
        <v/>
      </c>
      <c r="F280" s="1" t="str">
        <f aca="false">IFERROR(VLOOKUP(A280,'Pass 2'!$A:$S,MATCH("Traffic % Change",'Pass 2'!$1:$1,0),FALSE()),"")</f>
        <v/>
      </c>
      <c r="G280" s="1" t="str">
        <f aca="false">IFERROR(VLOOKUP(A280,'Pass 2'!$A:$S,MATCH("Jan 2025 Referring Domains",'Pass 2'!$1:$1,0),FALSE()),"")</f>
        <v/>
      </c>
      <c r="H280" s="1" t="str">
        <f aca="false">IFERROR(VLOOKUP(A280,'Pass 2'!$A:$S,MATCH("Jun 2026 Referring Domains",'Pass 2'!$1:$1,0),FALSE()),"")</f>
        <v/>
      </c>
    </row>
    <row r="281" customFormat="false" ht="15" hidden="false" customHeight="true" outlineLevel="0" collapsed="false">
      <c r="B281" s="1" t="str">
        <f aca="false">IFERROR(VLOOKUP(A281,'Pass 2'!$A:$S,MATCH("Category",'Pass 2'!$1:$1,0),FALSE()),"")</f>
        <v/>
      </c>
      <c r="C281" s="1" t="str">
        <f aca="false">IFERROR(VLOOKUP(A281,'Pass 1 Archive'!$A:$AD,MATCH("LinkedIn Employee Count",'Pass 1 Archive'!$1:$1,0),FALSE()),"")</f>
        <v/>
      </c>
      <c r="D281" s="1" t="str">
        <f aca="false">IFERROR(VLOOKUP(A281,'Pass 2'!$A:$S,MATCH("Jan 2025 Traffic",'Pass 2'!$1:$1,0),FALSE()),"")</f>
        <v/>
      </c>
      <c r="E281" s="1" t="str">
        <f aca="false">IFERROR(VLOOKUP(A281,'Pass 2'!$A:$S,MATCH("Jun 2026 Traffic",'Pass 2'!$1:$1,0),FALSE()),"")</f>
        <v/>
      </c>
      <c r="F281" s="1" t="str">
        <f aca="false">IFERROR(VLOOKUP(A281,'Pass 2'!$A:$S,MATCH("Traffic % Change",'Pass 2'!$1:$1,0),FALSE()),"")</f>
        <v/>
      </c>
      <c r="G281" s="1" t="str">
        <f aca="false">IFERROR(VLOOKUP(A281,'Pass 2'!$A:$S,MATCH("Jan 2025 Referring Domains",'Pass 2'!$1:$1,0),FALSE()),"")</f>
        <v/>
      </c>
      <c r="H281" s="1" t="str">
        <f aca="false">IFERROR(VLOOKUP(A281,'Pass 2'!$A:$S,MATCH("Jun 2026 Referring Domains",'Pass 2'!$1:$1,0),FALSE()),"")</f>
        <v/>
      </c>
    </row>
    <row r="282" customFormat="false" ht="15" hidden="false" customHeight="true" outlineLevel="0" collapsed="false">
      <c r="B282" s="1" t="str">
        <f aca="false">IFERROR(VLOOKUP(A282,'Pass 2'!$A:$S,MATCH("Category",'Pass 2'!$1:$1,0),FALSE()),"")</f>
        <v/>
      </c>
      <c r="C282" s="1" t="str">
        <f aca="false">IFERROR(VLOOKUP(A282,'Pass 1 Archive'!$A:$AD,MATCH("LinkedIn Employee Count",'Pass 1 Archive'!$1:$1,0),FALSE()),"")</f>
        <v/>
      </c>
      <c r="D282" s="1" t="str">
        <f aca="false">IFERROR(VLOOKUP(A282,'Pass 2'!$A:$S,MATCH("Jan 2025 Traffic",'Pass 2'!$1:$1,0),FALSE()),"")</f>
        <v/>
      </c>
      <c r="E282" s="1" t="str">
        <f aca="false">IFERROR(VLOOKUP(A282,'Pass 2'!$A:$S,MATCH("Jun 2026 Traffic",'Pass 2'!$1:$1,0),FALSE()),"")</f>
        <v/>
      </c>
      <c r="F282" s="1" t="str">
        <f aca="false">IFERROR(VLOOKUP(A282,'Pass 2'!$A:$S,MATCH("Traffic % Change",'Pass 2'!$1:$1,0),FALSE()),"")</f>
        <v/>
      </c>
      <c r="G282" s="1" t="str">
        <f aca="false">IFERROR(VLOOKUP(A282,'Pass 2'!$A:$S,MATCH("Jan 2025 Referring Domains",'Pass 2'!$1:$1,0),FALSE()),"")</f>
        <v/>
      </c>
      <c r="H282" s="1" t="str">
        <f aca="false">IFERROR(VLOOKUP(A282,'Pass 2'!$A:$S,MATCH("Jun 2026 Referring Domains",'Pass 2'!$1:$1,0),FALSE()),"")</f>
        <v/>
      </c>
    </row>
    <row r="283" customFormat="false" ht="15" hidden="false" customHeight="true" outlineLevel="0" collapsed="false">
      <c r="B283" s="1" t="str">
        <f aca="false">IFERROR(VLOOKUP(A283,'Pass 2'!$A:$S,MATCH("Category",'Pass 2'!$1:$1,0),FALSE()),"")</f>
        <v/>
      </c>
      <c r="C283" s="1" t="str">
        <f aca="false">IFERROR(VLOOKUP(A283,'Pass 1 Archive'!$A:$AD,MATCH("LinkedIn Employee Count",'Pass 1 Archive'!$1:$1,0),FALSE()),"")</f>
        <v/>
      </c>
      <c r="D283" s="1" t="str">
        <f aca="false">IFERROR(VLOOKUP(A283,'Pass 2'!$A:$S,MATCH("Jan 2025 Traffic",'Pass 2'!$1:$1,0),FALSE()),"")</f>
        <v/>
      </c>
      <c r="E283" s="1" t="str">
        <f aca="false">IFERROR(VLOOKUP(A283,'Pass 2'!$A:$S,MATCH("Jun 2026 Traffic",'Pass 2'!$1:$1,0),FALSE()),"")</f>
        <v/>
      </c>
      <c r="F283" s="1" t="str">
        <f aca="false">IFERROR(VLOOKUP(A283,'Pass 2'!$A:$S,MATCH("Traffic % Change",'Pass 2'!$1:$1,0),FALSE()),"")</f>
        <v/>
      </c>
      <c r="G283" s="1" t="str">
        <f aca="false">IFERROR(VLOOKUP(A283,'Pass 2'!$A:$S,MATCH("Jan 2025 Referring Domains",'Pass 2'!$1:$1,0),FALSE()),"")</f>
        <v/>
      </c>
      <c r="H283" s="1" t="str">
        <f aca="false">IFERROR(VLOOKUP(A283,'Pass 2'!$A:$S,MATCH("Jun 2026 Referring Domains",'Pass 2'!$1:$1,0),FALSE()),"")</f>
        <v/>
      </c>
    </row>
    <row r="284" customFormat="false" ht="15" hidden="false" customHeight="true" outlineLevel="0" collapsed="false">
      <c r="B284" s="1" t="str">
        <f aca="false">IFERROR(VLOOKUP(A284,'Pass 2'!$A:$S,MATCH("Category",'Pass 2'!$1:$1,0),FALSE()),"")</f>
        <v/>
      </c>
      <c r="C284" s="1" t="str">
        <f aca="false">IFERROR(VLOOKUP(A284,'Pass 1 Archive'!$A:$AD,MATCH("LinkedIn Employee Count",'Pass 1 Archive'!$1:$1,0),FALSE()),"")</f>
        <v/>
      </c>
      <c r="D284" s="1" t="str">
        <f aca="false">IFERROR(VLOOKUP(A284,'Pass 2'!$A:$S,MATCH("Jan 2025 Traffic",'Pass 2'!$1:$1,0),FALSE()),"")</f>
        <v/>
      </c>
      <c r="E284" s="1" t="str">
        <f aca="false">IFERROR(VLOOKUP(A284,'Pass 2'!$A:$S,MATCH("Jun 2026 Traffic",'Pass 2'!$1:$1,0),FALSE()),"")</f>
        <v/>
      </c>
      <c r="F284" s="1" t="str">
        <f aca="false">IFERROR(VLOOKUP(A284,'Pass 2'!$A:$S,MATCH("Traffic % Change",'Pass 2'!$1:$1,0),FALSE()),"")</f>
        <v/>
      </c>
      <c r="G284" s="1" t="str">
        <f aca="false">IFERROR(VLOOKUP(A284,'Pass 2'!$A:$S,MATCH("Jan 2025 Referring Domains",'Pass 2'!$1:$1,0),FALSE()),"")</f>
        <v/>
      </c>
      <c r="H284" s="1" t="str">
        <f aca="false">IFERROR(VLOOKUP(A284,'Pass 2'!$A:$S,MATCH("Jun 2026 Referring Domains",'Pass 2'!$1:$1,0),FALSE()),"")</f>
        <v/>
      </c>
    </row>
    <row r="285" customFormat="false" ht="15" hidden="false" customHeight="true" outlineLevel="0" collapsed="false">
      <c r="B285" s="1" t="str">
        <f aca="false">IFERROR(VLOOKUP(A285,'Pass 2'!$A:$S,MATCH("Category",'Pass 2'!$1:$1,0),FALSE()),"")</f>
        <v/>
      </c>
      <c r="C285" s="1" t="str">
        <f aca="false">IFERROR(VLOOKUP(A285,'Pass 1 Archive'!$A:$AD,MATCH("LinkedIn Employee Count",'Pass 1 Archive'!$1:$1,0),FALSE()),"")</f>
        <v/>
      </c>
      <c r="D285" s="1" t="str">
        <f aca="false">IFERROR(VLOOKUP(A285,'Pass 2'!$A:$S,MATCH("Jan 2025 Traffic",'Pass 2'!$1:$1,0),FALSE()),"")</f>
        <v/>
      </c>
      <c r="E285" s="1" t="str">
        <f aca="false">IFERROR(VLOOKUP(A285,'Pass 2'!$A:$S,MATCH("Jun 2026 Traffic",'Pass 2'!$1:$1,0),FALSE()),"")</f>
        <v/>
      </c>
      <c r="F285" s="1" t="str">
        <f aca="false">IFERROR(VLOOKUP(A285,'Pass 2'!$A:$S,MATCH("Traffic % Change",'Pass 2'!$1:$1,0),FALSE()),"")</f>
        <v/>
      </c>
      <c r="G285" s="1" t="str">
        <f aca="false">IFERROR(VLOOKUP(A285,'Pass 2'!$A:$S,MATCH("Jan 2025 Referring Domains",'Pass 2'!$1:$1,0),FALSE()),"")</f>
        <v/>
      </c>
      <c r="H285" s="1" t="str">
        <f aca="false">IFERROR(VLOOKUP(A285,'Pass 2'!$A:$S,MATCH("Jun 2026 Referring Domains",'Pass 2'!$1:$1,0),FALSE()),"")</f>
        <v/>
      </c>
    </row>
    <row r="286" customFormat="false" ht="15" hidden="false" customHeight="true" outlineLevel="0" collapsed="false">
      <c r="B286" s="1" t="str">
        <f aca="false">IFERROR(VLOOKUP(A286,'Pass 2'!$A:$S,MATCH("Category",'Pass 2'!$1:$1,0),FALSE()),"")</f>
        <v/>
      </c>
      <c r="C286" s="1" t="str">
        <f aca="false">IFERROR(VLOOKUP(A286,'Pass 1 Archive'!$A:$AD,MATCH("LinkedIn Employee Count",'Pass 1 Archive'!$1:$1,0),FALSE()),"")</f>
        <v/>
      </c>
      <c r="D286" s="1" t="str">
        <f aca="false">IFERROR(VLOOKUP(A286,'Pass 2'!$A:$S,MATCH("Jan 2025 Traffic",'Pass 2'!$1:$1,0),FALSE()),"")</f>
        <v/>
      </c>
      <c r="E286" s="1" t="str">
        <f aca="false">IFERROR(VLOOKUP(A286,'Pass 2'!$A:$S,MATCH("Jun 2026 Traffic",'Pass 2'!$1:$1,0),FALSE()),"")</f>
        <v/>
      </c>
      <c r="F286" s="1" t="str">
        <f aca="false">IFERROR(VLOOKUP(A286,'Pass 2'!$A:$S,MATCH("Traffic % Change",'Pass 2'!$1:$1,0),FALSE()),"")</f>
        <v/>
      </c>
      <c r="G286" s="1" t="str">
        <f aca="false">IFERROR(VLOOKUP(A286,'Pass 2'!$A:$S,MATCH("Jan 2025 Referring Domains",'Pass 2'!$1:$1,0),FALSE()),"")</f>
        <v/>
      </c>
      <c r="H286" s="1" t="str">
        <f aca="false">IFERROR(VLOOKUP(A286,'Pass 2'!$A:$S,MATCH("Jun 2026 Referring Domains",'Pass 2'!$1:$1,0),FALSE()),"")</f>
        <v/>
      </c>
    </row>
    <row r="287" customFormat="false" ht="15" hidden="false" customHeight="true" outlineLevel="0" collapsed="false">
      <c r="B287" s="1" t="str">
        <f aca="false">IFERROR(VLOOKUP(A287,'Pass 2'!$A:$S,MATCH("Category",'Pass 2'!$1:$1,0),FALSE()),"")</f>
        <v/>
      </c>
      <c r="C287" s="1" t="str">
        <f aca="false">IFERROR(VLOOKUP(A287,'Pass 1 Archive'!$A:$AD,MATCH("LinkedIn Employee Count",'Pass 1 Archive'!$1:$1,0),FALSE()),"")</f>
        <v/>
      </c>
      <c r="D287" s="1" t="str">
        <f aca="false">IFERROR(VLOOKUP(A287,'Pass 2'!$A:$S,MATCH("Jan 2025 Traffic",'Pass 2'!$1:$1,0),FALSE()),"")</f>
        <v/>
      </c>
      <c r="E287" s="1" t="str">
        <f aca="false">IFERROR(VLOOKUP(A287,'Pass 2'!$A:$S,MATCH("Jun 2026 Traffic",'Pass 2'!$1:$1,0),FALSE()),"")</f>
        <v/>
      </c>
      <c r="F287" s="1" t="str">
        <f aca="false">IFERROR(VLOOKUP(A287,'Pass 2'!$A:$S,MATCH("Traffic % Change",'Pass 2'!$1:$1,0),FALSE()),"")</f>
        <v/>
      </c>
      <c r="G287" s="1" t="str">
        <f aca="false">IFERROR(VLOOKUP(A287,'Pass 2'!$A:$S,MATCH("Jan 2025 Referring Domains",'Pass 2'!$1:$1,0),FALSE()),"")</f>
        <v/>
      </c>
      <c r="H287" s="1" t="str">
        <f aca="false">IFERROR(VLOOKUP(A287,'Pass 2'!$A:$S,MATCH("Jun 2026 Referring Domains",'Pass 2'!$1:$1,0),FALSE()),"")</f>
        <v/>
      </c>
    </row>
    <row r="288" customFormat="false" ht="15" hidden="false" customHeight="true" outlineLevel="0" collapsed="false">
      <c r="B288" s="1" t="str">
        <f aca="false">IFERROR(VLOOKUP(A288,'Pass 2'!$A:$S,MATCH("Category",'Pass 2'!$1:$1,0),FALSE()),"")</f>
        <v/>
      </c>
      <c r="C288" s="1" t="str">
        <f aca="false">IFERROR(VLOOKUP(A288,'Pass 1 Archive'!$A:$AD,MATCH("LinkedIn Employee Count",'Pass 1 Archive'!$1:$1,0),FALSE()),"")</f>
        <v/>
      </c>
      <c r="D288" s="1" t="str">
        <f aca="false">IFERROR(VLOOKUP(A288,'Pass 2'!$A:$S,MATCH("Jan 2025 Traffic",'Pass 2'!$1:$1,0),FALSE()),"")</f>
        <v/>
      </c>
      <c r="E288" s="1" t="str">
        <f aca="false">IFERROR(VLOOKUP(A288,'Pass 2'!$A:$S,MATCH("Jun 2026 Traffic",'Pass 2'!$1:$1,0),FALSE()),"")</f>
        <v/>
      </c>
      <c r="F288" s="1" t="str">
        <f aca="false">IFERROR(VLOOKUP(A288,'Pass 2'!$A:$S,MATCH("Traffic % Change",'Pass 2'!$1:$1,0),FALSE()),"")</f>
        <v/>
      </c>
      <c r="G288" s="1" t="str">
        <f aca="false">IFERROR(VLOOKUP(A288,'Pass 2'!$A:$S,MATCH("Jan 2025 Referring Domains",'Pass 2'!$1:$1,0),FALSE()),"")</f>
        <v/>
      </c>
      <c r="H288" s="1" t="str">
        <f aca="false">IFERROR(VLOOKUP(A288,'Pass 2'!$A:$S,MATCH("Jun 2026 Referring Domains",'Pass 2'!$1:$1,0),FALSE()),"")</f>
        <v/>
      </c>
    </row>
    <row r="289" customFormat="false" ht="15" hidden="false" customHeight="true" outlineLevel="0" collapsed="false">
      <c r="B289" s="1" t="str">
        <f aca="false">IFERROR(VLOOKUP(A289,'Pass 2'!$A:$S,MATCH("Category",'Pass 2'!$1:$1,0),FALSE()),"")</f>
        <v/>
      </c>
      <c r="C289" s="1" t="str">
        <f aca="false">IFERROR(VLOOKUP(A289,'Pass 1 Archive'!$A:$AD,MATCH("LinkedIn Employee Count",'Pass 1 Archive'!$1:$1,0),FALSE()),"")</f>
        <v/>
      </c>
      <c r="D289" s="1" t="str">
        <f aca="false">IFERROR(VLOOKUP(A289,'Pass 2'!$A:$S,MATCH("Jan 2025 Traffic",'Pass 2'!$1:$1,0),FALSE()),"")</f>
        <v/>
      </c>
      <c r="E289" s="1" t="str">
        <f aca="false">IFERROR(VLOOKUP(A289,'Pass 2'!$A:$S,MATCH("Jun 2026 Traffic",'Pass 2'!$1:$1,0),FALSE()),"")</f>
        <v/>
      </c>
      <c r="F289" s="1" t="str">
        <f aca="false">IFERROR(VLOOKUP(A289,'Pass 2'!$A:$S,MATCH("Traffic % Change",'Pass 2'!$1:$1,0),FALSE()),"")</f>
        <v/>
      </c>
      <c r="G289" s="1" t="str">
        <f aca="false">IFERROR(VLOOKUP(A289,'Pass 2'!$A:$S,MATCH("Jan 2025 Referring Domains",'Pass 2'!$1:$1,0),FALSE()),"")</f>
        <v/>
      </c>
      <c r="H289" s="1" t="str">
        <f aca="false">IFERROR(VLOOKUP(A289,'Pass 2'!$A:$S,MATCH("Jun 2026 Referring Domains",'Pass 2'!$1:$1,0),FALSE()),"")</f>
        <v/>
      </c>
    </row>
    <row r="290" customFormat="false" ht="15" hidden="false" customHeight="true" outlineLevel="0" collapsed="false">
      <c r="B290" s="1" t="str">
        <f aca="false">IFERROR(VLOOKUP(A290,'Pass 2'!$A:$S,MATCH("Category",'Pass 2'!$1:$1,0),FALSE()),"")</f>
        <v/>
      </c>
      <c r="C290" s="1" t="str">
        <f aca="false">IFERROR(VLOOKUP(A290,'Pass 1 Archive'!$A:$AD,MATCH("LinkedIn Employee Count",'Pass 1 Archive'!$1:$1,0),FALSE()),"")</f>
        <v/>
      </c>
      <c r="D290" s="1" t="str">
        <f aca="false">IFERROR(VLOOKUP(A290,'Pass 2'!$A:$S,MATCH("Jan 2025 Traffic",'Pass 2'!$1:$1,0),FALSE()),"")</f>
        <v/>
      </c>
      <c r="E290" s="1" t="str">
        <f aca="false">IFERROR(VLOOKUP(A290,'Pass 2'!$A:$S,MATCH("Jun 2026 Traffic",'Pass 2'!$1:$1,0),FALSE()),"")</f>
        <v/>
      </c>
      <c r="F290" s="1" t="str">
        <f aca="false">IFERROR(VLOOKUP(A290,'Pass 2'!$A:$S,MATCH("Traffic % Change",'Pass 2'!$1:$1,0),FALSE()),"")</f>
        <v/>
      </c>
      <c r="G290" s="1" t="str">
        <f aca="false">IFERROR(VLOOKUP(A290,'Pass 2'!$A:$S,MATCH("Jan 2025 Referring Domains",'Pass 2'!$1:$1,0),FALSE()),"")</f>
        <v/>
      </c>
      <c r="H290" s="1" t="str">
        <f aca="false">IFERROR(VLOOKUP(A290,'Pass 2'!$A:$S,MATCH("Jun 2026 Referring Domains",'Pass 2'!$1:$1,0),FALSE()),"")</f>
        <v/>
      </c>
    </row>
    <row r="291" customFormat="false" ht="15" hidden="false" customHeight="true" outlineLevel="0" collapsed="false">
      <c r="B291" s="1" t="str">
        <f aca="false">IFERROR(VLOOKUP(A291,'Pass 2'!$A:$S,MATCH("Category",'Pass 2'!$1:$1,0),FALSE()),"")</f>
        <v/>
      </c>
      <c r="C291" s="1" t="str">
        <f aca="false">IFERROR(VLOOKUP(A291,'Pass 1 Archive'!$A:$AD,MATCH("LinkedIn Employee Count",'Pass 1 Archive'!$1:$1,0),FALSE()),"")</f>
        <v/>
      </c>
      <c r="D291" s="1" t="str">
        <f aca="false">IFERROR(VLOOKUP(A291,'Pass 2'!$A:$S,MATCH("Jan 2025 Traffic",'Pass 2'!$1:$1,0),FALSE()),"")</f>
        <v/>
      </c>
      <c r="E291" s="1" t="str">
        <f aca="false">IFERROR(VLOOKUP(A291,'Pass 2'!$A:$S,MATCH("Jun 2026 Traffic",'Pass 2'!$1:$1,0),FALSE()),"")</f>
        <v/>
      </c>
      <c r="F291" s="1" t="str">
        <f aca="false">IFERROR(VLOOKUP(A291,'Pass 2'!$A:$S,MATCH("Traffic % Change",'Pass 2'!$1:$1,0),FALSE()),"")</f>
        <v/>
      </c>
      <c r="G291" s="1" t="str">
        <f aca="false">IFERROR(VLOOKUP(A291,'Pass 2'!$A:$S,MATCH("Jan 2025 Referring Domains",'Pass 2'!$1:$1,0),FALSE()),"")</f>
        <v/>
      </c>
      <c r="H291" s="1" t="str">
        <f aca="false">IFERROR(VLOOKUP(A291,'Pass 2'!$A:$S,MATCH("Jun 2026 Referring Domains",'Pass 2'!$1:$1,0),FALSE()),"")</f>
        <v/>
      </c>
    </row>
    <row r="292" customFormat="false" ht="15" hidden="false" customHeight="true" outlineLevel="0" collapsed="false">
      <c r="B292" s="1" t="str">
        <f aca="false">IFERROR(VLOOKUP(A292,'Pass 2'!$A:$S,MATCH("Category",'Pass 2'!$1:$1,0),FALSE()),"")</f>
        <v/>
      </c>
      <c r="C292" s="1" t="str">
        <f aca="false">IFERROR(VLOOKUP(A292,'Pass 1 Archive'!$A:$AD,MATCH("LinkedIn Employee Count",'Pass 1 Archive'!$1:$1,0),FALSE()),"")</f>
        <v/>
      </c>
      <c r="D292" s="1" t="str">
        <f aca="false">IFERROR(VLOOKUP(A292,'Pass 2'!$A:$S,MATCH("Jan 2025 Traffic",'Pass 2'!$1:$1,0),FALSE()),"")</f>
        <v/>
      </c>
      <c r="E292" s="1" t="str">
        <f aca="false">IFERROR(VLOOKUP(A292,'Pass 2'!$A:$S,MATCH("Jun 2026 Traffic",'Pass 2'!$1:$1,0),FALSE()),"")</f>
        <v/>
      </c>
      <c r="F292" s="1" t="str">
        <f aca="false">IFERROR(VLOOKUP(A292,'Pass 2'!$A:$S,MATCH("Traffic % Change",'Pass 2'!$1:$1,0),FALSE()),"")</f>
        <v/>
      </c>
      <c r="G292" s="1" t="str">
        <f aca="false">IFERROR(VLOOKUP(A292,'Pass 2'!$A:$S,MATCH("Jan 2025 Referring Domains",'Pass 2'!$1:$1,0),FALSE()),"")</f>
        <v/>
      </c>
      <c r="H292" s="1" t="str">
        <f aca="false">IFERROR(VLOOKUP(A292,'Pass 2'!$A:$S,MATCH("Jun 2026 Referring Domains",'Pass 2'!$1:$1,0),FALSE()),"")</f>
        <v/>
      </c>
    </row>
    <row r="293" customFormat="false" ht="15" hidden="false" customHeight="true" outlineLevel="0" collapsed="false">
      <c r="B293" s="1" t="str">
        <f aca="false">IFERROR(VLOOKUP(A293,'Pass 2'!$A:$S,MATCH("Category",'Pass 2'!$1:$1,0),FALSE()),"")</f>
        <v/>
      </c>
      <c r="C293" s="1" t="str">
        <f aca="false">IFERROR(VLOOKUP(A293,'Pass 1 Archive'!$A:$AD,MATCH("LinkedIn Employee Count",'Pass 1 Archive'!$1:$1,0),FALSE()),"")</f>
        <v/>
      </c>
      <c r="D293" s="1" t="str">
        <f aca="false">IFERROR(VLOOKUP(A293,'Pass 2'!$A:$S,MATCH("Jan 2025 Traffic",'Pass 2'!$1:$1,0),FALSE()),"")</f>
        <v/>
      </c>
      <c r="E293" s="1" t="str">
        <f aca="false">IFERROR(VLOOKUP(A293,'Pass 2'!$A:$S,MATCH("Jun 2026 Traffic",'Pass 2'!$1:$1,0),FALSE()),"")</f>
        <v/>
      </c>
      <c r="F293" s="1" t="str">
        <f aca="false">IFERROR(VLOOKUP(A293,'Pass 2'!$A:$S,MATCH("Traffic % Change",'Pass 2'!$1:$1,0),FALSE()),"")</f>
        <v/>
      </c>
      <c r="G293" s="1" t="str">
        <f aca="false">IFERROR(VLOOKUP(A293,'Pass 2'!$A:$S,MATCH("Jan 2025 Referring Domains",'Pass 2'!$1:$1,0),FALSE()),"")</f>
        <v/>
      </c>
      <c r="H293" s="1" t="str">
        <f aca="false">IFERROR(VLOOKUP(A293,'Pass 2'!$A:$S,MATCH("Jun 2026 Referring Domains",'Pass 2'!$1:$1,0),FALSE()),"")</f>
        <v/>
      </c>
    </row>
    <row r="294" customFormat="false" ht="15" hidden="false" customHeight="true" outlineLevel="0" collapsed="false">
      <c r="B294" s="1" t="str">
        <f aca="false">IFERROR(VLOOKUP(A294,'Pass 2'!$A:$S,MATCH("Category",'Pass 2'!$1:$1,0),FALSE()),"")</f>
        <v/>
      </c>
      <c r="C294" s="1" t="str">
        <f aca="false">IFERROR(VLOOKUP(A294,'Pass 1 Archive'!$A:$AD,MATCH("LinkedIn Employee Count",'Pass 1 Archive'!$1:$1,0),FALSE()),"")</f>
        <v/>
      </c>
      <c r="D294" s="1" t="str">
        <f aca="false">IFERROR(VLOOKUP(A294,'Pass 2'!$A:$S,MATCH("Jan 2025 Traffic",'Pass 2'!$1:$1,0),FALSE()),"")</f>
        <v/>
      </c>
      <c r="E294" s="1" t="str">
        <f aca="false">IFERROR(VLOOKUP(A294,'Pass 2'!$A:$S,MATCH("Jun 2026 Traffic",'Pass 2'!$1:$1,0),FALSE()),"")</f>
        <v/>
      </c>
      <c r="F294" s="1" t="str">
        <f aca="false">IFERROR(VLOOKUP(A294,'Pass 2'!$A:$S,MATCH("Traffic % Change",'Pass 2'!$1:$1,0),FALSE()),"")</f>
        <v/>
      </c>
      <c r="G294" s="1" t="str">
        <f aca="false">IFERROR(VLOOKUP(A294,'Pass 2'!$A:$S,MATCH("Jan 2025 Referring Domains",'Pass 2'!$1:$1,0),FALSE()),"")</f>
        <v/>
      </c>
      <c r="H294" s="1" t="str">
        <f aca="false">IFERROR(VLOOKUP(A294,'Pass 2'!$A:$S,MATCH("Jun 2026 Referring Domains",'Pass 2'!$1:$1,0),FALSE()),"")</f>
        <v/>
      </c>
    </row>
    <row r="295" customFormat="false" ht="15" hidden="false" customHeight="true" outlineLevel="0" collapsed="false">
      <c r="B295" s="1" t="str">
        <f aca="false">IFERROR(VLOOKUP(A295,'Pass 2'!$A:$S,MATCH("Category",'Pass 2'!$1:$1,0),FALSE()),"")</f>
        <v/>
      </c>
      <c r="C295" s="1" t="str">
        <f aca="false">IFERROR(VLOOKUP(A295,'Pass 1 Archive'!$A:$AD,MATCH("LinkedIn Employee Count",'Pass 1 Archive'!$1:$1,0),FALSE()),"")</f>
        <v/>
      </c>
      <c r="D295" s="1" t="str">
        <f aca="false">IFERROR(VLOOKUP(A295,'Pass 2'!$A:$S,MATCH("Jan 2025 Traffic",'Pass 2'!$1:$1,0),FALSE()),"")</f>
        <v/>
      </c>
      <c r="E295" s="1" t="str">
        <f aca="false">IFERROR(VLOOKUP(A295,'Pass 2'!$A:$S,MATCH("Jun 2026 Traffic",'Pass 2'!$1:$1,0),FALSE()),"")</f>
        <v/>
      </c>
      <c r="F295" s="1" t="str">
        <f aca="false">IFERROR(VLOOKUP(A295,'Pass 2'!$A:$S,MATCH("Traffic % Change",'Pass 2'!$1:$1,0),FALSE()),"")</f>
        <v/>
      </c>
      <c r="G295" s="1" t="str">
        <f aca="false">IFERROR(VLOOKUP(A295,'Pass 2'!$A:$S,MATCH("Jan 2025 Referring Domains",'Pass 2'!$1:$1,0),FALSE()),"")</f>
        <v/>
      </c>
      <c r="H295" s="1" t="str">
        <f aca="false">IFERROR(VLOOKUP(A295,'Pass 2'!$A:$S,MATCH("Jun 2026 Referring Domains",'Pass 2'!$1:$1,0),FALSE()),"")</f>
        <v/>
      </c>
    </row>
    <row r="296" customFormat="false" ht="15" hidden="false" customHeight="true" outlineLevel="0" collapsed="false">
      <c r="B296" s="1" t="str">
        <f aca="false">IFERROR(VLOOKUP(A296,'Pass 2'!$A:$S,MATCH("Category",'Pass 2'!$1:$1,0),FALSE()),"")</f>
        <v/>
      </c>
      <c r="C296" s="1" t="str">
        <f aca="false">IFERROR(VLOOKUP(A296,'Pass 1 Archive'!$A:$AD,MATCH("LinkedIn Employee Count",'Pass 1 Archive'!$1:$1,0),FALSE()),"")</f>
        <v/>
      </c>
      <c r="D296" s="1" t="str">
        <f aca="false">IFERROR(VLOOKUP(A296,'Pass 2'!$A:$S,MATCH("Jan 2025 Traffic",'Pass 2'!$1:$1,0),FALSE()),"")</f>
        <v/>
      </c>
      <c r="E296" s="1" t="str">
        <f aca="false">IFERROR(VLOOKUP(A296,'Pass 2'!$A:$S,MATCH("Jun 2026 Traffic",'Pass 2'!$1:$1,0),FALSE()),"")</f>
        <v/>
      </c>
      <c r="F296" s="1" t="str">
        <f aca="false">IFERROR(VLOOKUP(A296,'Pass 2'!$A:$S,MATCH("Traffic % Change",'Pass 2'!$1:$1,0),FALSE()),"")</f>
        <v/>
      </c>
      <c r="G296" s="1" t="str">
        <f aca="false">IFERROR(VLOOKUP(A296,'Pass 2'!$A:$S,MATCH("Jan 2025 Referring Domains",'Pass 2'!$1:$1,0),FALSE()),"")</f>
        <v/>
      </c>
      <c r="H296" s="1" t="str">
        <f aca="false">IFERROR(VLOOKUP(A296,'Pass 2'!$A:$S,MATCH("Jun 2026 Referring Domains",'Pass 2'!$1:$1,0),FALSE()),"")</f>
        <v/>
      </c>
    </row>
    <row r="297" customFormat="false" ht="15" hidden="false" customHeight="true" outlineLevel="0" collapsed="false">
      <c r="B297" s="1" t="str">
        <f aca="false">IFERROR(VLOOKUP(A297,'Pass 2'!$A:$S,MATCH("Category",'Pass 2'!$1:$1,0),FALSE()),"")</f>
        <v/>
      </c>
      <c r="C297" s="1" t="str">
        <f aca="false">IFERROR(VLOOKUP(A297,'Pass 1 Archive'!$A:$AD,MATCH("LinkedIn Employee Count",'Pass 1 Archive'!$1:$1,0),FALSE()),"")</f>
        <v/>
      </c>
      <c r="D297" s="1" t="str">
        <f aca="false">IFERROR(VLOOKUP(A297,'Pass 2'!$A:$S,MATCH("Jan 2025 Traffic",'Pass 2'!$1:$1,0),FALSE()),"")</f>
        <v/>
      </c>
      <c r="E297" s="1" t="str">
        <f aca="false">IFERROR(VLOOKUP(A297,'Pass 2'!$A:$S,MATCH("Jun 2026 Traffic",'Pass 2'!$1:$1,0),FALSE()),"")</f>
        <v/>
      </c>
      <c r="F297" s="1" t="str">
        <f aca="false">IFERROR(VLOOKUP(A297,'Pass 2'!$A:$S,MATCH("Traffic % Change",'Pass 2'!$1:$1,0),FALSE()),"")</f>
        <v/>
      </c>
      <c r="G297" s="1" t="str">
        <f aca="false">IFERROR(VLOOKUP(A297,'Pass 2'!$A:$S,MATCH("Jan 2025 Referring Domains",'Pass 2'!$1:$1,0),FALSE()),"")</f>
        <v/>
      </c>
      <c r="H297" s="1" t="str">
        <f aca="false">IFERROR(VLOOKUP(A297,'Pass 2'!$A:$S,MATCH("Jun 2026 Referring Domains",'Pass 2'!$1:$1,0),FALSE()),"")</f>
        <v/>
      </c>
    </row>
    <row r="298" customFormat="false" ht="15" hidden="false" customHeight="true" outlineLevel="0" collapsed="false">
      <c r="B298" s="1" t="str">
        <f aca="false">IFERROR(VLOOKUP(A298,'Pass 2'!$A:$S,MATCH("Category",'Pass 2'!$1:$1,0),FALSE()),"")</f>
        <v/>
      </c>
      <c r="C298" s="1" t="str">
        <f aca="false">IFERROR(VLOOKUP(A298,'Pass 1 Archive'!$A:$AD,MATCH("LinkedIn Employee Count",'Pass 1 Archive'!$1:$1,0),FALSE()),"")</f>
        <v/>
      </c>
      <c r="D298" s="1" t="str">
        <f aca="false">IFERROR(VLOOKUP(A298,'Pass 2'!$A:$S,MATCH("Jan 2025 Traffic",'Pass 2'!$1:$1,0),FALSE()),"")</f>
        <v/>
      </c>
      <c r="E298" s="1" t="str">
        <f aca="false">IFERROR(VLOOKUP(A298,'Pass 2'!$A:$S,MATCH("Jun 2026 Traffic",'Pass 2'!$1:$1,0),FALSE()),"")</f>
        <v/>
      </c>
      <c r="F298" s="1" t="str">
        <f aca="false">IFERROR(VLOOKUP(A298,'Pass 2'!$A:$S,MATCH("Traffic % Change",'Pass 2'!$1:$1,0),FALSE()),"")</f>
        <v/>
      </c>
      <c r="G298" s="1" t="str">
        <f aca="false">IFERROR(VLOOKUP(A298,'Pass 2'!$A:$S,MATCH("Jan 2025 Referring Domains",'Pass 2'!$1:$1,0),FALSE()),"")</f>
        <v/>
      </c>
      <c r="H298" s="1" t="str">
        <f aca="false">IFERROR(VLOOKUP(A298,'Pass 2'!$A:$S,MATCH("Jun 2026 Referring Domains",'Pass 2'!$1:$1,0),FALSE()),"")</f>
        <v/>
      </c>
    </row>
    <row r="299" customFormat="false" ht="15" hidden="false" customHeight="true" outlineLevel="0" collapsed="false">
      <c r="B299" s="1" t="str">
        <f aca="false">IFERROR(VLOOKUP(A299,'Pass 2'!$A:$S,MATCH("Category",'Pass 2'!$1:$1,0),FALSE()),"")</f>
        <v/>
      </c>
      <c r="C299" s="1" t="str">
        <f aca="false">IFERROR(VLOOKUP(A299,'Pass 1 Archive'!$A:$AD,MATCH("LinkedIn Employee Count",'Pass 1 Archive'!$1:$1,0),FALSE()),"")</f>
        <v/>
      </c>
      <c r="D299" s="1" t="str">
        <f aca="false">IFERROR(VLOOKUP(A299,'Pass 2'!$A:$S,MATCH("Jan 2025 Traffic",'Pass 2'!$1:$1,0),FALSE()),"")</f>
        <v/>
      </c>
      <c r="E299" s="1" t="str">
        <f aca="false">IFERROR(VLOOKUP(A299,'Pass 2'!$A:$S,MATCH("Jun 2026 Traffic",'Pass 2'!$1:$1,0),FALSE()),"")</f>
        <v/>
      </c>
      <c r="F299" s="1" t="str">
        <f aca="false">IFERROR(VLOOKUP(A299,'Pass 2'!$A:$S,MATCH("Traffic % Change",'Pass 2'!$1:$1,0),FALSE()),"")</f>
        <v/>
      </c>
      <c r="G299" s="1" t="str">
        <f aca="false">IFERROR(VLOOKUP(A299,'Pass 2'!$A:$S,MATCH("Jan 2025 Referring Domains",'Pass 2'!$1:$1,0),FALSE()),"")</f>
        <v/>
      </c>
      <c r="H299" s="1" t="str">
        <f aca="false">IFERROR(VLOOKUP(A299,'Pass 2'!$A:$S,MATCH("Jun 2026 Referring Domains",'Pass 2'!$1:$1,0),FALSE()),"")</f>
        <v/>
      </c>
    </row>
    <row r="300" customFormat="false" ht="15" hidden="false" customHeight="true" outlineLevel="0" collapsed="false">
      <c r="B300" s="1" t="str">
        <f aca="false">IFERROR(VLOOKUP(A300,'Pass 2'!$A:$S,MATCH("Category",'Pass 2'!$1:$1,0),FALSE()),"")</f>
        <v/>
      </c>
      <c r="C300" s="1" t="str">
        <f aca="false">IFERROR(VLOOKUP(A300,'Pass 1 Archive'!$A:$AD,MATCH("LinkedIn Employee Count",'Pass 1 Archive'!$1:$1,0),FALSE()),"")</f>
        <v/>
      </c>
      <c r="D300" s="1" t="str">
        <f aca="false">IFERROR(VLOOKUP(A300,'Pass 2'!$A:$S,MATCH("Jan 2025 Traffic",'Pass 2'!$1:$1,0),FALSE()),"")</f>
        <v/>
      </c>
      <c r="E300" s="1" t="str">
        <f aca="false">IFERROR(VLOOKUP(A300,'Pass 2'!$A:$S,MATCH("Jun 2026 Traffic",'Pass 2'!$1:$1,0),FALSE()),"")</f>
        <v/>
      </c>
      <c r="F300" s="1" t="str">
        <f aca="false">IFERROR(VLOOKUP(A300,'Pass 2'!$A:$S,MATCH("Traffic % Change",'Pass 2'!$1:$1,0),FALSE()),"")</f>
        <v/>
      </c>
      <c r="G300" s="1" t="str">
        <f aca="false">IFERROR(VLOOKUP(A300,'Pass 2'!$A:$S,MATCH("Jan 2025 Referring Domains",'Pass 2'!$1:$1,0),FALSE()),"")</f>
        <v/>
      </c>
      <c r="H300" s="1" t="str">
        <f aca="false">IFERROR(VLOOKUP(A300,'Pass 2'!$A:$S,MATCH("Jun 2026 Referring Domains",'Pass 2'!$1:$1,0),FALSE()),"")</f>
        <v/>
      </c>
    </row>
    <row r="301" customFormat="false" ht="15" hidden="false" customHeight="true" outlineLevel="0" collapsed="false">
      <c r="B301" s="1" t="str">
        <f aca="false">IFERROR(VLOOKUP(A301,'Pass 2'!$A:$S,MATCH("Category",'Pass 2'!$1:$1,0),FALSE()),"")</f>
        <v/>
      </c>
      <c r="C301" s="1" t="str">
        <f aca="false">IFERROR(VLOOKUP(A301,'Pass 1 Archive'!$A:$AD,MATCH("LinkedIn Employee Count",'Pass 1 Archive'!$1:$1,0),FALSE()),"")</f>
        <v/>
      </c>
      <c r="D301" s="1" t="str">
        <f aca="false">IFERROR(VLOOKUP(A301,'Pass 2'!$A:$S,MATCH("Jan 2025 Traffic",'Pass 2'!$1:$1,0),FALSE()),"")</f>
        <v/>
      </c>
      <c r="E301" s="1" t="str">
        <f aca="false">IFERROR(VLOOKUP(A301,'Pass 2'!$A:$S,MATCH("Jun 2026 Traffic",'Pass 2'!$1:$1,0),FALSE()),"")</f>
        <v/>
      </c>
      <c r="F301" s="1" t="str">
        <f aca="false">IFERROR(VLOOKUP(A301,'Pass 2'!$A:$S,MATCH("Traffic % Change",'Pass 2'!$1:$1,0),FALSE()),"")</f>
        <v/>
      </c>
      <c r="G301" s="1" t="str">
        <f aca="false">IFERROR(VLOOKUP(A301,'Pass 2'!$A:$S,MATCH("Jan 2025 Referring Domains",'Pass 2'!$1:$1,0),FALSE()),"")</f>
        <v/>
      </c>
      <c r="H301" s="1" t="str">
        <f aca="false">IFERROR(VLOOKUP(A301,'Pass 2'!$A:$S,MATCH("Jun 2026 Referring Domains",'Pass 2'!$1:$1,0),FALSE()),"")</f>
        <v/>
      </c>
    </row>
    <row r="302" customFormat="false" ht="15" hidden="false" customHeight="true" outlineLevel="0" collapsed="false">
      <c r="B302" s="1" t="str">
        <f aca="false">IFERROR(VLOOKUP(A302,'Pass 2'!$A:$S,MATCH("Category",'Pass 2'!$1:$1,0),FALSE()),"")</f>
        <v/>
      </c>
      <c r="C302" s="1" t="str">
        <f aca="false">IFERROR(VLOOKUP(A302,'Pass 1 Archive'!$A:$AD,MATCH("LinkedIn Employee Count",'Pass 1 Archive'!$1:$1,0),FALSE()),"")</f>
        <v/>
      </c>
      <c r="D302" s="1" t="str">
        <f aca="false">IFERROR(VLOOKUP(A302,'Pass 2'!$A:$S,MATCH("Jan 2025 Traffic",'Pass 2'!$1:$1,0),FALSE()),"")</f>
        <v/>
      </c>
      <c r="E302" s="1" t="str">
        <f aca="false">IFERROR(VLOOKUP(A302,'Pass 2'!$A:$S,MATCH("Jun 2026 Traffic",'Pass 2'!$1:$1,0),FALSE()),"")</f>
        <v/>
      </c>
      <c r="F302" s="1" t="str">
        <f aca="false">IFERROR(VLOOKUP(A302,'Pass 2'!$A:$S,MATCH("Traffic % Change",'Pass 2'!$1:$1,0),FALSE()),"")</f>
        <v/>
      </c>
      <c r="G302" s="1" t="str">
        <f aca="false">IFERROR(VLOOKUP(A302,'Pass 2'!$A:$S,MATCH("Jan 2025 Referring Domains",'Pass 2'!$1:$1,0),FALSE()),"")</f>
        <v/>
      </c>
      <c r="H302" s="1" t="str">
        <f aca="false">IFERROR(VLOOKUP(A302,'Pass 2'!$A:$S,MATCH("Jun 2026 Referring Domains",'Pass 2'!$1:$1,0),FALSE()),"")</f>
        <v/>
      </c>
    </row>
    <row r="303" customFormat="false" ht="15" hidden="false" customHeight="true" outlineLevel="0" collapsed="false">
      <c r="B303" s="1" t="str">
        <f aca="false">IFERROR(VLOOKUP(A303,'Pass 2'!$A:$S,MATCH("Category",'Pass 2'!$1:$1,0),FALSE()),"")</f>
        <v/>
      </c>
      <c r="C303" s="1" t="str">
        <f aca="false">IFERROR(VLOOKUP(A303,'Pass 1 Archive'!$A:$AD,MATCH("LinkedIn Employee Count",'Pass 1 Archive'!$1:$1,0),FALSE()),"")</f>
        <v/>
      </c>
      <c r="D303" s="1" t="str">
        <f aca="false">IFERROR(VLOOKUP(A303,'Pass 2'!$A:$S,MATCH("Jan 2025 Traffic",'Pass 2'!$1:$1,0),FALSE()),"")</f>
        <v/>
      </c>
      <c r="E303" s="1" t="str">
        <f aca="false">IFERROR(VLOOKUP(A303,'Pass 2'!$A:$S,MATCH("Jun 2026 Traffic",'Pass 2'!$1:$1,0),FALSE()),"")</f>
        <v/>
      </c>
      <c r="F303" s="1" t="str">
        <f aca="false">IFERROR(VLOOKUP(A303,'Pass 2'!$A:$S,MATCH("Traffic % Change",'Pass 2'!$1:$1,0),FALSE()),"")</f>
        <v/>
      </c>
      <c r="G303" s="1" t="str">
        <f aca="false">IFERROR(VLOOKUP(A303,'Pass 2'!$A:$S,MATCH("Jan 2025 Referring Domains",'Pass 2'!$1:$1,0),FALSE()),"")</f>
        <v/>
      </c>
      <c r="H303" s="1" t="str">
        <f aca="false">IFERROR(VLOOKUP(A303,'Pass 2'!$A:$S,MATCH("Jun 2026 Referring Domains",'Pass 2'!$1:$1,0),FALSE()),"")</f>
        <v/>
      </c>
    </row>
    <row r="304" customFormat="false" ht="15" hidden="false" customHeight="true" outlineLevel="0" collapsed="false">
      <c r="B304" s="1" t="str">
        <f aca="false">IFERROR(VLOOKUP(A304,'Pass 2'!$A:$S,MATCH("Category",'Pass 2'!$1:$1,0),FALSE()),"")</f>
        <v/>
      </c>
      <c r="C304" s="1" t="str">
        <f aca="false">IFERROR(VLOOKUP(A304,'Pass 1 Archive'!$A:$AD,MATCH("LinkedIn Employee Count",'Pass 1 Archive'!$1:$1,0),FALSE()),"")</f>
        <v/>
      </c>
      <c r="D304" s="1" t="str">
        <f aca="false">IFERROR(VLOOKUP(A304,'Pass 2'!$A:$S,MATCH("Jan 2025 Traffic",'Pass 2'!$1:$1,0),FALSE()),"")</f>
        <v/>
      </c>
      <c r="E304" s="1" t="str">
        <f aca="false">IFERROR(VLOOKUP(A304,'Pass 2'!$A:$S,MATCH("Jun 2026 Traffic",'Pass 2'!$1:$1,0),FALSE()),"")</f>
        <v/>
      </c>
      <c r="F304" s="1" t="str">
        <f aca="false">IFERROR(VLOOKUP(A304,'Pass 2'!$A:$S,MATCH("Traffic % Change",'Pass 2'!$1:$1,0),FALSE()),"")</f>
        <v/>
      </c>
      <c r="G304" s="1" t="str">
        <f aca="false">IFERROR(VLOOKUP(A304,'Pass 2'!$A:$S,MATCH("Jan 2025 Referring Domains",'Pass 2'!$1:$1,0),FALSE()),"")</f>
        <v/>
      </c>
      <c r="H304" s="1" t="str">
        <f aca="false">IFERROR(VLOOKUP(A304,'Pass 2'!$A:$S,MATCH("Jun 2026 Referring Domains",'Pass 2'!$1:$1,0),FALSE()),"")</f>
        <v/>
      </c>
    </row>
    <row r="305" customFormat="false" ht="15" hidden="false" customHeight="true" outlineLevel="0" collapsed="false">
      <c r="B305" s="1" t="str">
        <f aca="false">IFERROR(VLOOKUP(A305,'Pass 2'!$A:$S,MATCH("Category",'Pass 2'!$1:$1,0),FALSE()),"")</f>
        <v/>
      </c>
      <c r="C305" s="1" t="str">
        <f aca="false">IFERROR(VLOOKUP(A305,'Pass 1 Archive'!$A:$AD,MATCH("LinkedIn Employee Count",'Pass 1 Archive'!$1:$1,0),FALSE()),"")</f>
        <v/>
      </c>
      <c r="D305" s="1" t="str">
        <f aca="false">IFERROR(VLOOKUP(A305,'Pass 2'!$A:$S,MATCH("Jan 2025 Traffic",'Pass 2'!$1:$1,0),FALSE()),"")</f>
        <v/>
      </c>
      <c r="E305" s="1" t="str">
        <f aca="false">IFERROR(VLOOKUP(A305,'Pass 2'!$A:$S,MATCH("Jun 2026 Traffic",'Pass 2'!$1:$1,0),FALSE()),"")</f>
        <v/>
      </c>
      <c r="F305" s="1" t="str">
        <f aca="false">IFERROR(VLOOKUP(A305,'Pass 2'!$A:$S,MATCH("Traffic % Change",'Pass 2'!$1:$1,0),FALSE()),"")</f>
        <v/>
      </c>
      <c r="G305" s="1" t="str">
        <f aca="false">IFERROR(VLOOKUP(A305,'Pass 2'!$A:$S,MATCH("Jan 2025 Referring Domains",'Pass 2'!$1:$1,0),FALSE()),"")</f>
        <v/>
      </c>
      <c r="H305" s="1" t="str">
        <f aca="false">IFERROR(VLOOKUP(A305,'Pass 2'!$A:$S,MATCH("Jun 2026 Referring Domains",'Pass 2'!$1:$1,0),FALSE()),"")</f>
        <v/>
      </c>
    </row>
    <row r="306" customFormat="false" ht="15" hidden="false" customHeight="true" outlineLevel="0" collapsed="false">
      <c r="B306" s="1" t="str">
        <f aca="false">IFERROR(VLOOKUP(A306,'Pass 2'!$A:$S,MATCH("Category",'Pass 2'!$1:$1,0),FALSE()),"")</f>
        <v/>
      </c>
      <c r="C306" s="1" t="str">
        <f aca="false">IFERROR(VLOOKUP(A306,'Pass 1 Archive'!$A:$AD,MATCH("LinkedIn Employee Count",'Pass 1 Archive'!$1:$1,0),FALSE()),"")</f>
        <v/>
      </c>
      <c r="D306" s="1" t="str">
        <f aca="false">IFERROR(VLOOKUP(A306,'Pass 2'!$A:$S,MATCH("Jan 2025 Traffic",'Pass 2'!$1:$1,0),FALSE()),"")</f>
        <v/>
      </c>
      <c r="E306" s="1" t="str">
        <f aca="false">IFERROR(VLOOKUP(A306,'Pass 2'!$A:$S,MATCH("Jun 2026 Traffic",'Pass 2'!$1:$1,0),FALSE()),"")</f>
        <v/>
      </c>
      <c r="F306" s="1" t="str">
        <f aca="false">IFERROR(VLOOKUP(A306,'Pass 2'!$A:$S,MATCH("Traffic % Change",'Pass 2'!$1:$1,0),FALSE()),"")</f>
        <v/>
      </c>
      <c r="G306" s="1" t="str">
        <f aca="false">IFERROR(VLOOKUP(A306,'Pass 2'!$A:$S,MATCH("Jan 2025 Referring Domains",'Pass 2'!$1:$1,0),FALSE()),"")</f>
        <v/>
      </c>
      <c r="H306" s="1" t="str">
        <f aca="false">IFERROR(VLOOKUP(A306,'Pass 2'!$A:$S,MATCH("Jun 2026 Referring Domains",'Pass 2'!$1:$1,0),FALSE()),"")</f>
        <v/>
      </c>
    </row>
    <row r="307" customFormat="false" ht="15" hidden="false" customHeight="true" outlineLevel="0" collapsed="false">
      <c r="B307" s="1" t="str">
        <f aca="false">IFERROR(VLOOKUP(A307,'Pass 2'!$A:$S,MATCH("Category",'Pass 2'!$1:$1,0),FALSE()),"")</f>
        <v/>
      </c>
      <c r="C307" s="1" t="str">
        <f aca="false">IFERROR(VLOOKUP(A307,'Pass 1 Archive'!$A:$AD,MATCH("LinkedIn Employee Count",'Pass 1 Archive'!$1:$1,0),FALSE()),"")</f>
        <v/>
      </c>
      <c r="D307" s="1" t="str">
        <f aca="false">IFERROR(VLOOKUP(A307,'Pass 2'!$A:$S,MATCH("Jan 2025 Traffic",'Pass 2'!$1:$1,0),FALSE()),"")</f>
        <v/>
      </c>
      <c r="E307" s="1" t="str">
        <f aca="false">IFERROR(VLOOKUP(A307,'Pass 2'!$A:$S,MATCH("Jun 2026 Traffic",'Pass 2'!$1:$1,0),FALSE()),"")</f>
        <v/>
      </c>
      <c r="F307" s="1" t="str">
        <f aca="false">IFERROR(VLOOKUP(A307,'Pass 2'!$A:$S,MATCH("Traffic % Change",'Pass 2'!$1:$1,0),FALSE()),"")</f>
        <v/>
      </c>
      <c r="G307" s="1" t="str">
        <f aca="false">IFERROR(VLOOKUP(A307,'Pass 2'!$A:$S,MATCH("Jan 2025 Referring Domains",'Pass 2'!$1:$1,0),FALSE()),"")</f>
        <v/>
      </c>
      <c r="H307" s="1" t="str">
        <f aca="false">IFERROR(VLOOKUP(A307,'Pass 2'!$A:$S,MATCH("Jun 2026 Referring Domains",'Pass 2'!$1:$1,0),FALSE()),"")</f>
        <v/>
      </c>
    </row>
    <row r="308" customFormat="false" ht="15" hidden="false" customHeight="true" outlineLevel="0" collapsed="false">
      <c r="B308" s="1" t="str">
        <f aca="false">IFERROR(VLOOKUP(A308,'Pass 2'!$A:$S,MATCH("Category",'Pass 2'!$1:$1,0),FALSE()),"")</f>
        <v/>
      </c>
      <c r="C308" s="1" t="str">
        <f aca="false">IFERROR(VLOOKUP(A308,'Pass 1 Archive'!$A:$AD,MATCH("LinkedIn Employee Count",'Pass 1 Archive'!$1:$1,0),FALSE()),"")</f>
        <v/>
      </c>
      <c r="D308" s="1" t="str">
        <f aca="false">IFERROR(VLOOKUP(A308,'Pass 2'!$A:$S,MATCH("Jan 2025 Traffic",'Pass 2'!$1:$1,0),FALSE()),"")</f>
        <v/>
      </c>
      <c r="E308" s="1" t="str">
        <f aca="false">IFERROR(VLOOKUP(A308,'Pass 2'!$A:$S,MATCH("Jun 2026 Traffic",'Pass 2'!$1:$1,0),FALSE()),"")</f>
        <v/>
      </c>
      <c r="F308" s="1" t="str">
        <f aca="false">IFERROR(VLOOKUP(A308,'Pass 2'!$A:$S,MATCH("Traffic % Change",'Pass 2'!$1:$1,0),FALSE()),"")</f>
        <v/>
      </c>
      <c r="G308" s="1" t="str">
        <f aca="false">IFERROR(VLOOKUP(A308,'Pass 2'!$A:$S,MATCH("Jan 2025 Referring Domains",'Pass 2'!$1:$1,0),FALSE()),"")</f>
        <v/>
      </c>
      <c r="H308" s="1" t="str">
        <f aca="false">IFERROR(VLOOKUP(A308,'Pass 2'!$A:$S,MATCH("Jun 2026 Referring Domains",'Pass 2'!$1:$1,0),FALSE()),"")</f>
        <v/>
      </c>
    </row>
    <row r="309" customFormat="false" ht="15" hidden="false" customHeight="true" outlineLevel="0" collapsed="false">
      <c r="B309" s="1" t="str">
        <f aca="false">IFERROR(VLOOKUP(A309,'Pass 2'!$A:$S,MATCH("Category",'Pass 2'!$1:$1,0),FALSE()),"")</f>
        <v/>
      </c>
      <c r="C309" s="1" t="str">
        <f aca="false">IFERROR(VLOOKUP(A309,'Pass 1 Archive'!$A:$AD,MATCH("LinkedIn Employee Count",'Pass 1 Archive'!$1:$1,0),FALSE()),"")</f>
        <v/>
      </c>
      <c r="D309" s="1" t="str">
        <f aca="false">IFERROR(VLOOKUP(A309,'Pass 2'!$A:$S,MATCH("Jan 2025 Traffic",'Pass 2'!$1:$1,0),FALSE()),"")</f>
        <v/>
      </c>
      <c r="E309" s="1" t="str">
        <f aca="false">IFERROR(VLOOKUP(A309,'Pass 2'!$A:$S,MATCH("Jun 2026 Traffic",'Pass 2'!$1:$1,0),FALSE()),"")</f>
        <v/>
      </c>
      <c r="F309" s="1" t="str">
        <f aca="false">IFERROR(VLOOKUP(A309,'Pass 2'!$A:$S,MATCH("Traffic % Change",'Pass 2'!$1:$1,0),FALSE()),"")</f>
        <v/>
      </c>
      <c r="G309" s="1" t="str">
        <f aca="false">IFERROR(VLOOKUP(A309,'Pass 2'!$A:$S,MATCH("Jan 2025 Referring Domains",'Pass 2'!$1:$1,0),FALSE()),"")</f>
        <v/>
      </c>
      <c r="H309" s="1" t="str">
        <f aca="false">IFERROR(VLOOKUP(A309,'Pass 2'!$A:$S,MATCH("Jun 2026 Referring Domains",'Pass 2'!$1:$1,0),FALSE()),"")</f>
        <v/>
      </c>
    </row>
    <row r="310" customFormat="false" ht="15" hidden="false" customHeight="true" outlineLevel="0" collapsed="false">
      <c r="B310" s="1" t="str">
        <f aca="false">IFERROR(VLOOKUP(A310,'Pass 2'!$A:$S,MATCH("Category",'Pass 2'!$1:$1,0),FALSE()),"")</f>
        <v/>
      </c>
      <c r="C310" s="1" t="str">
        <f aca="false">IFERROR(VLOOKUP(A310,'Pass 1 Archive'!$A:$AD,MATCH("LinkedIn Employee Count",'Pass 1 Archive'!$1:$1,0),FALSE()),"")</f>
        <v/>
      </c>
      <c r="D310" s="1" t="str">
        <f aca="false">IFERROR(VLOOKUP(A310,'Pass 2'!$A:$S,MATCH("Jan 2025 Traffic",'Pass 2'!$1:$1,0),FALSE()),"")</f>
        <v/>
      </c>
      <c r="E310" s="1" t="str">
        <f aca="false">IFERROR(VLOOKUP(A310,'Pass 2'!$A:$S,MATCH("Jun 2026 Traffic",'Pass 2'!$1:$1,0),FALSE()),"")</f>
        <v/>
      </c>
      <c r="F310" s="1" t="str">
        <f aca="false">IFERROR(VLOOKUP(A310,'Pass 2'!$A:$S,MATCH("Traffic % Change",'Pass 2'!$1:$1,0),FALSE()),"")</f>
        <v/>
      </c>
      <c r="G310" s="1" t="str">
        <f aca="false">IFERROR(VLOOKUP(A310,'Pass 2'!$A:$S,MATCH("Jan 2025 Referring Domains",'Pass 2'!$1:$1,0),FALSE()),"")</f>
        <v/>
      </c>
      <c r="H310" s="1" t="str">
        <f aca="false">IFERROR(VLOOKUP(A310,'Pass 2'!$A:$S,MATCH("Jun 2026 Referring Domains",'Pass 2'!$1:$1,0),FALSE()),"")</f>
        <v/>
      </c>
    </row>
    <row r="311" customFormat="false" ht="15" hidden="false" customHeight="true" outlineLevel="0" collapsed="false">
      <c r="B311" s="1" t="str">
        <f aca="false">IFERROR(VLOOKUP(A311,'Pass 2'!$A:$S,MATCH("Category",'Pass 2'!$1:$1,0),FALSE()),"")</f>
        <v/>
      </c>
      <c r="C311" s="1" t="str">
        <f aca="false">IFERROR(VLOOKUP(A311,'Pass 1 Archive'!$A:$AD,MATCH("LinkedIn Employee Count",'Pass 1 Archive'!$1:$1,0),FALSE()),"")</f>
        <v/>
      </c>
      <c r="D311" s="1" t="str">
        <f aca="false">IFERROR(VLOOKUP(A311,'Pass 2'!$A:$S,MATCH("Jan 2025 Traffic",'Pass 2'!$1:$1,0),FALSE()),"")</f>
        <v/>
      </c>
      <c r="E311" s="1" t="str">
        <f aca="false">IFERROR(VLOOKUP(A311,'Pass 2'!$A:$S,MATCH("Jun 2026 Traffic",'Pass 2'!$1:$1,0),FALSE()),"")</f>
        <v/>
      </c>
      <c r="F311" s="1" t="str">
        <f aca="false">IFERROR(VLOOKUP(A311,'Pass 2'!$A:$S,MATCH("Traffic % Change",'Pass 2'!$1:$1,0),FALSE()),"")</f>
        <v/>
      </c>
      <c r="G311" s="1" t="str">
        <f aca="false">IFERROR(VLOOKUP(A311,'Pass 2'!$A:$S,MATCH("Jan 2025 Referring Domains",'Pass 2'!$1:$1,0),FALSE()),"")</f>
        <v/>
      </c>
      <c r="H311" s="1" t="str">
        <f aca="false">IFERROR(VLOOKUP(A311,'Pass 2'!$A:$S,MATCH("Jun 2026 Referring Domains",'Pass 2'!$1:$1,0),FALSE()),"")</f>
        <v/>
      </c>
    </row>
    <row r="312" customFormat="false" ht="15" hidden="false" customHeight="true" outlineLevel="0" collapsed="false">
      <c r="B312" s="1" t="str">
        <f aca="false">IFERROR(VLOOKUP(A312,'Pass 2'!$A:$S,MATCH("Category",'Pass 2'!$1:$1,0),FALSE()),"")</f>
        <v/>
      </c>
      <c r="C312" s="1" t="str">
        <f aca="false">IFERROR(VLOOKUP(A312,'Pass 1 Archive'!$A:$AD,MATCH("LinkedIn Employee Count",'Pass 1 Archive'!$1:$1,0),FALSE()),"")</f>
        <v/>
      </c>
      <c r="D312" s="1" t="str">
        <f aca="false">IFERROR(VLOOKUP(A312,'Pass 2'!$A:$S,MATCH("Jan 2025 Traffic",'Pass 2'!$1:$1,0),FALSE()),"")</f>
        <v/>
      </c>
      <c r="E312" s="1" t="str">
        <f aca="false">IFERROR(VLOOKUP(A312,'Pass 2'!$A:$S,MATCH("Jun 2026 Traffic",'Pass 2'!$1:$1,0),FALSE()),"")</f>
        <v/>
      </c>
      <c r="F312" s="1" t="str">
        <f aca="false">IFERROR(VLOOKUP(A312,'Pass 2'!$A:$S,MATCH("Traffic % Change",'Pass 2'!$1:$1,0),FALSE()),"")</f>
        <v/>
      </c>
      <c r="G312" s="1" t="str">
        <f aca="false">IFERROR(VLOOKUP(A312,'Pass 2'!$A:$S,MATCH("Jan 2025 Referring Domains",'Pass 2'!$1:$1,0),FALSE()),"")</f>
        <v/>
      </c>
      <c r="H312" s="1" t="str">
        <f aca="false">IFERROR(VLOOKUP(A312,'Pass 2'!$A:$S,MATCH("Jun 2026 Referring Domains",'Pass 2'!$1:$1,0),FALSE()),"")</f>
        <v/>
      </c>
    </row>
    <row r="313" customFormat="false" ht="15" hidden="false" customHeight="true" outlineLevel="0" collapsed="false">
      <c r="B313" s="1" t="str">
        <f aca="false">IFERROR(VLOOKUP(A313,'Pass 2'!$A:$S,MATCH("Category",'Pass 2'!$1:$1,0),FALSE()),"")</f>
        <v/>
      </c>
      <c r="C313" s="1" t="str">
        <f aca="false">IFERROR(VLOOKUP(A313,'Pass 1 Archive'!$A:$AD,MATCH("LinkedIn Employee Count",'Pass 1 Archive'!$1:$1,0),FALSE()),"")</f>
        <v/>
      </c>
      <c r="D313" s="1" t="str">
        <f aca="false">IFERROR(VLOOKUP(A313,'Pass 2'!$A:$S,MATCH("Jan 2025 Traffic",'Pass 2'!$1:$1,0),FALSE()),"")</f>
        <v/>
      </c>
      <c r="E313" s="1" t="str">
        <f aca="false">IFERROR(VLOOKUP(A313,'Pass 2'!$A:$S,MATCH("Jun 2026 Traffic",'Pass 2'!$1:$1,0),FALSE()),"")</f>
        <v/>
      </c>
      <c r="F313" s="1" t="str">
        <f aca="false">IFERROR(VLOOKUP(A313,'Pass 2'!$A:$S,MATCH("Traffic % Change",'Pass 2'!$1:$1,0),FALSE()),"")</f>
        <v/>
      </c>
      <c r="G313" s="1" t="str">
        <f aca="false">IFERROR(VLOOKUP(A313,'Pass 2'!$A:$S,MATCH("Jan 2025 Referring Domains",'Pass 2'!$1:$1,0),FALSE()),"")</f>
        <v/>
      </c>
      <c r="H313" s="1" t="str">
        <f aca="false">IFERROR(VLOOKUP(A313,'Pass 2'!$A:$S,MATCH("Jun 2026 Referring Domains",'Pass 2'!$1:$1,0),FALSE()),"")</f>
        <v/>
      </c>
    </row>
    <row r="314" customFormat="false" ht="15" hidden="false" customHeight="true" outlineLevel="0" collapsed="false">
      <c r="B314" s="1" t="str">
        <f aca="false">IFERROR(VLOOKUP(A314,'Pass 2'!$A:$S,MATCH("Category",'Pass 2'!$1:$1,0),FALSE()),"")</f>
        <v/>
      </c>
      <c r="C314" s="1" t="str">
        <f aca="false">IFERROR(VLOOKUP(A314,'Pass 1 Archive'!$A:$AD,MATCH("LinkedIn Employee Count",'Pass 1 Archive'!$1:$1,0),FALSE()),"")</f>
        <v/>
      </c>
      <c r="D314" s="1" t="str">
        <f aca="false">IFERROR(VLOOKUP(A314,'Pass 2'!$A:$S,MATCH("Jan 2025 Traffic",'Pass 2'!$1:$1,0),FALSE()),"")</f>
        <v/>
      </c>
      <c r="E314" s="1" t="str">
        <f aca="false">IFERROR(VLOOKUP(A314,'Pass 2'!$A:$S,MATCH("Jun 2026 Traffic",'Pass 2'!$1:$1,0),FALSE()),"")</f>
        <v/>
      </c>
      <c r="F314" s="1" t="str">
        <f aca="false">IFERROR(VLOOKUP(A314,'Pass 2'!$A:$S,MATCH("Traffic % Change",'Pass 2'!$1:$1,0),FALSE()),"")</f>
        <v/>
      </c>
      <c r="G314" s="1" t="str">
        <f aca="false">IFERROR(VLOOKUP(A314,'Pass 2'!$A:$S,MATCH("Jan 2025 Referring Domains",'Pass 2'!$1:$1,0),FALSE()),"")</f>
        <v/>
      </c>
      <c r="H314" s="1" t="str">
        <f aca="false">IFERROR(VLOOKUP(A314,'Pass 2'!$A:$S,MATCH("Jun 2026 Referring Domains",'Pass 2'!$1:$1,0),FALSE()),"")</f>
        <v/>
      </c>
    </row>
    <row r="315" customFormat="false" ht="15" hidden="false" customHeight="true" outlineLevel="0" collapsed="false">
      <c r="B315" s="1" t="str">
        <f aca="false">IFERROR(VLOOKUP(A315,'Pass 2'!$A:$S,MATCH("Category",'Pass 2'!$1:$1,0),FALSE()),"")</f>
        <v/>
      </c>
      <c r="C315" s="1" t="str">
        <f aca="false">IFERROR(VLOOKUP(A315,'Pass 1 Archive'!$A:$AD,MATCH("LinkedIn Employee Count",'Pass 1 Archive'!$1:$1,0),FALSE()),"")</f>
        <v/>
      </c>
      <c r="D315" s="1" t="str">
        <f aca="false">IFERROR(VLOOKUP(A315,'Pass 2'!$A:$S,MATCH("Jan 2025 Traffic",'Pass 2'!$1:$1,0),FALSE()),"")</f>
        <v/>
      </c>
      <c r="E315" s="1" t="str">
        <f aca="false">IFERROR(VLOOKUP(A315,'Pass 2'!$A:$S,MATCH("Jun 2026 Traffic",'Pass 2'!$1:$1,0),FALSE()),"")</f>
        <v/>
      </c>
      <c r="F315" s="1" t="str">
        <f aca="false">IFERROR(VLOOKUP(A315,'Pass 2'!$A:$S,MATCH("Traffic % Change",'Pass 2'!$1:$1,0),FALSE()),"")</f>
        <v/>
      </c>
      <c r="G315" s="1" t="str">
        <f aca="false">IFERROR(VLOOKUP(A315,'Pass 2'!$A:$S,MATCH("Jan 2025 Referring Domains",'Pass 2'!$1:$1,0),FALSE()),"")</f>
        <v/>
      </c>
      <c r="H315" s="1" t="str">
        <f aca="false">IFERROR(VLOOKUP(A315,'Pass 2'!$A:$S,MATCH("Jun 2026 Referring Domains",'Pass 2'!$1:$1,0),FALSE()),"")</f>
        <v/>
      </c>
    </row>
    <row r="316" customFormat="false" ht="15" hidden="false" customHeight="true" outlineLevel="0" collapsed="false">
      <c r="B316" s="1" t="str">
        <f aca="false">IFERROR(VLOOKUP(A316,'Pass 2'!$A:$S,MATCH("Category",'Pass 2'!$1:$1,0),FALSE()),"")</f>
        <v/>
      </c>
      <c r="C316" s="1" t="str">
        <f aca="false">IFERROR(VLOOKUP(A316,'Pass 1 Archive'!$A:$AD,MATCH("LinkedIn Employee Count",'Pass 1 Archive'!$1:$1,0),FALSE()),"")</f>
        <v/>
      </c>
      <c r="D316" s="1" t="str">
        <f aca="false">IFERROR(VLOOKUP(A316,'Pass 2'!$A:$S,MATCH("Jan 2025 Traffic",'Pass 2'!$1:$1,0),FALSE()),"")</f>
        <v/>
      </c>
      <c r="E316" s="1" t="str">
        <f aca="false">IFERROR(VLOOKUP(A316,'Pass 2'!$A:$S,MATCH("Jun 2026 Traffic",'Pass 2'!$1:$1,0),FALSE()),"")</f>
        <v/>
      </c>
      <c r="F316" s="1" t="str">
        <f aca="false">IFERROR(VLOOKUP(A316,'Pass 2'!$A:$S,MATCH("Traffic % Change",'Pass 2'!$1:$1,0),FALSE()),"")</f>
        <v/>
      </c>
      <c r="G316" s="1" t="str">
        <f aca="false">IFERROR(VLOOKUP(A316,'Pass 2'!$A:$S,MATCH("Jan 2025 Referring Domains",'Pass 2'!$1:$1,0),FALSE()),"")</f>
        <v/>
      </c>
      <c r="H316" s="1" t="str">
        <f aca="false">IFERROR(VLOOKUP(A316,'Pass 2'!$A:$S,MATCH("Jun 2026 Referring Domains",'Pass 2'!$1:$1,0),FALSE()),"")</f>
        <v/>
      </c>
    </row>
    <row r="317" customFormat="false" ht="15" hidden="false" customHeight="true" outlineLevel="0" collapsed="false">
      <c r="B317" s="1" t="str">
        <f aca="false">IFERROR(VLOOKUP(A317,'Pass 2'!$A:$S,MATCH("Category",'Pass 2'!$1:$1,0),FALSE()),"")</f>
        <v/>
      </c>
      <c r="C317" s="1" t="str">
        <f aca="false">IFERROR(VLOOKUP(A317,'Pass 1 Archive'!$A:$AD,MATCH("LinkedIn Employee Count",'Pass 1 Archive'!$1:$1,0),FALSE()),"")</f>
        <v/>
      </c>
      <c r="D317" s="1" t="str">
        <f aca="false">IFERROR(VLOOKUP(A317,'Pass 2'!$A:$S,MATCH("Jan 2025 Traffic",'Pass 2'!$1:$1,0),FALSE()),"")</f>
        <v/>
      </c>
      <c r="E317" s="1" t="str">
        <f aca="false">IFERROR(VLOOKUP(A317,'Pass 2'!$A:$S,MATCH("Jun 2026 Traffic",'Pass 2'!$1:$1,0),FALSE()),"")</f>
        <v/>
      </c>
      <c r="F317" s="1" t="str">
        <f aca="false">IFERROR(VLOOKUP(A317,'Pass 2'!$A:$S,MATCH("Traffic % Change",'Pass 2'!$1:$1,0),FALSE()),"")</f>
        <v/>
      </c>
      <c r="G317" s="1" t="str">
        <f aca="false">IFERROR(VLOOKUP(A317,'Pass 2'!$A:$S,MATCH("Jan 2025 Referring Domains",'Pass 2'!$1:$1,0),FALSE()),"")</f>
        <v/>
      </c>
      <c r="H317" s="1" t="str">
        <f aca="false">IFERROR(VLOOKUP(A317,'Pass 2'!$A:$S,MATCH("Jun 2026 Referring Domains",'Pass 2'!$1:$1,0),FALSE()),"")</f>
        <v/>
      </c>
    </row>
    <row r="318" customFormat="false" ht="15" hidden="false" customHeight="true" outlineLevel="0" collapsed="false">
      <c r="B318" s="1" t="str">
        <f aca="false">IFERROR(VLOOKUP(A318,'Pass 2'!$A:$S,MATCH("Category",'Pass 2'!$1:$1,0),FALSE()),"")</f>
        <v/>
      </c>
      <c r="C318" s="1" t="str">
        <f aca="false">IFERROR(VLOOKUP(A318,'Pass 1 Archive'!$A:$AD,MATCH("LinkedIn Employee Count",'Pass 1 Archive'!$1:$1,0),FALSE()),"")</f>
        <v/>
      </c>
      <c r="D318" s="1" t="str">
        <f aca="false">IFERROR(VLOOKUP(A318,'Pass 2'!$A:$S,MATCH("Jan 2025 Traffic",'Pass 2'!$1:$1,0),FALSE()),"")</f>
        <v/>
      </c>
      <c r="E318" s="1" t="str">
        <f aca="false">IFERROR(VLOOKUP(A318,'Pass 2'!$A:$S,MATCH("Jun 2026 Traffic",'Pass 2'!$1:$1,0),FALSE()),"")</f>
        <v/>
      </c>
      <c r="F318" s="1" t="str">
        <f aca="false">IFERROR(VLOOKUP(A318,'Pass 2'!$A:$S,MATCH("Traffic % Change",'Pass 2'!$1:$1,0),FALSE()),"")</f>
        <v/>
      </c>
      <c r="G318" s="1" t="str">
        <f aca="false">IFERROR(VLOOKUP(A318,'Pass 2'!$A:$S,MATCH("Jan 2025 Referring Domains",'Pass 2'!$1:$1,0),FALSE()),"")</f>
        <v/>
      </c>
      <c r="H318" s="1" t="str">
        <f aca="false">IFERROR(VLOOKUP(A318,'Pass 2'!$A:$S,MATCH("Jun 2026 Referring Domains",'Pass 2'!$1:$1,0),FALSE()),"")</f>
        <v/>
      </c>
    </row>
    <row r="319" customFormat="false" ht="15" hidden="false" customHeight="true" outlineLevel="0" collapsed="false">
      <c r="B319" s="1" t="str">
        <f aca="false">IFERROR(VLOOKUP(A319,'Pass 2'!$A:$S,MATCH("Category",'Pass 2'!$1:$1,0),FALSE()),"")</f>
        <v/>
      </c>
      <c r="C319" s="1" t="str">
        <f aca="false">IFERROR(VLOOKUP(A319,'Pass 1 Archive'!$A:$AD,MATCH("LinkedIn Employee Count",'Pass 1 Archive'!$1:$1,0),FALSE()),"")</f>
        <v/>
      </c>
      <c r="D319" s="1" t="str">
        <f aca="false">IFERROR(VLOOKUP(A319,'Pass 2'!$A:$S,MATCH("Jan 2025 Traffic",'Pass 2'!$1:$1,0),FALSE()),"")</f>
        <v/>
      </c>
      <c r="E319" s="1" t="str">
        <f aca="false">IFERROR(VLOOKUP(A319,'Pass 2'!$A:$S,MATCH("Jun 2026 Traffic",'Pass 2'!$1:$1,0),FALSE()),"")</f>
        <v/>
      </c>
      <c r="F319" s="1" t="str">
        <f aca="false">IFERROR(VLOOKUP(A319,'Pass 2'!$A:$S,MATCH("Traffic % Change",'Pass 2'!$1:$1,0),FALSE()),"")</f>
        <v/>
      </c>
      <c r="G319" s="1" t="str">
        <f aca="false">IFERROR(VLOOKUP(A319,'Pass 2'!$A:$S,MATCH("Jan 2025 Referring Domains",'Pass 2'!$1:$1,0),FALSE()),"")</f>
        <v/>
      </c>
      <c r="H319" s="1" t="str">
        <f aca="false">IFERROR(VLOOKUP(A319,'Pass 2'!$A:$S,MATCH("Jun 2026 Referring Domains",'Pass 2'!$1:$1,0),FALSE()),"")</f>
        <v/>
      </c>
    </row>
    <row r="320" customFormat="false" ht="15" hidden="false" customHeight="true" outlineLevel="0" collapsed="false">
      <c r="B320" s="1" t="str">
        <f aca="false">IFERROR(VLOOKUP(A320,'Pass 2'!$A:$S,MATCH("Category",'Pass 2'!$1:$1,0),FALSE()),"")</f>
        <v/>
      </c>
      <c r="C320" s="1" t="str">
        <f aca="false">IFERROR(VLOOKUP(A320,'Pass 1 Archive'!$A:$AD,MATCH("LinkedIn Employee Count",'Pass 1 Archive'!$1:$1,0),FALSE()),"")</f>
        <v/>
      </c>
      <c r="D320" s="1" t="str">
        <f aca="false">IFERROR(VLOOKUP(A320,'Pass 2'!$A:$S,MATCH("Jan 2025 Traffic",'Pass 2'!$1:$1,0),FALSE()),"")</f>
        <v/>
      </c>
      <c r="E320" s="1" t="str">
        <f aca="false">IFERROR(VLOOKUP(A320,'Pass 2'!$A:$S,MATCH("Jun 2026 Traffic",'Pass 2'!$1:$1,0),FALSE()),"")</f>
        <v/>
      </c>
      <c r="F320" s="1" t="str">
        <f aca="false">IFERROR(VLOOKUP(A320,'Pass 2'!$A:$S,MATCH("Traffic % Change",'Pass 2'!$1:$1,0),FALSE()),"")</f>
        <v/>
      </c>
      <c r="G320" s="1" t="str">
        <f aca="false">IFERROR(VLOOKUP(A320,'Pass 2'!$A:$S,MATCH("Jan 2025 Referring Domains",'Pass 2'!$1:$1,0),FALSE()),"")</f>
        <v/>
      </c>
      <c r="H320" s="1" t="str">
        <f aca="false">IFERROR(VLOOKUP(A320,'Pass 2'!$A:$S,MATCH("Jun 2026 Referring Domains",'Pass 2'!$1:$1,0),FALSE()),"")</f>
        <v/>
      </c>
    </row>
    <row r="321" customFormat="false" ht="15" hidden="false" customHeight="true" outlineLevel="0" collapsed="false">
      <c r="B321" s="1" t="str">
        <f aca="false">IFERROR(VLOOKUP(A321,'Pass 2'!$A:$S,MATCH("Category",'Pass 2'!$1:$1,0),FALSE()),"")</f>
        <v/>
      </c>
      <c r="C321" s="1" t="str">
        <f aca="false">IFERROR(VLOOKUP(A321,'Pass 1 Archive'!$A:$AD,MATCH("LinkedIn Employee Count",'Pass 1 Archive'!$1:$1,0),FALSE()),"")</f>
        <v/>
      </c>
      <c r="D321" s="1" t="str">
        <f aca="false">IFERROR(VLOOKUP(A321,'Pass 2'!$A:$S,MATCH("Jan 2025 Traffic",'Pass 2'!$1:$1,0),FALSE()),"")</f>
        <v/>
      </c>
      <c r="E321" s="1" t="str">
        <f aca="false">IFERROR(VLOOKUP(A321,'Pass 2'!$A:$S,MATCH("Jun 2026 Traffic",'Pass 2'!$1:$1,0),FALSE()),"")</f>
        <v/>
      </c>
      <c r="F321" s="1" t="str">
        <f aca="false">IFERROR(VLOOKUP(A321,'Pass 2'!$A:$S,MATCH("Traffic % Change",'Pass 2'!$1:$1,0),FALSE()),"")</f>
        <v/>
      </c>
      <c r="G321" s="1" t="str">
        <f aca="false">IFERROR(VLOOKUP(A321,'Pass 2'!$A:$S,MATCH("Jan 2025 Referring Domains",'Pass 2'!$1:$1,0),FALSE()),"")</f>
        <v/>
      </c>
      <c r="H321" s="1" t="str">
        <f aca="false">IFERROR(VLOOKUP(A321,'Pass 2'!$A:$S,MATCH("Jun 2026 Referring Domains",'Pass 2'!$1:$1,0),FALSE()),"")</f>
        <v/>
      </c>
    </row>
    <row r="322" customFormat="false" ht="15" hidden="false" customHeight="true" outlineLevel="0" collapsed="false">
      <c r="B322" s="1" t="str">
        <f aca="false">IFERROR(VLOOKUP(A322,'Pass 2'!$A:$S,MATCH("Category",'Pass 2'!$1:$1,0),FALSE()),"")</f>
        <v/>
      </c>
      <c r="C322" s="1" t="str">
        <f aca="false">IFERROR(VLOOKUP(A322,'Pass 1 Archive'!$A:$AD,MATCH("LinkedIn Employee Count",'Pass 1 Archive'!$1:$1,0),FALSE()),"")</f>
        <v/>
      </c>
      <c r="D322" s="1" t="str">
        <f aca="false">IFERROR(VLOOKUP(A322,'Pass 2'!$A:$S,MATCH("Jan 2025 Traffic",'Pass 2'!$1:$1,0),FALSE()),"")</f>
        <v/>
      </c>
      <c r="E322" s="1" t="str">
        <f aca="false">IFERROR(VLOOKUP(A322,'Pass 2'!$A:$S,MATCH("Jun 2026 Traffic",'Pass 2'!$1:$1,0),FALSE()),"")</f>
        <v/>
      </c>
      <c r="F322" s="1" t="str">
        <f aca="false">IFERROR(VLOOKUP(A322,'Pass 2'!$A:$S,MATCH("Traffic % Change",'Pass 2'!$1:$1,0),FALSE()),"")</f>
        <v/>
      </c>
      <c r="G322" s="1" t="str">
        <f aca="false">IFERROR(VLOOKUP(A322,'Pass 2'!$A:$S,MATCH("Jan 2025 Referring Domains",'Pass 2'!$1:$1,0),FALSE()),"")</f>
        <v/>
      </c>
      <c r="H322" s="1" t="str">
        <f aca="false">IFERROR(VLOOKUP(A322,'Pass 2'!$A:$S,MATCH("Jun 2026 Referring Domains",'Pass 2'!$1:$1,0),FALSE()),"")</f>
        <v/>
      </c>
    </row>
    <row r="323" customFormat="false" ht="15" hidden="false" customHeight="true" outlineLevel="0" collapsed="false">
      <c r="B323" s="1" t="str">
        <f aca="false">IFERROR(VLOOKUP(A323,'Pass 2'!$A:$S,MATCH("Category",'Pass 2'!$1:$1,0),FALSE()),"")</f>
        <v/>
      </c>
      <c r="C323" s="1" t="str">
        <f aca="false">IFERROR(VLOOKUP(A323,'Pass 1 Archive'!$A:$AD,MATCH("LinkedIn Employee Count",'Pass 1 Archive'!$1:$1,0),FALSE()),"")</f>
        <v/>
      </c>
      <c r="D323" s="1" t="str">
        <f aca="false">IFERROR(VLOOKUP(A323,'Pass 2'!$A:$S,MATCH("Jan 2025 Traffic",'Pass 2'!$1:$1,0),FALSE()),"")</f>
        <v/>
      </c>
      <c r="E323" s="1" t="str">
        <f aca="false">IFERROR(VLOOKUP(A323,'Pass 2'!$A:$S,MATCH("Jun 2026 Traffic",'Pass 2'!$1:$1,0),FALSE()),"")</f>
        <v/>
      </c>
      <c r="F323" s="1" t="str">
        <f aca="false">IFERROR(VLOOKUP(A323,'Pass 2'!$A:$S,MATCH("Traffic % Change",'Pass 2'!$1:$1,0),FALSE()),"")</f>
        <v/>
      </c>
      <c r="G323" s="1" t="str">
        <f aca="false">IFERROR(VLOOKUP(A323,'Pass 2'!$A:$S,MATCH("Jan 2025 Referring Domains",'Pass 2'!$1:$1,0),FALSE()),"")</f>
        <v/>
      </c>
      <c r="H323" s="1" t="str">
        <f aca="false">IFERROR(VLOOKUP(A323,'Pass 2'!$A:$S,MATCH("Jun 2026 Referring Domains",'Pass 2'!$1:$1,0),FALSE()),"")</f>
        <v/>
      </c>
    </row>
    <row r="324" customFormat="false" ht="15" hidden="false" customHeight="true" outlineLevel="0" collapsed="false">
      <c r="B324" s="1" t="str">
        <f aca="false">IFERROR(VLOOKUP(A324,'Pass 2'!$A:$S,MATCH("Category",'Pass 2'!$1:$1,0),FALSE()),"")</f>
        <v/>
      </c>
      <c r="C324" s="1" t="str">
        <f aca="false">IFERROR(VLOOKUP(A324,'Pass 1 Archive'!$A:$AD,MATCH("LinkedIn Employee Count",'Pass 1 Archive'!$1:$1,0),FALSE()),"")</f>
        <v/>
      </c>
      <c r="D324" s="1" t="str">
        <f aca="false">IFERROR(VLOOKUP(A324,'Pass 2'!$A:$S,MATCH("Jan 2025 Traffic",'Pass 2'!$1:$1,0),FALSE()),"")</f>
        <v/>
      </c>
      <c r="E324" s="1" t="str">
        <f aca="false">IFERROR(VLOOKUP(A324,'Pass 2'!$A:$S,MATCH("Jun 2026 Traffic",'Pass 2'!$1:$1,0),FALSE()),"")</f>
        <v/>
      </c>
      <c r="F324" s="1" t="str">
        <f aca="false">IFERROR(VLOOKUP(A324,'Pass 2'!$A:$S,MATCH("Traffic % Change",'Pass 2'!$1:$1,0),FALSE()),"")</f>
        <v/>
      </c>
      <c r="G324" s="1" t="str">
        <f aca="false">IFERROR(VLOOKUP(A324,'Pass 2'!$A:$S,MATCH("Jan 2025 Referring Domains",'Pass 2'!$1:$1,0),FALSE()),"")</f>
        <v/>
      </c>
      <c r="H324" s="1" t="str">
        <f aca="false">IFERROR(VLOOKUP(A324,'Pass 2'!$A:$S,MATCH("Jun 2026 Referring Domains",'Pass 2'!$1:$1,0),FALSE()),"")</f>
        <v/>
      </c>
    </row>
    <row r="325" customFormat="false" ht="15" hidden="false" customHeight="true" outlineLevel="0" collapsed="false">
      <c r="B325" s="1" t="str">
        <f aca="false">IFERROR(VLOOKUP(A325,'Pass 2'!$A:$S,MATCH("Category",'Pass 2'!$1:$1,0),FALSE()),"")</f>
        <v/>
      </c>
      <c r="C325" s="1" t="str">
        <f aca="false">IFERROR(VLOOKUP(A325,'Pass 1 Archive'!$A:$AD,MATCH("LinkedIn Employee Count",'Pass 1 Archive'!$1:$1,0),FALSE()),"")</f>
        <v/>
      </c>
      <c r="D325" s="1" t="str">
        <f aca="false">IFERROR(VLOOKUP(A325,'Pass 2'!$A:$S,MATCH("Jan 2025 Traffic",'Pass 2'!$1:$1,0),FALSE()),"")</f>
        <v/>
      </c>
      <c r="E325" s="1" t="str">
        <f aca="false">IFERROR(VLOOKUP(A325,'Pass 2'!$A:$S,MATCH("Jun 2026 Traffic",'Pass 2'!$1:$1,0),FALSE()),"")</f>
        <v/>
      </c>
      <c r="F325" s="1" t="str">
        <f aca="false">IFERROR(VLOOKUP(A325,'Pass 2'!$A:$S,MATCH("Traffic % Change",'Pass 2'!$1:$1,0),FALSE()),"")</f>
        <v/>
      </c>
      <c r="G325" s="1" t="str">
        <f aca="false">IFERROR(VLOOKUP(A325,'Pass 2'!$A:$S,MATCH("Jan 2025 Referring Domains",'Pass 2'!$1:$1,0),FALSE()),"")</f>
        <v/>
      </c>
      <c r="H325" s="1" t="str">
        <f aca="false">IFERROR(VLOOKUP(A325,'Pass 2'!$A:$S,MATCH("Jun 2026 Referring Domains",'Pass 2'!$1:$1,0),FALSE()),"")</f>
        <v/>
      </c>
    </row>
    <row r="326" customFormat="false" ht="15" hidden="false" customHeight="true" outlineLevel="0" collapsed="false">
      <c r="B326" s="1" t="str">
        <f aca="false">IFERROR(VLOOKUP(A326,'Pass 2'!$A:$S,MATCH("Category",'Pass 2'!$1:$1,0),FALSE()),"")</f>
        <v/>
      </c>
      <c r="C326" s="1" t="str">
        <f aca="false">IFERROR(VLOOKUP(A326,'Pass 1 Archive'!$A:$AD,MATCH("LinkedIn Employee Count",'Pass 1 Archive'!$1:$1,0),FALSE()),"")</f>
        <v/>
      </c>
      <c r="D326" s="1" t="str">
        <f aca="false">IFERROR(VLOOKUP(A326,'Pass 2'!$A:$S,MATCH("Jan 2025 Traffic",'Pass 2'!$1:$1,0),FALSE()),"")</f>
        <v/>
      </c>
      <c r="E326" s="1" t="str">
        <f aca="false">IFERROR(VLOOKUP(A326,'Pass 2'!$A:$S,MATCH("Jun 2026 Traffic",'Pass 2'!$1:$1,0),FALSE()),"")</f>
        <v/>
      </c>
      <c r="F326" s="1" t="str">
        <f aca="false">IFERROR(VLOOKUP(A326,'Pass 2'!$A:$S,MATCH("Traffic % Change",'Pass 2'!$1:$1,0),FALSE()),"")</f>
        <v/>
      </c>
      <c r="G326" s="1" t="str">
        <f aca="false">IFERROR(VLOOKUP(A326,'Pass 2'!$A:$S,MATCH("Jan 2025 Referring Domains",'Pass 2'!$1:$1,0),FALSE()),"")</f>
        <v/>
      </c>
      <c r="H326" s="1" t="str">
        <f aca="false">IFERROR(VLOOKUP(A326,'Pass 2'!$A:$S,MATCH("Jun 2026 Referring Domains",'Pass 2'!$1:$1,0),FALSE()),"")</f>
        <v/>
      </c>
    </row>
    <row r="327" customFormat="false" ht="15" hidden="false" customHeight="true" outlineLevel="0" collapsed="false">
      <c r="B327" s="1" t="str">
        <f aca="false">IFERROR(VLOOKUP(A327,'Pass 2'!$A:$S,MATCH("Category",'Pass 2'!$1:$1,0),FALSE()),"")</f>
        <v/>
      </c>
      <c r="C327" s="1" t="str">
        <f aca="false">IFERROR(VLOOKUP(A327,'Pass 1 Archive'!$A:$AD,MATCH("LinkedIn Employee Count",'Pass 1 Archive'!$1:$1,0),FALSE()),"")</f>
        <v/>
      </c>
      <c r="D327" s="1" t="str">
        <f aca="false">IFERROR(VLOOKUP(A327,'Pass 2'!$A:$S,MATCH("Jan 2025 Traffic",'Pass 2'!$1:$1,0),FALSE()),"")</f>
        <v/>
      </c>
      <c r="E327" s="1" t="str">
        <f aca="false">IFERROR(VLOOKUP(A327,'Pass 2'!$A:$S,MATCH("Jun 2026 Traffic",'Pass 2'!$1:$1,0),FALSE()),"")</f>
        <v/>
      </c>
      <c r="F327" s="1" t="str">
        <f aca="false">IFERROR(VLOOKUP(A327,'Pass 2'!$A:$S,MATCH("Traffic % Change",'Pass 2'!$1:$1,0),FALSE()),"")</f>
        <v/>
      </c>
      <c r="G327" s="1" t="str">
        <f aca="false">IFERROR(VLOOKUP(A327,'Pass 2'!$A:$S,MATCH("Jan 2025 Referring Domains",'Pass 2'!$1:$1,0),FALSE()),"")</f>
        <v/>
      </c>
      <c r="H327" s="1" t="str">
        <f aca="false">IFERROR(VLOOKUP(A327,'Pass 2'!$A:$S,MATCH("Jun 2026 Referring Domains",'Pass 2'!$1:$1,0),FALSE()),"")</f>
        <v/>
      </c>
    </row>
    <row r="328" customFormat="false" ht="15" hidden="false" customHeight="true" outlineLevel="0" collapsed="false">
      <c r="B328" s="1" t="str">
        <f aca="false">IFERROR(VLOOKUP(A328,'Pass 2'!$A:$S,MATCH("Category",'Pass 2'!$1:$1,0),FALSE()),"")</f>
        <v/>
      </c>
      <c r="C328" s="1" t="str">
        <f aca="false">IFERROR(VLOOKUP(A328,'Pass 1 Archive'!$A:$AD,MATCH("LinkedIn Employee Count",'Pass 1 Archive'!$1:$1,0),FALSE()),"")</f>
        <v/>
      </c>
      <c r="D328" s="1" t="str">
        <f aca="false">IFERROR(VLOOKUP(A328,'Pass 2'!$A:$S,MATCH("Jan 2025 Traffic",'Pass 2'!$1:$1,0),FALSE()),"")</f>
        <v/>
      </c>
      <c r="E328" s="1" t="str">
        <f aca="false">IFERROR(VLOOKUP(A328,'Pass 2'!$A:$S,MATCH("Jun 2026 Traffic",'Pass 2'!$1:$1,0),FALSE()),"")</f>
        <v/>
      </c>
      <c r="F328" s="1" t="str">
        <f aca="false">IFERROR(VLOOKUP(A328,'Pass 2'!$A:$S,MATCH("Traffic % Change",'Pass 2'!$1:$1,0),FALSE()),"")</f>
        <v/>
      </c>
      <c r="G328" s="1" t="str">
        <f aca="false">IFERROR(VLOOKUP(A328,'Pass 2'!$A:$S,MATCH("Jan 2025 Referring Domains",'Pass 2'!$1:$1,0),FALSE()),"")</f>
        <v/>
      </c>
      <c r="H328" s="1" t="str">
        <f aca="false">IFERROR(VLOOKUP(A328,'Pass 2'!$A:$S,MATCH("Jun 2026 Referring Domains",'Pass 2'!$1:$1,0),FALSE()),"")</f>
        <v/>
      </c>
    </row>
    <row r="329" customFormat="false" ht="15" hidden="false" customHeight="true" outlineLevel="0" collapsed="false">
      <c r="B329" s="1" t="str">
        <f aca="false">IFERROR(VLOOKUP(A329,'Pass 2'!$A:$S,MATCH("Category",'Pass 2'!$1:$1,0),FALSE()),"")</f>
        <v/>
      </c>
      <c r="C329" s="1" t="str">
        <f aca="false">IFERROR(VLOOKUP(A329,'Pass 1 Archive'!$A:$AD,MATCH("LinkedIn Employee Count",'Pass 1 Archive'!$1:$1,0),FALSE()),"")</f>
        <v/>
      </c>
      <c r="D329" s="1" t="str">
        <f aca="false">IFERROR(VLOOKUP(A329,'Pass 2'!$A:$S,MATCH("Jan 2025 Traffic",'Pass 2'!$1:$1,0),FALSE()),"")</f>
        <v/>
      </c>
      <c r="E329" s="1" t="str">
        <f aca="false">IFERROR(VLOOKUP(A329,'Pass 2'!$A:$S,MATCH("Jun 2026 Traffic",'Pass 2'!$1:$1,0),FALSE()),"")</f>
        <v/>
      </c>
      <c r="F329" s="1" t="str">
        <f aca="false">IFERROR(VLOOKUP(A329,'Pass 2'!$A:$S,MATCH("Traffic % Change",'Pass 2'!$1:$1,0),FALSE()),"")</f>
        <v/>
      </c>
      <c r="G329" s="1" t="str">
        <f aca="false">IFERROR(VLOOKUP(A329,'Pass 2'!$A:$S,MATCH("Jan 2025 Referring Domains",'Pass 2'!$1:$1,0),FALSE()),"")</f>
        <v/>
      </c>
      <c r="H329" s="1" t="str">
        <f aca="false">IFERROR(VLOOKUP(A329,'Pass 2'!$A:$S,MATCH("Jun 2026 Referring Domains",'Pass 2'!$1:$1,0),FALSE()),"")</f>
        <v/>
      </c>
    </row>
    <row r="330" customFormat="false" ht="15" hidden="false" customHeight="true" outlineLevel="0" collapsed="false">
      <c r="B330" s="1" t="str">
        <f aca="false">IFERROR(VLOOKUP(A330,'Pass 2'!$A:$S,MATCH("Category",'Pass 2'!$1:$1,0),FALSE()),"")</f>
        <v/>
      </c>
      <c r="C330" s="1" t="str">
        <f aca="false">IFERROR(VLOOKUP(A330,'Pass 1 Archive'!$A:$AD,MATCH("LinkedIn Employee Count",'Pass 1 Archive'!$1:$1,0),FALSE()),"")</f>
        <v/>
      </c>
      <c r="D330" s="1" t="str">
        <f aca="false">IFERROR(VLOOKUP(A330,'Pass 2'!$A:$S,MATCH("Jan 2025 Traffic",'Pass 2'!$1:$1,0),FALSE()),"")</f>
        <v/>
      </c>
      <c r="E330" s="1" t="str">
        <f aca="false">IFERROR(VLOOKUP(A330,'Pass 2'!$A:$S,MATCH("Jun 2026 Traffic",'Pass 2'!$1:$1,0),FALSE()),"")</f>
        <v/>
      </c>
      <c r="F330" s="1" t="str">
        <f aca="false">IFERROR(VLOOKUP(A330,'Pass 2'!$A:$S,MATCH("Traffic % Change",'Pass 2'!$1:$1,0),FALSE()),"")</f>
        <v/>
      </c>
      <c r="G330" s="1" t="str">
        <f aca="false">IFERROR(VLOOKUP(A330,'Pass 2'!$A:$S,MATCH("Jan 2025 Referring Domains",'Pass 2'!$1:$1,0),FALSE()),"")</f>
        <v/>
      </c>
      <c r="H330" s="1" t="str">
        <f aca="false">IFERROR(VLOOKUP(A330,'Pass 2'!$A:$S,MATCH("Jun 2026 Referring Domains",'Pass 2'!$1:$1,0),FALSE()),"")</f>
        <v/>
      </c>
    </row>
    <row r="331" customFormat="false" ht="15" hidden="false" customHeight="true" outlineLevel="0" collapsed="false">
      <c r="B331" s="1" t="str">
        <f aca="false">IFERROR(VLOOKUP(A331,'Pass 2'!$A:$S,MATCH("Category",'Pass 2'!$1:$1,0),FALSE()),"")</f>
        <v/>
      </c>
      <c r="C331" s="1" t="str">
        <f aca="false">IFERROR(VLOOKUP(A331,'Pass 1 Archive'!$A:$AD,MATCH("LinkedIn Employee Count",'Pass 1 Archive'!$1:$1,0),FALSE()),"")</f>
        <v/>
      </c>
      <c r="D331" s="1" t="str">
        <f aca="false">IFERROR(VLOOKUP(A331,'Pass 2'!$A:$S,MATCH("Jan 2025 Traffic",'Pass 2'!$1:$1,0),FALSE()),"")</f>
        <v/>
      </c>
      <c r="E331" s="1" t="str">
        <f aca="false">IFERROR(VLOOKUP(A331,'Pass 2'!$A:$S,MATCH("Jun 2026 Traffic",'Pass 2'!$1:$1,0),FALSE()),"")</f>
        <v/>
      </c>
      <c r="F331" s="1" t="str">
        <f aca="false">IFERROR(VLOOKUP(A331,'Pass 2'!$A:$S,MATCH("Traffic % Change",'Pass 2'!$1:$1,0),FALSE()),"")</f>
        <v/>
      </c>
      <c r="G331" s="1" t="str">
        <f aca="false">IFERROR(VLOOKUP(A331,'Pass 2'!$A:$S,MATCH("Jan 2025 Referring Domains",'Pass 2'!$1:$1,0),FALSE()),"")</f>
        <v/>
      </c>
      <c r="H331" s="1" t="str">
        <f aca="false">IFERROR(VLOOKUP(A331,'Pass 2'!$A:$S,MATCH("Jun 2026 Referring Domains",'Pass 2'!$1:$1,0),FALSE()),"")</f>
        <v/>
      </c>
    </row>
    <row r="332" customFormat="false" ht="15" hidden="false" customHeight="true" outlineLevel="0" collapsed="false">
      <c r="B332" s="1" t="str">
        <f aca="false">IFERROR(VLOOKUP(A332,'Pass 2'!$A:$S,MATCH("Category",'Pass 2'!$1:$1,0),FALSE()),"")</f>
        <v/>
      </c>
      <c r="C332" s="1" t="str">
        <f aca="false">IFERROR(VLOOKUP(A332,'Pass 1 Archive'!$A:$AD,MATCH("LinkedIn Employee Count",'Pass 1 Archive'!$1:$1,0),FALSE()),"")</f>
        <v/>
      </c>
      <c r="D332" s="1" t="str">
        <f aca="false">IFERROR(VLOOKUP(A332,'Pass 2'!$A:$S,MATCH("Jan 2025 Traffic",'Pass 2'!$1:$1,0),FALSE()),"")</f>
        <v/>
      </c>
      <c r="E332" s="1" t="str">
        <f aca="false">IFERROR(VLOOKUP(A332,'Pass 2'!$A:$S,MATCH("Jun 2026 Traffic",'Pass 2'!$1:$1,0),FALSE()),"")</f>
        <v/>
      </c>
      <c r="F332" s="1" t="str">
        <f aca="false">IFERROR(VLOOKUP(A332,'Pass 2'!$A:$S,MATCH("Traffic % Change",'Pass 2'!$1:$1,0),FALSE()),"")</f>
        <v/>
      </c>
      <c r="G332" s="1" t="str">
        <f aca="false">IFERROR(VLOOKUP(A332,'Pass 2'!$A:$S,MATCH("Jan 2025 Referring Domains",'Pass 2'!$1:$1,0),FALSE()),"")</f>
        <v/>
      </c>
      <c r="H332" s="1" t="str">
        <f aca="false">IFERROR(VLOOKUP(A332,'Pass 2'!$A:$S,MATCH("Jun 2026 Referring Domains",'Pass 2'!$1:$1,0),FALSE()),"")</f>
        <v/>
      </c>
    </row>
    <row r="333" customFormat="false" ht="15" hidden="false" customHeight="true" outlineLevel="0" collapsed="false">
      <c r="B333" s="1" t="str">
        <f aca="false">IFERROR(VLOOKUP(A333,'Pass 2'!$A:$S,MATCH("Category",'Pass 2'!$1:$1,0),FALSE()),"")</f>
        <v/>
      </c>
      <c r="C333" s="1" t="str">
        <f aca="false">IFERROR(VLOOKUP(A333,'Pass 1 Archive'!$A:$AD,MATCH("LinkedIn Employee Count",'Pass 1 Archive'!$1:$1,0),FALSE()),"")</f>
        <v/>
      </c>
      <c r="D333" s="1" t="str">
        <f aca="false">IFERROR(VLOOKUP(A333,'Pass 2'!$A:$S,MATCH("Jan 2025 Traffic",'Pass 2'!$1:$1,0),FALSE()),"")</f>
        <v/>
      </c>
      <c r="E333" s="1" t="str">
        <f aca="false">IFERROR(VLOOKUP(A333,'Pass 2'!$A:$S,MATCH("Jun 2026 Traffic",'Pass 2'!$1:$1,0),FALSE()),"")</f>
        <v/>
      </c>
      <c r="F333" s="1" t="str">
        <f aca="false">IFERROR(VLOOKUP(A333,'Pass 2'!$A:$S,MATCH("Traffic % Change",'Pass 2'!$1:$1,0),FALSE()),"")</f>
        <v/>
      </c>
      <c r="G333" s="1" t="str">
        <f aca="false">IFERROR(VLOOKUP(A333,'Pass 2'!$A:$S,MATCH("Jan 2025 Referring Domains",'Pass 2'!$1:$1,0),FALSE()),"")</f>
        <v/>
      </c>
      <c r="H333" s="1" t="str">
        <f aca="false">IFERROR(VLOOKUP(A333,'Pass 2'!$A:$S,MATCH("Jun 2026 Referring Domains",'Pass 2'!$1:$1,0),FALSE()),"")</f>
        <v/>
      </c>
    </row>
    <row r="334" customFormat="false" ht="15" hidden="false" customHeight="true" outlineLevel="0" collapsed="false">
      <c r="B334" s="1" t="str">
        <f aca="false">IFERROR(VLOOKUP(A334,'Pass 2'!$A:$S,MATCH("Category",'Pass 2'!$1:$1,0),FALSE()),"")</f>
        <v/>
      </c>
      <c r="C334" s="1" t="str">
        <f aca="false">IFERROR(VLOOKUP(A334,'Pass 1 Archive'!$A:$AD,MATCH("LinkedIn Employee Count",'Pass 1 Archive'!$1:$1,0),FALSE()),"")</f>
        <v/>
      </c>
      <c r="D334" s="1" t="str">
        <f aca="false">IFERROR(VLOOKUP(A334,'Pass 2'!$A:$S,MATCH("Jan 2025 Traffic",'Pass 2'!$1:$1,0),FALSE()),"")</f>
        <v/>
      </c>
      <c r="E334" s="1" t="str">
        <f aca="false">IFERROR(VLOOKUP(A334,'Pass 2'!$A:$S,MATCH("Jun 2026 Traffic",'Pass 2'!$1:$1,0),FALSE()),"")</f>
        <v/>
      </c>
      <c r="F334" s="1" t="str">
        <f aca="false">IFERROR(VLOOKUP(A334,'Pass 2'!$A:$S,MATCH("Traffic % Change",'Pass 2'!$1:$1,0),FALSE()),"")</f>
        <v/>
      </c>
      <c r="G334" s="1" t="str">
        <f aca="false">IFERROR(VLOOKUP(A334,'Pass 2'!$A:$S,MATCH("Jan 2025 Referring Domains",'Pass 2'!$1:$1,0),FALSE()),"")</f>
        <v/>
      </c>
      <c r="H334" s="1" t="str">
        <f aca="false">IFERROR(VLOOKUP(A334,'Pass 2'!$A:$S,MATCH("Jun 2026 Referring Domains",'Pass 2'!$1:$1,0),FALSE()),"")</f>
        <v/>
      </c>
    </row>
    <row r="335" customFormat="false" ht="15" hidden="false" customHeight="true" outlineLevel="0" collapsed="false">
      <c r="B335" s="1" t="str">
        <f aca="false">IFERROR(VLOOKUP(A335,'Pass 2'!$A:$S,MATCH("Category",'Pass 2'!$1:$1,0),FALSE()),"")</f>
        <v/>
      </c>
      <c r="C335" s="1" t="str">
        <f aca="false">IFERROR(VLOOKUP(A335,'Pass 1 Archive'!$A:$AD,MATCH("LinkedIn Employee Count",'Pass 1 Archive'!$1:$1,0),FALSE()),"")</f>
        <v/>
      </c>
      <c r="D335" s="1" t="str">
        <f aca="false">IFERROR(VLOOKUP(A335,'Pass 2'!$A:$S,MATCH("Jan 2025 Traffic",'Pass 2'!$1:$1,0),FALSE()),"")</f>
        <v/>
      </c>
      <c r="E335" s="1" t="str">
        <f aca="false">IFERROR(VLOOKUP(A335,'Pass 2'!$A:$S,MATCH("Jun 2026 Traffic",'Pass 2'!$1:$1,0),FALSE()),"")</f>
        <v/>
      </c>
      <c r="F335" s="1" t="str">
        <f aca="false">IFERROR(VLOOKUP(A335,'Pass 2'!$A:$S,MATCH("Traffic % Change",'Pass 2'!$1:$1,0),FALSE()),"")</f>
        <v/>
      </c>
      <c r="G335" s="1" t="str">
        <f aca="false">IFERROR(VLOOKUP(A335,'Pass 2'!$A:$S,MATCH("Jan 2025 Referring Domains",'Pass 2'!$1:$1,0),FALSE()),"")</f>
        <v/>
      </c>
      <c r="H335" s="1" t="str">
        <f aca="false">IFERROR(VLOOKUP(A335,'Pass 2'!$A:$S,MATCH("Jun 2026 Referring Domains",'Pass 2'!$1:$1,0),FALSE()),"")</f>
        <v/>
      </c>
    </row>
    <row r="336" customFormat="false" ht="15" hidden="false" customHeight="true" outlineLevel="0" collapsed="false">
      <c r="B336" s="1" t="str">
        <f aca="false">IFERROR(VLOOKUP(A336,'Pass 2'!$A:$S,MATCH("Category",'Pass 2'!$1:$1,0),FALSE()),"")</f>
        <v/>
      </c>
      <c r="C336" s="1" t="str">
        <f aca="false">IFERROR(VLOOKUP(A336,'Pass 1 Archive'!$A:$AD,MATCH("LinkedIn Employee Count",'Pass 1 Archive'!$1:$1,0),FALSE()),"")</f>
        <v/>
      </c>
      <c r="D336" s="1" t="str">
        <f aca="false">IFERROR(VLOOKUP(A336,'Pass 2'!$A:$S,MATCH("Jan 2025 Traffic",'Pass 2'!$1:$1,0),FALSE()),"")</f>
        <v/>
      </c>
      <c r="E336" s="1" t="str">
        <f aca="false">IFERROR(VLOOKUP(A336,'Pass 2'!$A:$S,MATCH("Jun 2026 Traffic",'Pass 2'!$1:$1,0),FALSE()),"")</f>
        <v/>
      </c>
      <c r="F336" s="1" t="str">
        <f aca="false">IFERROR(VLOOKUP(A336,'Pass 2'!$A:$S,MATCH("Traffic % Change",'Pass 2'!$1:$1,0),FALSE()),"")</f>
        <v/>
      </c>
      <c r="G336" s="1" t="str">
        <f aca="false">IFERROR(VLOOKUP(A336,'Pass 2'!$A:$S,MATCH("Jan 2025 Referring Domains",'Pass 2'!$1:$1,0),FALSE()),"")</f>
        <v/>
      </c>
      <c r="H336" s="1" t="str">
        <f aca="false">IFERROR(VLOOKUP(A336,'Pass 2'!$A:$S,MATCH("Jun 2026 Referring Domains",'Pass 2'!$1:$1,0),FALSE()),"")</f>
        <v/>
      </c>
    </row>
    <row r="337" customFormat="false" ht="15" hidden="false" customHeight="true" outlineLevel="0" collapsed="false">
      <c r="B337" s="1" t="str">
        <f aca="false">IFERROR(VLOOKUP(A337,'Pass 2'!$A:$S,MATCH("Category",'Pass 2'!$1:$1,0),FALSE()),"")</f>
        <v/>
      </c>
      <c r="C337" s="1" t="str">
        <f aca="false">IFERROR(VLOOKUP(A337,'Pass 1 Archive'!$A:$AD,MATCH("LinkedIn Employee Count",'Pass 1 Archive'!$1:$1,0),FALSE()),"")</f>
        <v/>
      </c>
      <c r="D337" s="1" t="str">
        <f aca="false">IFERROR(VLOOKUP(A337,'Pass 2'!$A:$S,MATCH("Jan 2025 Traffic",'Pass 2'!$1:$1,0),FALSE()),"")</f>
        <v/>
      </c>
      <c r="E337" s="1" t="str">
        <f aca="false">IFERROR(VLOOKUP(A337,'Pass 2'!$A:$S,MATCH("Jun 2026 Traffic",'Pass 2'!$1:$1,0),FALSE()),"")</f>
        <v/>
      </c>
      <c r="F337" s="1" t="str">
        <f aca="false">IFERROR(VLOOKUP(A337,'Pass 2'!$A:$S,MATCH("Traffic % Change",'Pass 2'!$1:$1,0),FALSE()),"")</f>
        <v/>
      </c>
      <c r="G337" s="1" t="str">
        <f aca="false">IFERROR(VLOOKUP(A337,'Pass 2'!$A:$S,MATCH("Jan 2025 Referring Domains",'Pass 2'!$1:$1,0),FALSE()),"")</f>
        <v/>
      </c>
      <c r="H337" s="1" t="str">
        <f aca="false">IFERROR(VLOOKUP(A337,'Pass 2'!$A:$S,MATCH("Jun 2026 Referring Domains",'Pass 2'!$1:$1,0),FALSE()),"")</f>
        <v/>
      </c>
    </row>
    <row r="338" customFormat="false" ht="15" hidden="false" customHeight="true" outlineLevel="0" collapsed="false">
      <c r="B338" s="1" t="str">
        <f aca="false">IFERROR(VLOOKUP(A338,'Pass 2'!$A:$S,MATCH("Category",'Pass 2'!$1:$1,0),FALSE()),"")</f>
        <v/>
      </c>
      <c r="C338" s="1" t="str">
        <f aca="false">IFERROR(VLOOKUP(A338,'Pass 1 Archive'!$A:$AD,MATCH("LinkedIn Employee Count",'Pass 1 Archive'!$1:$1,0),FALSE()),"")</f>
        <v/>
      </c>
      <c r="D338" s="1" t="str">
        <f aca="false">IFERROR(VLOOKUP(A338,'Pass 2'!$A:$S,MATCH("Jan 2025 Traffic",'Pass 2'!$1:$1,0),FALSE()),"")</f>
        <v/>
      </c>
      <c r="E338" s="1" t="str">
        <f aca="false">IFERROR(VLOOKUP(A338,'Pass 2'!$A:$S,MATCH("Jun 2026 Traffic",'Pass 2'!$1:$1,0),FALSE()),"")</f>
        <v/>
      </c>
      <c r="F338" s="1" t="str">
        <f aca="false">IFERROR(VLOOKUP(A338,'Pass 2'!$A:$S,MATCH("Traffic % Change",'Pass 2'!$1:$1,0),FALSE()),"")</f>
        <v/>
      </c>
      <c r="G338" s="1" t="str">
        <f aca="false">IFERROR(VLOOKUP(A338,'Pass 2'!$A:$S,MATCH("Jan 2025 Referring Domains",'Pass 2'!$1:$1,0),FALSE()),"")</f>
        <v/>
      </c>
      <c r="H338" s="1" t="str">
        <f aca="false">IFERROR(VLOOKUP(A338,'Pass 2'!$A:$S,MATCH("Jun 2026 Referring Domains",'Pass 2'!$1:$1,0),FALSE()),"")</f>
        <v/>
      </c>
    </row>
    <row r="339" customFormat="false" ht="15" hidden="false" customHeight="true" outlineLevel="0" collapsed="false">
      <c r="B339" s="1" t="str">
        <f aca="false">IFERROR(VLOOKUP(A339,'Pass 2'!$A:$S,MATCH("Category",'Pass 2'!$1:$1,0),FALSE()),"")</f>
        <v/>
      </c>
      <c r="C339" s="1" t="str">
        <f aca="false">IFERROR(VLOOKUP(A339,'Pass 1 Archive'!$A:$AD,MATCH("LinkedIn Employee Count",'Pass 1 Archive'!$1:$1,0),FALSE()),"")</f>
        <v/>
      </c>
      <c r="D339" s="1" t="str">
        <f aca="false">IFERROR(VLOOKUP(A339,'Pass 2'!$A:$S,MATCH("Jan 2025 Traffic",'Pass 2'!$1:$1,0),FALSE()),"")</f>
        <v/>
      </c>
      <c r="E339" s="1" t="str">
        <f aca="false">IFERROR(VLOOKUP(A339,'Pass 2'!$A:$S,MATCH("Jun 2026 Traffic",'Pass 2'!$1:$1,0),FALSE()),"")</f>
        <v/>
      </c>
      <c r="F339" s="1" t="str">
        <f aca="false">IFERROR(VLOOKUP(A339,'Pass 2'!$A:$S,MATCH("Traffic % Change",'Pass 2'!$1:$1,0),FALSE()),"")</f>
        <v/>
      </c>
      <c r="G339" s="1" t="str">
        <f aca="false">IFERROR(VLOOKUP(A339,'Pass 2'!$A:$S,MATCH("Jan 2025 Referring Domains",'Pass 2'!$1:$1,0),FALSE()),"")</f>
        <v/>
      </c>
      <c r="H339" s="1" t="str">
        <f aca="false">IFERROR(VLOOKUP(A339,'Pass 2'!$A:$S,MATCH("Jun 2026 Referring Domains",'Pass 2'!$1:$1,0),FALSE()),"")</f>
        <v/>
      </c>
    </row>
    <row r="340" customFormat="false" ht="15" hidden="false" customHeight="true" outlineLevel="0" collapsed="false">
      <c r="B340" s="1" t="str">
        <f aca="false">IFERROR(VLOOKUP(A340,'Pass 2'!$A:$S,MATCH("Category",'Pass 2'!$1:$1,0),FALSE()),"")</f>
        <v/>
      </c>
      <c r="C340" s="1" t="str">
        <f aca="false">IFERROR(VLOOKUP(A340,'Pass 1 Archive'!$A:$AD,MATCH("LinkedIn Employee Count",'Pass 1 Archive'!$1:$1,0),FALSE()),"")</f>
        <v/>
      </c>
      <c r="D340" s="1" t="str">
        <f aca="false">IFERROR(VLOOKUP(A340,'Pass 2'!$A:$S,MATCH("Jan 2025 Traffic",'Pass 2'!$1:$1,0),FALSE()),"")</f>
        <v/>
      </c>
      <c r="E340" s="1" t="str">
        <f aca="false">IFERROR(VLOOKUP(A340,'Pass 2'!$A:$S,MATCH("Jun 2026 Traffic",'Pass 2'!$1:$1,0),FALSE()),"")</f>
        <v/>
      </c>
      <c r="F340" s="1" t="str">
        <f aca="false">IFERROR(VLOOKUP(A340,'Pass 2'!$A:$S,MATCH("Traffic % Change",'Pass 2'!$1:$1,0),FALSE()),"")</f>
        <v/>
      </c>
      <c r="G340" s="1" t="str">
        <f aca="false">IFERROR(VLOOKUP(A340,'Pass 2'!$A:$S,MATCH("Jan 2025 Referring Domains",'Pass 2'!$1:$1,0),FALSE()),"")</f>
        <v/>
      </c>
      <c r="H340" s="1" t="str">
        <f aca="false">IFERROR(VLOOKUP(A340,'Pass 2'!$A:$S,MATCH("Jun 2026 Referring Domains",'Pass 2'!$1:$1,0),FALSE()),"")</f>
        <v/>
      </c>
    </row>
    <row r="341" customFormat="false" ht="15" hidden="false" customHeight="true" outlineLevel="0" collapsed="false">
      <c r="B341" s="1" t="str">
        <f aca="false">IFERROR(VLOOKUP(A341,'Pass 2'!$A:$S,MATCH("Category",'Pass 2'!$1:$1,0),FALSE()),"")</f>
        <v/>
      </c>
      <c r="C341" s="1" t="str">
        <f aca="false">IFERROR(VLOOKUP(A341,'Pass 1 Archive'!$A:$AD,MATCH("LinkedIn Employee Count",'Pass 1 Archive'!$1:$1,0),FALSE()),"")</f>
        <v/>
      </c>
      <c r="D341" s="1" t="str">
        <f aca="false">IFERROR(VLOOKUP(A341,'Pass 2'!$A:$S,MATCH("Jan 2025 Traffic",'Pass 2'!$1:$1,0),FALSE()),"")</f>
        <v/>
      </c>
      <c r="E341" s="1" t="str">
        <f aca="false">IFERROR(VLOOKUP(A341,'Pass 2'!$A:$S,MATCH("Jun 2026 Traffic",'Pass 2'!$1:$1,0),FALSE()),"")</f>
        <v/>
      </c>
      <c r="F341" s="1" t="str">
        <f aca="false">IFERROR(VLOOKUP(A341,'Pass 2'!$A:$S,MATCH("Traffic % Change",'Pass 2'!$1:$1,0),FALSE()),"")</f>
        <v/>
      </c>
      <c r="G341" s="1" t="str">
        <f aca="false">IFERROR(VLOOKUP(A341,'Pass 2'!$A:$S,MATCH("Jan 2025 Referring Domains",'Pass 2'!$1:$1,0),FALSE()),"")</f>
        <v/>
      </c>
      <c r="H341" s="1" t="str">
        <f aca="false">IFERROR(VLOOKUP(A341,'Pass 2'!$A:$S,MATCH("Jun 2026 Referring Domains",'Pass 2'!$1:$1,0),FALSE()),"")</f>
        <v/>
      </c>
    </row>
    <row r="342" customFormat="false" ht="15" hidden="false" customHeight="true" outlineLevel="0" collapsed="false">
      <c r="B342" s="1" t="str">
        <f aca="false">IFERROR(VLOOKUP(A342,'Pass 2'!$A:$S,MATCH("Category",'Pass 2'!$1:$1,0),FALSE()),"")</f>
        <v/>
      </c>
      <c r="C342" s="1" t="str">
        <f aca="false">IFERROR(VLOOKUP(A342,'Pass 1 Archive'!$A:$AD,MATCH("LinkedIn Employee Count",'Pass 1 Archive'!$1:$1,0),FALSE()),"")</f>
        <v/>
      </c>
      <c r="D342" s="1" t="str">
        <f aca="false">IFERROR(VLOOKUP(A342,'Pass 2'!$A:$S,MATCH("Jan 2025 Traffic",'Pass 2'!$1:$1,0),FALSE()),"")</f>
        <v/>
      </c>
      <c r="E342" s="1" t="str">
        <f aca="false">IFERROR(VLOOKUP(A342,'Pass 2'!$A:$S,MATCH("Jun 2026 Traffic",'Pass 2'!$1:$1,0),FALSE()),"")</f>
        <v/>
      </c>
      <c r="F342" s="1" t="str">
        <f aca="false">IFERROR(VLOOKUP(A342,'Pass 2'!$A:$S,MATCH("Traffic % Change",'Pass 2'!$1:$1,0),FALSE()),"")</f>
        <v/>
      </c>
      <c r="G342" s="1" t="str">
        <f aca="false">IFERROR(VLOOKUP(A342,'Pass 2'!$A:$S,MATCH("Jan 2025 Referring Domains",'Pass 2'!$1:$1,0),FALSE()),"")</f>
        <v/>
      </c>
      <c r="H342" s="1" t="str">
        <f aca="false">IFERROR(VLOOKUP(A342,'Pass 2'!$A:$S,MATCH("Jun 2026 Referring Domains",'Pass 2'!$1:$1,0),FALSE()),"")</f>
        <v/>
      </c>
    </row>
    <row r="343" customFormat="false" ht="15" hidden="false" customHeight="true" outlineLevel="0" collapsed="false">
      <c r="B343" s="1" t="str">
        <f aca="false">IFERROR(VLOOKUP(A343,'Pass 2'!$A:$S,MATCH("Category",'Pass 2'!$1:$1,0),FALSE()),"")</f>
        <v/>
      </c>
      <c r="C343" s="1" t="str">
        <f aca="false">IFERROR(VLOOKUP(A343,'Pass 1 Archive'!$A:$AD,MATCH("LinkedIn Employee Count",'Pass 1 Archive'!$1:$1,0),FALSE()),"")</f>
        <v/>
      </c>
      <c r="D343" s="1" t="str">
        <f aca="false">IFERROR(VLOOKUP(A343,'Pass 2'!$A:$S,MATCH("Jan 2025 Traffic",'Pass 2'!$1:$1,0),FALSE()),"")</f>
        <v/>
      </c>
      <c r="E343" s="1" t="str">
        <f aca="false">IFERROR(VLOOKUP(A343,'Pass 2'!$A:$S,MATCH("Jun 2026 Traffic",'Pass 2'!$1:$1,0),FALSE()),"")</f>
        <v/>
      </c>
      <c r="F343" s="1" t="str">
        <f aca="false">IFERROR(VLOOKUP(A343,'Pass 2'!$A:$S,MATCH("Traffic % Change",'Pass 2'!$1:$1,0),FALSE()),"")</f>
        <v/>
      </c>
      <c r="G343" s="1" t="str">
        <f aca="false">IFERROR(VLOOKUP(A343,'Pass 2'!$A:$S,MATCH("Jan 2025 Referring Domains",'Pass 2'!$1:$1,0),FALSE()),"")</f>
        <v/>
      </c>
      <c r="H343" s="1" t="str">
        <f aca="false">IFERROR(VLOOKUP(A343,'Pass 2'!$A:$S,MATCH("Jun 2026 Referring Domains",'Pass 2'!$1:$1,0),FALSE()),"")</f>
        <v/>
      </c>
    </row>
    <row r="344" customFormat="false" ht="15" hidden="false" customHeight="true" outlineLevel="0" collapsed="false">
      <c r="B344" s="1" t="str">
        <f aca="false">IFERROR(VLOOKUP(A344,'Pass 2'!$A:$S,MATCH("Category",'Pass 2'!$1:$1,0),FALSE()),"")</f>
        <v/>
      </c>
      <c r="C344" s="1" t="str">
        <f aca="false">IFERROR(VLOOKUP(A344,'Pass 1 Archive'!$A:$AD,MATCH("LinkedIn Employee Count",'Pass 1 Archive'!$1:$1,0),FALSE()),"")</f>
        <v/>
      </c>
      <c r="D344" s="1" t="str">
        <f aca="false">IFERROR(VLOOKUP(A344,'Pass 2'!$A:$S,MATCH("Jan 2025 Traffic",'Pass 2'!$1:$1,0),FALSE()),"")</f>
        <v/>
      </c>
      <c r="E344" s="1" t="str">
        <f aca="false">IFERROR(VLOOKUP(A344,'Pass 2'!$A:$S,MATCH("Jun 2026 Traffic",'Pass 2'!$1:$1,0),FALSE()),"")</f>
        <v/>
      </c>
      <c r="F344" s="1" t="str">
        <f aca="false">IFERROR(VLOOKUP(A344,'Pass 2'!$A:$S,MATCH("Traffic % Change",'Pass 2'!$1:$1,0),FALSE()),"")</f>
        <v/>
      </c>
      <c r="G344" s="1" t="str">
        <f aca="false">IFERROR(VLOOKUP(A344,'Pass 2'!$A:$S,MATCH("Jan 2025 Referring Domains",'Pass 2'!$1:$1,0),FALSE()),"")</f>
        <v/>
      </c>
      <c r="H344" s="1" t="str">
        <f aca="false">IFERROR(VLOOKUP(A344,'Pass 2'!$A:$S,MATCH("Jun 2026 Referring Domains",'Pass 2'!$1:$1,0),FALSE()),"")</f>
        <v/>
      </c>
    </row>
    <row r="345" customFormat="false" ht="15" hidden="false" customHeight="true" outlineLevel="0" collapsed="false">
      <c r="B345" s="1" t="str">
        <f aca="false">IFERROR(VLOOKUP(A345,'Pass 2'!$A:$S,MATCH("Category",'Pass 2'!$1:$1,0),FALSE()),"")</f>
        <v/>
      </c>
      <c r="C345" s="1" t="str">
        <f aca="false">IFERROR(VLOOKUP(A345,'Pass 1 Archive'!$A:$AD,MATCH("LinkedIn Employee Count",'Pass 1 Archive'!$1:$1,0),FALSE()),"")</f>
        <v/>
      </c>
      <c r="D345" s="1" t="str">
        <f aca="false">IFERROR(VLOOKUP(A345,'Pass 2'!$A:$S,MATCH("Jan 2025 Traffic",'Pass 2'!$1:$1,0),FALSE()),"")</f>
        <v/>
      </c>
      <c r="E345" s="1" t="str">
        <f aca="false">IFERROR(VLOOKUP(A345,'Pass 2'!$A:$S,MATCH("Jun 2026 Traffic",'Pass 2'!$1:$1,0),FALSE()),"")</f>
        <v/>
      </c>
      <c r="F345" s="1" t="str">
        <f aca="false">IFERROR(VLOOKUP(A345,'Pass 2'!$A:$S,MATCH("Traffic % Change",'Pass 2'!$1:$1,0),FALSE()),"")</f>
        <v/>
      </c>
      <c r="G345" s="1" t="str">
        <f aca="false">IFERROR(VLOOKUP(A345,'Pass 2'!$A:$S,MATCH("Jan 2025 Referring Domains",'Pass 2'!$1:$1,0),FALSE()),"")</f>
        <v/>
      </c>
      <c r="H345" s="1" t="str">
        <f aca="false">IFERROR(VLOOKUP(A345,'Pass 2'!$A:$S,MATCH("Jun 2026 Referring Domains",'Pass 2'!$1:$1,0),FALSE()),"")</f>
        <v/>
      </c>
    </row>
    <row r="346" customFormat="false" ht="15" hidden="false" customHeight="true" outlineLevel="0" collapsed="false">
      <c r="B346" s="1" t="str">
        <f aca="false">IFERROR(VLOOKUP(A346,'Pass 2'!$A:$S,MATCH("Category",'Pass 2'!$1:$1,0),FALSE()),"")</f>
        <v/>
      </c>
      <c r="C346" s="1" t="str">
        <f aca="false">IFERROR(VLOOKUP(A346,'Pass 1 Archive'!$A:$AD,MATCH("LinkedIn Employee Count",'Pass 1 Archive'!$1:$1,0),FALSE()),"")</f>
        <v/>
      </c>
      <c r="D346" s="1" t="str">
        <f aca="false">IFERROR(VLOOKUP(A346,'Pass 2'!$A:$S,MATCH("Jan 2025 Traffic",'Pass 2'!$1:$1,0),FALSE()),"")</f>
        <v/>
      </c>
      <c r="E346" s="1" t="str">
        <f aca="false">IFERROR(VLOOKUP(A346,'Pass 2'!$A:$S,MATCH("Jun 2026 Traffic",'Pass 2'!$1:$1,0),FALSE()),"")</f>
        <v/>
      </c>
      <c r="F346" s="1" t="str">
        <f aca="false">IFERROR(VLOOKUP(A346,'Pass 2'!$A:$S,MATCH("Traffic % Change",'Pass 2'!$1:$1,0),FALSE()),"")</f>
        <v/>
      </c>
      <c r="G346" s="1" t="str">
        <f aca="false">IFERROR(VLOOKUP(A346,'Pass 2'!$A:$S,MATCH("Jan 2025 Referring Domains",'Pass 2'!$1:$1,0),FALSE()),"")</f>
        <v/>
      </c>
      <c r="H346" s="1" t="str">
        <f aca="false">IFERROR(VLOOKUP(A346,'Pass 2'!$A:$S,MATCH("Jun 2026 Referring Domains",'Pass 2'!$1:$1,0),FALSE()),"")</f>
        <v/>
      </c>
    </row>
    <row r="347" customFormat="false" ht="15" hidden="false" customHeight="true" outlineLevel="0" collapsed="false">
      <c r="B347" s="1" t="str">
        <f aca="false">IFERROR(VLOOKUP(A347,'Pass 2'!$A:$S,MATCH("Category",'Pass 2'!$1:$1,0),FALSE()),"")</f>
        <v/>
      </c>
      <c r="C347" s="1" t="str">
        <f aca="false">IFERROR(VLOOKUP(A347,'Pass 1 Archive'!$A:$AD,MATCH("LinkedIn Employee Count",'Pass 1 Archive'!$1:$1,0),FALSE()),"")</f>
        <v/>
      </c>
      <c r="D347" s="1" t="str">
        <f aca="false">IFERROR(VLOOKUP(A347,'Pass 2'!$A:$S,MATCH("Jan 2025 Traffic",'Pass 2'!$1:$1,0),FALSE()),"")</f>
        <v/>
      </c>
      <c r="E347" s="1" t="str">
        <f aca="false">IFERROR(VLOOKUP(A347,'Pass 2'!$A:$S,MATCH("Jun 2026 Traffic",'Pass 2'!$1:$1,0),FALSE()),"")</f>
        <v/>
      </c>
      <c r="F347" s="1" t="str">
        <f aca="false">IFERROR(VLOOKUP(A347,'Pass 2'!$A:$S,MATCH("Traffic % Change",'Pass 2'!$1:$1,0),FALSE()),"")</f>
        <v/>
      </c>
      <c r="G347" s="1" t="str">
        <f aca="false">IFERROR(VLOOKUP(A347,'Pass 2'!$A:$S,MATCH("Jan 2025 Referring Domains",'Pass 2'!$1:$1,0),FALSE()),"")</f>
        <v/>
      </c>
      <c r="H347" s="1" t="str">
        <f aca="false">IFERROR(VLOOKUP(A347,'Pass 2'!$A:$S,MATCH("Jun 2026 Referring Domains",'Pass 2'!$1:$1,0),FALSE()),"")</f>
        <v/>
      </c>
    </row>
    <row r="348" customFormat="false" ht="15" hidden="false" customHeight="true" outlineLevel="0" collapsed="false">
      <c r="B348" s="1" t="str">
        <f aca="false">IFERROR(VLOOKUP(A348,'Pass 2'!$A:$S,MATCH("Category",'Pass 2'!$1:$1,0),FALSE()),"")</f>
        <v/>
      </c>
      <c r="C348" s="1" t="str">
        <f aca="false">IFERROR(VLOOKUP(A348,'Pass 1 Archive'!$A:$AD,MATCH("LinkedIn Employee Count",'Pass 1 Archive'!$1:$1,0),FALSE()),"")</f>
        <v/>
      </c>
      <c r="D348" s="1" t="str">
        <f aca="false">IFERROR(VLOOKUP(A348,'Pass 2'!$A:$S,MATCH("Jan 2025 Traffic",'Pass 2'!$1:$1,0),FALSE()),"")</f>
        <v/>
      </c>
      <c r="E348" s="1" t="str">
        <f aca="false">IFERROR(VLOOKUP(A348,'Pass 2'!$A:$S,MATCH("Jun 2026 Traffic",'Pass 2'!$1:$1,0),FALSE()),"")</f>
        <v/>
      </c>
      <c r="F348" s="1" t="str">
        <f aca="false">IFERROR(VLOOKUP(A348,'Pass 2'!$A:$S,MATCH("Traffic % Change",'Pass 2'!$1:$1,0),FALSE()),"")</f>
        <v/>
      </c>
      <c r="G348" s="1" t="str">
        <f aca="false">IFERROR(VLOOKUP(A348,'Pass 2'!$A:$S,MATCH("Jan 2025 Referring Domains",'Pass 2'!$1:$1,0),FALSE()),"")</f>
        <v/>
      </c>
      <c r="H348" s="1" t="str">
        <f aca="false">IFERROR(VLOOKUP(A348,'Pass 2'!$A:$S,MATCH("Jun 2026 Referring Domains",'Pass 2'!$1:$1,0),FALSE()),"")</f>
        <v/>
      </c>
    </row>
    <row r="349" customFormat="false" ht="15" hidden="false" customHeight="true" outlineLevel="0" collapsed="false">
      <c r="B349" s="1" t="str">
        <f aca="false">IFERROR(VLOOKUP(A349,'Pass 2'!$A:$S,MATCH("Category",'Pass 2'!$1:$1,0),FALSE()),"")</f>
        <v/>
      </c>
      <c r="C349" s="1" t="str">
        <f aca="false">IFERROR(VLOOKUP(A349,'Pass 1 Archive'!$A:$AD,MATCH("LinkedIn Employee Count",'Pass 1 Archive'!$1:$1,0),FALSE()),"")</f>
        <v/>
      </c>
      <c r="D349" s="1" t="str">
        <f aca="false">IFERROR(VLOOKUP(A349,'Pass 2'!$A:$S,MATCH("Jan 2025 Traffic",'Pass 2'!$1:$1,0),FALSE()),"")</f>
        <v/>
      </c>
      <c r="E349" s="1" t="str">
        <f aca="false">IFERROR(VLOOKUP(A349,'Pass 2'!$A:$S,MATCH("Jun 2026 Traffic",'Pass 2'!$1:$1,0),FALSE()),"")</f>
        <v/>
      </c>
      <c r="F349" s="1" t="str">
        <f aca="false">IFERROR(VLOOKUP(A349,'Pass 2'!$A:$S,MATCH("Traffic % Change",'Pass 2'!$1:$1,0),FALSE()),"")</f>
        <v/>
      </c>
      <c r="G349" s="1" t="str">
        <f aca="false">IFERROR(VLOOKUP(A349,'Pass 2'!$A:$S,MATCH("Jan 2025 Referring Domains",'Pass 2'!$1:$1,0),FALSE()),"")</f>
        <v/>
      </c>
      <c r="H349" s="1" t="str">
        <f aca="false">IFERROR(VLOOKUP(A349,'Pass 2'!$A:$S,MATCH("Jun 2026 Referring Domains",'Pass 2'!$1:$1,0),FALSE()),"")</f>
        <v/>
      </c>
    </row>
    <row r="350" customFormat="false" ht="15" hidden="false" customHeight="true" outlineLevel="0" collapsed="false">
      <c r="B350" s="1" t="str">
        <f aca="false">IFERROR(VLOOKUP(A350,'Pass 2'!$A:$S,MATCH("Category",'Pass 2'!$1:$1,0),FALSE()),"")</f>
        <v/>
      </c>
      <c r="C350" s="1" t="str">
        <f aca="false">IFERROR(VLOOKUP(A350,'Pass 1 Archive'!$A:$AD,MATCH("LinkedIn Employee Count",'Pass 1 Archive'!$1:$1,0),FALSE()),"")</f>
        <v/>
      </c>
      <c r="D350" s="1" t="str">
        <f aca="false">IFERROR(VLOOKUP(A350,'Pass 2'!$A:$S,MATCH("Jan 2025 Traffic",'Pass 2'!$1:$1,0),FALSE()),"")</f>
        <v/>
      </c>
      <c r="E350" s="1" t="str">
        <f aca="false">IFERROR(VLOOKUP(A350,'Pass 2'!$A:$S,MATCH("Jun 2026 Traffic",'Pass 2'!$1:$1,0),FALSE()),"")</f>
        <v/>
      </c>
      <c r="F350" s="1" t="str">
        <f aca="false">IFERROR(VLOOKUP(A350,'Pass 2'!$A:$S,MATCH("Traffic % Change",'Pass 2'!$1:$1,0),FALSE()),"")</f>
        <v/>
      </c>
      <c r="G350" s="1" t="str">
        <f aca="false">IFERROR(VLOOKUP(A350,'Pass 2'!$A:$S,MATCH("Jan 2025 Referring Domains",'Pass 2'!$1:$1,0),FALSE()),"")</f>
        <v/>
      </c>
      <c r="H350" s="1" t="str">
        <f aca="false">IFERROR(VLOOKUP(A350,'Pass 2'!$A:$S,MATCH("Jun 2026 Referring Domains",'Pass 2'!$1:$1,0),FALSE()),"")</f>
        <v/>
      </c>
    </row>
    <row r="351" customFormat="false" ht="15" hidden="false" customHeight="true" outlineLevel="0" collapsed="false">
      <c r="B351" s="1" t="str">
        <f aca="false">IFERROR(VLOOKUP(A351,'Pass 2'!$A:$S,MATCH("Category",'Pass 2'!$1:$1,0),FALSE()),"")</f>
        <v/>
      </c>
      <c r="C351" s="1" t="str">
        <f aca="false">IFERROR(VLOOKUP(A351,'Pass 1 Archive'!$A:$AD,MATCH("LinkedIn Employee Count",'Pass 1 Archive'!$1:$1,0),FALSE()),"")</f>
        <v/>
      </c>
      <c r="D351" s="1" t="str">
        <f aca="false">IFERROR(VLOOKUP(A351,'Pass 2'!$A:$S,MATCH("Jan 2025 Traffic",'Pass 2'!$1:$1,0),FALSE()),"")</f>
        <v/>
      </c>
      <c r="E351" s="1" t="str">
        <f aca="false">IFERROR(VLOOKUP(A351,'Pass 2'!$A:$S,MATCH("Jun 2026 Traffic",'Pass 2'!$1:$1,0),FALSE()),"")</f>
        <v/>
      </c>
      <c r="F351" s="1" t="str">
        <f aca="false">IFERROR(VLOOKUP(A351,'Pass 2'!$A:$S,MATCH("Traffic % Change",'Pass 2'!$1:$1,0),FALSE()),"")</f>
        <v/>
      </c>
      <c r="G351" s="1" t="str">
        <f aca="false">IFERROR(VLOOKUP(A351,'Pass 2'!$A:$S,MATCH("Jan 2025 Referring Domains",'Pass 2'!$1:$1,0),FALSE()),"")</f>
        <v/>
      </c>
      <c r="H351" s="1" t="str">
        <f aca="false">IFERROR(VLOOKUP(A351,'Pass 2'!$A:$S,MATCH("Jun 2026 Referring Domains",'Pass 2'!$1:$1,0),FALSE()),"")</f>
        <v/>
      </c>
    </row>
    <row r="352" customFormat="false" ht="15" hidden="false" customHeight="true" outlineLevel="0" collapsed="false">
      <c r="B352" s="1" t="str">
        <f aca="false">IFERROR(VLOOKUP(A352,'Pass 2'!$A:$S,MATCH("Category",'Pass 2'!$1:$1,0),FALSE()),"")</f>
        <v/>
      </c>
      <c r="C352" s="1" t="str">
        <f aca="false">IFERROR(VLOOKUP(A352,'Pass 1 Archive'!$A:$AD,MATCH("LinkedIn Employee Count",'Pass 1 Archive'!$1:$1,0),FALSE()),"")</f>
        <v/>
      </c>
      <c r="D352" s="1" t="str">
        <f aca="false">IFERROR(VLOOKUP(A352,'Pass 2'!$A:$S,MATCH("Jan 2025 Traffic",'Pass 2'!$1:$1,0),FALSE()),"")</f>
        <v/>
      </c>
      <c r="E352" s="1" t="str">
        <f aca="false">IFERROR(VLOOKUP(A352,'Pass 2'!$A:$S,MATCH("Jun 2026 Traffic",'Pass 2'!$1:$1,0),FALSE()),"")</f>
        <v/>
      </c>
      <c r="F352" s="1" t="str">
        <f aca="false">IFERROR(VLOOKUP(A352,'Pass 2'!$A:$S,MATCH("Traffic % Change",'Pass 2'!$1:$1,0),FALSE()),"")</f>
        <v/>
      </c>
      <c r="G352" s="1" t="str">
        <f aca="false">IFERROR(VLOOKUP(A352,'Pass 2'!$A:$S,MATCH("Jan 2025 Referring Domains",'Pass 2'!$1:$1,0),FALSE()),"")</f>
        <v/>
      </c>
      <c r="H352" s="1" t="str">
        <f aca="false">IFERROR(VLOOKUP(A352,'Pass 2'!$A:$S,MATCH("Jun 2026 Referring Domains",'Pass 2'!$1:$1,0),FALSE()),"")</f>
        <v/>
      </c>
    </row>
    <row r="353" customFormat="false" ht="15" hidden="false" customHeight="true" outlineLevel="0" collapsed="false">
      <c r="B353" s="1" t="str">
        <f aca="false">IFERROR(VLOOKUP(A353,'Pass 2'!$A:$S,MATCH("Category",'Pass 2'!$1:$1,0),FALSE()),"")</f>
        <v/>
      </c>
      <c r="C353" s="1" t="str">
        <f aca="false">IFERROR(VLOOKUP(A353,'Pass 1 Archive'!$A:$AD,MATCH("LinkedIn Employee Count",'Pass 1 Archive'!$1:$1,0),FALSE()),"")</f>
        <v/>
      </c>
      <c r="D353" s="1" t="str">
        <f aca="false">IFERROR(VLOOKUP(A353,'Pass 2'!$A:$S,MATCH("Jan 2025 Traffic",'Pass 2'!$1:$1,0),FALSE()),"")</f>
        <v/>
      </c>
      <c r="E353" s="1" t="str">
        <f aca="false">IFERROR(VLOOKUP(A353,'Pass 2'!$A:$S,MATCH("Jun 2026 Traffic",'Pass 2'!$1:$1,0),FALSE()),"")</f>
        <v/>
      </c>
      <c r="F353" s="1" t="str">
        <f aca="false">IFERROR(VLOOKUP(A353,'Pass 2'!$A:$S,MATCH("Traffic % Change",'Pass 2'!$1:$1,0),FALSE()),"")</f>
        <v/>
      </c>
      <c r="G353" s="1" t="str">
        <f aca="false">IFERROR(VLOOKUP(A353,'Pass 2'!$A:$S,MATCH("Jan 2025 Referring Domains",'Pass 2'!$1:$1,0),FALSE()),"")</f>
        <v/>
      </c>
      <c r="H353" s="1" t="str">
        <f aca="false">IFERROR(VLOOKUP(A353,'Pass 2'!$A:$S,MATCH("Jun 2026 Referring Domains",'Pass 2'!$1:$1,0),FALSE()),"")</f>
        <v/>
      </c>
    </row>
    <row r="354" customFormat="false" ht="15" hidden="false" customHeight="true" outlineLevel="0" collapsed="false">
      <c r="B354" s="1" t="str">
        <f aca="false">IFERROR(VLOOKUP(A354,'Pass 2'!$A:$S,MATCH("Category",'Pass 2'!$1:$1,0),FALSE()),"")</f>
        <v/>
      </c>
      <c r="C354" s="1" t="str">
        <f aca="false">IFERROR(VLOOKUP(A354,'Pass 1 Archive'!$A:$AD,MATCH("LinkedIn Employee Count",'Pass 1 Archive'!$1:$1,0),FALSE()),"")</f>
        <v/>
      </c>
      <c r="D354" s="1" t="str">
        <f aca="false">IFERROR(VLOOKUP(A354,'Pass 2'!$A:$S,MATCH("Jan 2025 Traffic",'Pass 2'!$1:$1,0),FALSE()),"")</f>
        <v/>
      </c>
      <c r="E354" s="1" t="str">
        <f aca="false">IFERROR(VLOOKUP(A354,'Pass 2'!$A:$S,MATCH("Jun 2026 Traffic",'Pass 2'!$1:$1,0),FALSE()),"")</f>
        <v/>
      </c>
      <c r="F354" s="1" t="str">
        <f aca="false">IFERROR(VLOOKUP(A354,'Pass 2'!$A:$S,MATCH("Traffic % Change",'Pass 2'!$1:$1,0),FALSE()),"")</f>
        <v/>
      </c>
      <c r="G354" s="1" t="str">
        <f aca="false">IFERROR(VLOOKUP(A354,'Pass 2'!$A:$S,MATCH("Jan 2025 Referring Domains",'Pass 2'!$1:$1,0),FALSE()),"")</f>
        <v/>
      </c>
      <c r="H354" s="1" t="str">
        <f aca="false">IFERROR(VLOOKUP(A354,'Pass 2'!$A:$S,MATCH("Jun 2026 Referring Domains",'Pass 2'!$1:$1,0),FALSE()),"")</f>
        <v/>
      </c>
    </row>
    <row r="355" customFormat="false" ht="15" hidden="false" customHeight="true" outlineLevel="0" collapsed="false">
      <c r="B355" s="1" t="str">
        <f aca="false">IFERROR(VLOOKUP(A355,'Pass 2'!$A:$S,MATCH("Category",'Pass 2'!$1:$1,0),FALSE()),"")</f>
        <v/>
      </c>
      <c r="C355" s="1" t="str">
        <f aca="false">IFERROR(VLOOKUP(A355,'Pass 1 Archive'!$A:$AD,MATCH("LinkedIn Employee Count",'Pass 1 Archive'!$1:$1,0),FALSE()),"")</f>
        <v/>
      </c>
      <c r="D355" s="1" t="str">
        <f aca="false">IFERROR(VLOOKUP(A355,'Pass 2'!$A:$S,MATCH("Jan 2025 Traffic",'Pass 2'!$1:$1,0),FALSE()),"")</f>
        <v/>
      </c>
      <c r="E355" s="1" t="str">
        <f aca="false">IFERROR(VLOOKUP(A355,'Pass 2'!$A:$S,MATCH("Jun 2026 Traffic",'Pass 2'!$1:$1,0),FALSE()),"")</f>
        <v/>
      </c>
      <c r="F355" s="1" t="str">
        <f aca="false">IFERROR(VLOOKUP(A355,'Pass 2'!$A:$S,MATCH("Traffic % Change",'Pass 2'!$1:$1,0),FALSE()),"")</f>
        <v/>
      </c>
      <c r="G355" s="1" t="str">
        <f aca="false">IFERROR(VLOOKUP(A355,'Pass 2'!$A:$S,MATCH("Jan 2025 Referring Domains",'Pass 2'!$1:$1,0),FALSE()),"")</f>
        <v/>
      </c>
      <c r="H355" s="1" t="str">
        <f aca="false">IFERROR(VLOOKUP(A355,'Pass 2'!$A:$S,MATCH("Jun 2026 Referring Domains",'Pass 2'!$1:$1,0),FALSE()),"")</f>
        <v/>
      </c>
    </row>
    <row r="356" customFormat="false" ht="15" hidden="false" customHeight="true" outlineLevel="0" collapsed="false">
      <c r="B356" s="1" t="str">
        <f aca="false">IFERROR(VLOOKUP(A356,'Pass 2'!$A:$S,MATCH("Category",'Pass 2'!$1:$1,0),FALSE()),"")</f>
        <v/>
      </c>
      <c r="C356" s="1" t="str">
        <f aca="false">IFERROR(VLOOKUP(A356,'Pass 1 Archive'!$A:$AD,MATCH("LinkedIn Employee Count",'Pass 1 Archive'!$1:$1,0),FALSE()),"")</f>
        <v/>
      </c>
      <c r="D356" s="1" t="str">
        <f aca="false">IFERROR(VLOOKUP(A356,'Pass 2'!$A:$S,MATCH("Jan 2025 Traffic",'Pass 2'!$1:$1,0),FALSE()),"")</f>
        <v/>
      </c>
      <c r="E356" s="1" t="str">
        <f aca="false">IFERROR(VLOOKUP(A356,'Pass 2'!$A:$S,MATCH("Jun 2026 Traffic",'Pass 2'!$1:$1,0),FALSE()),"")</f>
        <v/>
      </c>
      <c r="F356" s="1" t="str">
        <f aca="false">IFERROR(VLOOKUP(A356,'Pass 2'!$A:$S,MATCH("Traffic % Change",'Pass 2'!$1:$1,0),FALSE()),"")</f>
        <v/>
      </c>
      <c r="G356" s="1" t="str">
        <f aca="false">IFERROR(VLOOKUP(A356,'Pass 2'!$A:$S,MATCH("Jan 2025 Referring Domains",'Pass 2'!$1:$1,0),FALSE()),"")</f>
        <v/>
      </c>
      <c r="H356" s="1" t="str">
        <f aca="false">IFERROR(VLOOKUP(A356,'Pass 2'!$A:$S,MATCH("Jun 2026 Referring Domains",'Pass 2'!$1:$1,0),FALSE()),"")</f>
        <v/>
      </c>
    </row>
    <row r="357" customFormat="false" ht="15" hidden="false" customHeight="true" outlineLevel="0" collapsed="false">
      <c r="B357" s="1" t="str">
        <f aca="false">IFERROR(VLOOKUP(A357,'Pass 2'!$A:$S,MATCH("Category",'Pass 2'!$1:$1,0),FALSE()),"")</f>
        <v/>
      </c>
      <c r="C357" s="1" t="str">
        <f aca="false">IFERROR(VLOOKUP(A357,'Pass 1 Archive'!$A:$AD,MATCH("LinkedIn Employee Count",'Pass 1 Archive'!$1:$1,0),FALSE()),"")</f>
        <v/>
      </c>
      <c r="D357" s="1" t="str">
        <f aca="false">IFERROR(VLOOKUP(A357,'Pass 2'!$A:$S,MATCH("Jan 2025 Traffic",'Pass 2'!$1:$1,0),FALSE()),"")</f>
        <v/>
      </c>
      <c r="E357" s="1" t="str">
        <f aca="false">IFERROR(VLOOKUP(A357,'Pass 2'!$A:$S,MATCH("Jun 2026 Traffic",'Pass 2'!$1:$1,0),FALSE()),"")</f>
        <v/>
      </c>
      <c r="F357" s="1" t="str">
        <f aca="false">IFERROR(VLOOKUP(A357,'Pass 2'!$A:$S,MATCH("Traffic % Change",'Pass 2'!$1:$1,0),FALSE()),"")</f>
        <v/>
      </c>
      <c r="G357" s="1" t="str">
        <f aca="false">IFERROR(VLOOKUP(A357,'Pass 2'!$A:$S,MATCH("Jan 2025 Referring Domains",'Pass 2'!$1:$1,0),FALSE()),"")</f>
        <v/>
      </c>
      <c r="H357" s="1" t="str">
        <f aca="false">IFERROR(VLOOKUP(A357,'Pass 2'!$A:$S,MATCH("Jun 2026 Referring Domains",'Pass 2'!$1:$1,0),FALSE()),"")</f>
        <v/>
      </c>
    </row>
    <row r="358" customFormat="false" ht="15" hidden="false" customHeight="true" outlineLevel="0" collapsed="false">
      <c r="B358" s="1" t="str">
        <f aca="false">IFERROR(VLOOKUP(A358,'Pass 2'!$A:$S,MATCH("Category",'Pass 2'!$1:$1,0),FALSE()),"")</f>
        <v/>
      </c>
      <c r="C358" s="1" t="str">
        <f aca="false">IFERROR(VLOOKUP(A358,'Pass 1 Archive'!$A:$AD,MATCH("LinkedIn Employee Count",'Pass 1 Archive'!$1:$1,0),FALSE()),"")</f>
        <v/>
      </c>
      <c r="D358" s="1" t="str">
        <f aca="false">IFERROR(VLOOKUP(A358,'Pass 2'!$A:$S,MATCH("Jan 2025 Traffic",'Pass 2'!$1:$1,0),FALSE()),"")</f>
        <v/>
      </c>
      <c r="E358" s="1" t="str">
        <f aca="false">IFERROR(VLOOKUP(A358,'Pass 2'!$A:$S,MATCH("Jun 2026 Traffic",'Pass 2'!$1:$1,0),FALSE()),"")</f>
        <v/>
      </c>
      <c r="F358" s="1" t="str">
        <f aca="false">IFERROR(VLOOKUP(A358,'Pass 2'!$A:$S,MATCH("Traffic % Change",'Pass 2'!$1:$1,0),FALSE()),"")</f>
        <v/>
      </c>
      <c r="G358" s="1" t="str">
        <f aca="false">IFERROR(VLOOKUP(A358,'Pass 2'!$A:$S,MATCH("Jan 2025 Referring Domains",'Pass 2'!$1:$1,0),FALSE()),"")</f>
        <v/>
      </c>
      <c r="H358" s="1" t="str">
        <f aca="false">IFERROR(VLOOKUP(A358,'Pass 2'!$A:$S,MATCH("Jun 2026 Referring Domains",'Pass 2'!$1:$1,0),FALSE()),"")</f>
        <v/>
      </c>
    </row>
    <row r="359" customFormat="false" ht="15" hidden="false" customHeight="true" outlineLevel="0" collapsed="false">
      <c r="B359" s="1" t="str">
        <f aca="false">IFERROR(VLOOKUP(A359,'Pass 2'!$A:$S,MATCH("Category",'Pass 2'!$1:$1,0),FALSE()),"")</f>
        <v/>
      </c>
      <c r="C359" s="1" t="str">
        <f aca="false">IFERROR(VLOOKUP(A359,'Pass 1 Archive'!$A:$AD,MATCH("LinkedIn Employee Count",'Pass 1 Archive'!$1:$1,0),FALSE()),"")</f>
        <v/>
      </c>
      <c r="D359" s="1" t="str">
        <f aca="false">IFERROR(VLOOKUP(A359,'Pass 2'!$A:$S,MATCH("Jan 2025 Traffic",'Pass 2'!$1:$1,0),FALSE()),"")</f>
        <v/>
      </c>
      <c r="E359" s="1" t="str">
        <f aca="false">IFERROR(VLOOKUP(A359,'Pass 2'!$A:$S,MATCH("Jun 2026 Traffic",'Pass 2'!$1:$1,0),FALSE()),"")</f>
        <v/>
      </c>
      <c r="F359" s="1" t="str">
        <f aca="false">IFERROR(VLOOKUP(A359,'Pass 2'!$A:$S,MATCH("Traffic % Change",'Pass 2'!$1:$1,0),FALSE()),"")</f>
        <v/>
      </c>
      <c r="G359" s="1" t="str">
        <f aca="false">IFERROR(VLOOKUP(A359,'Pass 2'!$A:$S,MATCH("Jan 2025 Referring Domains",'Pass 2'!$1:$1,0),FALSE()),"")</f>
        <v/>
      </c>
      <c r="H359" s="1" t="str">
        <f aca="false">IFERROR(VLOOKUP(A359,'Pass 2'!$A:$S,MATCH("Jun 2026 Referring Domains",'Pass 2'!$1:$1,0),FALSE()),"")</f>
        <v/>
      </c>
    </row>
    <row r="360" customFormat="false" ht="15" hidden="false" customHeight="true" outlineLevel="0" collapsed="false">
      <c r="B360" s="1" t="str">
        <f aca="false">IFERROR(VLOOKUP(A360,'Pass 2'!$A:$S,MATCH("Category",'Pass 2'!$1:$1,0),FALSE()),"")</f>
        <v/>
      </c>
      <c r="C360" s="1" t="str">
        <f aca="false">IFERROR(VLOOKUP(A360,'Pass 1 Archive'!$A:$AD,MATCH("LinkedIn Employee Count",'Pass 1 Archive'!$1:$1,0),FALSE()),"")</f>
        <v/>
      </c>
      <c r="D360" s="1" t="str">
        <f aca="false">IFERROR(VLOOKUP(A360,'Pass 2'!$A:$S,MATCH("Jan 2025 Traffic",'Pass 2'!$1:$1,0),FALSE()),"")</f>
        <v/>
      </c>
      <c r="E360" s="1" t="str">
        <f aca="false">IFERROR(VLOOKUP(A360,'Pass 2'!$A:$S,MATCH("Jun 2026 Traffic",'Pass 2'!$1:$1,0),FALSE()),"")</f>
        <v/>
      </c>
      <c r="F360" s="1" t="str">
        <f aca="false">IFERROR(VLOOKUP(A360,'Pass 2'!$A:$S,MATCH("Traffic % Change",'Pass 2'!$1:$1,0),FALSE()),"")</f>
        <v/>
      </c>
      <c r="G360" s="1" t="str">
        <f aca="false">IFERROR(VLOOKUP(A360,'Pass 2'!$A:$S,MATCH("Jan 2025 Referring Domains",'Pass 2'!$1:$1,0),FALSE()),"")</f>
        <v/>
      </c>
      <c r="H360" s="1" t="str">
        <f aca="false">IFERROR(VLOOKUP(A360,'Pass 2'!$A:$S,MATCH("Jun 2026 Referring Domains",'Pass 2'!$1:$1,0),FALSE()),"")</f>
        <v/>
      </c>
    </row>
    <row r="361" customFormat="false" ht="15" hidden="false" customHeight="true" outlineLevel="0" collapsed="false">
      <c r="B361" s="1" t="str">
        <f aca="false">IFERROR(VLOOKUP(A361,'Pass 2'!$A:$S,MATCH("Category",'Pass 2'!$1:$1,0),FALSE()),"")</f>
        <v/>
      </c>
      <c r="C361" s="1" t="str">
        <f aca="false">IFERROR(VLOOKUP(A361,'Pass 1 Archive'!$A:$AD,MATCH("LinkedIn Employee Count",'Pass 1 Archive'!$1:$1,0),FALSE()),"")</f>
        <v/>
      </c>
      <c r="D361" s="1" t="str">
        <f aca="false">IFERROR(VLOOKUP(A361,'Pass 2'!$A:$S,MATCH("Jan 2025 Traffic",'Pass 2'!$1:$1,0),FALSE()),"")</f>
        <v/>
      </c>
      <c r="E361" s="1" t="str">
        <f aca="false">IFERROR(VLOOKUP(A361,'Pass 2'!$A:$S,MATCH("Jun 2026 Traffic",'Pass 2'!$1:$1,0),FALSE()),"")</f>
        <v/>
      </c>
      <c r="F361" s="1" t="str">
        <f aca="false">IFERROR(VLOOKUP(A361,'Pass 2'!$A:$S,MATCH("Traffic % Change",'Pass 2'!$1:$1,0),FALSE()),"")</f>
        <v/>
      </c>
      <c r="G361" s="1" t="str">
        <f aca="false">IFERROR(VLOOKUP(A361,'Pass 2'!$A:$S,MATCH("Jan 2025 Referring Domains",'Pass 2'!$1:$1,0),FALSE()),"")</f>
        <v/>
      </c>
      <c r="H361" s="1" t="str">
        <f aca="false">IFERROR(VLOOKUP(A361,'Pass 2'!$A:$S,MATCH("Jun 2026 Referring Domains",'Pass 2'!$1:$1,0),FALSE()),"")</f>
        <v/>
      </c>
    </row>
    <row r="362" customFormat="false" ht="15" hidden="false" customHeight="true" outlineLevel="0" collapsed="false">
      <c r="B362" s="1" t="str">
        <f aca="false">IFERROR(VLOOKUP(A362,'Pass 2'!$A:$S,MATCH("Category",'Pass 2'!$1:$1,0),FALSE()),"")</f>
        <v/>
      </c>
      <c r="C362" s="1" t="str">
        <f aca="false">IFERROR(VLOOKUP(A362,'Pass 1 Archive'!$A:$AD,MATCH("LinkedIn Employee Count",'Pass 1 Archive'!$1:$1,0),FALSE()),"")</f>
        <v/>
      </c>
      <c r="D362" s="1" t="str">
        <f aca="false">IFERROR(VLOOKUP(A362,'Pass 2'!$A:$S,MATCH("Jan 2025 Traffic",'Pass 2'!$1:$1,0),FALSE()),"")</f>
        <v/>
      </c>
      <c r="E362" s="1" t="str">
        <f aca="false">IFERROR(VLOOKUP(A362,'Pass 2'!$A:$S,MATCH("Jun 2026 Traffic",'Pass 2'!$1:$1,0),FALSE()),"")</f>
        <v/>
      </c>
      <c r="F362" s="1" t="str">
        <f aca="false">IFERROR(VLOOKUP(A362,'Pass 2'!$A:$S,MATCH("Traffic % Change",'Pass 2'!$1:$1,0),FALSE()),"")</f>
        <v/>
      </c>
      <c r="G362" s="1" t="str">
        <f aca="false">IFERROR(VLOOKUP(A362,'Pass 2'!$A:$S,MATCH("Jan 2025 Referring Domains",'Pass 2'!$1:$1,0),FALSE()),"")</f>
        <v/>
      </c>
      <c r="H362" s="1" t="str">
        <f aca="false">IFERROR(VLOOKUP(A362,'Pass 2'!$A:$S,MATCH("Jun 2026 Referring Domains",'Pass 2'!$1:$1,0),FALSE()),"")</f>
        <v/>
      </c>
    </row>
    <row r="363" customFormat="false" ht="15" hidden="false" customHeight="true" outlineLevel="0" collapsed="false">
      <c r="B363" s="1" t="str">
        <f aca="false">IFERROR(VLOOKUP(A363,'Pass 2'!$A:$S,MATCH("Category",'Pass 2'!$1:$1,0),FALSE()),"")</f>
        <v/>
      </c>
      <c r="C363" s="1" t="str">
        <f aca="false">IFERROR(VLOOKUP(A363,'Pass 1 Archive'!$A:$AD,MATCH("LinkedIn Employee Count",'Pass 1 Archive'!$1:$1,0),FALSE()),"")</f>
        <v/>
      </c>
      <c r="D363" s="1" t="str">
        <f aca="false">IFERROR(VLOOKUP(A363,'Pass 2'!$A:$S,MATCH("Jan 2025 Traffic",'Pass 2'!$1:$1,0),FALSE()),"")</f>
        <v/>
      </c>
      <c r="E363" s="1" t="str">
        <f aca="false">IFERROR(VLOOKUP(A363,'Pass 2'!$A:$S,MATCH("Jun 2026 Traffic",'Pass 2'!$1:$1,0),FALSE()),"")</f>
        <v/>
      </c>
      <c r="F363" s="1" t="str">
        <f aca="false">IFERROR(VLOOKUP(A363,'Pass 2'!$A:$S,MATCH("Traffic % Change",'Pass 2'!$1:$1,0),FALSE()),"")</f>
        <v/>
      </c>
      <c r="G363" s="1" t="str">
        <f aca="false">IFERROR(VLOOKUP(A363,'Pass 2'!$A:$S,MATCH("Jan 2025 Referring Domains",'Pass 2'!$1:$1,0),FALSE()),"")</f>
        <v/>
      </c>
      <c r="H363" s="1" t="str">
        <f aca="false">IFERROR(VLOOKUP(A363,'Pass 2'!$A:$S,MATCH("Jun 2026 Referring Domains",'Pass 2'!$1:$1,0),FALSE()),"")</f>
        <v/>
      </c>
    </row>
    <row r="364" customFormat="false" ht="15" hidden="false" customHeight="true" outlineLevel="0" collapsed="false">
      <c r="B364" s="1" t="str">
        <f aca="false">IFERROR(VLOOKUP(A364,'Pass 2'!$A:$S,MATCH("Category",'Pass 2'!$1:$1,0),FALSE()),"")</f>
        <v/>
      </c>
      <c r="C364" s="1" t="str">
        <f aca="false">IFERROR(VLOOKUP(A364,'Pass 1 Archive'!$A:$AD,MATCH("LinkedIn Employee Count",'Pass 1 Archive'!$1:$1,0),FALSE()),"")</f>
        <v/>
      </c>
      <c r="D364" s="1" t="str">
        <f aca="false">IFERROR(VLOOKUP(A364,'Pass 2'!$A:$S,MATCH("Jan 2025 Traffic",'Pass 2'!$1:$1,0),FALSE()),"")</f>
        <v/>
      </c>
      <c r="E364" s="1" t="str">
        <f aca="false">IFERROR(VLOOKUP(A364,'Pass 2'!$A:$S,MATCH("Jun 2026 Traffic",'Pass 2'!$1:$1,0),FALSE()),"")</f>
        <v/>
      </c>
      <c r="F364" s="1" t="str">
        <f aca="false">IFERROR(VLOOKUP(A364,'Pass 2'!$A:$S,MATCH("Traffic % Change",'Pass 2'!$1:$1,0),FALSE()),"")</f>
        <v/>
      </c>
      <c r="G364" s="1" t="str">
        <f aca="false">IFERROR(VLOOKUP(A364,'Pass 2'!$A:$S,MATCH("Jan 2025 Referring Domains",'Pass 2'!$1:$1,0),FALSE()),"")</f>
        <v/>
      </c>
      <c r="H364" s="1" t="str">
        <f aca="false">IFERROR(VLOOKUP(A364,'Pass 2'!$A:$S,MATCH("Jun 2026 Referring Domains",'Pass 2'!$1:$1,0),FALSE()),"")</f>
        <v/>
      </c>
    </row>
    <row r="365" customFormat="false" ht="15" hidden="false" customHeight="true" outlineLevel="0" collapsed="false">
      <c r="B365" s="1" t="str">
        <f aca="false">IFERROR(VLOOKUP(A365,'Pass 2'!$A:$S,MATCH("Category",'Pass 2'!$1:$1,0),FALSE()),"")</f>
        <v/>
      </c>
      <c r="C365" s="1" t="str">
        <f aca="false">IFERROR(VLOOKUP(A365,'Pass 1 Archive'!$A:$AD,MATCH("LinkedIn Employee Count",'Pass 1 Archive'!$1:$1,0),FALSE()),"")</f>
        <v/>
      </c>
      <c r="D365" s="1" t="str">
        <f aca="false">IFERROR(VLOOKUP(A365,'Pass 2'!$A:$S,MATCH("Jan 2025 Traffic",'Pass 2'!$1:$1,0),FALSE()),"")</f>
        <v/>
      </c>
      <c r="E365" s="1" t="str">
        <f aca="false">IFERROR(VLOOKUP(A365,'Pass 2'!$A:$S,MATCH("Jun 2026 Traffic",'Pass 2'!$1:$1,0),FALSE()),"")</f>
        <v/>
      </c>
      <c r="F365" s="1" t="str">
        <f aca="false">IFERROR(VLOOKUP(A365,'Pass 2'!$A:$S,MATCH("Traffic % Change",'Pass 2'!$1:$1,0),FALSE()),"")</f>
        <v/>
      </c>
      <c r="G365" s="1" t="str">
        <f aca="false">IFERROR(VLOOKUP(A365,'Pass 2'!$A:$S,MATCH("Jan 2025 Referring Domains",'Pass 2'!$1:$1,0),FALSE()),"")</f>
        <v/>
      </c>
      <c r="H365" s="1" t="str">
        <f aca="false">IFERROR(VLOOKUP(A365,'Pass 2'!$A:$S,MATCH("Jun 2026 Referring Domains",'Pass 2'!$1:$1,0),FALSE()),"")</f>
        <v/>
      </c>
    </row>
    <row r="366" customFormat="false" ht="15" hidden="false" customHeight="true" outlineLevel="0" collapsed="false">
      <c r="B366" s="1" t="str">
        <f aca="false">IFERROR(VLOOKUP(A366,'Pass 2'!$A:$S,MATCH("Category",'Pass 2'!$1:$1,0),FALSE()),"")</f>
        <v/>
      </c>
      <c r="C366" s="1" t="str">
        <f aca="false">IFERROR(VLOOKUP(A366,'Pass 1 Archive'!$A:$AD,MATCH("LinkedIn Employee Count",'Pass 1 Archive'!$1:$1,0),FALSE()),"")</f>
        <v/>
      </c>
      <c r="D366" s="1" t="str">
        <f aca="false">IFERROR(VLOOKUP(A366,'Pass 2'!$A:$S,MATCH("Jan 2025 Traffic",'Pass 2'!$1:$1,0),FALSE()),"")</f>
        <v/>
      </c>
      <c r="E366" s="1" t="str">
        <f aca="false">IFERROR(VLOOKUP(A366,'Pass 2'!$A:$S,MATCH("Jun 2026 Traffic",'Pass 2'!$1:$1,0),FALSE()),"")</f>
        <v/>
      </c>
      <c r="F366" s="1" t="str">
        <f aca="false">IFERROR(VLOOKUP(A366,'Pass 2'!$A:$S,MATCH("Traffic % Change",'Pass 2'!$1:$1,0),FALSE()),"")</f>
        <v/>
      </c>
      <c r="G366" s="1" t="str">
        <f aca="false">IFERROR(VLOOKUP(A366,'Pass 2'!$A:$S,MATCH("Jan 2025 Referring Domains",'Pass 2'!$1:$1,0),FALSE()),"")</f>
        <v/>
      </c>
      <c r="H366" s="1" t="str">
        <f aca="false">IFERROR(VLOOKUP(A366,'Pass 2'!$A:$S,MATCH("Jun 2026 Referring Domains",'Pass 2'!$1:$1,0),FALSE()),"")</f>
        <v/>
      </c>
    </row>
    <row r="367" customFormat="false" ht="15" hidden="false" customHeight="true" outlineLevel="0" collapsed="false">
      <c r="B367" s="1" t="str">
        <f aca="false">IFERROR(VLOOKUP(A367,'Pass 2'!$A:$S,MATCH("Category",'Pass 2'!$1:$1,0),FALSE()),"")</f>
        <v/>
      </c>
      <c r="C367" s="1" t="str">
        <f aca="false">IFERROR(VLOOKUP(A367,'Pass 1 Archive'!$A:$AD,MATCH("LinkedIn Employee Count",'Pass 1 Archive'!$1:$1,0),FALSE()),"")</f>
        <v/>
      </c>
      <c r="D367" s="1" t="str">
        <f aca="false">IFERROR(VLOOKUP(A367,'Pass 2'!$A:$S,MATCH("Jan 2025 Traffic",'Pass 2'!$1:$1,0),FALSE()),"")</f>
        <v/>
      </c>
      <c r="E367" s="1" t="str">
        <f aca="false">IFERROR(VLOOKUP(A367,'Pass 2'!$A:$S,MATCH("Jun 2026 Traffic",'Pass 2'!$1:$1,0),FALSE()),"")</f>
        <v/>
      </c>
      <c r="F367" s="1" t="str">
        <f aca="false">IFERROR(VLOOKUP(A367,'Pass 2'!$A:$S,MATCH("Traffic % Change",'Pass 2'!$1:$1,0),FALSE()),"")</f>
        <v/>
      </c>
      <c r="G367" s="1" t="str">
        <f aca="false">IFERROR(VLOOKUP(A367,'Pass 2'!$A:$S,MATCH("Jan 2025 Referring Domains",'Pass 2'!$1:$1,0),FALSE()),"")</f>
        <v/>
      </c>
      <c r="H367" s="1" t="str">
        <f aca="false">IFERROR(VLOOKUP(A367,'Pass 2'!$A:$S,MATCH("Jun 2026 Referring Domains",'Pass 2'!$1:$1,0),FALSE()),"")</f>
        <v/>
      </c>
    </row>
    <row r="368" customFormat="false" ht="15" hidden="false" customHeight="true" outlineLevel="0" collapsed="false">
      <c r="B368" s="1" t="str">
        <f aca="false">IFERROR(VLOOKUP(A368,'Pass 2'!$A:$S,MATCH("Category",'Pass 2'!$1:$1,0),FALSE()),"")</f>
        <v/>
      </c>
      <c r="C368" s="1" t="str">
        <f aca="false">IFERROR(VLOOKUP(A368,'Pass 1 Archive'!$A:$AD,MATCH("LinkedIn Employee Count",'Pass 1 Archive'!$1:$1,0),FALSE()),"")</f>
        <v/>
      </c>
      <c r="D368" s="1" t="str">
        <f aca="false">IFERROR(VLOOKUP(A368,'Pass 2'!$A:$S,MATCH("Jan 2025 Traffic",'Pass 2'!$1:$1,0),FALSE()),"")</f>
        <v/>
      </c>
      <c r="E368" s="1" t="str">
        <f aca="false">IFERROR(VLOOKUP(A368,'Pass 2'!$A:$S,MATCH("Jun 2026 Traffic",'Pass 2'!$1:$1,0),FALSE()),"")</f>
        <v/>
      </c>
      <c r="F368" s="1" t="str">
        <f aca="false">IFERROR(VLOOKUP(A368,'Pass 2'!$A:$S,MATCH("Traffic % Change",'Pass 2'!$1:$1,0),FALSE()),"")</f>
        <v/>
      </c>
      <c r="G368" s="1" t="str">
        <f aca="false">IFERROR(VLOOKUP(A368,'Pass 2'!$A:$S,MATCH("Jan 2025 Referring Domains",'Pass 2'!$1:$1,0),FALSE()),"")</f>
        <v/>
      </c>
      <c r="H368" s="1" t="str">
        <f aca="false">IFERROR(VLOOKUP(A368,'Pass 2'!$A:$S,MATCH("Jun 2026 Referring Domains",'Pass 2'!$1:$1,0),FALSE()),"")</f>
        <v/>
      </c>
    </row>
    <row r="369" customFormat="false" ht="15" hidden="false" customHeight="true" outlineLevel="0" collapsed="false">
      <c r="B369" s="1" t="str">
        <f aca="false">IFERROR(VLOOKUP(A369,'Pass 2'!$A:$S,MATCH("Category",'Pass 2'!$1:$1,0),FALSE()),"")</f>
        <v/>
      </c>
      <c r="C369" s="1" t="str">
        <f aca="false">IFERROR(VLOOKUP(A369,'Pass 1 Archive'!$A:$AD,MATCH("LinkedIn Employee Count",'Pass 1 Archive'!$1:$1,0),FALSE()),"")</f>
        <v/>
      </c>
      <c r="D369" s="1" t="str">
        <f aca="false">IFERROR(VLOOKUP(A369,'Pass 2'!$A:$S,MATCH("Jan 2025 Traffic",'Pass 2'!$1:$1,0),FALSE()),"")</f>
        <v/>
      </c>
      <c r="E369" s="1" t="str">
        <f aca="false">IFERROR(VLOOKUP(A369,'Pass 2'!$A:$S,MATCH("Jun 2026 Traffic",'Pass 2'!$1:$1,0),FALSE()),"")</f>
        <v/>
      </c>
      <c r="F369" s="1" t="str">
        <f aca="false">IFERROR(VLOOKUP(A369,'Pass 2'!$A:$S,MATCH("Traffic % Change",'Pass 2'!$1:$1,0),FALSE()),"")</f>
        <v/>
      </c>
      <c r="G369" s="1" t="str">
        <f aca="false">IFERROR(VLOOKUP(A369,'Pass 2'!$A:$S,MATCH("Jan 2025 Referring Domains",'Pass 2'!$1:$1,0),FALSE()),"")</f>
        <v/>
      </c>
      <c r="H369" s="1" t="str">
        <f aca="false">IFERROR(VLOOKUP(A369,'Pass 2'!$A:$S,MATCH("Jun 2026 Referring Domains",'Pass 2'!$1:$1,0),FALSE()),"")</f>
        <v/>
      </c>
    </row>
    <row r="370" customFormat="false" ht="15" hidden="false" customHeight="true" outlineLevel="0" collapsed="false">
      <c r="B370" s="1" t="str">
        <f aca="false">IFERROR(VLOOKUP(A370,'Pass 2'!$A:$S,MATCH("Category",'Pass 2'!$1:$1,0),FALSE()),"")</f>
        <v/>
      </c>
      <c r="C370" s="1" t="str">
        <f aca="false">IFERROR(VLOOKUP(A370,'Pass 1 Archive'!$A:$AD,MATCH("LinkedIn Employee Count",'Pass 1 Archive'!$1:$1,0),FALSE()),"")</f>
        <v/>
      </c>
      <c r="D370" s="1" t="str">
        <f aca="false">IFERROR(VLOOKUP(A370,'Pass 2'!$A:$S,MATCH("Jan 2025 Traffic",'Pass 2'!$1:$1,0),FALSE()),"")</f>
        <v/>
      </c>
      <c r="E370" s="1" t="str">
        <f aca="false">IFERROR(VLOOKUP(A370,'Pass 2'!$A:$S,MATCH("Jun 2026 Traffic",'Pass 2'!$1:$1,0),FALSE()),"")</f>
        <v/>
      </c>
      <c r="F370" s="1" t="str">
        <f aca="false">IFERROR(VLOOKUP(A370,'Pass 2'!$A:$S,MATCH("Traffic % Change",'Pass 2'!$1:$1,0),FALSE()),"")</f>
        <v/>
      </c>
      <c r="G370" s="1" t="str">
        <f aca="false">IFERROR(VLOOKUP(A370,'Pass 2'!$A:$S,MATCH("Jan 2025 Referring Domains",'Pass 2'!$1:$1,0),FALSE()),"")</f>
        <v/>
      </c>
      <c r="H370" s="1" t="str">
        <f aca="false">IFERROR(VLOOKUP(A370,'Pass 2'!$A:$S,MATCH("Jun 2026 Referring Domains",'Pass 2'!$1:$1,0),FALSE()),"")</f>
        <v/>
      </c>
    </row>
    <row r="371" customFormat="false" ht="15" hidden="false" customHeight="true" outlineLevel="0" collapsed="false">
      <c r="B371" s="1" t="str">
        <f aca="false">IFERROR(VLOOKUP(A371,'Pass 2'!$A:$S,MATCH("Category",'Pass 2'!$1:$1,0),FALSE()),"")</f>
        <v/>
      </c>
      <c r="C371" s="1" t="str">
        <f aca="false">IFERROR(VLOOKUP(A371,'Pass 1 Archive'!$A:$AD,MATCH("LinkedIn Employee Count",'Pass 1 Archive'!$1:$1,0),FALSE()),"")</f>
        <v/>
      </c>
      <c r="D371" s="1" t="str">
        <f aca="false">IFERROR(VLOOKUP(A371,'Pass 2'!$A:$S,MATCH("Jan 2025 Traffic",'Pass 2'!$1:$1,0),FALSE()),"")</f>
        <v/>
      </c>
      <c r="E371" s="1" t="str">
        <f aca="false">IFERROR(VLOOKUP(A371,'Pass 2'!$A:$S,MATCH("Jun 2026 Traffic",'Pass 2'!$1:$1,0),FALSE()),"")</f>
        <v/>
      </c>
      <c r="F371" s="1" t="str">
        <f aca="false">IFERROR(VLOOKUP(A371,'Pass 2'!$A:$S,MATCH("Traffic % Change",'Pass 2'!$1:$1,0),FALSE()),"")</f>
        <v/>
      </c>
      <c r="G371" s="1" t="str">
        <f aca="false">IFERROR(VLOOKUP(A371,'Pass 2'!$A:$S,MATCH("Jan 2025 Referring Domains",'Pass 2'!$1:$1,0),FALSE()),"")</f>
        <v/>
      </c>
      <c r="H371" s="1" t="str">
        <f aca="false">IFERROR(VLOOKUP(A371,'Pass 2'!$A:$S,MATCH("Jun 2026 Referring Domains",'Pass 2'!$1:$1,0),FALSE()),"")</f>
        <v/>
      </c>
    </row>
    <row r="372" customFormat="false" ht="15" hidden="false" customHeight="true" outlineLevel="0" collapsed="false">
      <c r="B372" s="1" t="str">
        <f aca="false">IFERROR(VLOOKUP(A372,'Pass 2'!$A:$S,MATCH("Category",'Pass 2'!$1:$1,0),FALSE()),"")</f>
        <v/>
      </c>
      <c r="C372" s="1" t="str">
        <f aca="false">IFERROR(VLOOKUP(A372,'Pass 1 Archive'!$A:$AD,MATCH("LinkedIn Employee Count",'Pass 1 Archive'!$1:$1,0),FALSE()),"")</f>
        <v/>
      </c>
      <c r="D372" s="1" t="str">
        <f aca="false">IFERROR(VLOOKUP(A372,'Pass 2'!$A:$S,MATCH("Jan 2025 Traffic",'Pass 2'!$1:$1,0),FALSE()),"")</f>
        <v/>
      </c>
      <c r="E372" s="1" t="str">
        <f aca="false">IFERROR(VLOOKUP(A372,'Pass 2'!$A:$S,MATCH("Jun 2026 Traffic",'Pass 2'!$1:$1,0),FALSE()),"")</f>
        <v/>
      </c>
      <c r="F372" s="1" t="str">
        <f aca="false">IFERROR(VLOOKUP(A372,'Pass 2'!$A:$S,MATCH("Traffic % Change",'Pass 2'!$1:$1,0),FALSE()),"")</f>
        <v/>
      </c>
      <c r="G372" s="1" t="str">
        <f aca="false">IFERROR(VLOOKUP(A372,'Pass 2'!$A:$S,MATCH("Jan 2025 Referring Domains",'Pass 2'!$1:$1,0),FALSE()),"")</f>
        <v/>
      </c>
      <c r="H372" s="1" t="str">
        <f aca="false">IFERROR(VLOOKUP(A372,'Pass 2'!$A:$S,MATCH("Jun 2026 Referring Domains",'Pass 2'!$1:$1,0),FALSE()),"")</f>
        <v/>
      </c>
    </row>
    <row r="373" customFormat="false" ht="15" hidden="false" customHeight="true" outlineLevel="0" collapsed="false">
      <c r="B373" s="1" t="str">
        <f aca="false">IFERROR(VLOOKUP(A373,'Pass 2'!$A:$S,MATCH("Category",'Pass 2'!$1:$1,0),FALSE()),"")</f>
        <v/>
      </c>
      <c r="C373" s="1" t="str">
        <f aca="false">IFERROR(VLOOKUP(A373,'Pass 1 Archive'!$A:$AD,MATCH("LinkedIn Employee Count",'Pass 1 Archive'!$1:$1,0),FALSE()),"")</f>
        <v/>
      </c>
      <c r="D373" s="1" t="str">
        <f aca="false">IFERROR(VLOOKUP(A373,'Pass 2'!$A:$S,MATCH("Jan 2025 Traffic",'Pass 2'!$1:$1,0),FALSE()),"")</f>
        <v/>
      </c>
      <c r="E373" s="1" t="str">
        <f aca="false">IFERROR(VLOOKUP(A373,'Pass 2'!$A:$S,MATCH("Jun 2026 Traffic",'Pass 2'!$1:$1,0),FALSE()),"")</f>
        <v/>
      </c>
      <c r="F373" s="1" t="str">
        <f aca="false">IFERROR(VLOOKUP(A373,'Pass 2'!$A:$S,MATCH("Traffic % Change",'Pass 2'!$1:$1,0),FALSE()),"")</f>
        <v/>
      </c>
      <c r="G373" s="1" t="str">
        <f aca="false">IFERROR(VLOOKUP(A373,'Pass 2'!$A:$S,MATCH("Jan 2025 Referring Domains",'Pass 2'!$1:$1,0),FALSE()),"")</f>
        <v/>
      </c>
      <c r="H373" s="1" t="str">
        <f aca="false">IFERROR(VLOOKUP(A373,'Pass 2'!$A:$S,MATCH("Jun 2026 Referring Domains",'Pass 2'!$1:$1,0),FALSE()),"")</f>
        <v/>
      </c>
    </row>
    <row r="374" customFormat="false" ht="15" hidden="false" customHeight="true" outlineLevel="0" collapsed="false">
      <c r="B374" s="1" t="str">
        <f aca="false">IFERROR(VLOOKUP(A374,'Pass 2'!$A:$S,MATCH("Category",'Pass 2'!$1:$1,0),FALSE()),"")</f>
        <v/>
      </c>
      <c r="C374" s="1" t="str">
        <f aca="false">IFERROR(VLOOKUP(A374,'Pass 1 Archive'!$A:$AD,MATCH("LinkedIn Employee Count",'Pass 1 Archive'!$1:$1,0),FALSE()),"")</f>
        <v/>
      </c>
      <c r="D374" s="1" t="str">
        <f aca="false">IFERROR(VLOOKUP(A374,'Pass 2'!$A:$S,MATCH("Jan 2025 Traffic",'Pass 2'!$1:$1,0),FALSE()),"")</f>
        <v/>
      </c>
      <c r="E374" s="1" t="str">
        <f aca="false">IFERROR(VLOOKUP(A374,'Pass 2'!$A:$S,MATCH("Jun 2026 Traffic",'Pass 2'!$1:$1,0),FALSE()),"")</f>
        <v/>
      </c>
      <c r="F374" s="1" t="str">
        <f aca="false">IFERROR(VLOOKUP(A374,'Pass 2'!$A:$S,MATCH("Traffic % Change",'Pass 2'!$1:$1,0),FALSE()),"")</f>
        <v/>
      </c>
      <c r="G374" s="1" t="str">
        <f aca="false">IFERROR(VLOOKUP(A374,'Pass 2'!$A:$S,MATCH("Jan 2025 Referring Domains",'Pass 2'!$1:$1,0),FALSE()),"")</f>
        <v/>
      </c>
      <c r="H374" s="1" t="str">
        <f aca="false">IFERROR(VLOOKUP(A374,'Pass 2'!$A:$S,MATCH("Jun 2026 Referring Domains",'Pass 2'!$1:$1,0),FALSE()),"")</f>
        <v/>
      </c>
    </row>
    <row r="375" customFormat="false" ht="15" hidden="false" customHeight="true" outlineLevel="0" collapsed="false">
      <c r="B375" s="1" t="str">
        <f aca="false">IFERROR(VLOOKUP(A375,'Pass 2'!$A:$S,MATCH("Category",'Pass 2'!$1:$1,0),FALSE()),"")</f>
        <v/>
      </c>
      <c r="C375" s="1" t="str">
        <f aca="false">IFERROR(VLOOKUP(A375,'Pass 1 Archive'!$A:$AD,MATCH("LinkedIn Employee Count",'Pass 1 Archive'!$1:$1,0),FALSE()),"")</f>
        <v/>
      </c>
      <c r="D375" s="1" t="str">
        <f aca="false">IFERROR(VLOOKUP(A375,'Pass 2'!$A:$S,MATCH("Jan 2025 Traffic",'Pass 2'!$1:$1,0),FALSE()),"")</f>
        <v/>
      </c>
      <c r="E375" s="1" t="str">
        <f aca="false">IFERROR(VLOOKUP(A375,'Pass 2'!$A:$S,MATCH("Jun 2026 Traffic",'Pass 2'!$1:$1,0),FALSE()),"")</f>
        <v/>
      </c>
      <c r="F375" s="1" t="str">
        <f aca="false">IFERROR(VLOOKUP(A375,'Pass 2'!$A:$S,MATCH("Traffic % Change",'Pass 2'!$1:$1,0),FALSE()),"")</f>
        <v/>
      </c>
      <c r="G375" s="1" t="str">
        <f aca="false">IFERROR(VLOOKUP(A375,'Pass 2'!$A:$S,MATCH("Jan 2025 Referring Domains",'Pass 2'!$1:$1,0),FALSE()),"")</f>
        <v/>
      </c>
      <c r="H375" s="1" t="str">
        <f aca="false">IFERROR(VLOOKUP(A375,'Pass 2'!$A:$S,MATCH("Jun 2026 Referring Domains",'Pass 2'!$1:$1,0),FALSE()),"")</f>
        <v/>
      </c>
    </row>
    <row r="376" customFormat="false" ht="15" hidden="false" customHeight="true" outlineLevel="0" collapsed="false">
      <c r="B376" s="1" t="str">
        <f aca="false">IFERROR(VLOOKUP(A376,'Pass 2'!$A:$S,MATCH("Category",'Pass 2'!$1:$1,0),FALSE()),"")</f>
        <v/>
      </c>
      <c r="C376" s="1" t="str">
        <f aca="false">IFERROR(VLOOKUP(A376,'Pass 1 Archive'!$A:$AD,MATCH("LinkedIn Employee Count",'Pass 1 Archive'!$1:$1,0),FALSE()),"")</f>
        <v/>
      </c>
      <c r="D376" s="1" t="str">
        <f aca="false">IFERROR(VLOOKUP(A376,'Pass 2'!$A:$S,MATCH("Jan 2025 Traffic",'Pass 2'!$1:$1,0),FALSE()),"")</f>
        <v/>
      </c>
      <c r="E376" s="1" t="str">
        <f aca="false">IFERROR(VLOOKUP(A376,'Pass 2'!$A:$S,MATCH("Jun 2026 Traffic",'Pass 2'!$1:$1,0),FALSE()),"")</f>
        <v/>
      </c>
      <c r="F376" s="1" t="str">
        <f aca="false">IFERROR(VLOOKUP(A376,'Pass 2'!$A:$S,MATCH("Traffic % Change",'Pass 2'!$1:$1,0),FALSE()),"")</f>
        <v/>
      </c>
      <c r="G376" s="1" t="str">
        <f aca="false">IFERROR(VLOOKUP(A376,'Pass 2'!$A:$S,MATCH("Jan 2025 Referring Domains",'Pass 2'!$1:$1,0),FALSE()),"")</f>
        <v/>
      </c>
      <c r="H376" s="1" t="str">
        <f aca="false">IFERROR(VLOOKUP(A376,'Pass 2'!$A:$S,MATCH("Jun 2026 Referring Domains",'Pass 2'!$1:$1,0),FALSE()),"")</f>
        <v/>
      </c>
    </row>
    <row r="377" customFormat="false" ht="15" hidden="false" customHeight="true" outlineLevel="0" collapsed="false">
      <c r="B377" s="1" t="str">
        <f aca="false">IFERROR(VLOOKUP(A377,'Pass 2'!$A:$S,MATCH("Category",'Pass 2'!$1:$1,0),FALSE()),"")</f>
        <v/>
      </c>
      <c r="C377" s="1" t="str">
        <f aca="false">IFERROR(VLOOKUP(A377,'Pass 1 Archive'!$A:$AD,MATCH("LinkedIn Employee Count",'Pass 1 Archive'!$1:$1,0),FALSE()),"")</f>
        <v/>
      </c>
      <c r="D377" s="1" t="str">
        <f aca="false">IFERROR(VLOOKUP(A377,'Pass 2'!$A:$S,MATCH("Jan 2025 Traffic",'Pass 2'!$1:$1,0),FALSE()),"")</f>
        <v/>
      </c>
      <c r="E377" s="1" t="str">
        <f aca="false">IFERROR(VLOOKUP(A377,'Pass 2'!$A:$S,MATCH("Jun 2026 Traffic",'Pass 2'!$1:$1,0),FALSE()),"")</f>
        <v/>
      </c>
      <c r="F377" s="1" t="str">
        <f aca="false">IFERROR(VLOOKUP(A377,'Pass 2'!$A:$S,MATCH("Traffic % Change",'Pass 2'!$1:$1,0),FALSE()),"")</f>
        <v/>
      </c>
      <c r="G377" s="1" t="str">
        <f aca="false">IFERROR(VLOOKUP(A377,'Pass 2'!$A:$S,MATCH("Jan 2025 Referring Domains",'Pass 2'!$1:$1,0),FALSE()),"")</f>
        <v/>
      </c>
      <c r="H377" s="1" t="str">
        <f aca="false">IFERROR(VLOOKUP(A377,'Pass 2'!$A:$S,MATCH("Jun 2026 Referring Domains",'Pass 2'!$1:$1,0),FALSE()),"")</f>
        <v/>
      </c>
    </row>
    <row r="378" customFormat="false" ht="15" hidden="false" customHeight="true" outlineLevel="0" collapsed="false">
      <c r="B378" s="1" t="str">
        <f aca="false">IFERROR(VLOOKUP(A378,'Pass 2'!$A:$S,MATCH("Category",'Pass 2'!$1:$1,0),FALSE()),"")</f>
        <v/>
      </c>
      <c r="C378" s="1" t="str">
        <f aca="false">IFERROR(VLOOKUP(A378,'Pass 1 Archive'!$A:$AD,MATCH("LinkedIn Employee Count",'Pass 1 Archive'!$1:$1,0),FALSE()),"")</f>
        <v/>
      </c>
      <c r="D378" s="1" t="str">
        <f aca="false">IFERROR(VLOOKUP(A378,'Pass 2'!$A:$S,MATCH("Jan 2025 Traffic",'Pass 2'!$1:$1,0),FALSE()),"")</f>
        <v/>
      </c>
      <c r="E378" s="1" t="str">
        <f aca="false">IFERROR(VLOOKUP(A378,'Pass 2'!$A:$S,MATCH("Jun 2026 Traffic",'Pass 2'!$1:$1,0),FALSE()),"")</f>
        <v/>
      </c>
      <c r="F378" s="1" t="str">
        <f aca="false">IFERROR(VLOOKUP(A378,'Pass 2'!$A:$S,MATCH("Traffic % Change",'Pass 2'!$1:$1,0),FALSE()),"")</f>
        <v/>
      </c>
      <c r="G378" s="1" t="str">
        <f aca="false">IFERROR(VLOOKUP(A378,'Pass 2'!$A:$S,MATCH("Jan 2025 Referring Domains",'Pass 2'!$1:$1,0),FALSE()),"")</f>
        <v/>
      </c>
      <c r="H378" s="1" t="str">
        <f aca="false">IFERROR(VLOOKUP(A378,'Pass 2'!$A:$S,MATCH("Jun 2026 Referring Domains",'Pass 2'!$1:$1,0),FALSE()),"")</f>
        <v/>
      </c>
    </row>
    <row r="379" customFormat="false" ht="15" hidden="false" customHeight="true" outlineLevel="0" collapsed="false">
      <c r="B379" s="1" t="str">
        <f aca="false">IFERROR(VLOOKUP(A379,'Pass 2'!$A:$S,MATCH("Category",'Pass 2'!$1:$1,0),FALSE()),"")</f>
        <v/>
      </c>
      <c r="C379" s="1" t="str">
        <f aca="false">IFERROR(VLOOKUP(A379,'Pass 1 Archive'!$A:$AD,MATCH("LinkedIn Employee Count",'Pass 1 Archive'!$1:$1,0),FALSE()),"")</f>
        <v/>
      </c>
      <c r="D379" s="1" t="str">
        <f aca="false">IFERROR(VLOOKUP(A379,'Pass 2'!$A:$S,MATCH("Jan 2025 Traffic",'Pass 2'!$1:$1,0),FALSE()),"")</f>
        <v/>
      </c>
      <c r="E379" s="1" t="str">
        <f aca="false">IFERROR(VLOOKUP(A379,'Pass 2'!$A:$S,MATCH("Jun 2026 Traffic",'Pass 2'!$1:$1,0),FALSE()),"")</f>
        <v/>
      </c>
      <c r="F379" s="1" t="str">
        <f aca="false">IFERROR(VLOOKUP(A379,'Pass 2'!$A:$S,MATCH("Traffic % Change",'Pass 2'!$1:$1,0),FALSE()),"")</f>
        <v/>
      </c>
      <c r="G379" s="1" t="str">
        <f aca="false">IFERROR(VLOOKUP(A379,'Pass 2'!$A:$S,MATCH("Jan 2025 Referring Domains",'Pass 2'!$1:$1,0),FALSE()),"")</f>
        <v/>
      </c>
      <c r="H379" s="1" t="str">
        <f aca="false">IFERROR(VLOOKUP(A379,'Pass 2'!$A:$S,MATCH("Jun 2026 Referring Domains",'Pass 2'!$1:$1,0),FALSE()),"")</f>
        <v/>
      </c>
    </row>
    <row r="380" customFormat="false" ht="15" hidden="false" customHeight="true" outlineLevel="0" collapsed="false">
      <c r="B380" s="1" t="str">
        <f aca="false">IFERROR(VLOOKUP(A380,'Pass 2'!$A:$S,MATCH("Category",'Pass 2'!$1:$1,0),FALSE()),"")</f>
        <v/>
      </c>
      <c r="C380" s="1" t="str">
        <f aca="false">IFERROR(VLOOKUP(A380,'Pass 1 Archive'!$A:$AD,MATCH("LinkedIn Employee Count",'Pass 1 Archive'!$1:$1,0),FALSE()),"")</f>
        <v/>
      </c>
      <c r="D380" s="1" t="str">
        <f aca="false">IFERROR(VLOOKUP(A380,'Pass 2'!$A:$S,MATCH("Jan 2025 Traffic",'Pass 2'!$1:$1,0),FALSE()),"")</f>
        <v/>
      </c>
      <c r="E380" s="1" t="str">
        <f aca="false">IFERROR(VLOOKUP(A380,'Pass 2'!$A:$S,MATCH("Jun 2026 Traffic",'Pass 2'!$1:$1,0),FALSE()),"")</f>
        <v/>
      </c>
      <c r="F380" s="1" t="str">
        <f aca="false">IFERROR(VLOOKUP(A380,'Pass 2'!$A:$S,MATCH("Traffic % Change",'Pass 2'!$1:$1,0),FALSE()),"")</f>
        <v/>
      </c>
      <c r="G380" s="1" t="str">
        <f aca="false">IFERROR(VLOOKUP(A380,'Pass 2'!$A:$S,MATCH("Jan 2025 Referring Domains",'Pass 2'!$1:$1,0),FALSE()),"")</f>
        <v/>
      </c>
      <c r="H380" s="1" t="str">
        <f aca="false">IFERROR(VLOOKUP(A380,'Pass 2'!$A:$S,MATCH("Jun 2026 Referring Domains",'Pass 2'!$1:$1,0),FALSE()),"")</f>
        <v/>
      </c>
    </row>
    <row r="381" customFormat="false" ht="15" hidden="false" customHeight="true" outlineLevel="0" collapsed="false">
      <c r="B381" s="1" t="str">
        <f aca="false">IFERROR(VLOOKUP(A381,'Pass 2'!$A:$S,MATCH("Category",'Pass 2'!$1:$1,0),FALSE()),"")</f>
        <v/>
      </c>
      <c r="C381" s="1" t="str">
        <f aca="false">IFERROR(VLOOKUP(A381,'Pass 1 Archive'!$A:$AD,MATCH("LinkedIn Employee Count",'Pass 1 Archive'!$1:$1,0),FALSE()),"")</f>
        <v/>
      </c>
      <c r="D381" s="1" t="str">
        <f aca="false">IFERROR(VLOOKUP(A381,'Pass 2'!$A:$S,MATCH("Jan 2025 Traffic",'Pass 2'!$1:$1,0),FALSE()),"")</f>
        <v/>
      </c>
      <c r="E381" s="1" t="str">
        <f aca="false">IFERROR(VLOOKUP(A381,'Pass 2'!$A:$S,MATCH("Jun 2026 Traffic",'Pass 2'!$1:$1,0),FALSE()),"")</f>
        <v/>
      </c>
      <c r="F381" s="1" t="str">
        <f aca="false">IFERROR(VLOOKUP(A381,'Pass 2'!$A:$S,MATCH("Traffic % Change",'Pass 2'!$1:$1,0),FALSE()),"")</f>
        <v/>
      </c>
      <c r="G381" s="1" t="str">
        <f aca="false">IFERROR(VLOOKUP(A381,'Pass 2'!$A:$S,MATCH("Jan 2025 Referring Domains",'Pass 2'!$1:$1,0),FALSE()),"")</f>
        <v/>
      </c>
      <c r="H381" s="1" t="str">
        <f aca="false">IFERROR(VLOOKUP(A381,'Pass 2'!$A:$S,MATCH("Jun 2026 Referring Domains",'Pass 2'!$1:$1,0),FALSE()),"")</f>
        <v/>
      </c>
    </row>
    <row r="382" customFormat="false" ht="15" hidden="false" customHeight="true" outlineLevel="0" collapsed="false">
      <c r="B382" s="1" t="str">
        <f aca="false">IFERROR(VLOOKUP(A382,'Pass 2'!$A:$S,MATCH("Category",'Pass 2'!$1:$1,0),FALSE()),"")</f>
        <v/>
      </c>
      <c r="C382" s="1" t="str">
        <f aca="false">IFERROR(VLOOKUP(A382,'Pass 1 Archive'!$A:$AD,MATCH("LinkedIn Employee Count",'Pass 1 Archive'!$1:$1,0),FALSE()),"")</f>
        <v/>
      </c>
      <c r="D382" s="1" t="str">
        <f aca="false">IFERROR(VLOOKUP(A382,'Pass 2'!$A:$S,MATCH("Jan 2025 Traffic",'Pass 2'!$1:$1,0),FALSE()),"")</f>
        <v/>
      </c>
      <c r="E382" s="1" t="str">
        <f aca="false">IFERROR(VLOOKUP(A382,'Pass 2'!$A:$S,MATCH("Jun 2026 Traffic",'Pass 2'!$1:$1,0),FALSE()),"")</f>
        <v/>
      </c>
      <c r="F382" s="1" t="str">
        <f aca="false">IFERROR(VLOOKUP(A382,'Pass 2'!$A:$S,MATCH("Traffic % Change",'Pass 2'!$1:$1,0),FALSE()),"")</f>
        <v/>
      </c>
      <c r="G382" s="1" t="str">
        <f aca="false">IFERROR(VLOOKUP(A382,'Pass 2'!$A:$S,MATCH("Jan 2025 Referring Domains",'Pass 2'!$1:$1,0),FALSE()),"")</f>
        <v/>
      </c>
      <c r="H382" s="1" t="str">
        <f aca="false">IFERROR(VLOOKUP(A382,'Pass 2'!$A:$S,MATCH("Jun 2026 Referring Domains",'Pass 2'!$1:$1,0),FALSE()),"")</f>
        <v/>
      </c>
    </row>
    <row r="383" customFormat="false" ht="15" hidden="false" customHeight="true" outlineLevel="0" collapsed="false">
      <c r="B383" s="1" t="str">
        <f aca="false">IFERROR(VLOOKUP(A383,'Pass 2'!$A:$S,MATCH("Category",'Pass 2'!$1:$1,0),FALSE()),"")</f>
        <v/>
      </c>
      <c r="C383" s="1" t="str">
        <f aca="false">IFERROR(VLOOKUP(A383,'Pass 1 Archive'!$A:$AD,MATCH("LinkedIn Employee Count",'Pass 1 Archive'!$1:$1,0),FALSE()),"")</f>
        <v/>
      </c>
      <c r="D383" s="1" t="str">
        <f aca="false">IFERROR(VLOOKUP(A383,'Pass 2'!$A:$S,MATCH("Jan 2025 Traffic",'Pass 2'!$1:$1,0),FALSE()),"")</f>
        <v/>
      </c>
      <c r="E383" s="1" t="str">
        <f aca="false">IFERROR(VLOOKUP(A383,'Pass 2'!$A:$S,MATCH("Jun 2026 Traffic",'Pass 2'!$1:$1,0),FALSE()),"")</f>
        <v/>
      </c>
      <c r="F383" s="1" t="str">
        <f aca="false">IFERROR(VLOOKUP(A383,'Pass 2'!$A:$S,MATCH("Traffic % Change",'Pass 2'!$1:$1,0),FALSE()),"")</f>
        <v/>
      </c>
      <c r="G383" s="1" t="str">
        <f aca="false">IFERROR(VLOOKUP(A383,'Pass 2'!$A:$S,MATCH("Jan 2025 Referring Domains",'Pass 2'!$1:$1,0),FALSE()),"")</f>
        <v/>
      </c>
      <c r="H383" s="1" t="str">
        <f aca="false">IFERROR(VLOOKUP(A383,'Pass 2'!$A:$S,MATCH("Jun 2026 Referring Domains",'Pass 2'!$1:$1,0),FALSE()),"")</f>
        <v/>
      </c>
    </row>
    <row r="384" customFormat="false" ht="15" hidden="false" customHeight="true" outlineLevel="0" collapsed="false">
      <c r="B384" s="1" t="str">
        <f aca="false">IFERROR(VLOOKUP(A384,'Pass 2'!$A:$S,MATCH("Category",'Pass 2'!$1:$1,0),FALSE()),"")</f>
        <v/>
      </c>
      <c r="C384" s="1" t="str">
        <f aca="false">IFERROR(VLOOKUP(A384,'Pass 1 Archive'!$A:$AD,MATCH("LinkedIn Employee Count",'Pass 1 Archive'!$1:$1,0),FALSE()),"")</f>
        <v/>
      </c>
      <c r="D384" s="1" t="str">
        <f aca="false">IFERROR(VLOOKUP(A384,'Pass 2'!$A:$S,MATCH("Jan 2025 Traffic",'Pass 2'!$1:$1,0),FALSE()),"")</f>
        <v/>
      </c>
      <c r="E384" s="1" t="str">
        <f aca="false">IFERROR(VLOOKUP(A384,'Pass 2'!$A:$S,MATCH("Jun 2026 Traffic",'Pass 2'!$1:$1,0),FALSE()),"")</f>
        <v/>
      </c>
      <c r="F384" s="1" t="str">
        <f aca="false">IFERROR(VLOOKUP(A384,'Pass 2'!$A:$S,MATCH("Traffic % Change",'Pass 2'!$1:$1,0),FALSE()),"")</f>
        <v/>
      </c>
      <c r="G384" s="1" t="str">
        <f aca="false">IFERROR(VLOOKUP(A384,'Pass 2'!$A:$S,MATCH("Jan 2025 Referring Domains",'Pass 2'!$1:$1,0),FALSE()),"")</f>
        <v/>
      </c>
      <c r="H384" s="1" t="str">
        <f aca="false">IFERROR(VLOOKUP(A384,'Pass 2'!$A:$S,MATCH("Jun 2026 Referring Domains",'Pass 2'!$1:$1,0),FALSE()),"")</f>
        <v/>
      </c>
    </row>
    <row r="385" customFormat="false" ht="15" hidden="false" customHeight="true" outlineLevel="0" collapsed="false">
      <c r="B385" s="1" t="str">
        <f aca="false">IFERROR(VLOOKUP(A385,'Pass 2'!$A:$S,MATCH("Category",'Pass 2'!$1:$1,0),FALSE()),"")</f>
        <v/>
      </c>
      <c r="C385" s="1" t="str">
        <f aca="false">IFERROR(VLOOKUP(A385,'Pass 1 Archive'!$A:$AD,MATCH("LinkedIn Employee Count",'Pass 1 Archive'!$1:$1,0),FALSE()),"")</f>
        <v/>
      </c>
      <c r="D385" s="1" t="str">
        <f aca="false">IFERROR(VLOOKUP(A385,'Pass 2'!$A:$S,MATCH("Jan 2025 Traffic",'Pass 2'!$1:$1,0),FALSE()),"")</f>
        <v/>
      </c>
      <c r="E385" s="1" t="str">
        <f aca="false">IFERROR(VLOOKUP(A385,'Pass 2'!$A:$S,MATCH("Jun 2026 Traffic",'Pass 2'!$1:$1,0),FALSE()),"")</f>
        <v/>
      </c>
      <c r="F385" s="1" t="str">
        <f aca="false">IFERROR(VLOOKUP(A385,'Pass 2'!$A:$S,MATCH("Traffic % Change",'Pass 2'!$1:$1,0),FALSE()),"")</f>
        <v/>
      </c>
      <c r="G385" s="1" t="str">
        <f aca="false">IFERROR(VLOOKUP(A385,'Pass 2'!$A:$S,MATCH("Jan 2025 Referring Domains",'Pass 2'!$1:$1,0),FALSE()),"")</f>
        <v/>
      </c>
      <c r="H385" s="1" t="str">
        <f aca="false">IFERROR(VLOOKUP(A385,'Pass 2'!$A:$S,MATCH("Jun 2026 Referring Domains",'Pass 2'!$1:$1,0),FALSE()),"")</f>
        <v/>
      </c>
    </row>
    <row r="386" customFormat="false" ht="15" hidden="false" customHeight="true" outlineLevel="0" collapsed="false">
      <c r="B386" s="1" t="str">
        <f aca="false">IFERROR(VLOOKUP(A386,'Pass 2'!$A:$S,MATCH("Category",'Pass 2'!$1:$1,0),FALSE()),"")</f>
        <v/>
      </c>
      <c r="C386" s="1" t="str">
        <f aca="false">IFERROR(VLOOKUP(A386,'Pass 1 Archive'!$A:$AD,MATCH("LinkedIn Employee Count",'Pass 1 Archive'!$1:$1,0),FALSE()),"")</f>
        <v/>
      </c>
      <c r="D386" s="1" t="str">
        <f aca="false">IFERROR(VLOOKUP(A386,'Pass 2'!$A:$S,MATCH("Jan 2025 Traffic",'Pass 2'!$1:$1,0),FALSE()),"")</f>
        <v/>
      </c>
      <c r="E386" s="1" t="str">
        <f aca="false">IFERROR(VLOOKUP(A386,'Pass 2'!$A:$S,MATCH("Jun 2026 Traffic",'Pass 2'!$1:$1,0),FALSE()),"")</f>
        <v/>
      </c>
      <c r="F386" s="1" t="str">
        <f aca="false">IFERROR(VLOOKUP(A386,'Pass 2'!$A:$S,MATCH("Traffic % Change",'Pass 2'!$1:$1,0),FALSE()),"")</f>
        <v/>
      </c>
      <c r="G386" s="1" t="str">
        <f aca="false">IFERROR(VLOOKUP(A386,'Pass 2'!$A:$S,MATCH("Jan 2025 Referring Domains",'Pass 2'!$1:$1,0),FALSE()),"")</f>
        <v/>
      </c>
      <c r="H386" s="1" t="str">
        <f aca="false">IFERROR(VLOOKUP(A386,'Pass 2'!$A:$S,MATCH("Jun 2026 Referring Domains",'Pass 2'!$1:$1,0),FALSE()),"")</f>
        <v/>
      </c>
    </row>
    <row r="387" customFormat="false" ht="15" hidden="false" customHeight="true" outlineLevel="0" collapsed="false">
      <c r="B387" s="1" t="str">
        <f aca="false">IFERROR(VLOOKUP(A387,'Pass 2'!$A:$S,MATCH("Category",'Pass 2'!$1:$1,0),FALSE()),"")</f>
        <v/>
      </c>
      <c r="C387" s="1" t="str">
        <f aca="false">IFERROR(VLOOKUP(A387,'Pass 1 Archive'!$A:$AD,MATCH("LinkedIn Employee Count",'Pass 1 Archive'!$1:$1,0),FALSE()),"")</f>
        <v/>
      </c>
      <c r="D387" s="1" t="str">
        <f aca="false">IFERROR(VLOOKUP(A387,'Pass 2'!$A:$S,MATCH("Jan 2025 Traffic",'Pass 2'!$1:$1,0),FALSE()),"")</f>
        <v/>
      </c>
      <c r="E387" s="1" t="str">
        <f aca="false">IFERROR(VLOOKUP(A387,'Pass 2'!$A:$S,MATCH("Jun 2026 Traffic",'Pass 2'!$1:$1,0),FALSE()),"")</f>
        <v/>
      </c>
      <c r="F387" s="1" t="str">
        <f aca="false">IFERROR(VLOOKUP(A387,'Pass 2'!$A:$S,MATCH("Traffic % Change",'Pass 2'!$1:$1,0),FALSE()),"")</f>
        <v/>
      </c>
      <c r="G387" s="1" t="str">
        <f aca="false">IFERROR(VLOOKUP(A387,'Pass 2'!$A:$S,MATCH("Jan 2025 Referring Domains",'Pass 2'!$1:$1,0),FALSE()),"")</f>
        <v/>
      </c>
      <c r="H387" s="1" t="str">
        <f aca="false">IFERROR(VLOOKUP(A387,'Pass 2'!$A:$S,MATCH("Jun 2026 Referring Domains",'Pass 2'!$1:$1,0),FALSE()),"")</f>
        <v/>
      </c>
    </row>
    <row r="388" customFormat="false" ht="15" hidden="false" customHeight="true" outlineLevel="0" collapsed="false">
      <c r="B388" s="1" t="str">
        <f aca="false">IFERROR(VLOOKUP(A388,'Pass 2'!$A:$S,MATCH("Category",'Pass 2'!$1:$1,0),FALSE()),"")</f>
        <v/>
      </c>
      <c r="C388" s="1" t="str">
        <f aca="false">IFERROR(VLOOKUP(A388,'Pass 1 Archive'!$A:$AD,MATCH("LinkedIn Employee Count",'Pass 1 Archive'!$1:$1,0),FALSE()),"")</f>
        <v/>
      </c>
      <c r="D388" s="1" t="str">
        <f aca="false">IFERROR(VLOOKUP(A388,'Pass 2'!$A:$S,MATCH("Jan 2025 Traffic",'Pass 2'!$1:$1,0),FALSE()),"")</f>
        <v/>
      </c>
      <c r="E388" s="1" t="str">
        <f aca="false">IFERROR(VLOOKUP(A388,'Pass 2'!$A:$S,MATCH("Jun 2026 Traffic",'Pass 2'!$1:$1,0),FALSE()),"")</f>
        <v/>
      </c>
      <c r="F388" s="1" t="str">
        <f aca="false">IFERROR(VLOOKUP(A388,'Pass 2'!$A:$S,MATCH("Traffic % Change",'Pass 2'!$1:$1,0),FALSE()),"")</f>
        <v/>
      </c>
      <c r="G388" s="1" t="str">
        <f aca="false">IFERROR(VLOOKUP(A388,'Pass 2'!$A:$S,MATCH("Jan 2025 Referring Domains",'Pass 2'!$1:$1,0),FALSE()),"")</f>
        <v/>
      </c>
      <c r="H388" s="1" t="str">
        <f aca="false">IFERROR(VLOOKUP(A388,'Pass 2'!$A:$S,MATCH("Jun 2026 Referring Domains",'Pass 2'!$1:$1,0),FALSE()),"")</f>
        <v/>
      </c>
    </row>
    <row r="389" customFormat="false" ht="15" hidden="false" customHeight="true" outlineLevel="0" collapsed="false">
      <c r="B389" s="1" t="str">
        <f aca="false">IFERROR(VLOOKUP(A389,'Pass 2'!$A:$S,MATCH("Category",'Pass 2'!$1:$1,0),FALSE()),"")</f>
        <v/>
      </c>
      <c r="C389" s="1" t="str">
        <f aca="false">IFERROR(VLOOKUP(A389,'Pass 1 Archive'!$A:$AD,MATCH("LinkedIn Employee Count",'Pass 1 Archive'!$1:$1,0),FALSE()),"")</f>
        <v/>
      </c>
      <c r="D389" s="1" t="str">
        <f aca="false">IFERROR(VLOOKUP(A389,'Pass 2'!$A:$S,MATCH("Jan 2025 Traffic",'Pass 2'!$1:$1,0),FALSE()),"")</f>
        <v/>
      </c>
      <c r="E389" s="1" t="str">
        <f aca="false">IFERROR(VLOOKUP(A389,'Pass 2'!$A:$S,MATCH("Jun 2026 Traffic",'Pass 2'!$1:$1,0),FALSE()),"")</f>
        <v/>
      </c>
      <c r="F389" s="1" t="str">
        <f aca="false">IFERROR(VLOOKUP(A389,'Pass 2'!$A:$S,MATCH("Traffic % Change",'Pass 2'!$1:$1,0),FALSE()),"")</f>
        <v/>
      </c>
      <c r="G389" s="1" t="str">
        <f aca="false">IFERROR(VLOOKUP(A389,'Pass 2'!$A:$S,MATCH("Jan 2025 Referring Domains",'Pass 2'!$1:$1,0),FALSE()),"")</f>
        <v/>
      </c>
      <c r="H389" s="1" t="str">
        <f aca="false">IFERROR(VLOOKUP(A389,'Pass 2'!$A:$S,MATCH("Jun 2026 Referring Domains",'Pass 2'!$1:$1,0),FALSE()),"")</f>
        <v/>
      </c>
    </row>
    <row r="390" customFormat="false" ht="15" hidden="false" customHeight="true" outlineLevel="0" collapsed="false">
      <c r="B390" s="1" t="str">
        <f aca="false">IFERROR(VLOOKUP(A390,'Pass 2'!$A:$S,MATCH("Category",'Pass 2'!$1:$1,0),FALSE()),"")</f>
        <v/>
      </c>
      <c r="C390" s="1" t="str">
        <f aca="false">IFERROR(VLOOKUP(A390,'Pass 1 Archive'!$A:$AD,MATCH("LinkedIn Employee Count",'Pass 1 Archive'!$1:$1,0),FALSE()),"")</f>
        <v/>
      </c>
      <c r="D390" s="1" t="str">
        <f aca="false">IFERROR(VLOOKUP(A390,'Pass 2'!$A:$S,MATCH("Jan 2025 Traffic",'Pass 2'!$1:$1,0),FALSE()),"")</f>
        <v/>
      </c>
      <c r="E390" s="1" t="str">
        <f aca="false">IFERROR(VLOOKUP(A390,'Pass 2'!$A:$S,MATCH("Jun 2026 Traffic",'Pass 2'!$1:$1,0),FALSE()),"")</f>
        <v/>
      </c>
      <c r="F390" s="1" t="str">
        <f aca="false">IFERROR(VLOOKUP(A390,'Pass 2'!$A:$S,MATCH("Traffic % Change",'Pass 2'!$1:$1,0),FALSE()),"")</f>
        <v/>
      </c>
      <c r="G390" s="1" t="str">
        <f aca="false">IFERROR(VLOOKUP(A390,'Pass 2'!$A:$S,MATCH("Jan 2025 Referring Domains",'Pass 2'!$1:$1,0),FALSE()),"")</f>
        <v/>
      </c>
      <c r="H390" s="1" t="str">
        <f aca="false">IFERROR(VLOOKUP(A390,'Pass 2'!$A:$S,MATCH("Jun 2026 Referring Domains",'Pass 2'!$1:$1,0),FALSE()),"")</f>
        <v/>
      </c>
    </row>
    <row r="391" customFormat="false" ht="15" hidden="false" customHeight="true" outlineLevel="0" collapsed="false">
      <c r="B391" s="1" t="str">
        <f aca="false">IFERROR(VLOOKUP(A391,'Pass 2'!$A:$S,MATCH("Category",'Pass 2'!$1:$1,0),FALSE()),"")</f>
        <v/>
      </c>
      <c r="C391" s="1" t="str">
        <f aca="false">IFERROR(VLOOKUP(A391,'Pass 1 Archive'!$A:$AD,MATCH("LinkedIn Employee Count",'Pass 1 Archive'!$1:$1,0),FALSE()),"")</f>
        <v/>
      </c>
      <c r="D391" s="1" t="str">
        <f aca="false">IFERROR(VLOOKUP(A391,'Pass 2'!$A:$S,MATCH("Jan 2025 Traffic",'Pass 2'!$1:$1,0),FALSE()),"")</f>
        <v/>
      </c>
      <c r="E391" s="1" t="str">
        <f aca="false">IFERROR(VLOOKUP(A391,'Pass 2'!$A:$S,MATCH("Jun 2026 Traffic",'Pass 2'!$1:$1,0),FALSE()),"")</f>
        <v/>
      </c>
      <c r="F391" s="1" t="str">
        <f aca="false">IFERROR(VLOOKUP(A391,'Pass 2'!$A:$S,MATCH("Traffic % Change",'Pass 2'!$1:$1,0),FALSE()),"")</f>
        <v/>
      </c>
      <c r="G391" s="1" t="str">
        <f aca="false">IFERROR(VLOOKUP(A391,'Pass 2'!$A:$S,MATCH("Jan 2025 Referring Domains",'Pass 2'!$1:$1,0),FALSE()),"")</f>
        <v/>
      </c>
      <c r="H391" s="1" t="str">
        <f aca="false">IFERROR(VLOOKUP(A391,'Pass 2'!$A:$S,MATCH("Jun 2026 Referring Domains",'Pass 2'!$1:$1,0),FALSE()),"")</f>
        <v/>
      </c>
    </row>
    <row r="392" customFormat="false" ht="15" hidden="false" customHeight="true" outlineLevel="0" collapsed="false">
      <c r="B392" s="1" t="str">
        <f aca="false">IFERROR(VLOOKUP(A392,'Pass 2'!$A:$S,MATCH("Category",'Pass 2'!$1:$1,0),FALSE()),"")</f>
        <v/>
      </c>
      <c r="C392" s="1" t="str">
        <f aca="false">IFERROR(VLOOKUP(A392,'Pass 1 Archive'!$A:$AD,MATCH("LinkedIn Employee Count",'Pass 1 Archive'!$1:$1,0),FALSE()),"")</f>
        <v/>
      </c>
      <c r="D392" s="1" t="str">
        <f aca="false">IFERROR(VLOOKUP(A392,'Pass 2'!$A:$S,MATCH("Jan 2025 Traffic",'Pass 2'!$1:$1,0),FALSE()),"")</f>
        <v/>
      </c>
      <c r="E392" s="1" t="str">
        <f aca="false">IFERROR(VLOOKUP(A392,'Pass 2'!$A:$S,MATCH("Jun 2026 Traffic",'Pass 2'!$1:$1,0),FALSE()),"")</f>
        <v/>
      </c>
      <c r="F392" s="1" t="str">
        <f aca="false">IFERROR(VLOOKUP(A392,'Pass 2'!$A:$S,MATCH("Traffic % Change",'Pass 2'!$1:$1,0),FALSE()),"")</f>
        <v/>
      </c>
      <c r="G392" s="1" t="str">
        <f aca="false">IFERROR(VLOOKUP(A392,'Pass 2'!$A:$S,MATCH("Jan 2025 Referring Domains",'Pass 2'!$1:$1,0),FALSE()),"")</f>
        <v/>
      </c>
      <c r="H392" s="1" t="str">
        <f aca="false">IFERROR(VLOOKUP(A392,'Pass 2'!$A:$S,MATCH("Jun 2026 Referring Domains",'Pass 2'!$1:$1,0),FALSE()),"")</f>
        <v/>
      </c>
    </row>
    <row r="393" customFormat="false" ht="15" hidden="false" customHeight="true" outlineLevel="0" collapsed="false">
      <c r="B393" s="1" t="str">
        <f aca="false">IFERROR(VLOOKUP(A393,'Pass 2'!$A:$S,MATCH("Category",'Pass 2'!$1:$1,0),FALSE()),"")</f>
        <v/>
      </c>
      <c r="C393" s="1" t="str">
        <f aca="false">IFERROR(VLOOKUP(A393,'Pass 1 Archive'!$A:$AD,MATCH("LinkedIn Employee Count",'Pass 1 Archive'!$1:$1,0),FALSE()),"")</f>
        <v/>
      </c>
      <c r="D393" s="1" t="str">
        <f aca="false">IFERROR(VLOOKUP(A393,'Pass 2'!$A:$S,MATCH("Jan 2025 Traffic",'Pass 2'!$1:$1,0),FALSE()),"")</f>
        <v/>
      </c>
      <c r="E393" s="1" t="str">
        <f aca="false">IFERROR(VLOOKUP(A393,'Pass 2'!$A:$S,MATCH("Jun 2026 Traffic",'Pass 2'!$1:$1,0),FALSE()),"")</f>
        <v/>
      </c>
      <c r="F393" s="1" t="str">
        <f aca="false">IFERROR(VLOOKUP(A393,'Pass 2'!$A:$S,MATCH("Traffic % Change",'Pass 2'!$1:$1,0),FALSE()),"")</f>
        <v/>
      </c>
      <c r="G393" s="1" t="str">
        <f aca="false">IFERROR(VLOOKUP(A393,'Pass 2'!$A:$S,MATCH("Jan 2025 Referring Domains",'Pass 2'!$1:$1,0),FALSE()),"")</f>
        <v/>
      </c>
      <c r="H393" s="1" t="str">
        <f aca="false">IFERROR(VLOOKUP(A393,'Pass 2'!$A:$S,MATCH("Jun 2026 Referring Domains",'Pass 2'!$1:$1,0),FALSE()),"")</f>
        <v/>
      </c>
    </row>
    <row r="394" customFormat="false" ht="15" hidden="false" customHeight="true" outlineLevel="0" collapsed="false">
      <c r="B394" s="1" t="str">
        <f aca="false">IFERROR(VLOOKUP(A394,'Pass 2'!$A:$S,MATCH("Category",'Pass 2'!$1:$1,0),FALSE()),"")</f>
        <v/>
      </c>
      <c r="C394" s="1" t="str">
        <f aca="false">IFERROR(VLOOKUP(A394,'Pass 1 Archive'!$A:$AD,MATCH("LinkedIn Employee Count",'Pass 1 Archive'!$1:$1,0),FALSE()),"")</f>
        <v/>
      </c>
      <c r="D394" s="1" t="str">
        <f aca="false">IFERROR(VLOOKUP(A394,'Pass 2'!$A:$S,MATCH("Jan 2025 Traffic",'Pass 2'!$1:$1,0),FALSE()),"")</f>
        <v/>
      </c>
      <c r="E394" s="1" t="str">
        <f aca="false">IFERROR(VLOOKUP(A394,'Pass 2'!$A:$S,MATCH("Jun 2026 Traffic",'Pass 2'!$1:$1,0),FALSE()),"")</f>
        <v/>
      </c>
      <c r="F394" s="1" t="str">
        <f aca="false">IFERROR(VLOOKUP(A394,'Pass 2'!$A:$S,MATCH("Traffic % Change",'Pass 2'!$1:$1,0),FALSE()),"")</f>
        <v/>
      </c>
      <c r="G394" s="1" t="str">
        <f aca="false">IFERROR(VLOOKUP(A394,'Pass 2'!$A:$S,MATCH("Jan 2025 Referring Domains",'Pass 2'!$1:$1,0),FALSE()),"")</f>
        <v/>
      </c>
      <c r="H394" s="1" t="str">
        <f aca="false">IFERROR(VLOOKUP(A394,'Pass 2'!$A:$S,MATCH("Jun 2026 Referring Domains",'Pass 2'!$1:$1,0),FALSE()),"")</f>
        <v/>
      </c>
    </row>
    <row r="395" customFormat="false" ht="15" hidden="false" customHeight="true" outlineLevel="0" collapsed="false">
      <c r="B395" s="1" t="str">
        <f aca="false">IFERROR(VLOOKUP(A395,'Pass 2'!$A:$S,MATCH("Category",'Pass 2'!$1:$1,0),FALSE()),"")</f>
        <v/>
      </c>
      <c r="C395" s="1" t="str">
        <f aca="false">IFERROR(VLOOKUP(A395,'Pass 1 Archive'!$A:$AD,MATCH("LinkedIn Employee Count",'Pass 1 Archive'!$1:$1,0),FALSE()),"")</f>
        <v/>
      </c>
      <c r="D395" s="1" t="str">
        <f aca="false">IFERROR(VLOOKUP(A395,'Pass 2'!$A:$S,MATCH("Jan 2025 Traffic",'Pass 2'!$1:$1,0),FALSE()),"")</f>
        <v/>
      </c>
      <c r="E395" s="1" t="str">
        <f aca="false">IFERROR(VLOOKUP(A395,'Pass 2'!$A:$S,MATCH("Jun 2026 Traffic",'Pass 2'!$1:$1,0),FALSE()),"")</f>
        <v/>
      </c>
      <c r="F395" s="1" t="str">
        <f aca="false">IFERROR(VLOOKUP(A395,'Pass 2'!$A:$S,MATCH("Traffic % Change",'Pass 2'!$1:$1,0),FALSE()),"")</f>
        <v/>
      </c>
      <c r="G395" s="1" t="str">
        <f aca="false">IFERROR(VLOOKUP(A395,'Pass 2'!$A:$S,MATCH("Jan 2025 Referring Domains",'Pass 2'!$1:$1,0),FALSE()),"")</f>
        <v/>
      </c>
      <c r="H395" s="1" t="str">
        <f aca="false">IFERROR(VLOOKUP(A395,'Pass 2'!$A:$S,MATCH("Jun 2026 Referring Domains",'Pass 2'!$1:$1,0),FALSE()),"")</f>
        <v/>
      </c>
    </row>
    <row r="396" customFormat="false" ht="15" hidden="false" customHeight="true" outlineLevel="0" collapsed="false">
      <c r="B396" s="1" t="str">
        <f aca="false">IFERROR(VLOOKUP(A396,'Pass 2'!$A:$S,MATCH("Category",'Pass 2'!$1:$1,0),FALSE()),"")</f>
        <v/>
      </c>
      <c r="C396" s="1" t="str">
        <f aca="false">IFERROR(VLOOKUP(A396,'Pass 1 Archive'!$A:$AD,MATCH("LinkedIn Employee Count",'Pass 1 Archive'!$1:$1,0),FALSE()),"")</f>
        <v/>
      </c>
      <c r="D396" s="1" t="str">
        <f aca="false">IFERROR(VLOOKUP(A396,'Pass 2'!$A:$S,MATCH("Jan 2025 Traffic",'Pass 2'!$1:$1,0),FALSE()),"")</f>
        <v/>
      </c>
      <c r="E396" s="1" t="str">
        <f aca="false">IFERROR(VLOOKUP(A396,'Pass 2'!$A:$S,MATCH("Jun 2026 Traffic",'Pass 2'!$1:$1,0),FALSE()),"")</f>
        <v/>
      </c>
      <c r="F396" s="1" t="str">
        <f aca="false">IFERROR(VLOOKUP(A396,'Pass 2'!$A:$S,MATCH("Traffic % Change",'Pass 2'!$1:$1,0),FALSE()),"")</f>
        <v/>
      </c>
      <c r="G396" s="1" t="str">
        <f aca="false">IFERROR(VLOOKUP(A396,'Pass 2'!$A:$S,MATCH("Jan 2025 Referring Domains",'Pass 2'!$1:$1,0),FALSE()),"")</f>
        <v/>
      </c>
      <c r="H396" s="1" t="str">
        <f aca="false">IFERROR(VLOOKUP(A396,'Pass 2'!$A:$S,MATCH("Jun 2026 Referring Domains",'Pass 2'!$1:$1,0),FALSE()),"")</f>
        <v/>
      </c>
    </row>
    <row r="397" customFormat="false" ht="15" hidden="false" customHeight="true" outlineLevel="0" collapsed="false">
      <c r="B397" s="1" t="str">
        <f aca="false">IFERROR(VLOOKUP(A397,'Pass 2'!$A:$S,MATCH("Category",'Pass 2'!$1:$1,0),FALSE()),"")</f>
        <v/>
      </c>
      <c r="C397" s="1" t="str">
        <f aca="false">IFERROR(VLOOKUP(A397,'Pass 1 Archive'!$A:$AD,MATCH("LinkedIn Employee Count",'Pass 1 Archive'!$1:$1,0),FALSE()),"")</f>
        <v/>
      </c>
      <c r="D397" s="1" t="str">
        <f aca="false">IFERROR(VLOOKUP(A397,'Pass 2'!$A:$S,MATCH("Jan 2025 Traffic",'Pass 2'!$1:$1,0),FALSE()),"")</f>
        <v/>
      </c>
      <c r="E397" s="1" t="str">
        <f aca="false">IFERROR(VLOOKUP(A397,'Pass 2'!$A:$S,MATCH("Jun 2026 Traffic",'Pass 2'!$1:$1,0),FALSE()),"")</f>
        <v/>
      </c>
      <c r="F397" s="1" t="str">
        <f aca="false">IFERROR(VLOOKUP(A397,'Pass 2'!$A:$S,MATCH("Traffic % Change",'Pass 2'!$1:$1,0),FALSE()),"")</f>
        <v/>
      </c>
      <c r="G397" s="1" t="str">
        <f aca="false">IFERROR(VLOOKUP(A397,'Pass 2'!$A:$S,MATCH("Jan 2025 Referring Domains",'Pass 2'!$1:$1,0),FALSE()),"")</f>
        <v/>
      </c>
      <c r="H397" s="1" t="str">
        <f aca="false">IFERROR(VLOOKUP(A397,'Pass 2'!$A:$S,MATCH("Jun 2026 Referring Domains",'Pass 2'!$1:$1,0),FALSE()),"")</f>
        <v/>
      </c>
    </row>
    <row r="398" customFormat="false" ht="15" hidden="false" customHeight="true" outlineLevel="0" collapsed="false">
      <c r="B398" s="1" t="str">
        <f aca="false">IFERROR(VLOOKUP(A398,'Pass 2'!$A:$S,MATCH("Category",'Pass 2'!$1:$1,0),FALSE()),"")</f>
        <v/>
      </c>
      <c r="C398" s="1" t="str">
        <f aca="false">IFERROR(VLOOKUP(A398,'Pass 1 Archive'!$A:$AD,MATCH("LinkedIn Employee Count",'Pass 1 Archive'!$1:$1,0),FALSE()),"")</f>
        <v/>
      </c>
      <c r="D398" s="1" t="str">
        <f aca="false">IFERROR(VLOOKUP(A398,'Pass 2'!$A:$S,MATCH("Jan 2025 Traffic",'Pass 2'!$1:$1,0),FALSE()),"")</f>
        <v/>
      </c>
      <c r="E398" s="1" t="str">
        <f aca="false">IFERROR(VLOOKUP(A398,'Pass 2'!$A:$S,MATCH("Jun 2026 Traffic",'Pass 2'!$1:$1,0),FALSE()),"")</f>
        <v/>
      </c>
      <c r="F398" s="1" t="str">
        <f aca="false">IFERROR(VLOOKUP(A398,'Pass 2'!$A:$S,MATCH("Traffic % Change",'Pass 2'!$1:$1,0),FALSE()),"")</f>
        <v/>
      </c>
      <c r="G398" s="1" t="str">
        <f aca="false">IFERROR(VLOOKUP(A398,'Pass 2'!$A:$S,MATCH("Jan 2025 Referring Domains",'Pass 2'!$1:$1,0),FALSE()),"")</f>
        <v/>
      </c>
      <c r="H398" s="1" t="str">
        <f aca="false">IFERROR(VLOOKUP(A398,'Pass 2'!$A:$S,MATCH("Jun 2026 Referring Domains",'Pass 2'!$1:$1,0),FALSE()),"")</f>
        <v/>
      </c>
    </row>
    <row r="399" customFormat="false" ht="15" hidden="false" customHeight="true" outlineLevel="0" collapsed="false">
      <c r="B399" s="1" t="str">
        <f aca="false">IFERROR(VLOOKUP(A399,'Pass 2'!$A:$S,MATCH("Category",'Pass 2'!$1:$1,0),FALSE()),"")</f>
        <v/>
      </c>
      <c r="C399" s="1" t="str">
        <f aca="false">IFERROR(VLOOKUP(A399,'Pass 1 Archive'!$A:$AD,MATCH("LinkedIn Employee Count",'Pass 1 Archive'!$1:$1,0),FALSE()),"")</f>
        <v/>
      </c>
      <c r="D399" s="1" t="str">
        <f aca="false">IFERROR(VLOOKUP(A399,'Pass 2'!$A:$S,MATCH("Jan 2025 Traffic",'Pass 2'!$1:$1,0),FALSE()),"")</f>
        <v/>
      </c>
      <c r="E399" s="1" t="str">
        <f aca="false">IFERROR(VLOOKUP(A399,'Pass 2'!$A:$S,MATCH("Jun 2026 Traffic",'Pass 2'!$1:$1,0),FALSE()),"")</f>
        <v/>
      </c>
      <c r="F399" s="1" t="str">
        <f aca="false">IFERROR(VLOOKUP(A399,'Pass 2'!$A:$S,MATCH("Traffic % Change",'Pass 2'!$1:$1,0),FALSE()),"")</f>
        <v/>
      </c>
      <c r="G399" s="1" t="str">
        <f aca="false">IFERROR(VLOOKUP(A399,'Pass 2'!$A:$S,MATCH("Jan 2025 Referring Domains",'Pass 2'!$1:$1,0),FALSE()),"")</f>
        <v/>
      </c>
      <c r="H399" s="1" t="str">
        <f aca="false">IFERROR(VLOOKUP(A399,'Pass 2'!$A:$S,MATCH("Jun 2026 Referring Domains",'Pass 2'!$1:$1,0),FALSE()),"")</f>
        <v/>
      </c>
    </row>
    <row r="400" customFormat="false" ht="15" hidden="false" customHeight="true" outlineLevel="0" collapsed="false">
      <c r="B400" s="1" t="str">
        <f aca="false">IFERROR(VLOOKUP(A400,'Pass 2'!$A:$S,MATCH("Category",'Pass 2'!$1:$1,0),FALSE()),"")</f>
        <v/>
      </c>
      <c r="C400" s="1" t="str">
        <f aca="false">IFERROR(VLOOKUP(A400,'Pass 1 Archive'!$A:$AD,MATCH("LinkedIn Employee Count",'Pass 1 Archive'!$1:$1,0),FALSE()),"")</f>
        <v/>
      </c>
      <c r="D400" s="1" t="str">
        <f aca="false">IFERROR(VLOOKUP(A400,'Pass 2'!$A:$S,MATCH("Jan 2025 Traffic",'Pass 2'!$1:$1,0),FALSE()),"")</f>
        <v/>
      </c>
      <c r="E400" s="1" t="str">
        <f aca="false">IFERROR(VLOOKUP(A400,'Pass 2'!$A:$S,MATCH("Jun 2026 Traffic",'Pass 2'!$1:$1,0),FALSE()),"")</f>
        <v/>
      </c>
      <c r="F400" s="1" t="str">
        <f aca="false">IFERROR(VLOOKUP(A400,'Pass 2'!$A:$S,MATCH("Traffic % Change",'Pass 2'!$1:$1,0),FALSE()),"")</f>
        <v/>
      </c>
      <c r="G400" s="1" t="str">
        <f aca="false">IFERROR(VLOOKUP(A400,'Pass 2'!$A:$S,MATCH("Jan 2025 Referring Domains",'Pass 2'!$1:$1,0),FALSE()),"")</f>
        <v/>
      </c>
      <c r="H400" s="1" t="str">
        <f aca="false">IFERROR(VLOOKUP(A400,'Pass 2'!$A:$S,MATCH("Jun 2026 Referring Domains",'Pass 2'!$1:$1,0),FALSE()),"")</f>
        <v/>
      </c>
    </row>
    <row r="401" customFormat="false" ht="15" hidden="false" customHeight="true" outlineLevel="0" collapsed="false">
      <c r="B401" s="1" t="str">
        <f aca="false">IFERROR(VLOOKUP(A401,'Pass 2'!$A:$S,MATCH("Category",'Pass 2'!$1:$1,0),FALSE()),"")</f>
        <v/>
      </c>
      <c r="C401" s="1" t="str">
        <f aca="false">IFERROR(VLOOKUP(A401,'Pass 1 Archive'!$A:$AD,MATCH("LinkedIn Employee Count",'Pass 1 Archive'!$1:$1,0),FALSE()),"")</f>
        <v/>
      </c>
      <c r="D401" s="1" t="str">
        <f aca="false">IFERROR(VLOOKUP(A401,'Pass 2'!$A:$S,MATCH("Jan 2025 Traffic",'Pass 2'!$1:$1,0),FALSE()),"")</f>
        <v/>
      </c>
      <c r="E401" s="1" t="str">
        <f aca="false">IFERROR(VLOOKUP(A401,'Pass 2'!$A:$S,MATCH("Jun 2026 Traffic",'Pass 2'!$1:$1,0),FALSE()),"")</f>
        <v/>
      </c>
      <c r="F401" s="1" t="str">
        <f aca="false">IFERROR(VLOOKUP(A401,'Pass 2'!$A:$S,MATCH("Traffic % Change",'Pass 2'!$1:$1,0),FALSE()),"")</f>
        <v/>
      </c>
      <c r="G401" s="1" t="str">
        <f aca="false">IFERROR(VLOOKUP(A401,'Pass 2'!$A:$S,MATCH("Jan 2025 Referring Domains",'Pass 2'!$1:$1,0),FALSE()),"")</f>
        <v/>
      </c>
      <c r="H401" s="1" t="str">
        <f aca="false">IFERROR(VLOOKUP(A401,'Pass 2'!$A:$S,MATCH("Jun 2026 Referring Domains",'Pass 2'!$1:$1,0),FALSE()),"")</f>
        <v/>
      </c>
    </row>
    <row r="402" customFormat="false" ht="15" hidden="false" customHeight="true" outlineLevel="0" collapsed="false">
      <c r="B402" s="1" t="str">
        <f aca="false">IFERROR(VLOOKUP(A402,'Pass 2'!$A:$S,MATCH("Category",'Pass 2'!$1:$1,0),FALSE()),"")</f>
        <v/>
      </c>
      <c r="C402" s="1" t="str">
        <f aca="false">IFERROR(VLOOKUP(A402,'Pass 1 Archive'!$A:$AD,MATCH("LinkedIn Employee Count",'Pass 1 Archive'!$1:$1,0),FALSE()),"")</f>
        <v/>
      </c>
      <c r="D402" s="1" t="str">
        <f aca="false">IFERROR(VLOOKUP(A402,'Pass 2'!$A:$S,MATCH("Jan 2025 Traffic",'Pass 2'!$1:$1,0),FALSE()),"")</f>
        <v/>
      </c>
      <c r="E402" s="1" t="str">
        <f aca="false">IFERROR(VLOOKUP(A402,'Pass 2'!$A:$S,MATCH("Jun 2026 Traffic",'Pass 2'!$1:$1,0),FALSE()),"")</f>
        <v/>
      </c>
      <c r="F402" s="1" t="str">
        <f aca="false">IFERROR(VLOOKUP(A402,'Pass 2'!$A:$S,MATCH("Traffic % Change",'Pass 2'!$1:$1,0),FALSE()),"")</f>
        <v/>
      </c>
      <c r="G402" s="1" t="str">
        <f aca="false">IFERROR(VLOOKUP(A402,'Pass 2'!$A:$S,MATCH("Jan 2025 Referring Domains",'Pass 2'!$1:$1,0),FALSE()),"")</f>
        <v/>
      </c>
      <c r="H402" s="1" t="str">
        <f aca="false">IFERROR(VLOOKUP(A402,'Pass 2'!$A:$S,MATCH("Jun 2026 Referring Domains",'Pass 2'!$1:$1,0),FALSE()),"")</f>
        <v/>
      </c>
    </row>
    <row r="403" customFormat="false" ht="15" hidden="false" customHeight="true" outlineLevel="0" collapsed="false">
      <c r="B403" s="1" t="str">
        <f aca="false">IFERROR(VLOOKUP(A403,'Pass 2'!$A:$S,MATCH("Category",'Pass 2'!$1:$1,0),FALSE()),"")</f>
        <v/>
      </c>
      <c r="C403" s="1" t="str">
        <f aca="false">IFERROR(VLOOKUP(A403,'Pass 1 Archive'!$A:$AD,MATCH("LinkedIn Employee Count",'Pass 1 Archive'!$1:$1,0),FALSE()),"")</f>
        <v/>
      </c>
      <c r="D403" s="1" t="str">
        <f aca="false">IFERROR(VLOOKUP(A403,'Pass 2'!$A:$S,MATCH("Jan 2025 Traffic",'Pass 2'!$1:$1,0),FALSE()),"")</f>
        <v/>
      </c>
      <c r="E403" s="1" t="str">
        <f aca="false">IFERROR(VLOOKUP(A403,'Pass 2'!$A:$S,MATCH("Jun 2026 Traffic",'Pass 2'!$1:$1,0),FALSE()),"")</f>
        <v/>
      </c>
      <c r="F403" s="1" t="str">
        <f aca="false">IFERROR(VLOOKUP(A403,'Pass 2'!$A:$S,MATCH("Traffic % Change",'Pass 2'!$1:$1,0),FALSE()),"")</f>
        <v/>
      </c>
      <c r="G403" s="1" t="str">
        <f aca="false">IFERROR(VLOOKUP(A403,'Pass 2'!$A:$S,MATCH("Jan 2025 Referring Domains",'Pass 2'!$1:$1,0),FALSE()),"")</f>
        <v/>
      </c>
      <c r="H403" s="1" t="str">
        <f aca="false">IFERROR(VLOOKUP(A403,'Pass 2'!$A:$S,MATCH("Jun 2026 Referring Domains",'Pass 2'!$1:$1,0),FALSE()),"")</f>
        <v/>
      </c>
    </row>
    <row r="404" customFormat="false" ht="15" hidden="false" customHeight="true" outlineLevel="0" collapsed="false">
      <c r="B404" s="1" t="str">
        <f aca="false">IFERROR(VLOOKUP(A404,'Pass 2'!$A:$S,MATCH("Category",'Pass 2'!$1:$1,0),FALSE()),"")</f>
        <v/>
      </c>
      <c r="C404" s="1" t="str">
        <f aca="false">IFERROR(VLOOKUP(A404,'Pass 1 Archive'!$A:$AD,MATCH("LinkedIn Employee Count",'Pass 1 Archive'!$1:$1,0),FALSE()),"")</f>
        <v/>
      </c>
      <c r="D404" s="1" t="str">
        <f aca="false">IFERROR(VLOOKUP(A404,'Pass 2'!$A:$S,MATCH("Jan 2025 Traffic",'Pass 2'!$1:$1,0),FALSE()),"")</f>
        <v/>
      </c>
      <c r="E404" s="1" t="str">
        <f aca="false">IFERROR(VLOOKUP(A404,'Pass 2'!$A:$S,MATCH("Jun 2026 Traffic",'Pass 2'!$1:$1,0),FALSE()),"")</f>
        <v/>
      </c>
      <c r="F404" s="1" t="str">
        <f aca="false">IFERROR(VLOOKUP(A404,'Pass 2'!$A:$S,MATCH("Traffic % Change",'Pass 2'!$1:$1,0),FALSE()),"")</f>
        <v/>
      </c>
      <c r="G404" s="1" t="str">
        <f aca="false">IFERROR(VLOOKUP(A404,'Pass 2'!$A:$S,MATCH("Jan 2025 Referring Domains",'Pass 2'!$1:$1,0),FALSE()),"")</f>
        <v/>
      </c>
      <c r="H404" s="1" t="str">
        <f aca="false">IFERROR(VLOOKUP(A404,'Pass 2'!$A:$S,MATCH("Jun 2026 Referring Domains",'Pass 2'!$1:$1,0),FALSE()),"")</f>
        <v/>
      </c>
    </row>
    <row r="405" customFormat="false" ht="15" hidden="false" customHeight="true" outlineLevel="0" collapsed="false">
      <c r="B405" s="1" t="str">
        <f aca="false">IFERROR(VLOOKUP(A405,'Pass 2'!$A:$S,MATCH("Category",'Pass 2'!$1:$1,0),FALSE()),"")</f>
        <v/>
      </c>
      <c r="C405" s="1" t="str">
        <f aca="false">IFERROR(VLOOKUP(A405,'Pass 1 Archive'!$A:$AD,MATCH("LinkedIn Employee Count",'Pass 1 Archive'!$1:$1,0),FALSE()),"")</f>
        <v/>
      </c>
      <c r="D405" s="1" t="str">
        <f aca="false">IFERROR(VLOOKUP(A405,'Pass 2'!$A:$S,MATCH("Jan 2025 Traffic",'Pass 2'!$1:$1,0),FALSE()),"")</f>
        <v/>
      </c>
      <c r="E405" s="1" t="str">
        <f aca="false">IFERROR(VLOOKUP(A405,'Pass 2'!$A:$S,MATCH("Jun 2026 Traffic",'Pass 2'!$1:$1,0),FALSE()),"")</f>
        <v/>
      </c>
      <c r="F405" s="1" t="str">
        <f aca="false">IFERROR(VLOOKUP(A405,'Pass 2'!$A:$S,MATCH("Traffic % Change",'Pass 2'!$1:$1,0),FALSE()),"")</f>
        <v/>
      </c>
      <c r="G405" s="1" t="str">
        <f aca="false">IFERROR(VLOOKUP(A405,'Pass 2'!$A:$S,MATCH("Jan 2025 Referring Domains",'Pass 2'!$1:$1,0),FALSE()),"")</f>
        <v/>
      </c>
      <c r="H405" s="1" t="str">
        <f aca="false">IFERROR(VLOOKUP(A405,'Pass 2'!$A:$S,MATCH("Jun 2026 Referring Domains",'Pass 2'!$1:$1,0),FALSE()),"")</f>
        <v/>
      </c>
    </row>
    <row r="406" customFormat="false" ht="15" hidden="false" customHeight="true" outlineLevel="0" collapsed="false">
      <c r="B406" s="1" t="str">
        <f aca="false">IFERROR(VLOOKUP(A406,'Pass 2'!$A:$S,MATCH("Category",'Pass 2'!$1:$1,0),FALSE()),"")</f>
        <v/>
      </c>
      <c r="C406" s="1" t="str">
        <f aca="false">IFERROR(VLOOKUP(A406,'Pass 1 Archive'!$A:$AD,MATCH("LinkedIn Employee Count",'Pass 1 Archive'!$1:$1,0),FALSE()),"")</f>
        <v/>
      </c>
      <c r="D406" s="1" t="str">
        <f aca="false">IFERROR(VLOOKUP(A406,'Pass 2'!$A:$S,MATCH("Jan 2025 Traffic",'Pass 2'!$1:$1,0),FALSE()),"")</f>
        <v/>
      </c>
      <c r="E406" s="1" t="str">
        <f aca="false">IFERROR(VLOOKUP(A406,'Pass 2'!$A:$S,MATCH("Jun 2026 Traffic",'Pass 2'!$1:$1,0),FALSE()),"")</f>
        <v/>
      </c>
      <c r="F406" s="1" t="str">
        <f aca="false">IFERROR(VLOOKUP(A406,'Pass 2'!$A:$S,MATCH("Traffic % Change",'Pass 2'!$1:$1,0),FALSE()),"")</f>
        <v/>
      </c>
      <c r="G406" s="1" t="str">
        <f aca="false">IFERROR(VLOOKUP(A406,'Pass 2'!$A:$S,MATCH("Jan 2025 Referring Domains",'Pass 2'!$1:$1,0),FALSE()),"")</f>
        <v/>
      </c>
      <c r="H406" s="1" t="str">
        <f aca="false">IFERROR(VLOOKUP(A406,'Pass 2'!$A:$S,MATCH("Jun 2026 Referring Domains",'Pass 2'!$1:$1,0),FALSE()),"")</f>
        <v/>
      </c>
    </row>
    <row r="407" customFormat="false" ht="15" hidden="false" customHeight="true" outlineLevel="0" collapsed="false">
      <c r="B407" s="1" t="str">
        <f aca="false">IFERROR(VLOOKUP(A407,'Pass 2'!$A:$S,MATCH("Category",'Pass 2'!$1:$1,0),FALSE()),"")</f>
        <v/>
      </c>
      <c r="C407" s="1" t="str">
        <f aca="false">IFERROR(VLOOKUP(A407,'Pass 1 Archive'!$A:$AD,MATCH("LinkedIn Employee Count",'Pass 1 Archive'!$1:$1,0),FALSE()),"")</f>
        <v/>
      </c>
      <c r="D407" s="1" t="str">
        <f aca="false">IFERROR(VLOOKUP(A407,'Pass 2'!$A:$S,MATCH("Jan 2025 Traffic",'Pass 2'!$1:$1,0),FALSE()),"")</f>
        <v/>
      </c>
      <c r="E407" s="1" t="str">
        <f aca="false">IFERROR(VLOOKUP(A407,'Pass 2'!$A:$S,MATCH("Jun 2026 Traffic",'Pass 2'!$1:$1,0),FALSE()),"")</f>
        <v/>
      </c>
      <c r="F407" s="1" t="str">
        <f aca="false">IFERROR(VLOOKUP(A407,'Pass 2'!$A:$S,MATCH("Traffic % Change",'Pass 2'!$1:$1,0),FALSE()),"")</f>
        <v/>
      </c>
      <c r="G407" s="1" t="str">
        <f aca="false">IFERROR(VLOOKUP(A407,'Pass 2'!$A:$S,MATCH("Jan 2025 Referring Domains",'Pass 2'!$1:$1,0),FALSE()),"")</f>
        <v/>
      </c>
      <c r="H407" s="1" t="str">
        <f aca="false">IFERROR(VLOOKUP(A407,'Pass 2'!$A:$S,MATCH("Jun 2026 Referring Domains",'Pass 2'!$1:$1,0),FALSE()),"")</f>
        <v/>
      </c>
    </row>
    <row r="408" customFormat="false" ht="15" hidden="false" customHeight="true" outlineLevel="0" collapsed="false">
      <c r="B408" s="1" t="str">
        <f aca="false">IFERROR(VLOOKUP(A408,'Pass 2'!$A:$S,MATCH("Category",'Pass 2'!$1:$1,0),FALSE()),"")</f>
        <v/>
      </c>
      <c r="C408" s="1" t="str">
        <f aca="false">IFERROR(VLOOKUP(A408,'Pass 1 Archive'!$A:$AD,MATCH("LinkedIn Employee Count",'Pass 1 Archive'!$1:$1,0),FALSE()),"")</f>
        <v/>
      </c>
      <c r="D408" s="1" t="str">
        <f aca="false">IFERROR(VLOOKUP(A408,'Pass 2'!$A:$S,MATCH("Jan 2025 Traffic",'Pass 2'!$1:$1,0),FALSE()),"")</f>
        <v/>
      </c>
      <c r="E408" s="1" t="str">
        <f aca="false">IFERROR(VLOOKUP(A408,'Pass 2'!$A:$S,MATCH("Jun 2026 Traffic",'Pass 2'!$1:$1,0),FALSE()),"")</f>
        <v/>
      </c>
      <c r="F408" s="1" t="str">
        <f aca="false">IFERROR(VLOOKUP(A408,'Pass 2'!$A:$S,MATCH("Traffic % Change",'Pass 2'!$1:$1,0),FALSE()),"")</f>
        <v/>
      </c>
      <c r="G408" s="1" t="str">
        <f aca="false">IFERROR(VLOOKUP(A408,'Pass 2'!$A:$S,MATCH("Jan 2025 Referring Domains",'Pass 2'!$1:$1,0),FALSE()),"")</f>
        <v/>
      </c>
      <c r="H408" s="1" t="str">
        <f aca="false">IFERROR(VLOOKUP(A408,'Pass 2'!$A:$S,MATCH("Jun 2026 Referring Domains",'Pass 2'!$1:$1,0),FALSE()),"")</f>
        <v/>
      </c>
    </row>
    <row r="409" customFormat="false" ht="15" hidden="false" customHeight="true" outlineLevel="0" collapsed="false">
      <c r="B409" s="1" t="str">
        <f aca="false">IFERROR(VLOOKUP(A409,'Pass 2'!$A:$S,MATCH("Category",'Pass 2'!$1:$1,0),FALSE()),"")</f>
        <v/>
      </c>
      <c r="C409" s="1" t="str">
        <f aca="false">IFERROR(VLOOKUP(A409,'Pass 1 Archive'!$A:$AD,MATCH("LinkedIn Employee Count",'Pass 1 Archive'!$1:$1,0),FALSE()),"")</f>
        <v/>
      </c>
      <c r="D409" s="1" t="str">
        <f aca="false">IFERROR(VLOOKUP(A409,'Pass 2'!$A:$S,MATCH("Jan 2025 Traffic",'Pass 2'!$1:$1,0),FALSE()),"")</f>
        <v/>
      </c>
      <c r="E409" s="1" t="str">
        <f aca="false">IFERROR(VLOOKUP(A409,'Pass 2'!$A:$S,MATCH("Jun 2026 Traffic",'Pass 2'!$1:$1,0),FALSE()),"")</f>
        <v/>
      </c>
      <c r="F409" s="1" t="str">
        <f aca="false">IFERROR(VLOOKUP(A409,'Pass 2'!$A:$S,MATCH("Traffic % Change",'Pass 2'!$1:$1,0),FALSE()),"")</f>
        <v/>
      </c>
      <c r="G409" s="1" t="str">
        <f aca="false">IFERROR(VLOOKUP(A409,'Pass 2'!$A:$S,MATCH("Jan 2025 Referring Domains",'Pass 2'!$1:$1,0),FALSE()),"")</f>
        <v/>
      </c>
      <c r="H409" s="1" t="str">
        <f aca="false">IFERROR(VLOOKUP(A409,'Pass 2'!$A:$S,MATCH("Jun 2026 Referring Domains",'Pass 2'!$1:$1,0),FALSE()),"")</f>
        <v/>
      </c>
    </row>
    <row r="410" customFormat="false" ht="15" hidden="false" customHeight="true" outlineLevel="0" collapsed="false">
      <c r="B410" s="1" t="str">
        <f aca="false">IFERROR(VLOOKUP(A410,'Pass 2'!$A:$S,MATCH("Category",'Pass 2'!$1:$1,0),FALSE()),"")</f>
        <v/>
      </c>
      <c r="C410" s="1" t="str">
        <f aca="false">IFERROR(VLOOKUP(A410,'Pass 1 Archive'!$A:$AD,MATCH("LinkedIn Employee Count",'Pass 1 Archive'!$1:$1,0),FALSE()),"")</f>
        <v/>
      </c>
      <c r="D410" s="1" t="str">
        <f aca="false">IFERROR(VLOOKUP(A410,'Pass 2'!$A:$S,MATCH("Jan 2025 Traffic",'Pass 2'!$1:$1,0),FALSE()),"")</f>
        <v/>
      </c>
      <c r="E410" s="1" t="str">
        <f aca="false">IFERROR(VLOOKUP(A410,'Pass 2'!$A:$S,MATCH("Jun 2026 Traffic",'Pass 2'!$1:$1,0),FALSE()),"")</f>
        <v/>
      </c>
      <c r="F410" s="1" t="str">
        <f aca="false">IFERROR(VLOOKUP(A410,'Pass 2'!$A:$S,MATCH("Traffic % Change",'Pass 2'!$1:$1,0),FALSE()),"")</f>
        <v/>
      </c>
      <c r="G410" s="1" t="str">
        <f aca="false">IFERROR(VLOOKUP(A410,'Pass 2'!$A:$S,MATCH("Jan 2025 Referring Domains",'Pass 2'!$1:$1,0),FALSE()),"")</f>
        <v/>
      </c>
      <c r="H410" s="1" t="str">
        <f aca="false">IFERROR(VLOOKUP(A410,'Pass 2'!$A:$S,MATCH("Jun 2026 Referring Domains",'Pass 2'!$1:$1,0),FALSE()),"")</f>
        <v/>
      </c>
    </row>
    <row r="411" customFormat="false" ht="15" hidden="false" customHeight="true" outlineLevel="0" collapsed="false">
      <c r="B411" s="1" t="str">
        <f aca="false">IFERROR(VLOOKUP(A411,'Pass 2'!$A:$S,MATCH("Category",'Pass 2'!$1:$1,0),FALSE()),"")</f>
        <v/>
      </c>
      <c r="C411" s="1" t="str">
        <f aca="false">IFERROR(VLOOKUP(A411,'Pass 1 Archive'!$A:$AD,MATCH("LinkedIn Employee Count",'Pass 1 Archive'!$1:$1,0),FALSE()),"")</f>
        <v/>
      </c>
      <c r="D411" s="1" t="str">
        <f aca="false">IFERROR(VLOOKUP(A411,'Pass 2'!$A:$S,MATCH("Jan 2025 Traffic",'Pass 2'!$1:$1,0),FALSE()),"")</f>
        <v/>
      </c>
      <c r="E411" s="1" t="str">
        <f aca="false">IFERROR(VLOOKUP(A411,'Pass 2'!$A:$S,MATCH("Jun 2026 Traffic",'Pass 2'!$1:$1,0),FALSE()),"")</f>
        <v/>
      </c>
      <c r="F411" s="1" t="str">
        <f aca="false">IFERROR(VLOOKUP(A411,'Pass 2'!$A:$S,MATCH("Traffic % Change",'Pass 2'!$1:$1,0),FALSE()),"")</f>
        <v/>
      </c>
      <c r="G411" s="1" t="str">
        <f aca="false">IFERROR(VLOOKUP(A411,'Pass 2'!$A:$S,MATCH("Jan 2025 Referring Domains",'Pass 2'!$1:$1,0),FALSE()),"")</f>
        <v/>
      </c>
      <c r="H411" s="1" t="str">
        <f aca="false">IFERROR(VLOOKUP(A411,'Pass 2'!$A:$S,MATCH("Jun 2026 Referring Domains",'Pass 2'!$1:$1,0),FALSE()),"")</f>
        <v/>
      </c>
    </row>
    <row r="412" customFormat="false" ht="15" hidden="false" customHeight="true" outlineLevel="0" collapsed="false">
      <c r="B412" s="1" t="str">
        <f aca="false">IFERROR(VLOOKUP(A412,'Pass 2'!$A:$S,MATCH("Category",'Pass 2'!$1:$1,0),FALSE()),"")</f>
        <v/>
      </c>
      <c r="C412" s="1" t="str">
        <f aca="false">IFERROR(VLOOKUP(A412,'Pass 1 Archive'!$A:$AD,MATCH("LinkedIn Employee Count",'Pass 1 Archive'!$1:$1,0),FALSE()),"")</f>
        <v/>
      </c>
      <c r="D412" s="1" t="str">
        <f aca="false">IFERROR(VLOOKUP(A412,'Pass 2'!$A:$S,MATCH("Jan 2025 Traffic",'Pass 2'!$1:$1,0),FALSE()),"")</f>
        <v/>
      </c>
      <c r="E412" s="1" t="str">
        <f aca="false">IFERROR(VLOOKUP(A412,'Pass 2'!$A:$S,MATCH("Jun 2026 Traffic",'Pass 2'!$1:$1,0),FALSE()),"")</f>
        <v/>
      </c>
      <c r="F412" s="1" t="str">
        <f aca="false">IFERROR(VLOOKUP(A412,'Pass 2'!$A:$S,MATCH("Traffic % Change",'Pass 2'!$1:$1,0),FALSE()),"")</f>
        <v/>
      </c>
      <c r="G412" s="1" t="str">
        <f aca="false">IFERROR(VLOOKUP(A412,'Pass 2'!$A:$S,MATCH("Jan 2025 Referring Domains",'Pass 2'!$1:$1,0),FALSE()),"")</f>
        <v/>
      </c>
      <c r="H412" s="1" t="str">
        <f aca="false">IFERROR(VLOOKUP(A412,'Pass 2'!$A:$S,MATCH("Jun 2026 Referring Domains",'Pass 2'!$1:$1,0),FALSE()),"")</f>
        <v/>
      </c>
    </row>
    <row r="413" customFormat="false" ht="15" hidden="false" customHeight="true" outlineLevel="0" collapsed="false">
      <c r="B413" s="1" t="str">
        <f aca="false">IFERROR(VLOOKUP(A413,'Pass 2'!$A:$S,MATCH("Category",'Pass 2'!$1:$1,0),FALSE()),"")</f>
        <v/>
      </c>
      <c r="C413" s="1" t="str">
        <f aca="false">IFERROR(VLOOKUP(A413,'Pass 1 Archive'!$A:$AD,MATCH("LinkedIn Employee Count",'Pass 1 Archive'!$1:$1,0),FALSE()),"")</f>
        <v/>
      </c>
      <c r="D413" s="1" t="str">
        <f aca="false">IFERROR(VLOOKUP(A413,'Pass 2'!$A:$S,MATCH("Jan 2025 Traffic",'Pass 2'!$1:$1,0),FALSE()),"")</f>
        <v/>
      </c>
      <c r="E413" s="1" t="str">
        <f aca="false">IFERROR(VLOOKUP(A413,'Pass 2'!$A:$S,MATCH("Jun 2026 Traffic",'Pass 2'!$1:$1,0),FALSE()),"")</f>
        <v/>
      </c>
      <c r="F413" s="1" t="str">
        <f aca="false">IFERROR(VLOOKUP(A413,'Pass 2'!$A:$S,MATCH("Traffic % Change",'Pass 2'!$1:$1,0),FALSE()),"")</f>
        <v/>
      </c>
      <c r="G413" s="1" t="str">
        <f aca="false">IFERROR(VLOOKUP(A413,'Pass 2'!$A:$S,MATCH("Jan 2025 Referring Domains",'Pass 2'!$1:$1,0),FALSE()),"")</f>
        <v/>
      </c>
      <c r="H413" s="1" t="str">
        <f aca="false">IFERROR(VLOOKUP(A413,'Pass 2'!$A:$S,MATCH("Jun 2026 Referring Domains",'Pass 2'!$1:$1,0),FALSE()),"")</f>
        <v/>
      </c>
    </row>
    <row r="414" customFormat="false" ht="15" hidden="false" customHeight="true" outlineLevel="0" collapsed="false">
      <c r="B414" s="1" t="str">
        <f aca="false">IFERROR(VLOOKUP(A414,'Pass 2'!$A:$S,MATCH("Category",'Pass 2'!$1:$1,0),FALSE()),"")</f>
        <v/>
      </c>
      <c r="C414" s="1" t="str">
        <f aca="false">IFERROR(VLOOKUP(A414,'Pass 1 Archive'!$A:$AD,MATCH("LinkedIn Employee Count",'Pass 1 Archive'!$1:$1,0),FALSE()),"")</f>
        <v/>
      </c>
      <c r="D414" s="1" t="str">
        <f aca="false">IFERROR(VLOOKUP(A414,'Pass 2'!$A:$S,MATCH("Jan 2025 Traffic",'Pass 2'!$1:$1,0),FALSE()),"")</f>
        <v/>
      </c>
      <c r="E414" s="1" t="str">
        <f aca="false">IFERROR(VLOOKUP(A414,'Pass 2'!$A:$S,MATCH("Jun 2026 Traffic",'Pass 2'!$1:$1,0),FALSE()),"")</f>
        <v/>
      </c>
      <c r="F414" s="1" t="str">
        <f aca="false">IFERROR(VLOOKUP(A414,'Pass 2'!$A:$S,MATCH("Traffic % Change",'Pass 2'!$1:$1,0),FALSE()),"")</f>
        <v/>
      </c>
      <c r="G414" s="1" t="str">
        <f aca="false">IFERROR(VLOOKUP(A414,'Pass 2'!$A:$S,MATCH("Jan 2025 Referring Domains",'Pass 2'!$1:$1,0),FALSE()),"")</f>
        <v/>
      </c>
      <c r="H414" s="1" t="str">
        <f aca="false">IFERROR(VLOOKUP(A414,'Pass 2'!$A:$S,MATCH("Jun 2026 Referring Domains",'Pass 2'!$1:$1,0),FALSE()),"")</f>
        <v/>
      </c>
    </row>
    <row r="415" customFormat="false" ht="15" hidden="false" customHeight="true" outlineLevel="0" collapsed="false">
      <c r="B415" s="1" t="str">
        <f aca="false">IFERROR(VLOOKUP(A415,'Pass 2'!$A:$S,MATCH("Category",'Pass 2'!$1:$1,0),FALSE()),"")</f>
        <v/>
      </c>
      <c r="C415" s="1" t="str">
        <f aca="false">IFERROR(VLOOKUP(A415,'Pass 1 Archive'!$A:$AD,MATCH("LinkedIn Employee Count",'Pass 1 Archive'!$1:$1,0),FALSE()),"")</f>
        <v/>
      </c>
      <c r="D415" s="1" t="str">
        <f aca="false">IFERROR(VLOOKUP(A415,'Pass 2'!$A:$S,MATCH("Jan 2025 Traffic",'Pass 2'!$1:$1,0),FALSE()),"")</f>
        <v/>
      </c>
      <c r="E415" s="1" t="str">
        <f aca="false">IFERROR(VLOOKUP(A415,'Pass 2'!$A:$S,MATCH("Jun 2026 Traffic",'Pass 2'!$1:$1,0),FALSE()),"")</f>
        <v/>
      </c>
      <c r="F415" s="1" t="str">
        <f aca="false">IFERROR(VLOOKUP(A415,'Pass 2'!$A:$S,MATCH("Traffic % Change",'Pass 2'!$1:$1,0),FALSE()),"")</f>
        <v/>
      </c>
      <c r="G415" s="1" t="str">
        <f aca="false">IFERROR(VLOOKUP(A415,'Pass 2'!$A:$S,MATCH("Jan 2025 Referring Domains",'Pass 2'!$1:$1,0),FALSE()),"")</f>
        <v/>
      </c>
      <c r="H415" s="1" t="str">
        <f aca="false">IFERROR(VLOOKUP(A415,'Pass 2'!$A:$S,MATCH("Jun 2026 Referring Domains",'Pass 2'!$1:$1,0),FALSE()),"")</f>
        <v/>
      </c>
    </row>
    <row r="416" customFormat="false" ht="15" hidden="false" customHeight="true" outlineLevel="0" collapsed="false">
      <c r="B416" s="1" t="str">
        <f aca="false">IFERROR(VLOOKUP(A416,'Pass 2'!$A:$S,MATCH("Category",'Pass 2'!$1:$1,0),FALSE()),"")</f>
        <v/>
      </c>
      <c r="C416" s="1" t="str">
        <f aca="false">IFERROR(VLOOKUP(A416,'Pass 1 Archive'!$A:$AD,MATCH("LinkedIn Employee Count",'Pass 1 Archive'!$1:$1,0),FALSE()),"")</f>
        <v/>
      </c>
      <c r="D416" s="1" t="str">
        <f aca="false">IFERROR(VLOOKUP(A416,'Pass 2'!$A:$S,MATCH("Jan 2025 Traffic",'Pass 2'!$1:$1,0),FALSE()),"")</f>
        <v/>
      </c>
      <c r="E416" s="1" t="str">
        <f aca="false">IFERROR(VLOOKUP(A416,'Pass 2'!$A:$S,MATCH("Jun 2026 Traffic",'Pass 2'!$1:$1,0),FALSE()),"")</f>
        <v/>
      </c>
      <c r="F416" s="1" t="str">
        <f aca="false">IFERROR(VLOOKUP(A416,'Pass 2'!$A:$S,MATCH("Traffic % Change",'Pass 2'!$1:$1,0),FALSE()),"")</f>
        <v/>
      </c>
      <c r="G416" s="1" t="str">
        <f aca="false">IFERROR(VLOOKUP(A416,'Pass 2'!$A:$S,MATCH("Jan 2025 Referring Domains",'Pass 2'!$1:$1,0),FALSE()),"")</f>
        <v/>
      </c>
      <c r="H416" s="1" t="str">
        <f aca="false">IFERROR(VLOOKUP(A416,'Pass 2'!$A:$S,MATCH("Jun 2026 Referring Domains",'Pass 2'!$1:$1,0),FALSE()),"")</f>
        <v/>
      </c>
    </row>
    <row r="417" customFormat="false" ht="15" hidden="false" customHeight="true" outlineLevel="0" collapsed="false">
      <c r="B417" s="1" t="str">
        <f aca="false">IFERROR(VLOOKUP(A417,'Pass 2'!$A:$S,MATCH("Category",'Pass 2'!$1:$1,0),FALSE()),"")</f>
        <v/>
      </c>
      <c r="C417" s="1" t="str">
        <f aca="false">IFERROR(VLOOKUP(A417,'Pass 1 Archive'!$A:$AD,MATCH("LinkedIn Employee Count",'Pass 1 Archive'!$1:$1,0),FALSE()),"")</f>
        <v/>
      </c>
      <c r="D417" s="1" t="str">
        <f aca="false">IFERROR(VLOOKUP(A417,'Pass 2'!$A:$S,MATCH("Jan 2025 Traffic",'Pass 2'!$1:$1,0),FALSE()),"")</f>
        <v/>
      </c>
      <c r="E417" s="1" t="str">
        <f aca="false">IFERROR(VLOOKUP(A417,'Pass 2'!$A:$S,MATCH("Jun 2026 Traffic",'Pass 2'!$1:$1,0),FALSE()),"")</f>
        <v/>
      </c>
      <c r="F417" s="1" t="str">
        <f aca="false">IFERROR(VLOOKUP(A417,'Pass 2'!$A:$S,MATCH("Traffic % Change",'Pass 2'!$1:$1,0),FALSE()),"")</f>
        <v/>
      </c>
      <c r="G417" s="1" t="str">
        <f aca="false">IFERROR(VLOOKUP(A417,'Pass 2'!$A:$S,MATCH("Jan 2025 Referring Domains",'Pass 2'!$1:$1,0),FALSE()),"")</f>
        <v/>
      </c>
      <c r="H417" s="1" t="str">
        <f aca="false">IFERROR(VLOOKUP(A417,'Pass 2'!$A:$S,MATCH("Jun 2026 Referring Domains",'Pass 2'!$1:$1,0),FALSE()),"")</f>
        <v/>
      </c>
    </row>
    <row r="418" customFormat="false" ht="15" hidden="false" customHeight="true" outlineLevel="0" collapsed="false">
      <c r="B418" s="1" t="str">
        <f aca="false">IFERROR(VLOOKUP(A418,'Pass 2'!$A:$S,MATCH("Category",'Pass 2'!$1:$1,0),FALSE()),"")</f>
        <v/>
      </c>
      <c r="C418" s="1" t="str">
        <f aca="false">IFERROR(VLOOKUP(A418,'Pass 1 Archive'!$A:$AD,MATCH("LinkedIn Employee Count",'Pass 1 Archive'!$1:$1,0),FALSE()),"")</f>
        <v/>
      </c>
      <c r="D418" s="1" t="str">
        <f aca="false">IFERROR(VLOOKUP(A418,'Pass 2'!$A:$S,MATCH("Jan 2025 Traffic",'Pass 2'!$1:$1,0),FALSE()),"")</f>
        <v/>
      </c>
      <c r="E418" s="1" t="str">
        <f aca="false">IFERROR(VLOOKUP(A418,'Pass 2'!$A:$S,MATCH("Jun 2026 Traffic",'Pass 2'!$1:$1,0),FALSE()),"")</f>
        <v/>
      </c>
      <c r="F418" s="1" t="str">
        <f aca="false">IFERROR(VLOOKUP(A418,'Pass 2'!$A:$S,MATCH("Traffic % Change",'Pass 2'!$1:$1,0),FALSE()),"")</f>
        <v/>
      </c>
      <c r="G418" s="1" t="str">
        <f aca="false">IFERROR(VLOOKUP(A418,'Pass 2'!$A:$S,MATCH("Jan 2025 Referring Domains",'Pass 2'!$1:$1,0),FALSE()),"")</f>
        <v/>
      </c>
      <c r="H418" s="1" t="str">
        <f aca="false">IFERROR(VLOOKUP(A418,'Pass 2'!$A:$S,MATCH("Jun 2026 Referring Domains",'Pass 2'!$1:$1,0),FALSE()),"")</f>
        <v/>
      </c>
    </row>
    <row r="419" customFormat="false" ht="15" hidden="false" customHeight="true" outlineLevel="0" collapsed="false">
      <c r="B419" s="1" t="str">
        <f aca="false">IFERROR(VLOOKUP(A419,'Pass 2'!$A:$S,MATCH("Category",'Pass 2'!$1:$1,0),FALSE()),"")</f>
        <v/>
      </c>
      <c r="C419" s="1" t="str">
        <f aca="false">IFERROR(VLOOKUP(A419,'Pass 1 Archive'!$A:$AD,MATCH("LinkedIn Employee Count",'Pass 1 Archive'!$1:$1,0),FALSE()),"")</f>
        <v/>
      </c>
      <c r="D419" s="1" t="str">
        <f aca="false">IFERROR(VLOOKUP(A419,'Pass 2'!$A:$S,MATCH("Jan 2025 Traffic",'Pass 2'!$1:$1,0),FALSE()),"")</f>
        <v/>
      </c>
      <c r="E419" s="1" t="str">
        <f aca="false">IFERROR(VLOOKUP(A419,'Pass 2'!$A:$S,MATCH("Jun 2026 Traffic",'Pass 2'!$1:$1,0),FALSE()),"")</f>
        <v/>
      </c>
      <c r="F419" s="1" t="str">
        <f aca="false">IFERROR(VLOOKUP(A419,'Pass 2'!$A:$S,MATCH("Traffic % Change",'Pass 2'!$1:$1,0),FALSE()),"")</f>
        <v/>
      </c>
      <c r="G419" s="1" t="str">
        <f aca="false">IFERROR(VLOOKUP(A419,'Pass 2'!$A:$S,MATCH("Jan 2025 Referring Domains",'Pass 2'!$1:$1,0),FALSE()),"")</f>
        <v/>
      </c>
      <c r="H419" s="1" t="str">
        <f aca="false">IFERROR(VLOOKUP(A419,'Pass 2'!$A:$S,MATCH("Jun 2026 Referring Domains",'Pass 2'!$1:$1,0),FALSE()),"")</f>
        <v/>
      </c>
    </row>
    <row r="420" customFormat="false" ht="15" hidden="false" customHeight="true" outlineLevel="0" collapsed="false">
      <c r="B420" s="1" t="str">
        <f aca="false">IFERROR(VLOOKUP(A420,'Pass 2'!$A:$S,MATCH("Category",'Pass 2'!$1:$1,0),FALSE()),"")</f>
        <v/>
      </c>
      <c r="C420" s="1" t="str">
        <f aca="false">IFERROR(VLOOKUP(A420,'Pass 1 Archive'!$A:$AD,MATCH("LinkedIn Employee Count",'Pass 1 Archive'!$1:$1,0),FALSE()),"")</f>
        <v/>
      </c>
      <c r="D420" s="1" t="str">
        <f aca="false">IFERROR(VLOOKUP(A420,'Pass 2'!$A:$S,MATCH("Jan 2025 Traffic",'Pass 2'!$1:$1,0),FALSE()),"")</f>
        <v/>
      </c>
      <c r="E420" s="1" t="str">
        <f aca="false">IFERROR(VLOOKUP(A420,'Pass 2'!$A:$S,MATCH("Jun 2026 Traffic",'Pass 2'!$1:$1,0),FALSE()),"")</f>
        <v/>
      </c>
      <c r="F420" s="1" t="str">
        <f aca="false">IFERROR(VLOOKUP(A420,'Pass 2'!$A:$S,MATCH("Traffic % Change",'Pass 2'!$1:$1,0),FALSE()),"")</f>
        <v/>
      </c>
      <c r="G420" s="1" t="str">
        <f aca="false">IFERROR(VLOOKUP(A420,'Pass 2'!$A:$S,MATCH("Jan 2025 Referring Domains",'Pass 2'!$1:$1,0),FALSE()),"")</f>
        <v/>
      </c>
      <c r="H420" s="1" t="str">
        <f aca="false">IFERROR(VLOOKUP(A420,'Pass 2'!$A:$S,MATCH("Jun 2026 Referring Domains",'Pass 2'!$1:$1,0),FALSE()),"")</f>
        <v/>
      </c>
    </row>
    <row r="421" customFormat="false" ht="15" hidden="false" customHeight="true" outlineLevel="0" collapsed="false">
      <c r="B421" s="1" t="str">
        <f aca="false">IFERROR(VLOOKUP(A421,'Pass 2'!$A:$S,MATCH("Category",'Pass 2'!$1:$1,0),FALSE()),"")</f>
        <v/>
      </c>
      <c r="C421" s="1" t="str">
        <f aca="false">IFERROR(VLOOKUP(A421,'Pass 1 Archive'!$A:$AD,MATCH("LinkedIn Employee Count",'Pass 1 Archive'!$1:$1,0),FALSE()),"")</f>
        <v/>
      </c>
      <c r="D421" s="1" t="str">
        <f aca="false">IFERROR(VLOOKUP(A421,'Pass 2'!$A:$S,MATCH("Jan 2025 Traffic",'Pass 2'!$1:$1,0),FALSE()),"")</f>
        <v/>
      </c>
      <c r="E421" s="1" t="str">
        <f aca="false">IFERROR(VLOOKUP(A421,'Pass 2'!$A:$S,MATCH("Jun 2026 Traffic",'Pass 2'!$1:$1,0),FALSE()),"")</f>
        <v/>
      </c>
      <c r="F421" s="1" t="str">
        <f aca="false">IFERROR(VLOOKUP(A421,'Pass 2'!$A:$S,MATCH("Traffic % Change",'Pass 2'!$1:$1,0),FALSE()),"")</f>
        <v/>
      </c>
      <c r="G421" s="1" t="str">
        <f aca="false">IFERROR(VLOOKUP(A421,'Pass 2'!$A:$S,MATCH("Jan 2025 Referring Domains",'Pass 2'!$1:$1,0),FALSE()),"")</f>
        <v/>
      </c>
      <c r="H421" s="1" t="str">
        <f aca="false">IFERROR(VLOOKUP(A421,'Pass 2'!$A:$S,MATCH("Jun 2026 Referring Domains",'Pass 2'!$1:$1,0),FALSE()),"")</f>
        <v/>
      </c>
    </row>
    <row r="422" customFormat="false" ht="15" hidden="false" customHeight="true" outlineLevel="0" collapsed="false">
      <c r="B422" s="1" t="str">
        <f aca="false">IFERROR(VLOOKUP(A422,'Pass 2'!$A:$S,MATCH("Category",'Pass 2'!$1:$1,0),FALSE()),"")</f>
        <v/>
      </c>
      <c r="C422" s="1" t="str">
        <f aca="false">IFERROR(VLOOKUP(A422,'Pass 1 Archive'!$A:$AD,MATCH("LinkedIn Employee Count",'Pass 1 Archive'!$1:$1,0),FALSE()),"")</f>
        <v/>
      </c>
      <c r="D422" s="1" t="str">
        <f aca="false">IFERROR(VLOOKUP(A422,'Pass 2'!$A:$S,MATCH("Jan 2025 Traffic",'Pass 2'!$1:$1,0),FALSE()),"")</f>
        <v/>
      </c>
      <c r="E422" s="1" t="str">
        <f aca="false">IFERROR(VLOOKUP(A422,'Pass 2'!$A:$S,MATCH("Jun 2026 Traffic",'Pass 2'!$1:$1,0),FALSE()),"")</f>
        <v/>
      </c>
      <c r="F422" s="1" t="str">
        <f aca="false">IFERROR(VLOOKUP(A422,'Pass 2'!$A:$S,MATCH("Traffic % Change",'Pass 2'!$1:$1,0),FALSE()),"")</f>
        <v/>
      </c>
      <c r="G422" s="1" t="str">
        <f aca="false">IFERROR(VLOOKUP(A422,'Pass 2'!$A:$S,MATCH("Jan 2025 Referring Domains",'Pass 2'!$1:$1,0),FALSE()),"")</f>
        <v/>
      </c>
      <c r="H422" s="1" t="str">
        <f aca="false">IFERROR(VLOOKUP(A422,'Pass 2'!$A:$S,MATCH("Jun 2026 Referring Domains",'Pass 2'!$1:$1,0),FALSE()),"")</f>
        <v/>
      </c>
    </row>
    <row r="423" customFormat="false" ht="15" hidden="false" customHeight="true" outlineLevel="0" collapsed="false">
      <c r="B423" s="1" t="str">
        <f aca="false">IFERROR(VLOOKUP(A423,'Pass 2'!$A:$S,MATCH("Category",'Pass 2'!$1:$1,0),FALSE()),"")</f>
        <v/>
      </c>
      <c r="C423" s="1" t="str">
        <f aca="false">IFERROR(VLOOKUP(A423,'Pass 1 Archive'!$A:$AD,MATCH("LinkedIn Employee Count",'Pass 1 Archive'!$1:$1,0),FALSE()),"")</f>
        <v/>
      </c>
      <c r="D423" s="1" t="str">
        <f aca="false">IFERROR(VLOOKUP(A423,'Pass 2'!$A:$S,MATCH("Jan 2025 Traffic",'Pass 2'!$1:$1,0),FALSE()),"")</f>
        <v/>
      </c>
      <c r="E423" s="1" t="str">
        <f aca="false">IFERROR(VLOOKUP(A423,'Pass 2'!$A:$S,MATCH("Jun 2026 Traffic",'Pass 2'!$1:$1,0),FALSE()),"")</f>
        <v/>
      </c>
      <c r="F423" s="1" t="str">
        <f aca="false">IFERROR(VLOOKUP(A423,'Pass 2'!$A:$S,MATCH("Traffic % Change",'Pass 2'!$1:$1,0),FALSE()),"")</f>
        <v/>
      </c>
      <c r="G423" s="1" t="str">
        <f aca="false">IFERROR(VLOOKUP(A423,'Pass 2'!$A:$S,MATCH("Jan 2025 Referring Domains",'Pass 2'!$1:$1,0),FALSE()),"")</f>
        <v/>
      </c>
      <c r="H423" s="1" t="str">
        <f aca="false">IFERROR(VLOOKUP(A423,'Pass 2'!$A:$S,MATCH("Jun 2026 Referring Domains",'Pass 2'!$1:$1,0),FALSE()),"")</f>
        <v/>
      </c>
    </row>
    <row r="424" customFormat="false" ht="15" hidden="false" customHeight="true" outlineLevel="0" collapsed="false">
      <c r="B424" s="1" t="str">
        <f aca="false">IFERROR(VLOOKUP(A424,'Pass 2'!$A:$S,MATCH("Category",'Pass 2'!$1:$1,0),FALSE()),"")</f>
        <v/>
      </c>
      <c r="C424" s="1" t="str">
        <f aca="false">IFERROR(VLOOKUP(A424,'Pass 1 Archive'!$A:$AD,MATCH("LinkedIn Employee Count",'Pass 1 Archive'!$1:$1,0),FALSE()),"")</f>
        <v/>
      </c>
      <c r="D424" s="1" t="str">
        <f aca="false">IFERROR(VLOOKUP(A424,'Pass 2'!$A:$S,MATCH("Jan 2025 Traffic",'Pass 2'!$1:$1,0),FALSE()),"")</f>
        <v/>
      </c>
      <c r="E424" s="1" t="str">
        <f aca="false">IFERROR(VLOOKUP(A424,'Pass 2'!$A:$S,MATCH("Jun 2026 Traffic",'Pass 2'!$1:$1,0),FALSE()),"")</f>
        <v/>
      </c>
      <c r="F424" s="1" t="str">
        <f aca="false">IFERROR(VLOOKUP(A424,'Pass 2'!$A:$S,MATCH("Traffic % Change",'Pass 2'!$1:$1,0),FALSE()),"")</f>
        <v/>
      </c>
      <c r="G424" s="1" t="str">
        <f aca="false">IFERROR(VLOOKUP(A424,'Pass 2'!$A:$S,MATCH("Jan 2025 Referring Domains",'Pass 2'!$1:$1,0),FALSE()),"")</f>
        <v/>
      </c>
      <c r="H424" s="1" t="str">
        <f aca="false">IFERROR(VLOOKUP(A424,'Pass 2'!$A:$S,MATCH("Jun 2026 Referring Domains",'Pass 2'!$1:$1,0),FALSE()),"")</f>
        <v/>
      </c>
    </row>
    <row r="425" customFormat="false" ht="15" hidden="false" customHeight="true" outlineLevel="0" collapsed="false">
      <c r="B425" s="1" t="str">
        <f aca="false">IFERROR(VLOOKUP(A425,'Pass 2'!$A:$S,MATCH("Category",'Pass 2'!$1:$1,0),FALSE()),"")</f>
        <v/>
      </c>
      <c r="C425" s="1" t="str">
        <f aca="false">IFERROR(VLOOKUP(A425,'Pass 1 Archive'!$A:$AD,MATCH("LinkedIn Employee Count",'Pass 1 Archive'!$1:$1,0),FALSE()),"")</f>
        <v/>
      </c>
      <c r="D425" s="1" t="str">
        <f aca="false">IFERROR(VLOOKUP(A425,'Pass 2'!$A:$S,MATCH("Jan 2025 Traffic",'Pass 2'!$1:$1,0),FALSE()),"")</f>
        <v/>
      </c>
      <c r="E425" s="1" t="str">
        <f aca="false">IFERROR(VLOOKUP(A425,'Pass 2'!$A:$S,MATCH("Jun 2026 Traffic",'Pass 2'!$1:$1,0),FALSE()),"")</f>
        <v/>
      </c>
      <c r="F425" s="1" t="str">
        <f aca="false">IFERROR(VLOOKUP(A425,'Pass 2'!$A:$S,MATCH("Traffic % Change",'Pass 2'!$1:$1,0),FALSE()),"")</f>
        <v/>
      </c>
      <c r="G425" s="1" t="str">
        <f aca="false">IFERROR(VLOOKUP(A425,'Pass 2'!$A:$S,MATCH("Jan 2025 Referring Domains",'Pass 2'!$1:$1,0),FALSE()),"")</f>
        <v/>
      </c>
      <c r="H425" s="1" t="str">
        <f aca="false">IFERROR(VLOOKUP(A425,'Pass 2'!$A:$S,MATCH("Jun 2026 Referring Domains",'Pass 2'!$1:$1,0),FALSE()),"")</f>
        <v/>
      </c>
    </row>
    <row r="426" customFormat="false" ht="15" hidden="false" customHeight="true" outlineLevel="0" collapsed="false">
      <c r="B426" s="1" t="str">
        <f aca="false">IFERROR(VLOOKUP(A426,'Pass 2'!$A:$S,MATCH("Category",'Pass 2'!$1:$1,0),FALSE()),"")</f>
        <v/>
      </c>
      <c r="C426" s="1" t="str">
        <f aca="false">IFERROR(VLOOKUP(A426,'Pass 1 Archive'!$A:$AD,MATCH("LinkedIn Employee Count",'Pass 1 Archive'!$1:$1,0),FALSE()),"")</f>
        <v/>
      </c>
      <c r="D426" s="1" t="str">
        <f aca="false">IFERROR(VLOOKUP(A426,'Pass 2'!$A:$S,MATCH("Jan 2025 Traffic",'Pass 2'!$1:$1,0),FALSE()),"")</f>
        <v/>
      </c>
      <c r="E426" s="1" t="str">
        <f aca="false">IFERROR(VLOOKUP(A426,'Pass 2'!$A:$S,MATCH("Jun 2026 Traffic",'Pass 2'!$1:$1,0),FALSE()),"")</f>
        <v/>
      </c>
      <c r="F426" s="1" t="str">
        <f aca="false">IFERROR(VLOOKUP(A426,'Pass 2'!$A:$S,MATCH("Traffic % Change",'Pass 2'!$1:$1,0),FALSE()),"")</f>
        <v/>
      </c>
      <c r="G426" s="1" t="str">
        <f aca="false">IFERROR(VLOOKUP(A426,'Pass 2'!$A:$S,MATCH("Jan 2025 Referring Domains",'Pass 2'!$1:$1,0),FALSE()),"")</f>
        <v/>
      </c>
      <c r="H426" s="1" t="str">
        <f aca="false">IFERROR(VLOOKUP(A426,'Pass 2'!$A:$S,MATCH("Jun 2026 Referring Domains",'Pass 2'!$1:$1,0),FALSE()),"")</f>
        <v/>
      </c>
    </row>
    <row r="427" customFormat="false" ht="15" hidden="false" customHeight="true" outlineLevel="0" collapsed="false">
      <c r="B427" s="1" t="str">
        <f aca="false">IFERROR(VLOOKUP(A427,'Pass 2'!$A:$S,MATCH("Category",'Pass 2'!$1:$1,0),FALSE()),"")</f>
        <v/>
      </c>
      <c r="C427" s="1" t="str">
        <f aca="false">IFERROR(VLOOKUP(A427,'Pass 1 Archive'!$A:$AD,MATCH("LinkedIn Employee Count",'Pass 1 Archive'!$1:$1,0),FALSE()),"")</f>
        <v/>
      </c>
      <c r="D427" s="1" t="str">
        <f aca="false">IFERROR(VLOOKUP(A427,'Pass 2'!$A:$S,MATCH("Jan 2025 Traffic",'Pass 2'!$1:$1,0),FALSE()),"")</f>
        <v/>
      </c>
      <c r="E427" s="1" t="str">
        <f aca="false">IFERROR(VLOOKUP(A427,'Pass 2'!$A:$S,MATCH("Jun 2026 Traffic",'Pass 2'!$1:$1,0),FALSE()),"")</f>
        <v/>
      </c>
      <c r="F427" s="1" t="str">
        <f aca="false">IFERROR(VLOOKUP(A427,'Pass 2'!$A:$S,MATCH("Traffic % Change",'Pass 2'!$1:$1,0),FALSE()),"")</f>
        <v/>
      </c>
      <c r="G427" s="1" t="str">
        <f aca="false">IFERROR(VLOOKUP(A427,'Pass 2'!$A:$S,MATCH("Jan 2025 Referring Domains",'Pass 2'!$1:$1,0),FALSE()),"")</f>
        <v/>
      </c>
      <c r="H427" s="1" t="str">
        <f aca="false">IFERROR(VLOOKUP(A427,'Pass 2'!$A:$S,MATCH("Jun 2026 Referring Domains",'Pass 2'!$1:$1,0),FALSE()),"")</f>
        <v/>
      </c>
    </row>
    <row r="428" customFormat="false" ht="15" hidden="false" customHeight="true" outlineLevel="0" collapsed="false">
      <c r="B428" s="1" t="str">
        <f aca="false">IFERROR(VLOOKUP(A428,'Pass 2'!$A:$S,MATCH("Category",'Pass 2'!$1:$1,0),FALSE()),"")</f>
        <v/>
      </c>
      <c r="C428" s="1" t="str">
        <f aca="false">IFERROR(VLOOKUP(A428,'Pass 1 Archive'!$A:$AD,MATCH("LinkedIn Employee Count",'Pass 1 Archive'!$1:$1,0),FALSE()),"")</f>
        <v/>
      </c>
      <c r="D428" s="1" t="str">
        <f aca="false">IFERROR(VLOOKUP(A428,'Pass 2'!$A:$S,MATCH("Jan 2025 Traffic",'Pass 2'!$1:$1,0),FALSE()),"")</f>
        <v/>
      </c>
      <c r="E428" s="1" t="str">
        <f aca="false">IFERROR(VLOOKUP(A428,'Pass 2'!$A:$S,MATCH("Jun 2026 Traffic",'Pass 2'!$1:$1,0),FALSE()),"")</f>
        <v/>
      </c>
      <c r="F428" s="1" t="str">
        <f aca="false">IFERROR(VLOOKUP(A428,'Pass 2'!$A:$S,MATCH("Traffic % Change",'Pass 2'!$1:$1,0),FALSE()),"")</f>
        <v/>
      </c>
      <c r="G428" s="1" t="str">
        <f aca="false">IFERROR(VLOOKUP(A428,'Pass 2'!$A:$S,MATCH("Jan 2025 Referring Domains",'Pass 2'!$1:$1,0),FALSE()),"")</f>
        <v/>
      </c>
      <c r="H428" s="1" t="str">
        <f aca="false">IFERROR(VLOOKUP(A428,'Pass 2'!$A:$S,MATCH("Jun 2026 Referring Domains",'Pass 2'!$1:$1,0),FALSE()),"")</f>
        <v/>
      </c>
    </row>
    <row r="429" customFormat="false" ht="15" hidden="false" customHeight="true" outlineLevel="0" collapsed="false">
      <c r="B429" s="1" t="str">
        <f aca="false">IFERROR(VLOOKUP(A429,'Pass 2'!$A:$S,MATCH("Category",'Pass 2'!$1:$1,0),FALSE()),"")</f>
        <v/>
      </c>
      <c r="C429" s="1" t="str">
        <f aca="false">IFERROR(VLOOKUP(A429,'Pass 1 Archive'!$A:$AD,MATCH("LinkedIn Employee Count",'Pass 1 Archive'!$1:$1,0),FALSE()),"")</f>
        <v/>
      </c>
      <c r="D429" s="1" t="str">
        <f aca="false">IFERROR(VLOOKUP(A429,'Pass 2'!$A:$S,MATCH("Jan 2025 Traffic",'Pass 2'!$1:$1,0),FALSE()),"")</f>
        <v/>
      </c>
      <c r="E429" s="1" t="str">
        <f aca="false">IFERROR(VLOOKUP(A429,'Pass 2'!$A:$S,MATCH("Jun 2026 Traffic",'Pass 2'!$1:$1,0),FALSE()),"")</f>
        <v/>
      </c>
      <c r="F429" s="1" t="str">
        <f aca="false">IFERROR(VLOOKUP(A429,'Pass 2'!$A:$S,MATCH("Traffic % Change",'Pass 2'!$1:$1,0),FALSE()),"")</f>
        <v/>
      </c>
      <c r="G429" s="1" t="str">
        <f aca="false">IFERROR(VLOOKUP(A429,'Pass 2'!$A:$S,MATCH("Jan 2025 Referring Domains",'Pass 2'!$1:$1,0),FALSE()),"")</f>
        <v/>
      </c>
      <c r="H429" s="1" t="str">
        <f aca="false">IFERROR(VLOOKUP(A429,'Pass 2'!$A:$S,MATCH("Jun 2026 Referring Domains",'Pass 2'!$1:$1,0),FALSE()),"")</f>
        <v/>
      </c>
    </row>
    <row r="430" customFormat="false" ht="15" hidden="false" customHeight="true" outlineLevel="0" collapsed="false">
      <c r="B430" s="1" t="str">
        <f aca="false">IFERROR(VLOOKUP(A430,'Pass 2'!$A:$S,MATCH("Category",'Pass 2'!$1:$1,0),FALSE()),"")</f>
        <v/>
      </c>
      <c r="C430" s="1" t="str">
        <f aca="false">IFERROR(VLOOKUP(A430,'Pass 1 Archive'!$A:$AD,MATCH("LinkedIn Employee Count",'Pass 1 Archive'!$1:$1,0),FALSE()),"")</f>
        <v/>
      </c>
      <c r="D430" s="1" t="str">
        <f aca="false">IFERROR(VLOOKUP(A430,'Pass 2'!$A:$S,MATCH("Jan 2025 Traffic",'Pass 2'!$1:$1,0),FALSE()),"")</f>
        <v/>
      </c>
      <c r="E430" s="1" t="str">
        <f aca="false">IFERROR(VLOOKUP(A430,'Pass 2'!$A:$S,MATCH("Jun 2026 Traffic",'Pass 2'!$1:$1,0),FALSE()),"")</f>
        <v/>
      </c>
      <c r="F430" s="1" t="str">
        <f aca="false">IFERROR(VLOOKUP(A430,'Pass 2'!$A:$S,MATCH("Traffic % Change",'Pass 2'!$1:$1,0),FALSE()),"")</f>
        <v/>
      </c>
      <c r="G430" s="1" t="str">
        <f aca="false">IFERROR(VLOOKUP(A430,'Pass 2'!$A:$S,MATCH("Jan 2025 Referring Domains",'Pass 2'!$1:$1,0),FALSE()),"")</f>
        <v/>
      </c>
      <c r="H430" s="1" t="str">
        <f aca="false">IFERROR(VLOOKUP(A430,'Pass 2'!$A:$S,MATCH("Jun 2026 Referring Domains",'Pass 2'!$1:$1,0),FALSE()),"")</f>
        <v/>
      </c>
    </row>
    <row r="431" customFormat="false" ht="15" hidden="false" customHeight="true" outlineLevel="0" collapsed="false">
      <c r="B431" s="1" t="str">
        <f aca="false">IFERROR(VLOOKUP(A431,'Pass 2'!$A:$S,MATCH("Category",'Pass 2'!$1:$1,0),FALSE()),"")</f>
        <v/>
      </c>
      <c r="C431" s="1" t="str">
        <f aca="false">IFERROR(VLOOKUP(A431,'Pass 1 Archive'!$A:$AD,MATCH("LinkedIn Employee Count",'Pass 1 Archive'!$1:$1,0),FALSE()),"")</f>
        <v/>
      </c>
      <c r="D431" s="1" t="str">
        <f aca="false">IFERROR(VLOOKUP(A431,'Pass 2'!$A:$S,MATCH("Jan 2025 Traffic",'Pass 2'!$1:$1,0),FALSE()),"")</f>
        <v/>
      </c>
      <c r="E431" s="1" t="str">
        <f aca="false">IFERROR(VLOOKUP(A431,'Pass 2'!$A:$S,MATCH("Jun 2026 Traffic",'Pass 2'!$1:$1,0),FALSE()),"")</f>
        <v/>
      </c>
      <c r="F431" s="1" t="str">
        <f aca="false">IFERROR(VLOOKUP(A431,'Pass 2'!$A:$S,MATCH("Traffic % Change",'Pass 2'!$1:$1,0),FALSE()),"")</f>
        <v/>
      </c>
      <c r="G431" s="1" t="str">
        <f aca="false">IFERROR(VLOOKUP(A431,'Pass 2'!$A:$S,MATCH("Jan 2025 Referring Domains",'Pass 2'!$1:$1,0),FALSE()),"")</f>
        <v/>
      </c>
      <c r="H431" s="1" t="str">
        <f aca="false">IFERROR(VLOOKUP(A431,'Pass 2'!$A:$S,MATCH("Jun 2026 Referring Domains",'Pass 2'!$1:$1,0),FALSE()),"")</f>
        <v/>
      </c>
    </row>
    <row r="432" customFormat="false" ht="15" hidden="false" customHeight="true" outlineLevel="0" collapsed="false">
      <c r="B432" s="1" t="str">
        <f aca="false">IFERROR(VLOOKUP(A432,'Pass 2'!$A:$S,MATCH("Category",'Pass 2'!$1:$1,0),FALSE()),"")</f>
        <v/>
      </c>
      <c r="C432" s="1" t="str">
        <f aca="false">IFERROR(VLOOKUP(A432,'Pass 1 Archive'!$A:$AD,MATCH("LinkedIn Employee Count",'Pass 1 Archive'!$1:$1,0),FALSE()),"")</f>
        <v/>
      </c>
      <c r="D432" s="1" t="str">
        <f aca="false">IFERROR(VLOOKUP(A432,'Pass 2'!$A:$S,MATCH("Jan 2025 Traffic",'Pass 2'!$1:$1,0),FALSE()),"")</f>
        <v/>
      </c>
      <c r="E432" s="1" t="str">
        <f aca="false">IFERROR(VLOOKUP(A432,'Pass 2'!$A:$S,MATCH("Jun 2026 Traffic",'Pass 2'!$1:$1,0),FALSE()),"")</f>
        <v/>
      </c>
      <c r="F432" s="1" t="str">
        <f aca="false">IFERROR(VLOOKUP(A432,'Pass 2'!$A:$S,MATCH("Traffic % Change",'Pass 2'!$1:$1,0),FALSE()),"")</f>
        <v/>
      </c>
      <c r="G432" s="1" t="str">
        <f aca="false">IFERROR(VLOOKUP(A432,'Pass 2'!$A:$S,MATCH("Jan 2025 Referring Domains",'Pass 2'!$1:$1,0),FALSE()),"")</f>
        <v/>
      </c>
      <c r="H432" s="1" t="str">
        <f aca="false">IFERROR(VLOOKUP(A432,'Pass 2'!$A:$S,MATCH("Jun 2026 Referring Domains",'Pass 2'!$1:$1,0),FALSE()),"")</f>
        <v/>
      </c>
    </row>
    <row r="433" customFormat="false" ht="15" hidden="false" customHeight="true" outlineLevel="0" collapsed="false">
      <c r="B433" s="1" t="str">
        <f aca="false">IFERROR(VLOOKUP(A433,'Pass 2'!$A:$S,MATCH("Category",'Pass 2'!$1:$1,0),FALSE()),"")</f>
        <v/>
      </c>
      <c r="C433" s="1" t="str">
        <f aca="false">IFERROR(VLOOKUP(A433,'Pass 1 Archive'!$A:$AD,MATCH("LinkedIn Employee Count",'Pass 1 Archive'!$1:$1,0),FALSE()),"")</f>
        <v/>
      </c>
      <c r="D433" s="1" t="str">
        <f aca="false">IFERROR(VLOOKUP(A433,'Pass 2'!$A:$S,MATCH("Jan 2025 Traffic",'Pass 2'!$1:$1,0),FALSE()),"")</f>
        <v/>
      </c>
      <c r="E433" s="1" t="str">
        <f aca="false">IFERROR(VLOOKUP(A433,'Pass 2'!$A:$S,MATCH("Jun 2026 Traffic",'Pass 2'!$1:$1,0),FALSE()),"")</f>
        <v/>
      </c>
      <c r="F433" s="1" t="str">
        <f aca="false">IFERROR(VLOOKUP(A433,'Pass 2'!$A:$S,MATCH("Traffic % Change",'Pass 2'!$1:$1,0),FALSE()),"")</f>
        <v/>
      </c>
      <c r="G433" s="1" t="str">
        <f aca="false">IFERROR(VLOOKUP(A433,'Pass 2'!$A:$S,MATCH("Jan 2025 Referring Domains",'Pass 2'!$1:$1,0),FALSE()),"")</f>
        <v/>
      </c>
      <c r="H433" s="1" t="str">
        <f aca="false">IFERROR(VLOOKUP(A433,'Pass 2'!$A:$S,MATCH("Jun 2026 Referring Domains",'Pass 2'!$1:$1,0),FALSE()),"")</f>
        <v/>
      </c>
    </row>
    <row r="434" customFormat="false" ht="15" hidden="false" customHeight="true" outlineLevel="0" collapsed="false">
      <c r="B434" s="1" t="str">
        <f aca="false">IFERROR(VLOOKUP(A434,'Pass 2'!$A:$S,MATCH("Category",'Pass 2'!$1:$1,0),FALSE()),"")</f>
        <v/>
      </c>
      <c r="C434" s="1" t="str">
        <f aca="false">IFERROR(VLOOKUP(A434,'Pass 1 Archive'!$A:$AD,MATCH("LinkedIn Employee Count",'Pass 1 Archive'!$1:$1,0),FALSE()),"")</f>
        <v/>
      </c>
      <c r="D434" s="1" t="str">
        <f aca="false">IFERROR(VLOOKUP(A434,'Pass 2'!$A:$S,MATCH("Jan 2025 Traffic",'Pass 2'!$1:$1,0),FALSE()),"")</f>
        <v/>
      </c>
      <c r="E434" s="1" t="str">
        <f aca="false">IFERROR(VLOOKUP(A434,'Pass 2'!$A:$S,MATCH("Jun 2026 Traffic",'Pass 2'!$1:$1,0),FALSE()),"")</f>
        <v/>
      </c>
      <c r="F434" s="1" t="str">
        <f aca="false">IFERROR(VLOOKUP(A434,'Pass 2'!$A:$S,MATCH("Traffic % Change",'Pass 2'!$1:$1,0),FALSE()),"")</f>
        <v/>
      </c>
      <c r="G434" s="1" t="str">
        <f aca="false">IFERROR(VLOOKUP(A434,'Pass 2'!$A:$S,MATCH("Jan 2025 Referring Domains",'Pass 2'!$1:$1,0),FALSE()),"")</f>
        <v/>
      </c>
      <c r="H434" s="1" t="str">
        <f aca="false">IFERROR(VLOOKUP(A434,'Pass 2'!$A:$S,MATCH("Jun 2026 Referring Domains",'Pass 2'!$1:$1,0),FALSE()),"")</f>
        <v/>
      </c>
    </row>
    <row r="435" customFormat="false" ht="15" hidden="false" customHeight="true" outlineLevel="0" collapsed="false">
      <c r="B435" s="1" t="str">
        <f aca="false">IFERROR(VLOOKUP(A435,'Pass 2'!$A:$S,MATCH("Category",'Pass 2'!$1:$1,0),FALSE()),"")</f>
        <v/>
      </c>
      <c r="C435" s="1" t="str">
        <f aca="false">IFERROR(VLOOKUP(A435,'Pass 1 Archive'!$A:$AD,MATCH("LinkedIn Employee Count",'Pass 1 Archive'!$1:$1,0),FALSE()),"")</f>
        <v/>
      </c>
      <c r="D435" s="1" t="str">
        <f aca="false">IFERROR(VLOOKUP(A435,'Pass 2'!$A:$S,MATCH("Jan 2025 Traffic",'Pass 2'!$1:$1,0),FALSE()),"")</f>
        <v/>
      </c>
      <c r="E435" s="1" t="str">
        <f aca="false">IFERROR(VLOOKUP(A435,'Pass 2'!$A:$S,MATCH("Jun 2026 Traffic",'Pass 2'!$1:$1,0),FALSE()),"")</f>
        <v/>
      </c>
      <c r="F435" s="1" t="str">
        <f aca="false">IFERROR(VLOOKUP(A435,'Pass 2'!$A:$S,MATCH("Traffic % Change",'Pass 2'!$1:$1,0),FALSE()),"")</f>
        <v/>
      </c>
      <c r="G435" s="1" t="str">
        <f aca="false">IFERROR(VLOOKUP(A435,'Pass 2'!$A:$S,MATCH("Jan 2025 Referring Domains",'Pass 2'!$1:$1,0),FALSE()),"")</f>
        <v/>
      </c>
      <c r="H435" s="1" t="str">
        <f aca="false">IFERROR(VLOOKUP(A435,'Pass 2'!$A:$S,MATCH("Jun 2026 Referring Domains",'Pass 2'!$1:$1,0),FALSE()),"")</f>
        <v/>
      </c>
    </row>
    <row r="436" customFormat="false" ht="15" hidden="false" customHeight="true" outlineLevel="0" collapsed="false">
      <c r="B436" s="1" t="str">
        <f aca="false">IFERROR(VLOOKUP(A436,'Pass 2'!$A:$S,MATCH("Category",'Pass 2'!$1:$1,0),FALSE()),"")</f>
        <v/>
      </c>
      <c r="C436" s="1" t="str">
        <f aca="false">IFERROR(VLOOKUP(A436,'Pass 1 Archive'!$A:$AD,MATCH("LinkedIn Employee Count",'Pass 1 Archive'!$1:$1,0),FALSE()),"")</f>
        <v/>
      </c>
      <c r="D436" s="1" t="str">
        <f aca="false">IFERROR(VLOOKUP(A436,'Pass 2'!$A:$S,MATCH("Jan 2025 Traffic",'Pass 2'!$1:$1,0),FALSE()),"")</f>
        <v/>
      </c>
      <c r="E436" s="1" t="str">
        <f aca="false">IFERROR(VLOOKUP(A436,'Pass 2'!$A:$S,MATCH("Jun 2026 Traffic",'Pass 2'!$1:$1,0),FALSE()),"")</f>
        <v/>
      </c>
      <c r="F436" s="1" t="str">
        <f aca="false">IFERROR(VLOOKUP(A436,'Pass 2'!$A:$S,MATCH("Traffic % Change",'Pass 2'!$1:$1,0),FALSE()),"")</f>
        <v/>
      </c>
      <c r="G436" s="1" t="str">
        <f aca="false">IFERROR(VLOOKUP(A436,'Pass 2'!$A:$S,MATCH("Jan 2025 Referring Domains",'Pass 2'!$1:$1,0),FALSE()),"")</f>
        <v/>
      </c>
      <c r="H436" s="1" t="str">
        <f aca="false">IFERROR(VLOOKUP(A436,'Pass 2'!$A:$S,MATCH("Jun 2026 Referring Domains",'Pass 2'!$1:$1,0),FALSE()),"")</f>
        <v/>
      </c>
    </row>
    <row r="437" customFormat="false" ht="15" hidden="false" customHeight="true" outlineLevel="0" collapsed="false">
      <c r="B437" s="1" t="str">
        <f aca="false">IFERROR(VLOOKUP(A437,'Pass 2'!$A:$S,MATCH("Category",'Pass 2'!$1:$1,0),FALSE()),"")</f>
        <v/>
      </c>
      <c r="C437" s="1" t="str">
        <f aca="false">IFERROR(VLOOKUP(A437,'Pass 1 Archive'!$A:$AD,MATCH("LinkedIn Employee Count",'Pass 1 Archive'!$1:$1,0),FALSE()),"")</f>
        <v/>
      </c>
      <c r="D437" s="1" t="str">
        <f aca="false">IFERROR(VLOOKUP(A437,'Pass 2'!$A:$S,MATCH("Jan 2025 Traffic",'Pass 2'!$1:$1,0),FALSE()),"")</f>
        <v/>
      </c>
      <c r="E437" s="1" t="str">
        <f aca="false">IFERROR(VLOOKUP(A437,'Pass 2'!$A:$S,MATCH("Jun 2026 Traffic",'Pass 2'!$1:$1,0),FALSE()),"")</f>
        <v/>
      </c>
      <c r="F437" s="1" t="str">
        <f aca="false">IFERROR(VLOOKUP(A437,'Pass 2'!$A:$S,MATCH("Traffic % Change",'Pass 2'!$1:$1,0),FALSE()),"")</f>
        <v/>
      </c>
      <c r="G437" s="1" t="str">
        <f aca="false">IFERROR(VLOOKUP(A437,'Pass 2'!$A:$S,MATCH("Jan 2025 Referring Domains",'Pass 2'!$1:$1,0),FALSE()),"")</f>
        <v/>
      </c>
      <c r="H437" s="1" t="str">
        <f aca="false">IFERROR(VLOOKUP(A437,'Pass 2'!$A:$S,MATCH("Jun 2026 Referring Domains",'Pass 2'!$1:$1,0),FALSE()),"")</f>
        <v/>
      </c>
    </row>
    <row r="438" customFormat="false" ht="15" hidden="false" customHeight="true" outlineLevel="0" collapsed="false">
      <c r="B438" s="1" t="str">
        <f aca="false">IFERROR(VLOOKUP(A438,'Pass 2'!$A:$S,MATCH("Category",'Pass 2'!$1:$1,0),FALSE()),"")</f>
        <v/>
      </c>
      <c r="C438" s="1" t="str">
        <f aca="false">IFERROR(VLOOKUP(A438,'Pass 1 Archive'!$A:$AD,MATCH("LinkedIn Employee Count",'Pass 1 Archive'!$1:$1,0),FALSE()),"")</f>
        <v/>
      </c>
      <c r="D438" s="1" t="str">
        <f aca="false">IFERROR(VLOOKUP(A438,'Pass 2'!$A:$S,MATCH("Jan 2025 Traffic",'Pass 2'!$1:$1,0),FALSE()),"")</f>
        <v/>
      </c>
      <c r="E438" s="1" t="str">
        <f aca="false">IFERROR(VLOOKUP(A438,'Pass 2'!$A:$S,MATCH("Jun 2026 Traffic",'Pass 2'!$1:$1,0),FALSE()),"")</f>
        <v/>
      </c>
      <c r="F438" s="1" t="str">
        <f aca="false">IFERROR(VLOOKUP(A438,'Pass 2'!$A:$S,MATCH("Traffic % Change",'Pass 2'!$1:$1,0),FALSE()),"")</f>
        <v/>
      </c>
      <c r="G438" s="1" t="str">
        <f aca="false">IFERROR(VLOOKUP(A438,'Pass 2'!$A:$S,MATCH("Jan 2025 Referring Domains",'Pass 2'!$1:$1,0),FALSE()),"")</f>
        <v/>
      </c>
      <c r="H438" s="1" t="str">
        <f aca="false">IFERROR(VLOOKUP(A438,'Pass 2'!$A:$S,MATCH("Jun 2026 Referring Domains",'Pass 2'!$1:$1,0),FALSE()),"")</f>
        <v/>
      </c>
    </row>
    <row r="439" customFormat="false" ht="15" hidden="false" customHeight="true" outlineLevel="0" collapsed="false">
      <c r="B439" s="1" t="str">
        <f aca="false">IFERROR(VLOOKUP(A439,'Pass 2'!$A:$S,MATCH("Category",'Pass 2'!$1:$1,0),FALSE()),"")</f>
        <v/>
      </c>
      <c r="C439" s="1" t="str">
        <f aca="false">IFERROR(VLOOKUP(A439,'Pass 1 Archive'!$A:$AD,MATCH("LinkedIn Employee Count",'Pass 1 Archive'!$1:$1,0),FALSE()),"")</f>
        <v/>
      </c>
      <c r="D439" s="1" t="str">
        <f aca="false">IFERROR(VLOOKUP(A439,'Pass 2'!$A:$S,MATCH("Jan 2025 Traffic",'Pass 2'!$1:$1,0),FALSE()),"")</f>
        <v/>
      </c>
      <c r="E439" s="1" t="str">
        <f aca="false">IFERROR(VLOOKUP(A439,'Pass 2'!$A:$S,MATCH("Jun 2026 Traffic",'Pass 2'!$1:$1,0),FALSE()),"")</f>
        <v/>
      </c>
      <c r="F439" s="1" t="str">
        <f aca="false">IFERROR(VLOOKUP(A439,'Pass 2'!$A:$S,MATCH("Traffic % Change",'Pass 2'!$1:$1,0),FALSE()),"")</f>
        <v/>
      </c>
      <c r="G439" s="1" t="str">
        <f aca="false">IFERROR(VLOOKUP(A439,'Pass 2'!$A:$S,MATCH("Jan 2025 Referring Domains",'Pass 2'!$1:$1,0),FALSE()),"")</f>
        <v/>
      </c>
      <c r="H439" s="1" t="str">
        <f aca="false">IFERROR(VLOOKUP(A439,'Pass 2'!$A:$S,MATCH("Jun 2026 Referring Domains",'Pass 2'!$1:$1,0),FALSE()),"")</f>
        <v/>
      </c>
    </row>
    <row r="440" customFormat="false" ht="15" hidden="false" customHeight="true" outlineLevel="0" collapsed="false">
      <c r="B440" s="1" t="str">
        <f aca="false">IFERROR(VLOOKUP(A440,'Pass 2'!$A:$S,MATCH("Category",'Pass 2'!$1:$1,0),FALSE()),"")</f>
        <v/>
      </c>
      <c r="C440" s="1" t="str">
        <f aca="false">IFERROR(VLOOKUP(A440,'Pass 1 Archive'!$A:$AD,MATCH("LinkedIn Employee Count",'Pass 1 Archive'!$1:$1,0),FALSE()),"")</f>
        <v/>
      </c>
      <c r="D440" s="1" t="str">
        <f aca="false">IFERROR(VLOOKUP(A440,'Pass 2'!$A:$S,MATCH("Jan 2025 Traffic",'Pass 2'!$1:$1,0),FALSE()),"")</f>
        <v/>
      </c>
      <c r="E440" s="1" t="str">
        <f aca="false">IFERROR(VLOOKUP(A440,'Pass 2'!$A:$S,MATCH("Jun 2026 Traffic",'Pass 2'!$1:$1,0),FALSE()),"")</f>
        <v/>
      </c>
      <c r="F440" s="1" t="str">
        <f aca="false">IFERROR(VLOOKUP(A440,'Pass 2'!$A:$S,MATCH("Traffic % Change",'Pass 2'!$1:$1,0),FALSE()),"")</f>
        <v/>
      </c>
      <c r="G440" s="1" t="str">
        <f aca="false">IFERROR(VLOOKUP(A440,'Pass 2'!$A:$S,MATCH("Jan 2025 Referring Domains",'Pass 2'!$1:$1,0),FALSE()),"")</f>
        <v/>
      </c>
      <c r="H440" s="1" t="str">
        <f aca="false">IFERROR(VLOOKUP(A440,'Pass 2'!$A:$S,MATCH("Jun 2026 Referring Domains",'Pass 2'!$1:$1,0),FALSE()),"")</f>
        <v/>
      </c>
    </row>
    <row r="441" customFormat="false" ht="15" hidden="false" customHeight="true" outlineLevel="0" collapsed="false">
      <c r="B441" s="1" t="str">
        <f aca="false">IFERROR(VLOOKUP(A441,'Pass 2'!$A:$S,MATCH("Category",'Pass 2'!$1:$1,0),FALSE()),"")</f>
        <v/>
      </c>
      <c r="C441" s="1" t="str">
        <f aca="false">IFERROR(VLOOKUP(A441,'Pass 1 Archive'!$A:$AD,MATCH("LinkedIn Employee Count",'Pass 1 Archive'!$1:$1,0),FALSE()),"")</f>
        <v/>
      </c>
      <c r="D441" s="1" t="str">
        <f aca="false">IFERROR(VLOOKUP(A441,'Pass 2'!$A:$S,MATCH("Jan 2025 Traffic",'Pass 2'!$1:$1,0),FALSE()),"")</f>
        <v/>
      </c>
      <c r="E441" s="1" t="str">
        <f aca="false">IFERROR(VLOOKUP(A441,'Pass 2'!$A:$S,MATCH("Jun 2026 Traffic",'Pass 2'!$1:$1,0),FALSE()),"")</f>
        <v/>
      </c>
      <c r="F441" s="1" t="str">
        <f aca="false">IFERROR(VLOOKUP(A441,'Pass 2'!$A:$S,MATCH("Traffic % Change",'Pass 2'!$1:$1,0),FALSE()),"")</f>
        <v/>
      </c>
      <c r="G441" s="1" t="str">
        <f aca="false">IFERROR(VLOOKUP(A441,'Pass 2'!$A:$S,MATCH("Jan 2025 Referring Domains",'Pass 2'!$1:$1,0),FALSE()),"")</f>
        <v/>
      </c>
      <c r="H441" s="1" t="str">
        <f aca="false">IFERROR(VLOOKUP(A441,'Pass 2'!$A:$S,MATCH("Jun 2026 Referring Domains",'Pass 2'!$1:$1,0),FALSE()),"")</f>
        <v/>
      </c>
    </row>
    <row r="442" customFormat="false" ht="15" hidden="false" customHeight="true" outlineLevel="0" collapsed="false">
      <c r="B442" s="1" t="str">
        <f aca="false">IFERROR(VLOOKUP(A442,'Pass 2'!$A:$S,MATCH("Category",'Pass 2'!$1:$1,0),FALSE()),"")</f>
        <v/>
      </c>
      <c r="C442" s="1" t="str">
        <f aca="false">IFERROR(VLOOKUP(A442,'Pass 1 Archive'!$A:$AD,MATCH("LinkedIn Employee Count",'Pass 1 Archive'!$1:$1,0),FALSE()),"")</f>
        <v/>
      </c>
      <c r="D442" s="1" t="str">
        <f aca="false">IFERROR(VLOOKUP(A442,'Pass 2'!$A:$S,MATCH("Jan 2025 Traffic",'Pass 2'!$1:$1,0),FALSE()),"")</f>
        <v/>
      </c>
      <c r="E442" s="1" t="str">
        <f aca="false">IFERROR(VLOOKUP(A442,'Pass 2'!$A:$S,MATCH("Jun 2026 Traffic",'Pass 2'!$1:$1,0),FALSE()),"")</f>
        <v/>
      </c>
      <c r="F442" s="1" t="str">
        <f aca="false">IFERROR(VLOOKUP(A442,'Pass 2'!$A:$S,MATCH("Traffic % Change",'Pass 2'!$1:$1,0),FALSE()),"")</f>
        <v/>
      </c>
      <c r="G442" s="1" t="str">
        <f aca="false">IFERROR(VLOOKUP(A442,'Pass 2'!$A:$S,MATCH("Jan 2025 Referring Domains",'Pass 2'!$1:$1,0),FALSE()),"")</f>
        <v/>
      </c>
      <c r="H442" s="1" t="str">
        <f aca="false">IFERROR(VLOOKUP(A442,'Pass 2'!$A:$S,MATCH("Jun 2026 Referring Domains",'Pass 2'!$1:$1,0),FALSE()),"")</f>
        <v/>
      </c>
    </row>
    <row r="443" customFormat="false" ht="15" hidden="false" customHeight="true" outlineLevel="0" collapsed="false">
      <c r="B443" s="1" t="str">
        <f aca="false">IFERROR(VLOOKUP(A443,'Pass 2'!$A:$S,MATCH("Category",'Pass 2'!$1:$1,0),FALSE()),"")</f>
        <v/>
      </c>
      <c r="C443" s="1" t="str">
        <f aca="false">IFERROR(VLOOKUP(A443,'Pass 1 Archive'!$A:$AD,MATCH("LinkedIn Employee Count",'Pass 1 Archive'!$1:$1,0),FALSE()),"")</f>
        <v/>
      </c>
      <c r="D443" s="1" t="str">
        <f aca="false">IFERROR(VLOOKUP(A443,'Pass 2'!$A:$S,MATCH("Jan 2025 Traffic",'Pass 2'!$1:$1,0),FALSE()),"")</f>
        <v/>
      </c>
      <c r="E443" s="1" t="str">
        <f aca="false">IFERROR(VLOOKUP(A443,'Pass 2'!$A:$S,MATCH("Jun 2026 Traffic",'Pass 2'!$1:$1,0),FALSE()),"")</f>
        <v/>
      </c>
      <c r="F443" s="1" t="str">
        <f aca="false">IFERROR(VLOOKUP(A443,'Pass 2'!$A:$S,MATCH("Traffic % Change",'Pass 2'!$1:$1,0),FALSE()),"")</f>
        <v/>
      </c>
      <c r="G443" s="1" t="str">
        <f aca="false">IFERROR(VLOOKUP(A443,'Pass 2'!$A:$S,MATCH("Jan 2025 Referring Domains",'Pass 2'!$1:$1,0),FALSE()),"")</f>
        <v/>
      </c>
      <c r="H443" s="1" t="str">
        <f aca="false">IFERROR(VLOOKUP(A443,'Pass 2'!$A:$S,MATCH("Jun 2026 Referring Domains",'Pass 2'!$1:$1,0),FALSE()),"")</f>
        <v/>
      </c>
    </row>
    <row r="444" customFormat="false" ht="15" hidden="false" customHeight="true" outlineLevel="0" collapsed="false">
      <c r="B444" s="1" t="str">
        <f aca="false">IFERROR(VLOOKUP(A444,'Pass 2'!$A:$S,MATCH("Category",'Pass 2'!$1:$1,0),FALSE()),"")</f>
        <v/>
      </c>
      <c r="C444" s="1" t="str">
        <f aca="false">IFERROR(VLOOKUP(A444,'Pass 1 Archive'!$A:$AD,MATCH("LinkedIn Employee Count",'Pass 1 Archive'!$1:$1,0),FALSE()),"")</f>
        <v/>
      </c>
      <c r="D444" s="1" t="str">
        <f aca="false">IFERROR(VLOOKUP(A444,'Pass 2'!$A:$S,MATCH("Jan 2025 Traffic",'Pass 2'!$1:$1,0),FALSE()),"")</f>
        <v/>
      </c>
      <c r="E444" s="1" t="str">
        <f aca="false">IFERROR(VLOOKUP(A444,'Pass 2'!$A:$S,MATCH("Jun 2026 Traffic",'Pass 2'!$1:$1,0),FALSE()),"")</f>
        <v/>
      </c>
      <c r="F444" s="1" t="str">
        <f aca="false">IFERROR(VLOOKUP(A444,'Pass 2'!$A:$S,MATCH("Traffic % Change",'Pass 2'!$1:$1,0),FALSE()),"")</f>
        <v/>
      </c>
      <c r="G444" s="1" t="str">
        <f aca="false">IFERROR(VLOOKUP(A444,'Pass 2'!$A:$S,MATCH("Jan 2025 Referring Domains",'Pass 2'!$1:$1,0),FALSE()),"")</f>
        <v/>
      </c>
      <c r="H444" s="1" t="str">
        <f aca="false">IFERROR(VLOOKUP(A444,'Pass 2'!$A:$S,MATCH("Jun 2026 Referring Domains",'Pass 2'!$1:$1,0),FALSE()),"")</f>
        <v/>
      </c>
    </row>
    <row r="445" customFormat="false" ht="15" hidden="false" customHeight="true" outlineLevel="0" collapsed="false">
      <c r="B445" s="1" t="str">
        <f aca="false">IFERROR(VLOOKUP(A445,'Pass 2'!$A:$S,MATCH("Category",'Pass 2'!$1:$1,0),FALSE()),"")</f>
        <v/>
      </c>
      <c r="C445" s="1" t="str">
        <f aca="false">IFERROR(VLOOKUP(A445,'Pass 1 Archive'!$A:$AD,MATCH("LinkedIn Employee Count",'Pass 1 Archive'!$1:$1,0),FALSE()),"")</f>
        <v/>
      </c>
      <c r="D445" s="1" t="str">
        <f aca="false">IFERROR(VLOOKUP(A445,'Pass 2'!$A:$S,MATCH("Jan 2025 Traffic",'Pass 2'!$1:$1,0),FALSE()),"")</f>
        <v/>
      </c>
      <c r="E445" s="1" t="str">
        <f aca="false">IFERROR(VLOOKUP(A445,'Pass 2'!$A:$S,MATCH("Jun 2026 Traffic",'Pass 2'!$1:$1,0),FALSE()),"")</f>
        <v/>
      </c>
      <c r="F445" s="1" t="str">
        <f aca="false">IFERROR(VLOOKUP(A445,'Pass 2'!$A:$S,MATCH("Traffic % Change",'Pass 2'!$1:$1,0),FALSE()),"")</f>
        <v/>
      </c>
      <c r="G445" s="1" t="str">
        <f aca="false">IFERROR(VLOOKUP(A445,'Pass 2'!$A:$S,MATCH("Jan 2025 Referring Domains",'Pass 2'!$1:$1,0),FALSE()),"")</f>
        <v/>
      </c>
      <c r="H445" s="1" t="str">
        <f aca="false">IFERROR(VLOOKUP(A445,'Pass 2'!$A:$S,MATCH("Jun 2026 Referring Domains",'Pass 2'!$1:$1,0),FALSE()),"")</f>
        <v/>
      </c>
    </row>
    <row r="446" customFormat="false" ht="15" hidden="false" customHeight="true" outlineLevel="0" collapsed="false">
      <c r="B446" s="1" t="str">
        <f aca="false">IFERROR(VLOOKUP(A446,'Pass 2'!$A:$S,MATCH("Category",'Pass 2'!$1:$1,0),FALSE()),"")</f>
        <v/>
      </c>
      <c r="C446" s="1" t="str">
        <f aca="false">IFERROR(VLOOKUP(A446,'Pass 1 Archive'!$A:$AD,MATCH("LinkedIn Employee Count",'Pass 1 Archive'!$1:$1,0),FALSE()),"")</f>
        <v/>
      </c>
      <c r="D446" s="1" t="str">
        <f aca="false">IFERROR(VLOOKUP(A446,'Pass 2'!$A:$S,MATCH("Jan 2025 Traffic",'Pass 2'!$1:$1,0),FALSE()),"")</f>
        <v/>
      </c>
      <c r="E446" s="1" t="str">
        <f aca="false">IFERROR(VLOOKUP(A446,'Pass 2'!$A:$S,MATCH("Jun 2026 Traffic",'Pass 2'!$1:$1,0),FALSE()),"")</f>
        <v/>
      </c>
      <c r="F446" s="1" t="str">
        <f aca="false">IFERROR(VLOOKUP(A446,'Pass 2'!$A:$S,MATCH("Traffic % Change",'Pass 2'!$1:$1,0),FALSE()),"")</f>
        <v/>
      </c>
      <c r="G446" s="1" t="str">
        <f aca="false">IFERROR(VLOOKUP(A446,'Pass 2'!$A:$S,MATCH("Jan 2025 Referring Domains",'Pass 2'!$1:$1,0),FALSE()),"")</f>
        <v/>
      </c>
      <c r="H446" s="1" t="str">
        <f aca="false">IFERROR(VLOOKUP(A446,'Pass 2'!$A:$S,MATCH("Jun 2026 Referring Domains",'Pass 2'!$1:$1,0),FALSE()),"")</f>
        <v/>
      </c>
    </row>
    <row r="447" customFormat="false" ht="15" hidden="false" customHeight="true" outlineLevel="0" collapsed="false">
      <c r="B447" s="1" t="str">
        <f aca="false">IFERROR(VLOOKUP(A447,'Pass 2'!$A:$S,MATCH("Category",'Pass 2'!$1:$1,0),FALSE()),"")</f>
        <v/>
      </c>
      <c r="C447" s="1" t="str">
        <f aca="false">IFERROR(VLOOKUP(A447,'Pass 1 Archive'!$A:$AD,MATCH("LinkedIn Employee Count",'Pass 1 Archive'!$1:$1,0),FALSE()),"")</f>
        <v/>
      </c>
      <c r="D447" s="1" t="str">
        <f aca="false">IFERROR(VLOOKUP(A447,'Pass 2'!$A:$S,MATCH("Jan 2025 Traffic",'Pass 2'!$1:$1,0),FALSE()),"")</f>
        <v/>
      </c>
      <c r="E447" s="1" t="str">
        <f aca="false">IFERROR(VLOOKUP(A447,'Pass 2'!$A:$S,MATCH("Jun 2026 Traffic",'Pass 2'!$1:$1,0),FALSE()),"")</f>
        <v/>
      </c>
      <c r="F447" s="1" t="str">
        <f aca="false">IFERROR(VLOOKUP(A447,'Pass 2'!$A:$S,MATCH("Traffic % Change",'Pass 2'!$1:$1,0),FALSE()),"")</f>
        <v/>
      </c>
      <c r="G447" s="1" t="str">
        <f aca="false">IFERROR(VLOOKUP(A447,'Pass 2'!$A:$S,MATCH("Jan 2025 Referring Domains",'Pass 2'!$1:$1,0),FALSE()),"")</f>
        <v/>
      </c>
      <c r="H447" s="1" t="str">
        <f aca="false">IFERROR(VLOOKUP(A447,'Pass 2'!$A:$S,MATCH("Jun 2026 Referring Domains",'Pass 2'!$1:$1,0),FALSE()),"")</f>
        <v/>
      </c>
    </row>
    <row r="448" customFormat="false" ht="15" hidden="false" customHeight="true" outlineLevel="0" collapsed="false">
      <c r="B448" s="1" t="str">
        <f aca="false">IFERROR(VLOOKUP(A448,'Pass 2'!$A:$S,MATCH("Category",'Pass 2'!$1:$1,0),FALSE()),"")</f>
        <v/>
      </c>
      <c r="C448" s="1" t="str">
        <f aca="false">IFERROR(VLOOKUP(A448,'Pass 1 Archive'!$A:$AD,MATCH("LinkedIn Employee Count",'Pass 1 Archive'!$1:$1,0),FALSE()),"")</f>
        <v/>
      </c>
      <c r="D448" s="1" t="str">
        <f aca="false">IFERROR(VLOOKUP(A448,'Pass 2'!$A:$S,MATCH("Jan 2025 Traffic",'Pass 2'!$1:$1,0),FALSE()),"")</f>
        <v/>
      </c>
      <c r="E448" s="1" t="str">
        <f aca="false">IFERROR(VLOOKUP(A448,'Pass 2'!$A:$S,MATCH("Jun 2026 Traffic",'Pass 2'!$1:$1,0),FALSE()),"")</f>
        <v/>
      </c>
      <c r="F448" s="1" t="str">
        <f aca="false">IFERROR(VLOOKUP(A448,'Pass 2'!$A:$S,MATCH("Traffic % Change",'Pass 2'!$1:$1,0),FALSE()),"")</f>
        <v/>
      </c>
      <c r="G448" s="1" t="str">
        <f aca="false">IFERROR(VLOOKUP(A448,'Pass 2'!$A:$S,MATCH("Jan 2025 Referring Domains",'Pass 2'!$1:$1,0),FALSE()),"")</f>
        <v/>
      </c>
      <c r="H448" s="1" t="str">
        <f aca="false">IFERROR(VLOOKUP(A448,'Pass 2'!$A:$S,MATCH("Jun 2026 Referring Domains",'Pass 2'!$1:$1,0),FALSE()),"")</f>
        <v/>
      </c>
    </row>
    <row r="449" customFormat="false" ht="15" hidden="false" customHeight="true" outlineLevel="0" collapsed="false">
      <c r="B449" s="1" t="str">
        <f aca="false">IFERROR(VLOOKUP(A449,'Pass 2'!$A:$S,MATCH("Category",'Pass 2'!$1:$1,0),FALSE()),"")</f>
        <v/>
      </c>
      <c r="C449" s="1" t="str">
        <f aca="false">IFERROR(VLOOKUP(A449,'Pass 1 Archive'!$A:$AD,MATCH("LinkedIn Employee Count",'Pass 1 Archive'!$1:$1,0),FALSE()),"")</f>
        <v/>
      </c>
      <c r="D449" s="1" t="str">
        <f aca="false">IFERROR(VLOOKUP(A449,'Pass 2'!$A:$S,MATCH("Jan 2025 Traffic",'Pass 2'!$1:$1,0),FALSE()),"")</f>
        <v/>
      </c>
      <c r="E449" s="1" t="str">
        <f aca="false">IFERROR(VLOOKUP(A449,'Pass 2'!$A:$S,MATCH("Jun 2026 Traffic",'Pass 2'!$1:$1,0),FALSE()),"")</f>
        <v/>
      </c>
      <c r="F449" s="1" t="str">
        <f aca="false">IFERROR(VLOOKUP(A449,'Pass 2'!$A:$S,MATCH("Traffic % Change",'Pass 2'!$1:$1,0),FALSE()),"")</f>
        <v/>
      </c>
      <c r="G449" s="1" t="str">
        <f aca="false">IFERROR(VLOOKUP(A449,'Pass 2'!$A:$S,MATCH("Jan 2025 Referring Domains",'Pass 2'!$1:$1,0),FALSE()),"")</f>
        <v/>
      </c>
      <c r="H449" s="1" t="str">
        <f aca="false">IFERROR(VLOOKUP(A449,'Pass 2'!$A:$S,MATCH("Jun 2026 Referring Domains",'Pass 2'!$1:$1,0),FALSE()),"")</f>
        <v/>
      </c>
    </row>
    <row r="450" customFormat="false" ht="15" hidden="false" customHeight="true" outlineLevel="0" collapsed="false">
      <c r="B450" s="1" t="str">
        <f aca="false">IFERROR(VLOOKUP(A450,'Pass 2'!$A:$S,MATCH("Category",'Pass 2'!$1:$1,0),FALSE()),"")</f>
        <v/>
      </c>
      <c r="C450" s="1" t="str">
        <f aca="false">IFERROR(VLOOKUP(A450,'Pass 1 Archive'!$A:$AD,MATCH("LinkedIn Employee Count",'Pass 1 Archive'!$1:$1,0),FALSE()),"")</f>
        <v/>
      </c>
      <c r="D450" s="1" t="str">
        <f aca="false">IFERROR(VLOOKUP(A450,'Pass 2'!$A:$S,MATCH("Jan 2025 Traffic",'Pass 2'!$1:$1,0),FALSE()),"")</f>
        <v/>
      </c>
      <c r="E450" s="1" t="str">
        <f aca="false">IFERROR(VLOOKUP(A450,'Pass 2'!$A:$S,MATCH("Jun 2026 Traffic",'Pass 2'!$1:$1,0),FALSE()),"")</f>
        <v/>
      </c>
      <c r="F450" s="1" t="str">
        <f aca="false">IFERROR(VLOOKUP(A450,'Pass 2'!$A:$S,MATCH("Traffic % Change",'Pass 2'!$1:$1,0),FALSE()),"")</f>
        <v/>
      </c>
      <c r="G450" s="1" t="str">
        <f aca="false">IFERROR(VLOOKUP(A450,'Pass 2'!$A:$S,MATCH("Jan 2025 Referring Domains",'Pass 2'!$1:$1,0),FALSE()),"")</f>
        <v/>
      </c>
      <c r="H450" s="1" t="str">
        <f aca="false">IFERROR(VLOOKUP(A450,'Pass 2'!$A:$S,MATCH("Jun 2026 Referring Domains",'Pass 2'!$1:$1,0),FALSE()),"")</f>
        <v/>
      </c>
    </row>
    <row r="451" customFormat="false" ht="15" hidden="false" customHeight="true" outlineLevel="0" collapsed="false">
      <c r="B451" s="1" t="str">
        <f aca="false">IFERROR(VLOOKUP(A451,'Pass 2'!$A:$S,MATCH("Category",'Pass 2'!$1:$1,0),FALSE()),"")</f>
        <v/>
      </c>
      <c r="C451" s="1" t="str">
        <f aca="false">IFERROR(VLOOKUP(A451,'Pass 1 Archive'!$A:$AD,MATCH("LinkedIn Employee Count",'Pass 1 Archive'!$1:$1,0),FALSE()),"")</f>
        <v/>
      </c>
      <c r="D451" s="1" t="str">
        <f aca="false">IFERROR(VLOOKUP(A451,'Pass 2'!$A:$S,MATCH("Jan 2025 Traffic",'Pass 2'!$1:$1,0),FALSE()),"")</f>
        <v/>
      </c>
      <c r="E451" s="1" t="str">
        <f aca="false">IFERROR(VLOOKUP(A451,'Pass 2'!$A:$S,MATCH("Jun 2026 Traffic",'Pass 2'!$1:$1,0),FALSE()),"")</f>
        <v/>
      </c>
      <c r="F451" s="1" t="str">
        <f aca="false">IFERROR(VLOOKUP(A451,'Pass 2'!$A:$S,MATCH("Traffic % Change",'Pass 2'!$1:$1,0),FALSE()),"")</f>
        <v/>
      </c>
      <c r="G451" s="1" t="str">
        <f aca="false">IFERROR(VLOOKUP(A451,'Pass 2'!$A:$S,MATCH("Jan 2025 Referring Domains",'Pass 2'!$1:$1,0),FALSE()),"")</f>
        <v/>
      </c>
      <c r="H451" s="1" t="str">
        <f aca="false">IFERROR(VLOOKUP(A451,'Pass 2'!$A:$S,MATCH("Jun 2026 Referring Domains",'Pass 2'!$1:$1,0),FALSE()),"")</f>
        <v/>
      </c>
    </row>
    <row r="452" customFormat="false" ht="15" hidden="false" customHeight="true" outlineLevel="0" collapsed="false">
      <c r="B452" s="1" t="str">
        <f aca="false">IFERROR(VLOOKUP(A452,'Pass 2'!$A:$S,MATCH("Category",'Pass 2'!$1:$1,0),FALSE()),"")</f>
        <v/>
      </c>
      <c r="C452" s="1" t="str">
        <f aca="false">IFERROR(VLOOKUP(A452,'Pass 1 Archive'!$A:$AD,MATCH("LinkedIn Employee Count",'Pass 1 Archive'!$1:$1,0),FALSE()),"")</f>
        <v/>
      </c>
      <c r="D452" s="1" t="str">
        <f aca="false">IFERROR(VLOOKUP(A452,'Pass 2'!$A:$S,MATCH("Jan 2025 Traffic",'Pass 2'!$1:$1,0),FALSE()),"")</f>
        <v/>
      </c>
      <c r="E452" s="1" t="str">
        <f aca="false">IFERROR(VLOOKUP(A452,'Pass 2'!$A:$S,MATCH("Jun 2026 Traffic",'Pass 2'!$1:$1,0),FALSE()),"")</f>
        <v/>
      </c>
      <c r="F452" s="1" t="str">
        <f aca="false">IFERROR(VLOOKUP(A452,'Pass 2'!$A:$S,MATCH("Traffic % Change",'Pass 2'!$1:$1,0),FALSE()),"")</f>
        <v/>
      </c>
      <c r="G452" s="1" t="str">
        <f aca="false">IFERROR(VLOOKUP(A452,'Pass 2'!$A:$S,MATCH("Jan 2025 Referring Domains",'Pass 2'!$1:$1,0),FALSE()),"")</f>
        <v/>
      </c>
      <c r="H452" s="1" t="str">
        <f aca="false">IFERROR(VLOOKUP(A452,'Pass 2'!$A:$S,MATCH("Jun 2026 Referring Domains",'Pass 2'!$1:$1,0),FALSE()),"")</f>
        <v/>
      </c>
    </row>
    <row r="453" customFormat="false" ht="15" hidden="false" customHeight="true" outlineLevel="0" collapsed="false">
      <c r="B453" s="1" t="str">
        <f aca="false">IFERROR(VLOOKUP(A453,'Pass 2'!$A:$S,MATCH("Category",'Pass 2'!$1:$1,0),FALSE()),"")</f>
        <v/>
      </c>
      <c r="C453" s="1" t="str">
        <f aca="false">IFERROR(VLOOKUP(A453,'Pass 1 Archive'!$A:$AD,MATCH("LinkedIn Employee Count",'Pass 1 Archive'!$1:$1,0),FALSE()),"")</f>
        <v/>
      </c>
      <c r="D453" s="1" t="str">
        <f aca="false">IFERROR(VLOOKUP(A453,'Pass 2'!$A:$S,MATCH("Jan 2025 Traffic",'Pass 2'!$1:$1,0),FALSE()),"")</f>
        <v/>
      </c>
      <c r="E453" s="1" t="str">
        <f aca="false">IFERROR(VLOOKUP(A453,'Pass 2'!$A:$S,MATCH("Jun 2026 Traffic",'Pass 2'!$1:$1,0),FALSE()),"")</f>
        <v/>
      </c>
      <c r="F453" s="1" t="str">
        <f aca="false">IFERROR(VLOOKUP(A453,'Pass 2'!$A:$S,MATCH("Traffic % Change",'Pass 2'!$1:$1,0),FALSE()),"")</f>
        <v/>
      </c>
      <c r="G453" s="1" t="str">
        <f aca="false">IFERROR(VLOOKUP(A453,'Pass 2'!$A:$S,MATCH("Jan 2025 Referring Domains",'Pass 2'!$1:$1,0),FALSE()),"")</f>
        <v/>
      </c>
      <c r="H453" s="1" t="str">
        <f aca="false">IFERROR(VLOOKUP(A453,'Pass 2'!$A:$S,MATCH("Jun 2026 Referring Domains",'Pass 2'!$1:$1,0),FALSE()),"")</f>
        <v/>
      </c>
    </row>
    <row r="454" customFormat="false" ht="15" hidden="false" customHeight="true" outlineLevel="0" collapsed="false">
      <c r="B454" s="1" t="str">
        <f aca="false">IFERROR(VLOOKUP(A454,'Pass 2'!$A:$S,MATCH("Category",'Pass 2'!$1:$1,0),FALSE()),"")</f>
        <v/>
      </c>
      <c r="C454" s="1" t="str">
        <f aca="false">IFERROR(VLOOKUP(A454,'Pass 1 Archive'!$A:$AD,MATCH("LinkedIn Employee Count",'Pass 1 Archive'!$1:$1,0),FALSE()),"")</f>
        <v/>
      </c>
      <c r="D454" s="1" t="str">
        <f aca="false">IFERROR(VLOOKUP(A454,'Pass 2'!$A:$S,MATCH("Jan 2025 Traffic",'Pass 2'!$1:$1,0),FALSE()),"")</f>
        <v/>
      </c>
      <c r="E454" s="1" t="str">
        <f aca="false">IFERROR(VLOOKUP(A454,'Pass 2'!$A:$S,MATCH("Jun 2026 Traffic",'Pass 2'!$1:$1,0),FALSE()),"")</f>
        <v/>
      </c>
      <c r="F454" s="1" t="str">
        <f aca="false">IFERROR(VLOOKUP(A454,'Pass 2'!$A:$S,MATCH("Traffic % Change",'Pass 2'!$1:$1,0),FALSE()),"")</f>
        <v/>
      </c>
      <c r="G454" s="1" t="str">
        <f aca="false">IFERROR(VLOOKUP(A454,'Pass 2'!$A:$S,MATCH("Jan 2025 Referring Domains",'Pass 2'!$1:$1,0),FALSE()),"")</f>
        <v/>
      </c>
      <c r="H454" s="1" t="str">
        <f aca="false">IFERROR(VLOOKUP(A454,'Pass 2'!$A:$S,MATCH("Jun 2026 Referring Domains",'Pass 2'!$1:$1,0),FALSE()),"")</f>
        <v/>
      </c>
    </row>
    <row r="455" customFormat="false" ht="15" hidden="false" customHeight="true" outlineLevel="0" collapsed="false">
      <c r="B455" s="1" t="str">
        <f aca="false">IFERROR(VLOOKUP(A455,'Pass 2'!$A:$S,MATCH("Category",'Pass 2'!$1:$1,0),FALSE()),"")</f>
        <v/>
      </c>
      <c r="C455" s="1" t="str">
        <f aca="false">IFERROR(VLOOKUP(A455,'Pass 1 Archive'!$A:$AD,MATCH("LinkedIn Employee Count",'Pass 1 Archive'!$1:$1,0),FALSE()),"")</f>
        <v/>
      </c>
      <c r="D455" s="1" t="str">
        <f aca="false">IFERROR(VLOOKUP(A455,'Pass 2'!$A:$S,MATCH("Jan 2025 Traffic",'Pass 2'!$1:$1,0),FALSE()),"")</f>
        <v/>
      </c>
      <c r="E455" s="1" t="str">
        <f aca="false">IFERROR(VLOOKUP(A455,'Pass 2'!$A:$S,MATCH("Jun 2026 Traffic",'Pass 2'!$1:$1,0),FALSE()),"")</f>
        <v/>
      </c>
      <c r="F455" s="1" t="str">
        <f aca="false">IFERROR(VLOOKUP(A455,'Pass 2'!$A:$S,MATCH("Traffic % Change",'Pass 2'!$1:$1,0),FALSE()),"")</f>
        <v/>
      </c>
      <c r="G455" s="1" t="str">
        <f aca="false">IFERROR(VLOOKUP(A455,'Pass 2'!$A:$S,MATCH("Jan 2025 Referring Domains",'Pass 2'!$1:$1,0),FALSE()),"")</f>
        <v/>
      </c>
      <c r="H455" s="1" t="str">
        <f aca="false">IFERROR(VLOOKUP(A455,'Pass 2'!$A:$S,MATCH("Jun 2026 Referring Domains",'Pass 2'!$1:$1,0),FALSE()),"")</f>
        <v/>
      </c>
    </row>
    <row r="456" customFormat="false" ht="15" hidden="false" customHeight="true" outlineLevel="0" collapsed="false">
      <c r="B456" s="1" t="str">
        <f aca="false">IFERROR(VLOOKUP(A456,'Pass 2'!$A:$S,MATCH("Category",'Pass 2'!$1:$1,0),FALSE()),"")</f>
        <v/>
      </c>
      <c r="C456" s="1" t="str">
        <f aca="false">IFERROR(VLOOKUP(A456,'Pass 1 Archive'!$A:$AD,MATCH("LinkedIn Employee Count",'Pass 1 Archive'!$1:$1,0),FALSE()),"")</f>
        <v/>
      </c>
      <c r="D456" s="1" t="str">
        <f aca="false">IFERROR(VLOOKUP(A456,'Pass 2'!$A:$S,MATCH("Jan 2025 Traffic",'Pass 2'!$1:$1,0),FALSE()),"")</f>
        <v/>
      </c>
      <c r="E456" s="1" t="str">
        <f aca="false">IFERROR(VLOOKUP(A456,'Pass 2'!$A:$S,MATCH("Jun 2026 Traffic",'Pass 2'!$1:$1,0),FALSE()),"")</f>
        <v/>
      </c>
      <c r="F456" s="1" t="str">
        <f aca="false">IFERROR(VLOOKUP(A456,'Pass 2'!$A:$S,MATCH("Traffic % Change",'Pass 2'!$1:$1,0),FALSE()),"")</f>
        <v/>
      </c>
      <c r="G456" s="1" t="str">
        <f aca="false">IFERROR(VLOOKUP(A456,'Pass 2'!$A:$S,MATCH("Jan 2025 Referring Domains",'Pass 2'!$1:$1,0),FALSE()),"")</f>
        <v/>
      </c>
      <c r="H456" s="1" t="str">
        <f aca="false">IFERROR(VLOOKUP(A456,'Pass 2'!$A:$S,MATCH("Jun 2026 Referring Domains",'Pass 2'!$1:$1,0),FALSE()),"")</f>
        <v/>
      </c>
    </row>
    <row r="457" customFormat="false" ht="15" hidden="false" customHeight="true" outlineLevel="0" collapsed="false">
      <c r="B457" s="1" t="str">
        <f aca="false">IFERROR(VLOOKUP(A457,'Pass 2'!$A:$S,MATCH("Category",'Pass 2'!$1:$1,0),FALSE()),"")</f>
        <v/>
      </c>
      <c r="C457" s="1" t="str">
        <f aca="false">IFERROR(VLOOKUP(A457,'Pass 1 Archive'!$A:$AD,MATCH("LinkedIn Employee Count",'Pass 1 Archive'!$1:$1,0),FALSE()),"")</f>
        <v/>
      </c>
      <c r="D457" s="1" t="str">
        <f aca="false">IFERROR(VLOOKUP(A457,'Pass 2'!$A:$S,MATCH("Jan 2025 Traffic",'Pass 2'!$1:$1,0),FALSE()),"")</f>
        <v/>
      </c>
      <c r="E457" s="1" t="str">
        <f aca="false">IFERROR(VLOOKUP(A457,'Pass 2'!$A:$S,MATCH("Jun 2026 Traffic",'Pass 2'!$1:$1,0),FALSE()),"")</f>
        <v/>
      </c>
      <c r="F457" s="1" t="str">
        <f aca="false">IFERROR(VLOOKUP(A457,'Pass 2'!$A:$S,MATCH("Traffic % Change",'Pass 2'!$1:$1,0),FALSE()),"")</f>
        <v/>
      </c>
      <c r="G457" s="1" t="str">
        <f aca="false">IFERROR(VLOOKUP(A457,'Pass 2'!$A:$S,MATCH("Jan 2025 Referring Domains",'Pass 2'!$1:$1,0),FALSE()),"")</f>
        <v/>
      </c>
      <c r="H457" s="1" t="str">
        <f aca="false">IFERROR(VLOOKUP(A457,'Pass 2'!$A:$S,MATCH("Jun 2026 Referring Domains",'Pass 2'!$1:$1,0),FALSE()),"")</f>
        <v/>
      </c>
    </row>
    <row r="458" customFormat="false" ht="15" hidden="false" customHeight="true" outlineLevel="0" collapsed="false">
      <c r="B458" s="1" t="str">
        <f aca="false">IFERROR(VLOOKUP(A458,'Pass 2'!$A:$S,MATCH("Category",'Pass 2'!$1:$1,0),FALSE()),"")</f>
        <v/>
      </c>
      <c r="C458" s="1" t="str">
        <f aca="false">IFERROR(VLOOKUP(A458,'Pass 1 Archive'!$A:$AD,MATCH("LinkedIn Employee Count",'Pass 1 Archive'!$1:$1,0),FALSE()),"")</f>
        <v/>
      </c>
      <c r="D458" s="1" t="str">
        <f aca="false">IFERROR(VLOOKUP(A458,'Pass 2'!$A:$S,MATCH("Jan 2025 Traffic",'Pass 2'!$1:$1,0),FALSE()),"")</f>
        <v/>
      </c>
      <c r="E458" s="1" t="str">
        <f aca="false">IFERROR(VLOOKUP(A458,'Pass 2'!$A:$S,MATCH("Jun 2026 Traffic",'Pass 2'!$1:$1,0),FALSE()),"")</f>
        <v/>
      </c>
      <c r="F458" s="1" t="str">
        <f aca="false">IFERROR(VLOOKUP(A458,'Pass 2'!$A:$S,MATCH("Traffic % Change",'Pass 2'!$1:$1,0),FALSE()),"")</f>
        <v/>
      </c>
      <c r="G458" s="1" t="str">
        <f aca="false">IFERROR(VLOOKUP(A458,'Pass 2'!$A:$S,MATCH("Jan 2025 Referring Domains",'Pass 2'!$1:$1,0),FALSE()),"")</f>
        <v/>
      </c>
      <c r="H458" s="1" t="str">
        <f aca="false">IFERROR(VLOOKUP(A458,'Pass 2'!$A:$S,MATCH("Jun 2026 Referring Domains",'Pass 2'!$1:$1,0),FALSE()),"")</f>
        <v/>
      </c>
    </row>
    <row r="459" customFormat="false" ht="15" hidden="false" customHeight="true" outlineLevel="0" collapsed="false">
      <c r="B459" s="1" t="str">
        <f aca="false">IFERROR(VLOOKUP(A459,'Pass 2'!$A:$S,MATCH("Category",'Pass 2'!$1:$1,0),FALSE()),"")</f>
        <v/>
      </c>
      <c r="C459" s="1" t="str">
        <f aca="false">IFERROR(VLOOKUP(A459,'Pass 1 Archive'!$A:$AD,MATCH("LinkedIn Employee Count",'Pass 1 Archive'!$1:$1,0),FALSE()),"")</f>
        <v/>
      </c>
      <c r="D459" s="1" t="str">
        <f aca="false">IFERROR(VLOOKUP(A459,'Pass 2'!$A:$S,MATCH("Jan 2025 Traffic",'Pass 2'!$1:$1,0),FALSE()),"")</f>
        <v/>
      </c>
      <c r="E459" s="1" t="str">
        <f aca="false">IFERROR(VLOOKUP(A459,'Pass 2'!$A:$S,MATCH("Jun 2026 Traffic",'Pass 2'!$1:$1,0),FALSE()),"")</f>
        <v/>
      </c>
      <c r="F459" s="1" t="str">
        <f aca="false">IFERROR(VLOOKUP(A459,'Pass 2'!$A:$S,MATCH("Traffic % Change",'Pass 2'!$1:$1,0),FALSE()),"")</f>
        <v/>
      </c>
      <c r="G459" s="1" t="str">
        <f aca="false">IFERROR(VLOOKUP(A459,'Pass 2'!$A:$S,MATCH("Jan 2025 Referring Domains",'Pass 2'!$1:$1,0),FALSE()),"")</f>
        <v/>
      </c>
      <c r="H459" s="1" t="str">
        <f aca="false">IFERROR(VLOOKUP(A459,'Pass 2'!$A:$S,MATCH("Jun 2026 Referring Domains",'Pass 2'!$1:$1,0),FALSE()),"")</f>
        <v/>
      </c>
    </row>
    <row r="460" customFormat="false" ht="15" hidden="false" customHeight="true" outlineLevel="0" collapsed="false">
      <c r="B460" s="1" t="str">
        <f aca="false">IFERROR(VLOOKUP(A460,'Pass 2'!$A:$S,MATCH("Category",'Pass 2'!$1:$1,0),FALSE()),"")</f>
        <v/>
      </c>
      <c r="C460" s="1" t="str">
        <f aca="false">IFERROR(VLOOKUP(A460,'Pass 1 Archive'!$A:$AD,MATCH("LinkedIn Employee Count",'Pass 1 Archive'!$1:$1,0),FALSE()),"")</f>
        <v/>
      </c>
      <c r="D460" s="1" t="str">
        <f aca="false">IFERROR(VLOOKUP(A460,'Pass 2'!$A:$S,MATCH("Jan 2025 Traffic",'Pass 2'!$1:$1,0),FALSE()),"")</f>
        <v/>
      </c>
      <c r="E460" s="1" t="str">
        <f aca="false">IFERROR(VLOOKUP(A460,'Pass 2'!$A:$S,MATCH("Jun 2026 Traffic",'Pass 2'!$1:$1,0),FALSE()),"")</f>
        <v/>
      </c>
      <c r="F460" s="1" t="str">
        <f aca="false">IFERROR(VLOOKUP(A460,'Pass 2'!$A:$S,MATCH("Traffic % Change",'Pass 2'!$1:$1,0),FALSE()),"")</f>
        <v/>
      </c>
      <c r="G460" s="1" t="str">
        <f aca="false">IFERROR(VLOOKUP(A460,'Pass 2'!$A:$S,MATCH("Jan 2025 Referring Domains",'Pass 2'!$1:$1,0),FALSE()),"")</f>
        <v/>
      </c>
      <c r="H460" s="1" t="str">
        <f aca="false">IFERROR(VLOOKUP(A460,'Pass 2'!$A:$S,MATCH("Jun 2026 Referring Domains",'Pass 2'!$1:$1,0),FALSE()),"")</f>
        <v/>
      </c>
    </row>
    <row r="461" customFormat="false" ht="15" hidden="false" customHeight="true" outlineLevel="0" collapsed="false">
      <c r="B461" s="1" t="str">
        <f aca="false">IFERROR(VLOOKUP(A461,'Pass 2'!$A:$S,MATCH("Category",'Pass 2'!$1:$1,0),FALSE()),"")</f>
        <v/>
      </c>
      <c r="C461" s="1" t="str">
        <f aca="false">IFERROR(VLOOKUP(A461,'Pass 1 Archive'!$A:$AD,MATCH("LinkedIn Employee Count",'Pass 1 Archive'!$1:$1,0),FALSE()),"")</f>
        <v/>
      </c>
      <c r="D461" s="1" t="str">
        <f aca="false">IFERROR(VLOOKUP(A461,'Pass 2'!$A:$S,MATCH("Jan 2025 Traffic",'Pass 2'!$1:$1,0),FALSE()),"")</f>
        <v/>
      </c>
      <c r="E461" s="1" t="str">
        <f aca="false">IFERROR(VLOOKUP(A461,'Pass 2'!$A:$S,MATCH("Jun 2026 Traffic",'Pass 2'!$1:$1,0),FALSE()),"")</f>
        <v/>
      </c>
      <c r="F461" s="1" t="str">
        <f aca="false">IFERROR(VLOOKUP(A461,'Pass 2'!$A:$S,MATCH("Traffic % Change",'Pass 2'!$1:$1,0),FALSE()),"")</f>
        <v/>
      </c>
      <c r="G461" s="1" t="str">
        <f aca="false">IFERROR(VLOOKUP(A461,'Pass 2'!$A:$S,MATCH("Jan 2025 Referring Domains",'Pass 2'!$1:$1,0),FALSE()),"")</f>
        <v/>
      </c>
      <c r="H461" s="1" t="str">
        <f aca="false">IFERROR(VLOOKUP(A461,'Pass 2'!$A:$S,MATCH("Jun 2026 Referring Domains",'Pass 2'!$1:$1,0),FALSE()),"")</f>
        <v/>
      </c>
    </row>
    <row r="462" customFormat="false" ht="15" hidden="false" customHeight="true" outlineLevel="0" collapsed="false">
      <c r="B462" s="1" t="str">
        <f aca="false">IFERROR(VLOOKUP(A462,'Pass 2'!$A:$S,MATCH("Category",'Pass 2'!$1:$1,0),FALSE()),"")</f>
        <v/>
      </c>
      <c r="C462" s="1" t="str">
        <f aca="false">IFERROR(VLOOKUP(A462,'Pass 1 Archive'!$A:$AD,MATCH("LinkedIn Employee Count",'Pass 1 Archive'!$1:$1,0),FALSE()),"")</f>
        <v/>
      </c>
      <c r="D462" s="1" t="str">
        <f aca="false">IFERROR(VLOOKUP(A462,'Pass 2'!$A:$S,MATCH("Jan 2025 Traffic",'Pass 2'!$1:$1,0),FALSE()),"")</f>
        <v/>
      </c>
      <c r="E462" s="1" t="str">
        <f aca="false">IFERROR(VLOOKUP(A462,'Pass 2'!$A:$S,MATCH("Jun 2026 Traffic",'Pass 2'!$1:$1,0),FALSE()),"")</f>
        <v/>
      </c>
      <c r="F462" s="1" t="str">
        <f aca="false">IFERROR(VLOOKUP(A462,'Pass 2'!$A:$S,MATCH("Traffic % Change",'Pass 2'!$1:$1,0),FALSE()),"")</f>
        <v/>
      </c>
      <c r="G462" s="1" t="str">
        <f aca="false">IFERROR(VLOOKUP(A462,'Pass 2'!$A:$S,MATCH("Jan 2025 Referring Domains",'Pass 2'!$1:$1,0),FALSE()),"")</f>
        <v/>
      </c>
      <c r="H462" s="1" t="str">
        <f aca="false">IFERROR(VLOOKUP(A462,'Pass 2'!$A:$S,MATCH("Jun 2026 Referring Domains",'Pass 2'!$1:$1,0),FALSE()),"")</f>
        <v/>
      </c>
    </row>
    <row r="463" customFormat="false" ht="15" hidden="false" customHeight="true" outlineLevel="0" collapsed="false">
      <c r="B463" s="1" t="str">
        <f aca="false">IFERROR(VLOOKUP(A463,'Pass 2'!$A:$S,MATCH("Category",'Pass 2'!$1:$1,0),FALSE()),"")</f>
        <v/>
      </c>
      <c r="C463" s="1" t="str">
        <f aca="false">IFERROR(VLOOKUP(A463,'Pass 1 Archive'!$A:$AD,MATCH("LinkedIn Employee Count",'Pass 1 Archive'!$1:$1,0),FALSE()),"")</f>
        <v/>
      </c>
      <c r="D463" s="1" t="str">
        <f aca="false">IFERROR(VLOOKUP(A463,'Pass 2'!$A:$S,MATCH("Jan 2025 Traffic",'Pass 2'!$1:$1,0),FALSE()),"")</f>
        <v/>
      </c>
      <c r="E463" s="1" t="str">
        <f aca="false">IFERROR(VLOOKUP(A463,'Pass 2'!$A:$S,MATCH("Jun 2026 Traffic",'Pass 2'!$1:$1,0),FALSE()),"")</f>
        <v/>
      </c>
      <c r="F463" s="1" t="str">
        <f aca="false">IFERROR(VLOOKUP(A463,'Pass 2'!$A:$S,MATCH("Traffic % Change",'Pass 2'!$1:$1,0),FALSE()),"")</f>
        <v/>
      </c>
      <c r="G463" s="1" t="str">
        <f aca="false">IFERROR(VLOOKUP(A463,'Pass 2'!$A:$S,MATCH("Jan 2025 Referring Domains",'Pass 2'!$1:$1,0),FALSE()),"")</f>
        <v/>
      </c>
      <c r="H463" s="1" t="str">
        <f aca="false">IFERROR(VLOOKUP(A463,'Pass 2'!$A:$S,MATCH("Jun 2026 Referring Domains",'Pass 2'!$1:$1,0),FALSE()),"")</f>
        <v/>
      </c>
    </row>
    <row r="464" customFormat="false" ht="15" hidden="false" customHeight="true" outlineLevel="0" collapsed="false">
      <c r="B464" s="1" t="str">
        <f aca="false">IFERROR(VLOOKUP(A464,'Pass 2'!$A:$S,MATCH("Category",'Pass 2'!$1:$1,0),FALSE()),"")</f>
        <v/>
      </c>
      <c r="C464" s="1" t="str">
        <f aca="false">IFERROR(VLOOKUP(A464,'Pass 1 Archive'!$A:$AD,MATCH("LinkedIn Employee Count",'Pass 1 Archive'!$1:$1,0),FALSE()),"")</f>
        <v/>
      </c>
      <c r="D464" s="1" t="str">
        <f aca="false">IFERROR(VLOOKUP(A464,'Pass 2'!$A:$S,MATCH("Jan 2025 Traffic",'Pass 2'!$1:$1,0),FALSE()),"")</f>
        <v/>
      </c>
      <c r="E464" s="1" t="str">
        <f aca="false">IFERROR(VLOOKUP(A464,'Pass 2'!$A:$S,MATCH("Jun 2026 Traffic",'Pass 2'!$1:$1,0),FALSE()),"")</f>
        <v/>
      </c>
      <c r="F464" s="1" t="str">
        <f aca="false">IFERROR(VLOOKUP(A464,'Pass 2'!$A:$S,MATCH("Traffic % Change",'Pass 2'!$1:$1,0),FALSE()),"")</f>
        <v/>
      </c>
      <c r="G464" s="1" t="str">
        <f aca="false">IFERROR(VLOOKUP(A464,'Pass 2'!$A:$S,MATCH("Jan 2025 Referring Domains",'Pass 2'!$1:$1,0),FALSE()),"")</f>
        <v/>
      </c>
      <c r="H464" s="1" t="str">
        <f aca="false">IFERROR(VLOOKUP(A464,'Pass 2'!$A:$S,MATCH("Jun 2026 Referring Domains",'Pass 2'!$1:$1,0),FALSE()),"")</f>
        <v/>
      </c>
    </row>
    <row r="465" customFormat="false" ht="15" hidden="false" customHeight="true" outlineLevel="0" collapsed="false">
      <c r="B465" s="1" t="str">
        <f aca="false">IFERROR(VLOOKUP(A465,'Pass 2'!$A:$S,MATCH("Category",'Pass 2'!$1:$1,0),FALSE()),"")</f>
        <v/>
      </c>
      <c r="C465" s="1" t="str">
        <f aca="false">IFERROR(VLOOKUP(A465,'Pass 1 Archive'!$A:$AD,MATCH("LinkedIn Employee Count",'Pass 1 Archive'!$1:$1,0),FALSE()),"")</f>
        <v/>
      </c>
      <c r="D465" s="1" t="str">
        <f aca="false">IFERROR(VLOOKUP(A465,'Pass 2'!$A:$S,MATCH("Jan 2025 Traffic",'Pass 2'!$1:$1,0),FALSE()),"")</f>
        <v/>
      </c>
      <c r="E465" s="1" t="str">
        <f aca="false">IFERROR(VLOOKUP(A465,'Pass 2'!$A:$S,MATCH("Jun 2026 Traffic",'Pass 2'!$1:$1,0),FALSE()),"")</f>
        <v/>
      </c>
      <c r="F465" s="1" t="str">
        <f aca="false">IFERROR(VLOOKUP(A465,'Pass 2'!$A:$S,MATCH("Traffic % Change",'Pass 2'!$1:$1,0),FALSE()),"")</f>
        <v/>
      </c>
      <c r="G465" s="1" t="str">
        <f aca="false">IFERROR(VLOOKUP(A465,'Pass 2'!$A:$S,MATCH("Jan 2025 Referring Domains",'Pass 2'!$1:$1,0),FALSE()),"")</f>
        <v/>
      </c>
      <c r="H465" s="1" t="str">
        <f aca="false">IFERROR(VLOOKUP(A465,'Pass 2'!$A:$S,MATCH("Jun 2026 Referring Domains",'Pass 2'!$1:$1,0),FALSE()),"")</f>
        <v/>
      </c>
    </row>
    <row r="466" customFormat="false" ht="15" hidden="false" customHeight="true" outlineLevel="0" collapsed="false">
      <c r="B466" s="1" t="str">
        <f aca="false">IFERROR(VLOOKUP(A466,'Pass 2'!$A:$S,MATCH("Category",'Pass 2'!$1:$1,0),FALSE()),"")</f>
        <v/>
      </c>
      <c r="C466" s="1" t="str">
        <f aca="false">IFERROR(VLOOKUP(A466,'Pass 1 Archive'!$A:$AD,MATCH("LinkedIn Employee Count",'Pass 1 Archive'!$1:$1,0),FALSE()),"")</f>
        <v/>
      </c>
      <c r="D466" s="1" t="str">
        <f aca="false">IFERROR(VLOOKUP(A466,'Pass 2'!$A:$S,MATCH("Jan 2025 Traffic",'Pass 2'!$1:$1,0),FALSE()),"")</f>
        <v/>
      </c>
      <c r="E466" s="1" t="str">
        <f aca="false">IFERROR(VLOOKUP(A466,'Pass 2'!$A:$S,MATCH("Jun 2026 Traffic",'Pass 2'!$1:$1,0),FALSE()),"")</f>
        <v/>
      </c>
      <c r="F466" s="1" t="str">
        <f aca="false">IFERROR(VLOOKUP(A466,'Pass 2'!$A:$S,MATCH("Traffic % Change",'Pass 2'!$1:$1,0),FALSE()),"")</f>
        <v/>
      </c>
      <c r="G466" s="1" t="str">
        <f aca="false">IFERROR(VLOOKUP(A466,'Pass 2'!$A:$S,MATCH("Jan 2025 Referring Domains",'Pass 2'!$1:$1,0),FALSE()),"")</f>
        <v/>
      </c>
      <c r="H466" s="1" t="str">
        <f aca="false">IFERROR(VLOOKUP(A466,'Pass 2'!$A:$S,MATCH("Jun 2026 Referring Domains",'Pass 2'!$1:$1,0),FALSE()),"")</f>
        <v/>
      </c>
    </row>
    <row r="467" customFormat="false" ht="15" hidden="false" customHeight="true" outlineLevel="0" collapsed="false">
      <c r="B467" s="1" t="str">
        <f aca="false">IFERROR(VLOOKUP(A467,'Pass 2'!$A:$S,MATCH("Category",'Pass 2'!$1:$1,0),FALSE()),"")</f>
        <v/>
      </c>
      <c r="C467" s="1" t="str">
        <f aca="false">IFERROR(VLOOKUP(A467,'Pass 1 Archive'!$A:$AD,MATCH("LinkedIn Employee Count",'Pass 1 Archive'!$1:$1,0),FALSE()),"")</f>
        <v/>
      </c>
      <c r="D467" s="1" t="str">
        <f aca="false">IFERROR(VLOOKUP(A467,'Pass 2'!$A:$S,MATCH("Jan 2025 Traffic",'Pass 2'!$1:$1,0),FALSE()),"")</f>
        <v/>
      </c>
      <c r="E467" s="1" t="str">
        <f aca="false">IFERROR(VLOOKUP(A467,'Pass 2'!$A:$S,MATCH("Jun 2026 Traffic",'Pass 2'!$1:$1,0),FALSE()),"")</f>
        <v/>
      </c>
      <c r="F467" s="1" t="str">
        <f aca="false">IFERROR(VLOOKUP(A467,'Pass 2'!$A:$S,MATCH("Traffic % Change",'Pass 2'!$1:$1,0),FALSE()),"")</f>
        <v/>
      </c>
      <c r="G467" s="1" t="str">
        <f aca="false">IFERROR(VLOOKUP(A467,'Pass 2'!$A:$S,MATCH("Jan 2025 Referring Domains",'Pass 2'!$1:$1,0),FALSE()),"")</f>
        <v/>
      </c>
      <c r="H467" s="1" t="str">
        <f aca="false">IFERROR(VLOOKUP(A467,'Pass 2'!$A:$S,MATCH("Jun 2026 Referring Domains",'Pass 2'!$1:$1,0),FALSE()),"")</f>
        <v/>
      </c>
    </row>
    <row r="468" customFormat="false" ht="15" hidden="false" customHeight="true" outlineLevel="0" collapsed="false">
      <c r="B468" s="1" t="str">
        <f aca="false">IFERROR(VLOOKUP(A468,'Pass 2'!$A:$S,MATCH("Category",'Pass 2'!$1:$1,0),FALSE()),"")</f>
        <v/>
      </c>
      <c r="C468" s="1" t="str">
        <f aca="false">IFERROR(VLOOKUP(A468,'Pass 1 Archive'!$A:$AD,MATCH("LinkedIn Employee Count",'Pass 1 Archive'!$1:$1,0),FALSE()),"")</f>
        <v/>
      </c>
      <c r="D468" s="1" t="str">
        <f aca="false">IFERROR(VLOOKUP(A468,'Pass 2'!$A:$S,MATCH("Jan 2025 Traffic",'Pass 2'!$1:$1,0),FALSE()),"")</f>
        <v/>
      </c>
      <c r="E468" s="1" t="str">
        <f aca="false">IFERROR(VLOOKUP(A468,'Pass 2'!$A:$S,MATCH("Jun 2026 Traffic",'Pass 2'!$1:$1,0),FALSE()),"")</f>
        <v/>
      </c>
      <c r="F468" s="1" t="str">
        <f aca="false">IFERROR(VLOOKUP(A468,'Pass 2'!$A:$S,MATCH("Traffic % Change",'Pass 2'!$1:$1,0),FALSE()),"")</f>
        <v/>
      </c>
      <c r="G468" s="1" t="str">
        <f aca="false">IFERROR(VLOOKUP(A468,'Pass 2'!$A:$S,MATCH("Jan 2025 Referring Domains",'Pass 2'!$1:$1,0),FALSE()),"")</f>
        <v/>
      </c>
      <c r="H468" s="1" t="str">
        <f aca="false">IFERROR(VLOOKUP(A468,'Pass 2'!$A:$S,MATCH("Jun 2026 Referring Domains",'Pass 2'!$1:$1,0),FALSE()),"")</f>
        <v/>
      </c>
    </row>
    <row r="469" customFormat="false" ht="15" hidden="false" customHeight="true" outlineLevel="0" collapsed="false">
      <c r="B469" s="1" t="str">
        <f aca="false">IFERROR(VLOOKUP(A469,'Pass 2'!$A:$S,MATCH("Category",'Pass 2'!$1:$1,0),FALSE()),"")</f>
        <v/>
      </c>
      <c r="C469" s="1" t="str">
        <f aca="false">IFERROR(VLOOKUP(A469,'Pass 1 Archive'!$A:$AD,MATCH("LinkedIn Employee Count",'Pass 1 Archive'!$1:$1,0),FALSE()),"")</f>
        <v/>
      </c>
      <c r="D469" s="1" t="str">
        <f aca="false">IFERROR(VLOOKUP(A469,'Pass 2'!$A:$S,MATCH("Jan 2025 Traffic",'Pass 2'!$1:$1,0),FALSE()),"")</f>
        <v/>
      </c>
      <c r="E469" s="1" t="str">
        <f aca="false">IFERROR(VLOOKUP(A469,'Pass 2'!$A:$S,MATCH("Jun 2026 Traffic",'Pass 2'!$1:$1,0),FALSE()),"")</f>
        <v/>
      </c>
      <c r="F469" s="1" t="str">
        <f aca="false">IFERROR(VLOOKUP(A469,'Pass 2'!$A:$S,MATCH("Traffic % Change",'Pass 2'!$1:$1,0),FALSE()),"")</f>
        <v/>
      </c>
      <c r="G469" s="1" t="str">
        <f aca="false">IFERROR(VLOOKUP(A469,'Pass 2'!$A:$S,MATCH("Jan 2025 Referring Domains",'Pass 2'!$1:$1,0),FALSE()),"")</f>
        <v/>
      </c>
      <c r="H469" s="1" t="str">
        <f aca="false">IFERROR(VLOOKUP(A469,'Pass 2'!$A:$S,MATCH("Jun 2026 Referring Domains",'Pass 2'!$1:$1,0),FALSE()),"")</f>
        <v/>
      </c>
    </row>
    <row r="470" customFormat="false" ht="15" hidden="false" customHeight="true" outlineLevel="0" collapsed="false">
      <c r="B470" s="1" t="str">
        <f aca="false">IFERROR(VLOOKUP(A470,'Pass 2'!$A:$S,MATCH("Category",'Pass 2'!$1:$1,0),FALSE()),"")</f>
        <v/>
      </c>
      <c r="C470" s="1" t="str">
        <f aca="false">IFERROR(VLOOKUP(A470,'Pass 1 Archive'!$A:$AD,MATCH("LinkedIn Employee Count",'Pass 1 Archive'!$1:$1,0),FALSE()),"")</f>
        <v/>
      </c>
      <c r="D470" s="1" t="str">
        <f aca="false">IFERROR(VLOOKUP(A470,'Pass 2'!$A:$S,MATCH("Jan 2025 Traffic",'Pass 2'!$1:$1,0),FALSE()),"")</f>
        <v/>
      </c>
      <c r="E470" s="1" t="str">
        <f aca="false">IFERROR(VLOOKUP(A470,'Pass 2'!$A:$S,MATCH("Jun 2026 Traffic",'Pass 2'!$1:$1,0),FALSE()),"")</f>
        <v/>
      </c>
      <c r="F470" s="1" t="str">
        <f aca="false">IFERROR(VLOOKUP(A470,'Pass 2'!$A:$S,MATCH("Traffic % Change",'Pass 2'!$1:$1,0),FALSE()),"")</f>
        <v/>
      </c>
      <c r="G470" s="1" t="str">
        <f aca="false">IFERROR(VLOOKUP(A470,'Pass 2'!$A:$S,MATCH("Jan 2025 Referring Domains",'Pass 2'!$1:$1,0),FALSE()),"")</f>
        <v/>
      </c>
      <c r="H470" s="1" t="str">
        <f aca="false">IFERROR(VLOOKUP(A470,'Pass 2'!$A:$S,MATCH("Jun 2026 Referring Domains",'Pass 2'!$1:$1,0),FALSE()),"")</f>
        <v/>
      </c>
    </row>
    <row r="471" customFormat="false" ht="15" hidden="false" customHeight="true" outlineLevel="0" collapsed="false">
      <c r="B471" s="1" t="str">
        <f aca="false">IFERROR(VLOOKUP(A471,'Pass 2'!$A:$S,MATCH("Category",'Pass 2'!$1:$1,0),FALSE()),"")</f>
        <v/>
      </c>
      <c r="C471" s="1" t="str">
        <f aca="false">IFERROR(VLOOKUP(A471,'Pass 1 Archive'!$A:$AD,MATCH("LinkedIn Employee Count",'Pass 1 Archive'!$1:$1,0),FALSE()),"")</f>
        <v/>
      </c>
      <c r="D471" s="1" t="str">
        <f aca="false">IFERROR(VLOOKUP(A471,'Pass 2'!$A:$S,MATCH("Jan 2025 Traffic",'Pass 2'!$1:$1,0),FALSE()),"")</f>
        <v/>
      </c>
      <c r="E471" s="1" t="str">
        <f aca="false">IFERROR(VLOOKUP(A471,'Pass 2'!$A:$S,MATCH("Jun 2026 Traffic",'Pass 2'!$1:$1,0),FALSE()),"")</f>
        <v/>
      </c>
      <c r="F471" s="1" t="str">
        <f aca="false">IFERROR(VLOOKUP(A471,'Pass 2'!$A:$S,MATCH("Traffic % Change",'Pass 2'!$1:$1,0),FALSE()),"")</f>
        <v/>
      </c>
      <c r="G471" s="1" t="str">
        <f aca="false">IFERROR(VLOOKUP(A471,'Pass 2'!$A:$S,MATCH("Jan 2025 Referring Domains",'Pass 2'!$1:$1,0),FALSE()),"")</f>
        <v/>
      </c>
      <c r="H471" s="1" t="str">
        <f aca="false">IFERROR(VLOOKUP(A471,'Pass 2'!$A:$S,MATCH("Jun 2026 Referring Domains",'Pass 2'!$1:$1,0),FALSE()),"")</f>
        <v/>
      </c>
    </row>
    <row r="472" customFormat="false" ht="15" hidden="false" customHeight="true" outlineLevel="0" collapsed="false">
      <c r="B472" s="1" t="str">
        <f aca="false">IFERROR(VLOOKUP(A472,'Pass 2'!$A:$S,MATCH("Category",'Pass 2'!$1:$1,0),FALSE()),"")</f>
        <v/>
      </c>
      <c r="C472" s="1" t="str">
        <f aca="false">IFERROR(VLOOKUP(A472,'Pass 1 Archive'!$A:$AD,MATCH("LinkedIn Employee Count",'Pass 1 Archive'!$1:$1,0),FALSE()),"")</f>
        <v/>
      </c>
      <c r="D472" s="1" t="str">
        <f aca="false">IFERROR(VLOOKUP(A472,'Pass 2'!$A:$S,MATCH("Jan 2025 Traffic",'Pass 2'!$1:$1,0),FALSE()),"")</f>
        <v/>
      </c>
      <c r="E472" s="1" t="str">
        <f aca="false">IFERROR(VLOOKUP(A472,'Pass 2'!$A:$S,MATCH("Jun 2026 Traffic",'Pass 2'!$1:$1,0),FALSE()),"")</f>
        <v/>
      </c>
      <c r="F472" s="1" t="str">
        <f aca="false">IFERROR(VLOOKUP(A472,'Pass 2'!$A:$S,MATCH("Traffic % Change",'Pass 2'!$1:$1,0),FALSE()),"")</f>
        <v/>
      </c>
      <c r="G472" s="1" t="str">
        <f aca="false">IFERROR(VLOOKUP(A472,'Pass 2'!$A:$S,MATCH("Jan 2025 Referring Domains",'Pass 2'!$1:$1,0),FALSE()),"")</f>
        <v/>
      </c>
      <c r="H472" s="1" t="str">
        <f aca="false">IFERROR(VLOOKUP(A472,'Pass 2'!$A:$S,MATCH("Jun 2026 Referring Domains",'Pass 2'!$1:$1,0),FALSE()),"")</f>
        <v/>
      </c>
    </row>
    <row r="473" customFormat="false" ht="15" hidden="false" customHeight="true" outlineLevel="0" collapsed="false">
      <c r="B473" s="1" t="str">
        <f aca="false">IFERROR(VLOOKUP(A473,'Pass 2'!$A:$S,MATCH("Category",'Pass 2'!$1:$1,0),FALSE()),"")</f>
        <v/>
      </c>
      <c r="C473" s="1" t="str">
        <f aca="false">IFERROR(VLOOKUP(A473,'Pass 1 Archive'!$A:$AD,MATCH("LinkedIn Employee Count",'Pass 1 Archive'!$1:$1,0),FALSE()),"")</f>
        <v/>
      </c>
      <c r="D473" s="1" t="str">
        <f aca="false">IFERROR(VLOOKUP(A473,'Pass 2'!$A:$S,MATCH("Jan 2025 Traffic",'Pass 2'!$1:$1,0),FALSE()),"")</f>
        <v/>
      </c>
      <c r="E473" s="1" t="str">
        <f aca="false">IFERROR(VLOOKUP(A473,'Pass 2'!$A:$S,MATCH("Jun 2026 Traffic",'Pass 2'!$1:$1,0),FALSE()),"")</f>
        <v/>
      </c>
      <c r="F473" s="1" t="str">
        <f aca="false">IFERROR(VLOOKUP(A473,'Pass 2'!$A:$S,MATCH("Traffic % Change",'Pass 2'!$1:$1,0),FALSE()),"")</f>
        <v/>
      </c>
      <c r="G473" s="1" t="str">
        <f aca="false">IFERROR(VLOOKUP(A473,'Pass 2'!$A:$S,MATCH("Jan 2025 Referring Domains",'Pass 2'!$1:$1,0),FALSE()),"")</f>
        <v/>
      </c>
      <c r="H473" s="1" t="str">
        <f aca="false">IFERROR(VLOOKUP(A473,'Pass 2'!$A:$S,MATCH("Jun 2026 Referring Domains",'Pass 2'!$1:$1,0),FALSE()),"")</f>
        <v/>
      </c>
    </row>
    <row r="474" customFormat="false" ht="15" hidden="false" customHeight="true" outlineLevel="0" collapsed="false">
      <c r="B474" s="1" t="str">
        <f aca="false">IFERROR(VLOOKUP(A474,'Pass 2'!$A:$S,MATCH("Category",'Pass 2'!$1:$1,0),FALSE()),"")</f>
        <v/>
      </c>
      <c r="C474" s="1" t="str">
        <f aca="false">IFERROR(VLOOKUP(A474,'Pass 1 Archive'!$A:$AD,MATCH("LinkedIn Employee Count",'Pass 1 Archive'!$1:$1,0),FALSE()),"")</f>
        <v/>
      </c>
      <c r="D474" s="1" t="str">
        <f aca="false">IFERROR(VLOOKUP(A474,'Pass 2'!$A:$S,MATCH("Jan 2025 Traffic",'Pass 2'!$1:$1,0),FALSE()),"")</f>
        <v/>
      </c>
      <c r="E474" s="1" t="str">
        <f aca="false">IFERROR(VLOOKUP(A474,'Pass 2'!$A:$S,MATCH("Jun 2026 Traffic",'Pass 2'!$1:$1,0),FALSE()),"")</f>
        <v/>
      </c>
      <c r="F474" s="1" t="str">
        <f aca="false">IFERROR(VLOOKUP(A474,'Pass 2'!$A:$S,MATCH("Traffic % Change",'Pass 2'!$1:$1,0),FALSE()),"")</f>
        <v/>
      </c>
      <c r="G474" s="1" t="str">
        <f aca="false">IFERROR(VLOOKUP(A474,'Pass 2'!$A:$S,MATCH("Jan 2025 Referring Domains",'Pass 2'!$1:$1,0),FALSE()),"")</f>
        <v/>
      </c>
      <c r="H474" s="1" t="str">
        <f aca="false">IFERROR(VLOOKUP(A474,'Pass 2'!$A:$S,MATCH("Jun 2026 Referring Domains",'Pass 2'!$1:$1,0),FALSE()),"")</f>
        <v/>
      </c>
    </row>
    <row r="475" customFormat="false" ht="15" hidden="false" customHeight="true" outlineLevel="0" collapsed="false">
      <c r="B475" s="1" t="str">
        <f aca="false">IFERROR(VLOOKUP(A475,'Pass 2'!$A:$S,MATCH("Category",'Pass 2'!$1:$1,0),FALSE()),"")</f>
        <v/>
      </c>
      <c r="C475" s="1" t="str">
        <f aca="false">IFERROR(VLOOKUP(A475,'Pass 1 Archive'!$A:$AD,MATCH("LinkedIn Employee Count",'Pass 1 Archive'!$1:$1,0),FALSE()),"")</f>
        <v/>
      </c>
      <c r="D475" s="1" t="str">
        <f aca="false">IFERROR(VLOOKUP(A475,'Pass 2'!$A:$S,MATCH("Jan 2025 Traffic",'Pass 2'!$1:$1,0),FALSE()),"")</f>
        <v/>
      </c>
      <c r="E475" s="1" t="str">
        <f aca="false">IFERROR(VLOOKUP(A475,'Pass 2'!$A:$S,MATCH("Jun 2026 Traffic",'Pass 2'!$1:$1,0),FALSE()),"")</f>
        <v/>
      </c>
      <c r="F475" s="1" t="str">
        <f aca="false">IFERROR(VLOOKUP(A475,'Pass 2'!$A:$S,MATCH("Traffic % Change",'Pass 2'!$1:$1,0),FALSE()),"")</f>
        <v/>
      </c>
      <c r="G475" s="1" t="str">
        <f aca="false">IFERROR(VLOOKUP(A475,'Pass 2'!$A:$S,MATCH("Jan 2025 Referring Domains",'Pass 2'!$1:$1,0),FALSE()),"")</f>
        <v/>
      </c>
      <c r="H475" s="1" t="str">
        <f aca="false">IFERROR(VLOOKUP(A475,'Pass 2'!$A:$S,MATCH("Jun 2026 Referring Domains",'Pass 2'!$1:$1,0),FALSE()),"")</f>
        <v/>
      </c>
    </row>
    <row r="476" customFormat="false" ht="15" hidden="false" customHeight="true" outlineLevel="0" collapsed="false">
      <c r="B476" s="1" t="str">
        <f aca="false">IFERROR(VLOOKUP(A476,'Pass 2'!$A:$S,MATCH("Category",'Pass 2'!$1:$1,0),FALSE()),"")</f>
        <v/>
      </c>
      <c r="C476" s="1" t="str">
        <f aca="false">IFERROR(VLOOKUP(A476,'Pass 1 Archive'!$A:$AD,MATCH("LinkedIn Employee Count",'Pass 1 Archive'!$1:$1,0),FALSE()),"")</f>
        <v/>
      </c>
      <c r="D476" s="1" t="str">
        <f aca="false">IFERROR(VLOOKUP(A476,'Pass 2'!$A:$S,MATCH("Jan 2025 Traffic",'Pass 2'!$1:$1,0),FALSE()),"")</f>
        <v/>
      </c>
      <c r="E476" s="1" t="str">
        <f aca="false">IFERROR(VLOOKUP(A476,'Pass 2'!$A:$S,MATCH("Jun 2026 Traffic",'Pass 2'!$1:$1,0),FALSE()),"")</f>
        <v/>
      </c>
      <c r="F476" s="1" t="str">
        <f aca="false">IFERROR(VLOOKUP(A476,'Pass 2'!$A:$S,MATCH("Traffic % Change",'Pass 2'!$1:$1,0),FALSE()),"")</f>
        <v/>
      </c>
      <c r="G476" s="1" t="str">
        <f aca="false">IFERROR(VLOOKUP(A476,'Pass 2'!$A:$S,MATCH("Jan 2025 Referring Domains",'Pass 2'!$1:$1,0),FALSE()),"")</f>
        <v/>
      </c>
      <c r="H476" s="1" t="str">
        <f aca="false">IFERROR(VLOOKUP(A476,'Pass 2'!$A:$S,MATCH("Jun 2026 Referring Domains",'Pass 2'!$1:$1,0),FALSE()),"")</f>
        <v/>
      </c>
    </row>
    <row r="477" customFormat="false" ht="15" hidden="false" customHeight="true" outlineLevel="0" collapsed="false">
      <c r="B477" s="1" t="str">
        <f aca="false">IFERROR(VLOOKUP(A477,'Pass 2'!$A:$S,MATCH("Category",'Pass 2'!$1:$1,0),FALSE()),"")</f>
        <v/>
      </c>
      <c r="C477" s="1" t="str">
        <f aca="false">IFERROR(VLOOKUP(A477,'Pass 1 Archive'!$A:$AD,MATCH("LinkedIn Employee Count",'Pass 1 Archive'!$1:$1,0),FALSE()),"")</f>
        <v/>
      </c>
      <c r="D477" s="1" t="str">
        <f aca="false">IFERROR(VLOOKUP(A477,'Pass 2'!$A:$S,MATCH("Jan 2025 Traffic",'Pass 2'!$1:$1,0),FALSE()),"")</f>
        <v/>
      </c>
      <c r="E477" s="1" t="str">
        <f aca="false">IFERROR(VLOOKUP(A477,'Pass 2'!$A:$S,MATCH("Jun 2026 Traffic",'Pass 2'!$1:$1,0),FALSE()),"")</f>
        <v/>
      </c>
      <c r="F477" s="1" t="str">
        <f aca="false">IFERROR(VLOOKUP(A477,'Pass 2'!$A:$S,MATCH("Traffic % Change",'Pass 2'!$1:$1,0),FALSE()),"")</f>
        <v/>
      </c>
      <c r="G477" s="1" t="str">
        <f aca="false">IFERROR(VLOOKUP(A477,'Pass 2'!$A:$S,MATCH("Jan 2025 Referring Domains",'Pass 2'!$1:$1,0),FALSE()),"")</f>
        <v/>
      </c>
      <c r="H477" s="1" t="str">
        <f aca="false">IFERROR(VLOOKUP(A477,'Pass 2'!$A:$S,MATCH("Jun 2026 Referring Domains",'Pass 2'!$1:$1,0),FALSE()),"")</f>
        <v/>
      </c>
    </row>
    <row r="478" customFormat="false" ht="15" hidden="false" customHeight="true" outlineLevel="0" collapsed="false">
      <c r="B478" s="1" t="str">
        <f aca="false">IFERROR(VLOOKUP(A478,'Pass 2'!$A:$S,MATCH("Category",'Pass 2'!$1:$1,0),FALSE()),"")</f>
        <v/>
      </c>
      <c r="C478" s="1" t="str">
        <f aca="false">IFERROR(VLOOKUP(A478,'Pass 1 Archive'!$A:$AD,MATCH("LinkedIn Employee Count",'Pass 1 Archive'!$1:$1,0),FALSE()),"")</f>
        <v/>
      </c>
      <c r="D478" s="1" t="str">
        <f aca="false">IFERROR(VLOOKUP(A478,'Pass 2'!$A:$S,MATCH("Jan 2025 Traffic",'Pass 2'!$1:$1,0),FALSE()),"")</f>
        <v/>
      </c>
      <c r="E478" s="1" t="str">
        <f aca="false">IFERROR(VLOOKUP(A478,'Pass 2'!$A:$S,MATCH("Jun 2026 Traffic",'Pass 2'!$1:$1,0),FALSE()),"")</f>
        <v/>
      </c>
      <c r="F478" s="1" t="str">
        <f aca="false">IFERROR(VLOOKUP(A478,'Pass 2'!$A:$S,MATCH("Traffic % Change",'Pass 2'!$1:$1,0),FALSE()),"")</f>
        <v/>
      </c>
      <c r="G478" s="1" t="str">
        <f aca="false">IFERROR(VLOOKUP(A478,'Pass 2'!$A:$S,MATCH("Jan 2025 Referring Domains",'Pass 2'!$1:$1,0),FALSE()),"")</f>
        <v/>
      </c>
      <c r="H478" s="1" t="str">
        <f aca="false">IFERROR(VLOOKUP(A478,'Pass 2'!$A:$S,MATCH("Jun 2026 Referring Domains",'Pass 2'!$1:$1,0),FALSE()),"")</f>
        <v/>
      </c>
    </row>
    <row r="479" customFormat="false" ht="15" hidden="false" customHeight="true" outlineLevel="0" collapsed="false">
      <c r="B479" s="1" t="str">
        <f aca="false">IFERROR(VLOOKUP(A479,'Pass 2'!$A:$S,MATCH("Category",'Pass 2'!$1:$1,0),FALSE()),"")</f>
        <v/>
      </c>
      <c r="C479" s="1" t="str">
        <f aca="false">IFERROR(VLOOKUP(A479,'Pass 1 Archive'!$A:$AD,MATCH("LinkedIn Employee Count",'Pass 1 Archive'!$1:$1,0),FALSE()),"")</f>
        <v/>
      </c>
      <c r="D479" s="1" t="str">
        <f aca="false">IFERROR(VLOOKUP(A479,'Pass 2'!$A:$S,MATCH("Jan 2025 Traffic",'Pass 2'!$1:$1,0),FALSE()),"")</f>
        <v/>
      </c>
      <c r="E479" s="1" t="str">
        <f aca="false">IFERROR(VLOOKUP(A479,'Pass 2'!$A:$S,MATCH("Jun 2026 Traffic",'Pass 2'!$1:$1,0),FALSE()),"")</f>
        <v/>
      </c>
      <c r="F479" s="1" t="str">
        <f aca="false">IFERROR(VLOOKUP(A479,'Pass 2'!$A:$S,MATCH("Traffic % Change",'Pass 2'!$1:$1,0),FALSE()),"")</f>
        <v/>
      </c>
      <c r="G479" s="1" t="str">
        <f aca="false">IFERROR(VLOOKUP(A479,'Pass 2'!$A:$S,MATCH("Jan 2025 Referring Domains",'Pass 2'!$1:$1,0),FALSE()),"")</f>
        <v/>
      </c>
      <c r="H479" s="1" t="str">
        <f aca="false">IFERROR(VLOOKUP(A479,'Pass 2'!$A:$S,MATCH("Jun 2026 Referring Domains",'Pass 2'!$1:$1,0),FALSE()),"")</f>
        <v/>
      </c>
    </row>
    <row r="480" customFormat="false" ht="15" hidden="false" customHeight="true" outlineLevel="0" collapsed="false">
      <c r="B480" s="1" t="str">
        <f aca="false">IFERROR(VLOOKUP(A480,'Pass 2'!$A:$S,MATCH("Category",'Pass 2'!$1:$1,0),FALSE()),"")</f>
        <v/>
      </c>
      <c r="C480" s="1" t="str">
        <f aca="false">IFERROR(VLOOKUP(A480,'Pass 1 Archive'!$A:$AD,MATCH("LinkedIn Employee Count",'Pass 1 Archive'!$1:$1,0),FALSE()),"")</f>
        <v/>
      </c>
      <c r="D480" s="1" t="str">
        <f aca="false">IFERROR(VLOOKUP(A480,'Pass 2'!$A:$S,MATCH("Jan 2025 Traffic",'Pass 2'!$1:$1,0),FALSE()),"")</f>
        <v/>
      </c>
      <c r="E480" s="1" t="str">
        <f aca="false">IFERROR(VLOOKUP(A480,'Pass 2'!$A:$S,MATCH("Jun 2026 Traffic",'Pass 2'!$1:$1,0),FALSE()),"")</f>
        <v/>
      </c>
      <c r="F480" s="1" t="str">
        <f aca="false">IFERROR(VLOOKUP(A480,'Pass 2'!$A:$S,MATCH("Traffic % Change",'Pass 2'!$1:$1,0),FALSE()),"")</f>
        <v/>
      </c>
      <c r="G480" s="1" t="str">
        <f aca="false">IFERROR(VLOOKUP(A480,'Pass 2'!$A:$S,MATCH("Jan 2025 Referring Domains",'Pass 2'!$1:$1,0),FALSE()),"")</f>
        <v/>
      </c>
      <c r="H480" s="1" t="str">
        <f aca="false">IFERROR(VLOOKUP(A480,'Pass 2'!$A:$S,MATCH("Jun 2026 Referring Domains",'Pass 2'!$1:$1,0),FALSE()),"")</f>
        <v/>
      </c>
    </row>
    <row r="481" customFormat="false" ht="15" hidden="false" customHeight="true" outlineLevel="0" collapsed="false">
      <c r="B481" s="1" t="str">
        <f aca="false">IFERROR(VLOOKUP(A481,'Pass 2'!$A:$S,MATCH("Category",'Pass 2'!$1:$1,0),FALSE()),"")</f>
        <v/>
      </c>
      <c r="C481" s="1" t="str">
        <f aca="false">IFERROR(VLOOKUP(A481,'Pass 1 Archive'!$A:$AD,MATCH("LinkedIn Employee Count",'Pass 1 Archive'!$1:$1,0),FALSE()),"")</f>
        <v/>
      </c>
      <c r="D481" s="1" t="str">
        <f aca="false">IFERROR(VLOOKUP(A481,'Pass 2'!$A:$S,MATCH("Jan 2025 Traffic",'Pass 2'!$1:$1,0),FALSE()),"")</f>
        <v/>
      </c>
      <c r="E481" s="1" t="str">
        <f aca="false">IFERROR(VLOOKUP(A481,'Pass 2'!$A:$S,MATCH("Jun 2026 Traffic",'Pass 2'!$1:$1,0),FALSE()),"")</f>
        <v/>
      </c>
      <c r="F481" s="1" t="str">
        <f aca="false">IFERROR(VLOOKUP(A481,'Pass 2'!$A:$S,MATCH("Traffic % Change",'Pass 2'!$1:$1,0),FALSE()),"")</f>
        <v/>
      </c>
      <c r="G481" s="1" t="str">
        <f aca="false">IFERROR(VLOOKUP(A481,'Pass 2'!$A:$S,MATCH("Jan 2025 Referring Domains",'Pass 2'!$1:$1,0),FALSE()),"")</f>
        <v/>
      </c>
      <c r="H481" s="1" t="str">
        <f aca="false">IFERROR(VLOOKUP(A481,'Pass 2'!$A:$S,MATCH("Jun 2026 Referring Domains",'Pass 2'!$1:$1,0),FALSE()),"")</f>
        <v/>
      </c>
    </row>
    <row r="482" customFormat="false" ht="15" hidden="false" customHeight="true" outlineLevel="0" collapsed="false">
      <c r="B482" s="1" t="str">
        <f aca="false">IFERROR(VLOOKUP(A482,'Pass 2'!$A:$S,MATCH("Category",'Pass 2'!$1:$1,0),FALSE()),"")</f>
        <v/>
      </c>
      <c r="C482" s="1" t="str">
        <f aca="false">IFERROR(VLOOKUP(A482,'Pass 1 Archive'!$A:$AD,MATCH("LinkedIn Employee Count",'Pass 1 Archive'!$1:$1,0),FALSE()),"")</f>
        <v/>
      </c>
      <c r="D482" s="1" t="str">
        <f aca="false">IFERROR(VLOOKUP(A482,'Pass 2'!$A:$S,MATCH("Jan 2025 Traffic",'Pass 2'!$1:$1,0),FALSE()),"")</f>
        <v/>
      </c>
      <c r="E482" s="1" t="str">
        <f aca="false">IFERROR(VLOOKUP(A482,'Pass 2'!$A:$S,MATCH("Jun 2026 Traffic",'Pass 2'!$1:$1,0),FALSE()),"")</f>
        <v/>
      </c>
      <c r="F482" s="1" t="str">
        <f aca="false">IFERROR(VLOOKUP(A482,'Pass 2'!$A:$S,MATCH("Traffic % Change",'Pass 2'!$1:$1,0),FALSE()),"")</f>
        <v/>
      </c>
      <c r="G482" s="1" t="str">
        <f aca="false">IFERROR(VLOOKUP(A482,'Pass 2'!$A:$S,MATCH("Jan 2025 Referring Domains",'Pass 2'!$1:$1,0),FALSE()),"")</f>
        <v/>
      </c>
      <c r="H482" s="1" t="str">
        <f aca="false">IFERROR(VLOOKUP(A482,'Pass 2'!$A:$S,MATCH("Jun 2026 Referring Domains",'Pass 2'!$1:$1,0),FALSE()),"")</f>
        <v/>
      </c>
    </row>
    <row r="483" customFormat="false" ht="15" hidden="false" customHeight="true" outlineLevel="0" collapsed="false">
      <c r="B483" s="1" t="str">
        <f aca="false">IFERROR(VLOOKUP(A483,'Pass 2'!$A:$S,MATCH("Category",'Pass 2'!$1:$1,0),FALSE()),"")</f>
        <v/>
      </c>
      <c r="C483" s="1" t="str">
        <f aca="false">IFERROR(VLOOKUP(A483,'Pass 1 Archive'!$A:$AD,MATCH("LinkedIn Employee Count",'Pass 1 Archive'!$1:$1,0),FALSE()),"")</f>
        <v/>
      </c>
      <c r="D483" s="1" t="str">
        <f aca="false">IFERROR(VLOOKUP(A483,'Pass 2'!$A:$S,MATCH("Jan 2025 Traffic",'Pass 2'!$1:$1,0),FALSE()),"")</f>
        <v/>
      </c>
      <c r="E483" s="1" t="str">
        <f aca="false">IFERROR(VLOOKUP(A483,'Pass 2'!$A:$S,MATCH("Jun 2026 Traffic",'Pass 2'!$1:$1,0),FALSE()),"")</f>
        <v/>
      </c>
      <c r="F483" s="1" t="str">
        <f aca="false">IFERROR(VLOOKUP(A483,'Pass 2'!$A:$S,MATCH("Traffic % Change",'Pass 2'!$1:$1,0),FALSE()),"")</f>
        <v/>
      </c>
      <c r="G483" s="1" t="str">
        <f aca="false">IFERROR(VLOOKUP(A483,'Pass 2'!$A:$S,MATCH("Jan 2025 Referring Domains",'Pass 2'!$1:$1,0),FALSE()),"")</f>
        <v/>
      </c>
      <c r="H483" s="1" t="str">
        <f aca="false">IFERROR(VLOOKUP(A483,'Pass 2'!$A:$S,MATCH("Jun 2026 Referring Domains",'Pass 2'!$1:$1,0),FALSE()),"")</f>
        <v/>
      </c>
    </row>
    <row r="484" customFormat="false" ht="15" hidden="false" customHeight="true" outlineLevel="0" collapsed="false">
      <c r="B484" s="1" t="str">
        <f aca="false">IFERROR(VLOOKUP(A484,'Pass 2'!$A:$S,MATCH("Category",'Pass 2'!$1:$1,0),FALSE()),"")</f>
        <v/>
      </c>
      <c r="C484" s="1" t="str">
        <f aca="false">IFERROR(VLOOKUP(A484,'Pass 1 Archive'!$A:$AD,MATCH("LinkedIn Employee Count",'Pass 1 Archive'!$1:$1,0),FALSE()),"")</f>
        <v/>
      </c>
      <c r="D484" s="1" t="str">
        <f aca="false">IFERROR(VLOOKUP(A484,'Pass 2'!$A:$S,MATCH("Jan 2025 Traffic",'Pass 2'!$1:$1,0),FALSE()),"")</f>
        <v/>
      </c>
      <c r="E484" s="1" t="str">
        <f aca="false">IFERROR(VLOOKUP(A484,'Pass 2'!$A:$S,MATCH("Jun 2026 Traffic",'Pass 2'!$1:$1,0),FALSE()),"")</f>
        <v/>
      </c>
      <c r="F484" s="1" t="str">
        <f aca="false">IFERROR(VLOOKUP(A484,'Pass 2'!$A:$S,MATCH("Traffic % Change",'Pass 2'!$1:$1,0),FALSE()),"")</f>
        <v/>
      </c>
      <c r="G484" s="1" t="str">
        <f aca="false">IFERROR(VLOOKUP(A484,'Pass 2'!$A:$S,MATCH("Jan 2025 Referring Domains",'Pass 2'!$1:$1,0),FALSE()),"")</f>
        <v/>
      </c>
      <c r="H484" s="1" t="str">
        <f aca="false">IFERROR(VLOOKUP(A484,'Pass 2'!$A:$S,MATCH("Jun 2026 Referring Domains",'Pass 2'!$1:$1,0),FALSE()),"")</f>
        <v/>
      </c>
    </row>
    <row r="485" customFormat="false" ht="15" hidden="false" customHeight="true" outlineLevel="0" collapsed="false">
      <c r="B485" s="1" t="str">
        <f aca="false">IFERROR(VLOOKUP(A485,'Pass 2'!$A:$S,MATCH("Category",'Pass 2'!$1:$1,0),FALSE()),"")</f>
        <v/>
      </c>
      <c r="C485" s="1" t="str">
        <f aca="false">IFERROR(VLOOKUP(A485,'Pass 1 Archive'!$A:$AD,MATCH("LinkedIn Employee Count",'Pass 1 Archive'!$1:$1,0),FALSE()),"")</f>
        <v/>
      </c>
      <c r="D485" s="1" t="str">
        <f aca="false">IFERROR(VLOOKUP(A485,'Pass 2'!$A:$S,MATCH("Jan 2025 Traffic",'Pass 2'!$1:$1,0),FALSE()),"")</f>
        <v/>
      </c>
      <c r="E485" s="1" t="str">
        <f aca="false">IFERROR(VLOOKUP(A485,'Pass 2'!$A:$S,MATCH("Jun 2026 Traffic",'Pass 2'!$1:$1,0),FALSE()),"")</f>
        <v/>
      </c>
      <c r="F485" s="1" t="str">
        <f aca="false">IFERROR(VLOOKUP(A485,'Pass 2'!$A:$S,MATCH("Traffic % Change",'Pass 2'!$1:$1,0),FALSE()),"")</f>
        <v/>
      </c>
      <c r="G485" s="1" t="str">
        <f aca="false">IFERROR(VLOOKUP(A485,'Pass 2'!$A:$S,MATCH("Jan 2025 Referring Domains",'Pass 2'!$1:$1,0),FALSE()),"")</f>
        <v/>
      </c>
      <c r="H485" s="1" t="str">
        <f aca="false">IFERROR(VLOOKUP(A485,'Pass 2'!$A:$S,MATCH("Jun 2026 Referring Domains",'Pass 2'!$1:$1,0),FALSE()),"")</f>
        <v/>
      </c>
    </row>
    <row r="486" customFormat="false" ht="15" hidden="false" customHeight="true" outlineLevel="0" collapsed="false">
      <c r="B486" s="1" t="str">
        <f aca="false">IFERROR(VLOOKUP(A486,'Pass 2'!$A:$S,MATCH("Category",'Pass 2'!$1:$1,0),FALSE()),"")</f>
        <v/>
      </c>
      <c r="C486" s="1" t="str">
        <f aca="false">IFERROR(VLOOKUP(A486,'Pass 1 Archive'!$A:$AD,MATCH("LinkedIn Employee Count",'Pass 1 Archive'!$1:$1,0),FALSE()),"")</f>
        <v/>
      </c>
      <c r="D486" s="1" t="str">
        <f aca="false">IFERROR(VLOOKUP(A486,'Pass 2'!$A:$S,MATCH("Jan 2025 Traffic",'Pass 2'!$1:$1,0),FALSE()),"")</f>
        <v/>
      </c>
      <c r="E486" s="1" t="str">
        <f aca="false">IFERROR(VLOOKUP(A486,'Pass 2'!$A:$S,MATCH("Jun 2026 Traffic",'Pass 2'!$1:$1,0),FALSE()),"")</f>
        <v/>
      </c>
      <c r="F486" s="1" t="str">
        <f aca="false">IFERROR(VLOOKUP(A486,'Pass 2'!$A:$S,MATCH("Traffic % Change",'Pass 2'!$1:$1,0),FALSE()),"")</f>
        <v/>
      </c>
      <c r="G486" s="1" t="str">
        <f aca="false">IFERROR(VLOOKUP(A486,'Pass 2'!$A:$S,MATCH("Jan 2025 Referring Domains",'Pass 2'!$1:$1,0),FALSE()),"")</f>
        <v/>
      </c>
      <c r="H486" s="1" t="str">
        <f aca="false">IFERROR(VLOOKUP(A486,'Pass 2'!$A:$S,MATCH("Jun 2026 Referring Domains",'Pass 2'!$1:$1,0),FALSE()),"")</f>
        <v/>
      </c>
    </row>
    <row r="487" customFormat="false" ht="15" hidden="false" customHeight="true" outlineLevel="0" collapsed="false">
      <c r="B487" s="1" t="str">
        <f aca="false">IFERROR(VLOOKUP(A487,'Pass 2'!$A:$S,MATCH("Category",'Pass 2'!$1:$1,0),FALSE()),"")</f>
        <v/>
      </c>
      <c r="C487" s="1" t="str">
        <f aca="false">IFERROR(VLOOKUP(A487,'Pass 1 Archive'!$A:$AD,MATCH("LinkedIn Employee Count",'Pass 1 Archive'!$1:$1,0),FALSE()),"")</f>
        <v/>
      </c>
      <c r="D487" s="1" t="str">
        <f aca="false">IFERROR(VLOOKUP(A487,'Pass 2'!$A:$S,MATCH("Jan 2025 Traffic",'Pass 2'!$1:$1,0),FALSE()),"")</f>
        <v/>
      </c>
      <c r="E487" s="1" t="str">
        <f aca="false">IFERROR(VLOOKUP(A487,'Pass 2'!$A:$S,MATCH("Jun 2026 Traffic",'Pass 2'!$1:$1,0),FALSE()),"")</f>
        <v/>
      </c>
      <c r="F487" s="1" t="str">
        <f aca="false">IFERROR(VLOOKUP(A487,'Pass 2'!$A:$S,MATCH("Traffic % Change",'Pass 2'!$1:$1,0),FALSE()),"")</f>
        <v/>
      </c>
      <c r="G487" s="1" t="str">
        <f aca="false">IFERROR(VLOOKUP(A487,'Pass 2'!$A:$S,MATCH("Jan 2025 Referring Domains",'Pass 2'!$1:$1,0),FALSE()),"")</f>
        <v/>
      </c>
      <c r="H487" s="1" t="str">
        <f aca="false">IFERROR(VLOOKUP(A487,'Pass 2'!$A:$S,MATCH("Jun 2026 Referring Domains",'Pass 2'!$1:$1,0),FALSE()),"")</f>
        <v/>
      </c>
    </row>
    <row r="488" customFormat="false" ht="15" hidden="false" customHeight="true" outlineLevel="0" collapsed="false">
      <c r="B488" s="1" t="str">
        <f aca="false">IFERROR(VLOOKUP(A488,'Pass 2'!$A:$S,MATCH("Category",'Pass 2'!$1:$1,0),FALSE()),"")</f>
        <v/>
      </c>
      <c r="C488" s="1" t="str">
        <f aca="false">IFERROR(VLOOKUP(A488,'Pass 1 Archive'!$A:$AD,MATCH("LinkedIn Employee Count",'Pass 1 Archive'!$1:$1,0),FALSE()),"")</f>
        <v/>
      </c>
      <c r="D488" s="1" t="str">
        <f aca="false">IFERROR(VLOOKUP(A488,'Pass 2'!$A:$S,MATCH("Jan 2025 Traffic",'Pass 2'!$1:$1,0),FALSE()),"")</f>
        <v/>
      </c>
      <c r="E488" s="1" t="str">
        <f aca="false">IFERROR(VLOOKUP(A488,'Pass 2'!$A:$S,MATCH("Jun 2026 Traffic",'Pass 2'!$1:$1,0),FALSE()),"")</f>
        <v/>
      </c>
      <c r="F488" s="1" t="str">
        <f aca="false">IFERROR(VLOOKUP(A488,'Pass 2'!$A:$S,MATCH("Traffic % Change",'Pass 2'!$1:$1,0),FALSE()),"")</f>
        <v/>
      </c>
      <c r="G488" s="1" t="str">
        <f aca="false">IFERROR(VLOOKUP(A488,'Pass 2'!$A:$S,MATCH("Jan 2025 Referring Domains",'Pass 2'!$1:$1,0),FALSE()),"")</f>
        <v/>
      </c>
      <c r="H488" s="1" t="str">
        <f aca="false">IFERROR(VLOOKUP(A488,'Pass 2'!$A:$S,MATCH("Jun 2026 Referring Domains",'Pass 2'!$1:$1,0),FALSE()),"")</f>
        <v/>
      </c>
    </row>
    <row r="489" customFormat="false" ht="15" hidden="false" customHeight="true" outlineLevel="0" collapsed="false">
      <c r="B489" s="1" t="str">
        <f aca="false">IFERROR(VLOOKUP(A489,'Pass 2'!$A:$S,MATCH("Category",'Pass 2'!$1:$1,0),FALSE()),"")</f>
        <v/>
      </c>
      <c r="C489" s="1" t="str">
        <f aca="false">IFERROR(VLOOKUP(A489,'Pass 1 Archive'!$A:$AD,MATCH("LinkedIn Employee Count",'Pass 1 Archive'!$1:$1,0),FALSE()),"")</f>
        <v/>
      </c>
      <c r="D489" s="1" t="str">
        <f aca="false">IFERROR(VLOOKUP(A489,'Pass 2'!$A:$S,MATCH("Jan 2025 Traffic",'Pass 2'!$1:$1,0),FALSE()),"")</f>
        <v/>
      </c>
      <c r="E489" s="1" t="str">
        <f aca="false">IFERROR(VLOOKUP(A489,'Pass 2'!$A:$S,MATCH("Jun 2026 Traffic",'Pass 2'!$1:$1,0),FALSE()),"")</f>
        <v/>
      </c>
      <c r="F489" s="1" t="str">
        <f aca="false">IFERROR(VLOOKUP(A489,'Pass 2'!$A:$S,MATCH("Traffic % Change",'Pass 2'!$1:$1,0),FALSE()),"")</f>
        <v/>
      </c>
      <c r="G489" s="1" t="str">
        <f aca="false">IFERROR(VLOOKUP(A489,'Pass 2'!$A:$S,MATCH("Jan 2025 Referring Domains",'Pass 2'!$1:$1,0),FALSE()),"")</f>
        <v/>
      </c>
      <c r="H489" s="1" t="str">
        <f aca="false">IFERROR(VLOOKUP(A489,'Pass 2'!$A:$S,MATCH("Jun 2026 Referring Domains",'Pass 2'!$1:$1,0),FALSE()),"")</f>
        <v/>
      </c>
    </row>
    <row r="490" customFormat="false" ht="15" hidden="false" customHeight="true" outlineLevel="0" collapsed="false">
      <c r="B490" s="1" t="str">
        <f aca="false">IFERROR(VLOOKUP(A490,'Pass 2'!$A:$S,MATCH("Category",'Pass 2'!$1:$1,0),FALSE()),"")</f>
        <v/>
      </c>
      <c r="C490" s="1" t="str">
        <f aca="false">IFERROR(VLOOKUP(A490,'Pass 1 Archive'!$A:$AD,MATCH("LinkedIn Employee Count",'Pass 1 Archive'!$1:$1,0),FALSE()),"")</f>
        <v/>
      </c>
      <c r="D490" s="1" t="str">
        <f aca="false">IFERROR(VLOOKUP(A490,'Pass 2'!$A:$S,MATCH("Jan 2025 Traffic",'Pass 2'!$1:$1,0),FALSE()),"")</f>
        <v/>
      </c>
      <c r="E490" s="1" t="str">
        <f aca="false">IFERROR(VLOOKUP(A490,'Pass 2'!$A:$S,MATCH("Jun 2026 Traffic",'Pass 2'!$1:$1,0),FALSE()),"")</f>
        <v/>
      </c>
      <c r="F490" s="1" t="str">
        <f aca="false">IFERROR(VLOOKUP(A490,'Pass 2'!$A:$S,MATCH("Traffic % Change",'Pass 2'!$1:$1,0),FALSE()),"")</f>
        <v/>
      </c>
      <c r="G490" s="1" t="str">
        <f aca="false">IFERROR(VLOOKUP(A490,'Pass 2'!$A:$S,MATCH("Jan 2025 Referring Domains",'Pass 2'!$1:$1,0),FALSE()),"")</f>
        <v/>
      </c>
      <c r="H490" s="1" t="str">
        <f aca="false">IFERROR(VLOOKUP(A490,'Pass 2'!$A:$S,MATCH("Jun 2026 Referring Domains",'Pass 2'!$1:$1,0),FALSE()),"")</f>
        <v/>
      </c>
    </row>
    <row r="491" customFormat="false" ht="15" hidden="false" customHeight="true" outlineLevel="0" collapsed="false">
      <c r="B491" s="1" t="str">
        <f aca="false">IFERROR(VLOOKUP(A491,'Pass 2'!$A:$S,MATCH("Category",'Pass 2'!$1:$1,0),FALSE()),"")</f>
        <v/>
      </c>
      <c r="C491" s="1" t="str">
        <f aca="false">IFERROR(VLOOKUP(A491,'Pass 1 Archive'!$A:$AD,MATCH("LinkedIn Employee Count",'Pass 1 Archive'!$1:$1,0),FALSE()),"")</f>
        <v/>
      </c>
      <c r="D491" s="1" t="str">
        <f aca="false">IFERROR(VLOOKUP(A491,'Pass 2'!$A:$S,MATCH("Jan 2025 Traffic",'Pass 2'!$1:$1,0),FALSE()),"")</f>
        <v/>
      </c>
      <c r="E491" s="1" t="str">
        <f aca="false">IFERROR(VLOOKUP(A491,'Pass 2'!$A:$S,MATCH("Jun 2026 Traffic",'Pass 2'!$1:$1,0),FALSE()),"")</f>
        <v/>
      </c>
      <c r="F491" s="1" t="str">
        <f aca="false">IFERROR(VLOOKUP(A491,'Pass 2'!$A:$S,MATCH("Traffic % Change",'Pass 2'!$1:$1,0),FALSE()),"")</f>
        <v/>
      </c>
      <c r="G491" s="1" t="str">
        <f aca="false">IFERROR(VLOOKUP(A491,'Pass 2'!$A:$S,MATCH("Jan 2025 Referring Domains",'Pass 2'!$1:$1,0),FALSE()),"")</f>
        <v/>
      </c>
      <c r="H491" s="1" t="str">
        <f aca="false">IFERROR(VLOOKUP(A491,'Pass 2'!$A:$S,MATCH("Jun 2026 Referring Domains",'Pass 2'!$1:$1,0),FALSE()),"")</f>
        <v/>
      </c>
    </row>
    <row r="492" customFormat="false" ht="15" hidden="false" customHeight="true" outlineLevel="0" collapsed="false">
      <c r="B492" s="1" t="str">
        <f aca="false">IFERROR(VLOOKUP(A492,'Pass 2'!$A:$S,MATCH("Category",'Pass 2'!$1:$1,0),FALSE()),"")</f>
        <v/>
      </c>
      <c r="C492" s="1" t="str">
        <f aca="false">IFERROR(VLOOKUP(A492,'Pass 1 Archive'!$A:$AD,MATCH("LinkedIn Employee Count",'Pass 1 Archive'!$1:$1,0),FALSE()),"")</f>
        <v/>
      </c>
      <c r="D492" s="1" t="str">
        <f aca="false">IFERROR(VLOOKUP(A492,'Pass 2'!$A:$S,MATCH("Jan 2025 Traffic",'Pass 2'!$1:$1,0),FALSE()),"")</f>
        <v/>
      </c>
      <c r="E492" s="1" t="str">
        <f aca="false">IFERROR(VLOOKUP(A492,'Pass 2'!$A:$S,MATCH("Jun 2026 Traffic",'Pass 2'!$1:$1,0),FALSE()),"")</f>
        <v/>
      </c>
      <c r="F492" s="1" t="str">
        <f aca="false">IFERROR(VLOOKUP(A492,'Pass 2'!$A:$S,MATCH("Traffic % Change",'Pass 2'!$1:$1,0),FALSE()),"")</f>
        <v/>
      </c>
      <c r="G492" s="1" t="str">
        <f aca="false">IFERROR(VLOOKUP(A492,'Pass 2'!$A:$S,MATCH("Jan 2025 Referring Domains",'Pass 2'!$1:$1,0),FALSE()),"")</f>
        <v/>
      </c>
      <c r="H492" s="1" t="str">
        <f aca="false">IFERROR(VLOOKUP(A492,'Pass 2'!$A:$S,MATCH("Jun 2026 Referring Domains",'Pass 2'!$1:$1,0),FALSE()),"")</f>
        <v/>
      </c>
    </row>
    <row r="493" customFormat="false" ht="15" hidden="false" customHeight="true" outlineLevel="0" collapsed="false">
      <c r="B493" s="1" t="str">
        <f aca="false">IFERROR(VLOOKUP(A493,'Pass 2'!$A:$S,MATCH("Category",'Pass 2'!$1:$1,0),FALSE()),"")</f>
        <v/>
      </c>
      <c r="C493" s="1" t="str">
        <f aca="false">IFERROR(VLOOKUP(A493,'Pass 1 Archive'!$A:$AD,MATCH("LinkedIn Employee Count",'Pass 1 Archive'!$1:$1,0),FALSE()),"")</f>
        <v/>
      </c>
      <c r="D493" s="1" t="str">
        <f aca="false">IFERROR(VLOOKUP(A493,'Pass 2'!$A:$S,MATCH("Jan 2025 Traffic",'Pass 2'!$1:$1,0),FALSE()),"")</f>
        <v/>
      </c>
      <c r="E493" s="1" t="str">
        <f aca="false">IFERROR(VLOOKUP(A493,'Pass 2'!$A:$S,MATCH("Jun 2026 Traffic",'Pass 2'!$1:$1,0),FALSE()),"")</f>
        <v/>
      </c>
      <c r="F493" s="1" t="str">
        <f aca="false">IFERROR(VLOOKUP(A493,'Pass 2'!$A:$S,MATCH("Traffic % Change",'Pass 2'!$1:$1,0),FALSE()),"")</f>
        <v/>
      </c>
      <c r="G493" s="1" t="str">
        <f aca="false">IFERROR(VLOOKUP(A493,'Pass 2'!$A:$S,MATCH("Jan 2025 Referring Domains",'Pass 2'!$1:$1,0),FALSE()),"")</f>
        <v/>
      </c>
      <c r="H493" s="1" t="str">
        <f aca="false">IFERROR(VLOOKUP(A493,'Pass 2'!$A:$S,MATCH("Jun 2026 Referring Domains",'Pass 2'!$1:$1,0),FALSE()),"")</f>
        <v/>
      </c>
    </row>
    <row r="494" customFormat="false" ht="15" hidden="false" customHeight="true" outlineLevel="0" collapsed="false">
      <c r="B494" s="1" t="str">
        <f aca="false">IFERROR(VLOOKUP(A494,'Pass 2'!$A:$S,MATCH("Category",'Pass 2'!$1:$1,0),FALSE()),"")</f>
        <v/>
      </c>
      <c r="C494" s="1" t="str">
        <f aca="false">IFERROR(VLOOKUP(A494,'Pass 1 Archive'!$A:$AD,MATCH("LinkedIn Employee Count",'Pass 1 Archive'!$1:$1,0),FALSE()),"")</f>
        <v/>
      </c>
      <c r="D494" s="1" t="str">
        <f aca="false">IFERROR(VLOOKUP(A494,'Pass 2'!$A:$S,MATCH("Jan 2025 Traffic",'Pass 2'!$1:$1,0),FALSE()),"")</f>
        <v/>
      </c>
      <c r="E494" s="1" t="str">
        <f aca="false">IFERROR(VLOOKUP(A494,'Pass 2'!$A:$S,MATCH("Jun 2026 Traffic",'Pass 2'!$1:$1,0),FALSE()),"")</f>
        <v/>
      </c>
      <c r="F494" s="1" t="str">
        <f aca="false">IFERROR(VLOOKUP(A494,'Pass 2'!$A:$S,MATCH("Traffic % Change",'Pass 2'!$1:$1,0),FALSE()),"")</f>
        <v/>
      </c>
      <c r="G494" s="1" t="str">
        <f aca="false">IFERROR(VLOOKUP(A494,'Pass 2'!$A:$S,MATCH("Jan 2025 Referring Domains",'Pass 2'!$1:$1,0),FALSE()),"")</f>
        <v/>
      </c>
      <c r="H494" s="1" t="str">
        <f aca="false">IFERROR(VLOOKUP(A494,'Pass 2'!$A:$S,MATCH("Jun 2026 Referring Domains",'Pass 2'!$1:$1,0),FALSE()),"")</f>
        <v/>
      </c>
    </row>
    <row r="495" customFormat="false" ht="15" hidden="false" customHeight="true" outlineLevel="0" collapsed="false">
      <c r="B495" s="1" t="str">
        <f aca="false">IFERROR(VLOOKUP(A495,'Pass 2'!$A:$S,MATCH("Category",'Pass 2'!$1:$1,0),FALSE()),"")</f>
        <v/>
      </c>
      <c r="C495" s="1" t="str">
        <f aca="false">IFERROR(VLOOKUP(A495,'Pass 1 Archive'!$A:$AD,MATCH("LinkedIn Employee Count",'Pass 1 Archive'!$1:$1,0),FALSE()),"")</f>
        <v/>
      </c>
      <c r="D495" s="1" t="str">
        <f aca="false">IFERROR(VLOOKUP(A495,'Pass 2'!$A:$S,MATCH("Jan 2025 Traffic",'Pass 2'!$1:$1,0),FALSE()),"")</f>
        <v/>
      </c>
      <c r="E495" s="1" t="str">
        <f aca="false">IFERROR(VLOOKUP(A495,'Pass 2'!$A:$S,MATCH("Jun 2026 Traffic",'Pass 2'!$1:$1,0),FALSE()),"")</f>
        <v/>
      </c>
      <c r="F495" s="1" t="str">
        <f aca="false">IFERROR(VLOOKUP(A495,'Pass 2'!$A:$S,MATCH("Traffic % Change",'Pass 2'!$1:$1,0),FALSE()),"")</f>
        <v/>
      </c>
      <c r="G495" s="1" t="str">
        <f aca="false">IFERROR(VLOOKUP(A495,'Pass 2'!$A:$S,MATCH("Jan 2025 Referring Domains",'Pass 2'!$1:$1,0),FALSE()),"")</f>
        <v/>
      </c>
      <c r="H495" s="1" t="str">
        <f aca="false">IFERROR(VLOOKUP(A495,'Pass 2'!$A:$S,MATCH("Jun 2026 Referring Domains",'Pass 2'!$1:$1,0),FALSE()),"")</f>
        <v/>
      </c>
    </row>
    <row r="496" customFormat="false" ht="15" hidden="false" customHeight="true" outlineLevel="0" collapsed="false">
      <c r="B496" s="1" t="str">
        <f aca="false">IFERROR(VLOOKUP(A496,'Pass 2'!$A:$S,MATCH("Category",'Pass 2'!$1:$1,0),FALSE()),"")</f>
        <v/>
      </c>
      <c r="C496" s="1" t="str">
        <f aca="false">IFERROR(VLOOKUP(A496,'Pass 1 Archive'!$A:$AD,MATCH("LinkedIn Employee Count",'Pass 1 Archive'!$1:$1,0),FALSE()),"")</f>
        <v/>
      </c>
      <c r="D496" s="1" t="str">
        <f aca="false">IFERROR(VLOOKUP(A496,'Pass 2'!$A:$S,MATCH("Jan 2025 Traffic",'Pass 2'!$1:$1,0),FALSE()),"")</f>
        <v/>
      </c>
      <c r="E496" s="1" t="str">
        <f aca="false">IFERROR(VLOOKUP(A496,'Pass 2'!$A:$S,MATCH("Jun 2026 Traffic",'Pass 2'!$1:$1,0),FALSE()),"")</f>
        <v/>
      </c>
      <c r="F496" s="1" t="str">
        <f aca="false">IFERROR(VLOOKUP(A496,'Pass 2'!$A:$S,MATCH("Traffic % Change",'Pass 2'!$1:$1,0),FALSE()),"")</f>
        <v/>
      </c>
      <c r="G496" s="1" t="str">
        <f aca="false">IFERROR(VLOOKUP(A496,'Pass 2'!$A:$S,MATCH("Jan 2025 Referring Domains",'Pass 2'!$1:$1,0),FALSE()),"")</f>
        <v/>
      </c>
      <c r="H496" s="1" t="str">
        <f aca="false">IFERROR(VLOOKUP(A496,'Pass 2'!$A:$S,MATCH("Jun 2026 Referring Domains",'Pass 2'!$1:$1,0),FALSE()),"")</f>
        <v/>
      </c>
    </row>
    <row r="497" customFormat="false" ht="15" hidden="false" customHeight="true" outlineLevel="0" collapsed="false">
      <c r="B497" s="1" t="str">
        <f aca="false">IFERROR(VLOOKUP(A497,'Pass 2'!$A:$S,MATCH("Category",'Pass 2'!$1:$1,0),FALSE()),"")</f>
        <v/>
      </c>
      <c r="C497" s="1" t="str">
        <f aca="false">IFERROR(VLOOKUP(A497,'Pass 1 Archive'!$A:$AD,MATCH("LinkedIn Employee Count",'Pass 1 Archive'!$1:$1,0),FALSE()),"")</f>
        <v/>
      </c>
      <c r="D497" s="1" t="str">
        <f aca="false">IFERROR(VLOOKUP(A497,'Pass 2'!$A:$S,MATCH("Jan 2025 Traffic",'Pass 2'!$1:$1,0),FALSE()),"")</f>
        <v/>
      </c>
      <c r="E497" s="1" t="str">
        <f aca="false">IFERROR(VLOOKUP(A497,'Pass 2'!$A:$S,MATCH("Jun 2026 Traffic",'Pass 2'!$1:$1,0),FALSE()),"")</f>
        <v/>
      </c>
      <c r="F497" s="1" t="str">
        <f aca="false">IFERROR(VLOOKUP(A497,'Pass 2'!$A:$S,MATCH("Traffic % Change",'Pass 2'!$1:$1,0),FALSE()),"")</f>
        <v/>
      </c>
      <c r="G497" s="1" t="str">
        <f aca="false">IFERROR(VLOOKUP(A497,'Pass 2'!$A:$S,MATCH("Jan 2025 Referring Domains",'Pass 2'!$1:$1,0),FALSE()),"")</f>
        <v/>
      </c>
      <c r="H497" s="1" t="str">
        <f aca="false">IFERROR(VLOOKUP(A497,'Pass 2'!$A:$S,MATCH("Jun 2026 Referring Domains",'Pass 2'!$1:$1,0),FALSE()),"")</f>
        <v/>
      </c>
    </row>
    <row r="498" customFormat="false" ht="15" hidden="false" customHeight="true" outlineLevel="0" collapsed="false">
      <c r="B498" s="1" t="str">
        <f aca="false">IFERROR(VLOOKUP(A498,'Pass 2'!$A:$S,MATCH("Category",'Pass 2'!$1:$1,0),FALSE()),"")</f>
        <v/>
      </c>
      <c r="C498" s="1" t="str">
        <f aca="false">IFERROR(VLOOKUP(A498,'Pass 1 Archive'!$A:$AD,MATCH("LinkedIn Employee Count",'Pass 1 Archive'!$1:$1,0),FALSE()),"")</f>
        <v/>
      </c>
      <c r="D498" s="1" t="str">
        <f aca="false">IFERROR(VLOOKUP(A498,'Pass 2'!$A:$S,MATCH("Jan 2025 Traffic",'Pass 2'!$1:$1,0),FALSE()),"")</f>
        <v/>
      </c>
      <c r="E498" s="1" t="str">
        <f aca="false">IFERROR(VLOOKUP(A498,'Pass 2'!$A:$S,MATCH("Jun 2026 Traffic",'Pass 2'!$1:$1,0),FALSE()),"")</f>
        <v/>
      </c>
      <c r="F498" s="1" t="str">
        <f aca="false">IFERROR(VLOOKUP(A498,'Pass 2'!$A:$S,MATCH("Traffic % Change",'Pass 2'!$1:$1,0),FALSE()),"")</f>
        <v/>
      </c>
      <c r="G498" s="1" t="str">
        <f aca="false">IFERROR(VLOOKUP(A498,'Pass 2'!$A:$S,MATCH("Jan 2025 Referring Domains",'Pass 2'!$1:$1,0),FALSE()),"")</f>
        <v/>
      </c>
      <c r="H498" s="1" t="str">
        <f aca="false">IFERROR(VLOOKUP(A498,'Pass 2'!$A:$S,MATCH("Jun 2026 Referring Domains",'Pass 2'!$1:$1,0),FALSE()),"")</f>
        <v/>
      </c>
    </row>
    <row r="499" customFormat="false" ht="15" hidden="false" customHeight="true" outlineLevel="0" collapsed="false">
      <c r="B499" s="1" t="str">
        <f aca="false">IFERROR(VLOOKUP(A499,'Pass 2'!$A:$S,MATCH("Category",'Pass 2'!$1:$1,0),FALSE()),"")</f>
        <v/>
      </c>
      <c r="C499" s="1" t="str">
        <f aca="false">IFERROR(VLOOKUP(A499,'Pass 1 Archive'!$A:$AD,MATCH("LinkedIn Employee Count",'Pass 1 Archive'!$1:$1,0),FALSE()),"")</f>
        <v/>
      </c>
      <c r="D499" s="1" t="str">
        <f aca="false">IFERROR(VLOOKUP(A499,'Pass 2'!$A:$S,MATCH("Jan 2025 Traffic",'Pass 2'!$1:$1,0),FALSE()),"")</f>
        <v/>
      </c>
      <c r="E499" s="1" t="str">
        <f aca="false">IFERROR(VLOOKUP(A499,'Pass 2'!$A:$S,MATCH("Jun 2026 Traffic",'Pass 2'!$1:$1,0),FALSE()),"")</f>
        <v/>
      </c>
      <c r="F499" s="1" t="str">
        <f aca="false">IFERROR(VLOOKUP(A499,'Pass 2'!$A:$S,MATCH("Traffic % Change",'Pass 2'!$1:$1,0),FALSE()),"")</f>
        <v/>
      </c>
      <c r="G499" s="1" t="str">
        <f aca="false">IFERROR(VLOOKUP(A499,'Pass 2'!$A:$S,MATCH("Jan 2025 Referring Domains",'Pass 2'!$1:$1,0),FALSE()),"")</f>
        <v/>
      </c>
      <c r="H499" s="1" t="str">
        <f aca="false">IFERROR(VLOOKUP(A499,'Pass 2'!$A:$S,MATCH("Jun 2026 Referring Domains",'Pass 2'!$1:$1,0),FALSE()),"")</f>
        <v/>
      </c>
    </row>
    <row r="500" customFormat="false" ht="15" hidden="false" customHeight="true" outlineLevel="0" collapsed="false">
      <c r="B500" s="1" t="str">
        <f aca="false">IFERROR(VLOOKUP(A500,'Pass 2'!$A:$S,MATCH("Category",'Pass 2'!$1:$1,0),FALSE()),"")</f>
        <v/>
      </c>
      <c r="C500" s="1" t="str">
        <f aca="false">IFERROR(VLOOKUP(A500,'Pass 1 Archive'!$A:$AD,MATCH("LinkedIn Employee Count",'Pass 1 Archive'!$1:$1,0),FALSE()),"")</f>
        <v/>
      </c>
      <c r="D500" s="1" t="str">
        <f aca="false">IFERROR(VLOOKUP(A500,'Pass 2'!$A:$S,MATCH("Jan 2025 Traffic",'Pass 2'!$1:$1,0),FALSE()),"")</f>
        <v/>
      </c>
      <c r="E500" s="1" t="str">
        <f aca="false">IFERROR(VLOOKUP(A500,'Pass 2'!$A:$S,MATCH("Jun 2026 Traffic",'Pass 2'!$1:$1,0),FALSE()),"")</f>
        <v/>
      </c>
      <c r="F500" s="1" t="str">
        <f aca="false">IFERROR(VLOOKUP(A500,'Pass 2'!$A:$S,MATCH("Traffic % Change",'Pass 2'!$1:$1,0),FALSE()),"")</f>
        <v/>
      </c>
      <c r="G500" s="1" t="str">
        <f aca="false">IFERROR(VLOOKUP(A500,'Pass 2'!$A:$S,MATCH("Jan 2025 Referring Domains",'Pass 2'!$1:$1,0),FALSE()),"")</f>
        <v/>
      </c>
      <c r="H500" s="1" t="str">
        <f aca="false">IFERROR(VLOOKUP(A500,'Pass 2'!$A:$S,MATCH("Jun 2026 Referring Domains",'Pass 2'!$1:$1,0),FALSE()),"")</f>
        <v/>
      </c>
    </row>
  </sheetData>
  <dataValidations count="6">
    <dataValidation allowBlank="true" errorStyle="stop" operator="between" showDropDown="false" showErrorMessage="false" showInputMessage="false" sqref="K2:K501" type="list">
      <formula1>"Active,Minimal,Static"</formula1>
      <formula2>0</formula2>
    </dataValidation>
    <dataValidation allowBlank="true" errorStyle="stop" operator="between" showDropDown="false" showErrorMessage="false" showInputMessage="false" sqref="L2:L501" type="list">
      <formula1>"Present-underperforming,Absent,Unclear"</formula1>
      <formula2>0</formula2>
    </dataValidation>
    <dataValidation allowBlank="true" errorStyle="stop" operator="between" showDropDown="false" showErrorMessage="false" showInputMessage="false" sqref="N2:N501" type="list">
      <formula1>"Algorithm change,Lack of publishing,Competitive displacement,Product/market issue,Other,Unclear"</formula1>
      <formula2>0</formula2>
    </dataValidation>
    <dataValidation allowBlank="true" errorStyle="stop" operator="between" showDropDown="false" showErrorMessage="false" showInputMessage="false" sqref="P2:P501" type="list">
      <formula1>"High,Medium,Low,Unclear"</formula1>
      <formula2>0</formula2>
    </dataValidation>
    <dataValidation allowBlank="true" errorStyle="stop" operator="between" showDropDown="false" showErrorMessage="false" showInputMessage="false" sqref="Q2:Q501" type="list">
      <formula1>"Not Started,In Progress,Complete"</formula1>
      <formula2>0</formula2>
    </dataValidation>
    <dataValidation allowBlank="true" errorStyle="stop" operator="between" showDropDown="false" showErrorMessage="false" showInputMessage="false" sqref="R2:R50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4" min="3" style="1" width="16"/>
    <col collapsed="false" customWidth="true" hidden="false" outlineLevel="0" max="5" min="5" style="1" width="40"/>
    <col collapsed="false" customWidth="true" hidden="false" outlineLevel="0" max="6" min="6" style="1" width="36"/>
    <col collapsed="false" customWidth="true" hidden="false" outlineLevel="0" max="7" min="7" style="1" width="26"/>
    <col collapsed="false" customWidth="true" hidden="false" outlineLevel="0" max="8" min="8" style="1" width="12"/>
  </cols>
  <sheetData>
    <row r="1" customFormat="false" ht="33.75" hidden="false" customHeight="true" outlineLevel="0" collapsed="false">
      <c r="A1" s="12" t="s">
        <v>236</v>
      </c>
      <c r="B1" s="12" t="s">
        <v>102</v>
      </c>
      <c r="C1" s="12" t="s">
        <v>1581</v>
      </c>
      <c r="D1" s="12" t="s">
        <v>240</v>
      </c>
      <c r="E1" s="12" t="s">
        <v>242</v>
      </c>
      <c r="F1" s="12" t="s">
        <v>243</v>
      </c>
      <c r="G1" s="12" t="s">
        <v>244</v>
      </c>
      <c r="H1" s="12" t="s">
        <v>245</v>
      </c>
    </row>
    <row r="2" customFormat="false" ht="15" hidden="false" customHeight="true" outlineLevel="0" collapsed="false">
      <c r="A2" s="5" t="n">
        <v>1</v>
      </c>
      <c r="B2" s="5" t="s">
        <v>1330</v>
      </c>
      <c r="C2" s="5" t="s">
        <v>1582</v>
      </c>
      <c r="D2" s="5" t="s">
        <v>1583</v>
      </c>
      <c r="E2" s="5" t="s">
        <v>1584</v>
      </c>
      <c r="F2" s="5" t="s">
        <v>1585</v>
      </c>
      <c r="G2" s="5" t="s">
        <v>1586</v>
      </c>
      <c r="H2" s="5" t="s">
        <v>1587</v>
      </c>
    </row>
    <row r="3" customFormat="false" ht="15" hidden="false" customHeight="true" outlineLevel="0" collapsed="false">
      <c r="A3" s="5" t="n">
        <v>2</v>
      </c>
      <c r="B3" s="5" t="s">
        <v>1330</v>
      </c>
      <c r="C3" s="5" t="s">
        <v>1588</v>
      </c>
      <c r="D3" s="5" t="s">
        <v>1589</v>
      </c>
      <c r="E3" s="5" t="s">
        <v>1590</v>
      </c>
      <c r="F3" s="5" t="s">
        <v>1591</v>
      </c>
      <c r="G3" s="5" t="s">
        <v>1592</v>
      </c>
      <c r="H3" s="5" t="s">
        <v>1587</v>
      </c>
    </row>
    <row r="4" customFormat="false" ht="15" hidden="false" customHeight="true" outlineLevel="0" collapsed="false">
      <c r="A4" s="5" t="n">
        <v>3</v>
      </c>
      <c r="B4" s="5" t="s">
        <v>1330</v>
      </c>
      <c r="C4" s="5" t="s">
        <v>1593</v>
      </c>
      <c r="D4" s="5" t="s">
        <v>1594</v>
      </c>
      <c r="E4" s="5" t="s">
        <v>1595</v>
      </c>
      <c r="F4" s="5" t="s">
        <v>1596</v>
      </c>
      <c r="G4" s="5" t="s">
        <v>1597</v>
      </c>
      <c r="H4" s="5" t="s">
        <v>1587</v>
      </c>
    </row>
    <row r="5" customFormat="false" ht="15" hidden="false" customHeight="true" outlineLevel="0" collapsed="false">
      <c r="A5" s="5" t="n">
        <v>4</v>
      </c>
      <c r="B5" s="5" t="s">
        <v>1330</v>
      </c>
      <c r="C5" s="5" t="s">
        <v>1598</v>
      </c>
      <c r="D5" s="5" t="s">
        <v>1599</v>
      </c>
      <c r="E5" s="5" t="s">
        <v>1600</v>
      </c>
      <c r="F5" s="5" t="s">
        <v>1601</v>
      </c>
      <c r="G5" s="5" t="s">
        <v>1602</v>
      </c>
      <c r="H5" s="5" t="s">
        <v>1587</v>
      </c>
    </row>
    <row r="6" customFormat="false" ht="15" hidden="false" customHeight="true" outlineLevel="0" collapsed="false">
      <c r="A6" s="5" t="n">
        <v>5</v>
      </c>
      <c r="B6" s="5" t="s">
        <v>1330</v>
      </c>
      <c r="C6" s="5" t="s">
        <v>1603</v>
      </c>
      <c r="D6" s="5" t="s">
        <v>1583</v>
      </c>
      <c r="E6" s="5" t="s">
        <v>1604</v>
      </c>
      <c r="F6" s="5" t="s">
        <v>1605</v>
      </c>
      <c r="G6" s="5" t="s">
        <v>1606</v>
      </c>
      <c r="H6" s="5" t="s">
        <v>1587</v>
      </c>
    </row>
    <row r="7" customFormat="false" ht="15" hidden="false" customHeight="true" outlineLevel="0" collapsed="false">
      <c r="A7" s="5" t="n">
        <v>6</v>
      </c>
      <c r="B7" s="5" t="s">
        <v>1607</v>
      </c>
      <c r="C7" s="5" t="s">
        <v>468</v>
      </c>
      <c r="D7" s="5" t="s">
        <v>1583</v>
      </c>
      <c r="E7" s="5" t="s">
        <v>1608</v>
      </c>
      <c r="F7" s="5" t="s">
        <v>1609</v>
      </c>
      <c r="G7" s="5" t="s">
        <v>1610</v>
      </c>
      <c r="H7" s="5" t="s">
        <v>1587</v>
      </c>
    </row>
    <row r="8" customFormat="false" ht="15" hidden="false" customHeight="true" outlineLevel="0" collapsed="false">
      <c r="A8" s="5" t="n">
        <v>7</v>
      </c>
      <c r="B8" s="5" t="s">
        <v>1607</v>
      </c>
      <c r="C8" s="5" t="s">
        <v>489</v>
      </c>
      <c r="D8" s="5" t="s">
        <v>1583</v>
      </c>
      <c r="E8" s="5" t="s">
        <v>1611</v>
      </c>
      <c r="F8" s="5" t="s">
        <v>1612</v>
      </c>
      <c r="G8" s="5" t="s">
        <v>1613</v>
      </c>
      <c r="H8" s="5" t="s">
        <v>1587</v>
      </c>
    </row>
    <row r="9" customFormat="false" ht="15" hidden="false" customHeight="true" outlineLevel="0" collapsed="false">
      <c r="A9" s="5" t="n">
        <v>8</v>
      </c>
      <c r="B9" s="5" t="s">
        <v>1607</v>
      </c>
      <c r="C9" s="5" t="s">
        <v>528</v>
      </c>
      <c r="D9" s="5" t="s">
        <v>1614</v>
      </c>
      <c r="E9" s="5" t="s">
        <v>1615</v>
      </c>
      <c r="F9" s="5" t="s">
        <v>1616</v>
      </c>
      <c r="G9" s="5" t="s">
        <v>1617</v>
      </c>
      <c r="H9" s="5" t="s">
        <v>1587</v>
      </c>
    </row>
    <row r="10" customFormat="false" ht="15" hidden="false" customHeight="true" outlineLevel="0" collapsed="false">
      <c r="A10" s="5"/>
      <c r="B10" s="5"/>
      <c r="C10" s="5"/>
      <c r="D10" s="5"/>
      <c r="E10" s="5"/>
      <c r="F10" s="5"/>
      <c r="G10" s="5"/>
      <c r="H10" s="5"/>
    </row>
    <row r="11" customFormat="false" ht="15" hidden="false" customHeight="true" outlineLevel="0" collapsed="false">
      <c r="A11" s="5"/>
      <c r="B11" s="5"/>
      <c r="C11" s="5"/>
      <c r="D11" s="5"/>
      <c r="E11" s="5"/>
      <c r="F11" s="5"/>
      <c r="G11" s="5"/>
      <c r="H11" s="5"/>
    </row>
    <row r="12" customFormat="false" ht="15" hidden="false" customHeight="true" outlineLevel="0" collapsed="false">
      <c r="A12" s="5"/>
      <c r="B12" s="5"/>
      <c r="C12" s="5"/>
      <c r="D12" s="5"/>
      <c r="E12" s="5"/>
      <c r="F12" s="5"/>
      <c r="G12" s="5"/>
      <c r="H12" s="5"/>
    </row>
    <row r="13" customFormat="false" ht="15" hidden="false" customHeight="true" outlineLevel="0" collapsed="false">
      <c r="A13" s="5"/>
      <c r="B13" s="5"/>
      <c r="C13" s="5"/>
      <c r="D13" s="5"/>
      <c r="E13" s="5"/>
      <c r="F13" s="5"/>
      <c r="G13" s="5"/>
      <c r="H13" s="5"/>
    </row>
    <row r="14" customFormat="false" ht="15" hidden="false" customHeight="true" outlineLevel="0" collapsed="false">
      <c r="A14" s="5"/>
      <c r="B14" s="5"/>
      <c r="C14" s="5"/>
      <c r="D14" s="5"/>
      <c r="E14" s="5"/>
      <c r="F14" s="5"/>
      <c r="G14" s="5"/>
      <c r="H14" s="5"/>
    </row>
    <row r="15" customFormat="false" ht="15" hidden="false" customHeight="true" outlineLevel="0" collapsed="false">
      <c r="A15" s="5"/>
      <c r="B15" s="5"/>
      <c r="C15" s="5"/>
      <c r="D15" s="5"/>
      <c r="E15" s="5"/>
      <c r="F15" s="5"/>
      <c r="G15" s="5"/>
      <c r="H15" s="5"/>
    </row>
    <row r="16" customFormat="false" ht="15" hidden="false" customHeight="true" outlineLevel="0" collapsed="false">
      <c r="A16" s="5"/>
      <c r="B16" s="5"/>
      <c r="C16" s="5"/>
      <c r="D16" s="5"/>
      <c r="E16" s="5"/>
      <c r="F16" s="5"/>
      <c r="G16" s="5"/>
      <c r="H16" s="5"/>
    </row>
    <row r="17" customFormat="false" ht="15" hidden="false" customHeight="true" outlineLevel="0" collapsed="false">
      <c r="A17" s="5"/>
      <c r="B17" s="5"/>
      <c r="C17" s="5"/>
      <c r="D17" s="5"/>
      <c r="E17" s="5"/>
      <c r="F17" s="5"/>
      <c r="G17" s="5"/>
      <c r="H17" s="5"/>
    </row>
    <row r="18" customFormat="false" ht="15" hidden="false" customHeight="true" outlineLevel="0" collapsed="false">
      <c r="A18" s="5"/>
      <c r="B18" s="5"/>
      <c r="C18" s="5"/>
      <c r="D18" s="5"/>
      <c r="E18" s="5"/>
      <c r="F18" s="5"/>
      <c r="G18" s="5"/>
      <c r="H18" s="5"/>
    </row>
    <row r="19" customFormat="false" ht="15" hidden="false" customHeight="true" outlineLevel="0" collapsed="false">
      <c r="A19" s="5"/>
      <c r="B19" s="5"/>
      <c r="C19" s="5"/>
      <c r="D19" s="5"/>
      <c r="E19" s="5"/>
      <c r="F19" s="5"/>
      <c r="G19" s="5"/>
      <c r="H19" s="5"/>
    </row>
    <row r="20" customFormat="false" ht="15" hidden="false" customHeight="true" outlineLevel="0" collapsed="false">
      <c r="A20" s="5"/>
      <c r="B20" s="5"/>
      <c r="C20" s="5"/>
      <c r="D20" s="5"/>
      <c r="E20" s="5"/>
      <c r="F20" s="5"/>
      <c r="G20" s="5"/>
      <c r="H20" s="5"/>
    </row>
    <row r="21" customFormat="false" ht="15" hidden="false" customHeight="true" outlineLevel="0" collapsed="false">
      <c r="A21" s="5"/>
      <c r="B21" s="5"/>
      <c r="C21" s="5"/>
      <c r="D21" s="5"/>
      <c r="E21" s="5"/>
      <c r="F21" s="5"/>
      <c r="G21" s="5"/>
      <c r="H21" s="5"/>
    </row>
    <row r="22" customFormat="false" ht="15" hidden="false" customHeight="true" outlineLevel="0" collapsed="false">
      <c r="A22" s="5"/>
      <c r="B22" s="5"/>
      <c r="C22" s="5"/>
      <c r="D22" s="5"/>
      <c r="E22" s="5"/>
      <c r="F22" s="5"/>
      <c r="G22" s="5"/>
      <c r="H22" s="5"/>
    </row>
    <row r="23" customFormat="false" ht="15" hidden="false" customHeight="true" outlineLevel="0" collapsed="false">
      <c r="A23" s="5"/>
      <c r="B23" s="5"/>
      <c r="C23" s="5"/>
      <c r="D23" s="5"/>
      <c r="E23" s="5"/>
      <c r="F23" s="5"/>
      <c r="G23" s="5"/>
      <c r="H23" s="5"/>
    </row>
    <row r="24" customFormat="false" ht="15" hidden="false" customHeight="true" outlineLevel="0" collapsed="false">
      <c r="A24" s="5"/>
      <c r="B24" s="5"/>
      <c r="C24" s="5"/>
      <c r="D24" s="5"/>
      <c r="E24" s="5"/>
      <c r="F24" s="5"/>
      <c r="G24" s="5"/>
      <c r="H24" s="5"/>
    </row>
    <row r="25" customFormat="false" ht="15" hidden="false" customHeight="true" outlineLevel="0" collapsed="false">
      <c r="A25" s="5"/>
      <c r="B25" s="5"/>
      <c r="C25" s="5"/>
      <c r="D25" s="5"/>
      <c r="E25" s="5"/>
      <c r="F25" s="5"/>
      <c r="G25" s="5"/>
      <c r="H25" s="5"/>
    </row>
    <row r="26" customFormat="false" ht="15" hidden="false" customHeight="true" outlineLevel="0" collapsed="false">
      <c r="A26" s="5"/>
      <c r="B26" s="5"/>
      <c r="C26" s="5"/>
      <c r="D26" s="5"/>
      <c r="E26" s="5"/>
      <c r="F26" s="5"/>
      <c r="G26" s="5"/>
      <c r="H26" s="5"/>
    </row>
    <row r="27" customFormat="false" ht="15" hidden="false" customHeight="true" outlineLevel="0" collapsed="false">
      <c r="A27" s="5"/>
      <c r="B27" s="5"/>
      <c r="C27" s="5"/>
      <c r="D27" s="5"/>
      <c r="E27" s="5"/>
      <c r="F27" s="5"/>
      <c r="G27" s="5"/>
      <c r="H27" s="5"/>
    </row>
    <row r="28" customFormat="false" ht="15" hidden="false" customHeight="true" outlineLevel="0" collapsed="false">
      <c r="A28" s="5"/>
      <c r="B28" s="5"/>
      <c r="C28" s="5"/>
      <c r="D28" s="5"/>
      <c r="E28" s="5"/>
      <c r="F28" s="5"/>
      <c r="G28" s="5"/>
      <c r="H28" s="5"/>
    </row>
    <row r="29" customFormat="false" ht="15" hidden="false" customHeight="true" outlineLevel="0" collapsed="false">
      <c r="A29" s="5"/>
      <c r="B29" s="5"/>
      <c r="C29" s="5"/>
      <c r="D29" s="5"/>
      <c r="E29" s="5"/>
      <c r="F29" s="5"/>
      <c r="G29" s="5"/>
      <c r="H29" s="5"/>
    </row>
    <row r="30" customFormat="false" ht="15" hidden="false" customHeight="true" outlineLevel="0" collapsed="false">
      <c r="A30" s="5"/>
      <c r="B30" s="5"/>
      <c r="C30" s="5"/>
      <c r="D30" s="5"/>
      <c r="E30" s="5"/>
      <c r="F30" s="5"/>
      <c r="G30" s="5"/>
      <c r="H30" s="5"/>
    </row>
    <row r="31" customFormat="false" ht="15" hidden="false" customHeight="true" outlineLevel="0" collapsed="false">
      <c r="A31" s="5"/>
      <c r="B31" s="5"/>
      <c r="C31" s="5"/>
      <c r="D31" s="5"/>
      <c r="E31" s="5"/>
      <c r="F31" s="5"/>
      <c r="G31" s="5"/>
      <c r="H31" s="5"/>
    </row>
    <row r="32" customFormat="false" ht="15" hidden="false" customHeight="true" outlineLevel="0" collapsed="false">
      <c r="A32" s="5"/>
      <c r="B32" s="5"/>
      <c r="C32" s="5"/>
      <c r="D32" s="5"/>
      <c r="E32" s="5"/>
      <c r="F32" s="5"/>
      <c r="G32" s="5"/>
      <c r="H32" s="5"/>
    </row>
    <row r="33" customFormat="false" ht="15" hidden="false" customHeight="true" outlineLevel="0" collapsed="false">
      <c r="A33" s="5"/>
      <c r="B33" s="5"/>
      <c r="C33" s="5"/>
      <c r="D33" s="5"/>
      <c r="E33" s="5"/>
      <c r="F33" s="5"/>
      <c r="G33" s="5"/>
      <c r="H33" s="5"/>
    </row>
    <row r="34" customFormat="false" ht="15" hidden="false" customHeight="true" outlineLevel="0" collapsed="false">
      <c r="A34" s="5"/>
      <c r="B34" s="5"/>
      <c r="C34" s="5"/>
      <c r="D34" s="5"/>
      <c r="E34" s="5"/>
      <c r="F34" s="5"/>
      <c r="G34" s="5"/>
      <c r="H34" s="5"/>
    </row>
    <row r="35" customFormat="false" ht="15" hidden="false" customHeight="true" outlineLevel="0" collapsed="false">
      <c r="A35" s="5"/>
      <c r="B35" s="5"/>
      <c r="C35" s="5"/>
      <c r="D35" s="5"/>
      <c r="E35" s="5"/>
      <c r="F35" s="5"/>
      <c r="G35" s="5"/>
      <c r="H35" s="5"/>
    </row>
    <row r="36" customFormat="false" ht="15" hidden="false" customHeight="true" outlineLevel="0" collapsed="false">
      <c r="A36" s="5"/>
      <c r="B36" s="5"/>
      <c r="C36" s="5"/>
      <c r="D36" s="5"/>
      <c r="E36" s="5"/>
      <c r="F36" s="5"/>
      <c r="G36" s="5"/>
      <c r="H36" s="5"/>
    </row>
    <row r="37" customFormat="false" ht="15" hidden="false" customHeight="true" outlineLevel="0" collapsed="false">
      <c r="A37" s="5"/>
      <c r="B37" s="5"/>
      <c r="C37" s="5"/>
      <c r="D37" s="5"/>
      <c r="E37" s="5"/>
      <c r="F37" s="5"/>
      <c r="G37" s="5"/>
      <c r="H37" s="5"/>
    </row>
    <row r="38" customFormat="false" ht="15" hidden="false" customHeight="true" outlineLevel="0" collapsed="false">
      <c r="A38" s="5"/>
      <c r="B38" s="5"/>
      <c r="C38" s="5"/>
      <c r="D38" s="5"/>
      <c r="E38" s="5"/>
      <c r="F38" s="5"/>
      <c r="G38" s="5"/>
      <c r="H38" s="5"/>
    </row>
    <row r="39" customFormat="false" ht="15" hidden="false" customHeight="true" outlineLevel="0" collapsed="false">
      <c r="A39" s="5"/>
      <c r="B39" s="5"/>
      <c r="C39" s="5"/>
      <c r="D39" s="5"/>
      <c r="E39" s="5"/>
      <c r="F39" s="5"/>
      <c r="G39" s="5"/>
      <c r="H39" s="5"/>
    </row>
    <row r="40" customFormat="false" ht="15" hidden="false" customHeight="true" outlineLevel="0" collapsed="false">
      <c r="A40" s="5"/>
      <c r="B40" s="5"/>
      <c r="C40" s="5"/>
      <c r="D40" s="5"/>
      <c r="E40" s="5"/>
      <c r="F40" s="5"/>
      <c r="G40" s="5"/>
      <c r="H40" s="5"/>
    </row>
    <row r="41" customFormat="false" ht="15" hidden="false" customHeight="true" outlineLevel="0" collapsed="false">
      <c r="A41" s="5"/>
      <c r="B41" s="5"/>
      <c r="C41" s="5"/>
      <c r="D41" s="5"/>
      <c r="E41" s="5"/>
      <c r="F41" s="5"/>
      <c r="G41" s="5"/>
      <c r="H41" s="5"/>
    </row>
    <row r="42" customFormat="false" ht="15" hidden="false" customHeight="true" outlineLevel="0" collapsed="false">
      <c r="A42" s="5"/>
      <c r="B42" s="5"/>
      <c r="C42" s="5"/>
      <c r="D42" s="5"/>
      <c r="E42" s="5"/>
      <c r="F42" s="5"/>
      <c r="G42" s="5"/>
      <c r="H42" s="5"/>
    </row>
    <row r="43" customFormat="false" ht="15" hidden="false" customHeight="true" outlineLevel="0" collapsed="false">
      <c r="A43" s="5"/>
      <c r="B43" s="5"/>
      <c r="C43" s="5"/>
      <c r="D43" s="5"/>
      <c r="E43" s="5"/>
      <c r="F43" s="5"/>
      <c r="G43" s="5"/>
      <c r="H43" s="5"/>
    </row>
    <row r="44" customFormat="false" ht="15" hidden="false" customHeight="true" outlineLevel="0" collapsed="false">
      <c r="A44" s="5"/>
      <c r="B44" s="5"/>
      <c r="C44" s="5"/>
      <c r="D44" s="5"/>
      <c r="E44" s="5"/>
      <c r="F44" s="5"/>
      <c r="G44" s="5"/>
      <c r="H44" s="5"/>
    </row>
    <row r="45" customFormat="false" ht="15" hidden="false" customHeight="true" outlineLevel="0" collapsed="false">
      <c r="A45" s="5"/>
      <c r="B45" s="5"/>
      <c r="C45" s="5"/>
      <c r="D45" s="5"/>
      <c r="E45" s="5"/>
      <c r="F45" s="5"/>
      <c r="G45" s="5"/>
      <c r="H45" s="5"/>
    </row>
    <row r="46" customFormat="false" ht="15" hidden="false" customHeight="true" outlineLevel="0" collapsed="false">
      <c r="A46" s="5"/>
      <c r="B46" s="5"/>
      <c r="C46" s="5"/>
      <c r="D46" s="5"/>
      <c r="E46" s="5"/>
      <c r="F46" s="5"/>
      <c r="G46" s="5"/>
      <c r="H46" s="5"/>
    </row>
    <row r="47" customFormat="false" ht="15" hidden="false" customHeight="true" outlineLevel="0" collapsed="false">
      <c r="A47" s="5"/>
      <c r="B47" s="5"/>
      <c r="C47" s="5"/>
      <c r="D47" s="5"/>
      <c r="E47" s="5"/>
      <c r="F47" s="5"/>
      <c r="G47" s="5"/>
      <c r="H47" s="5"/>
    </row>
    <row r="48" customFormat="false" ht="15" hidden="false" customHeight="true" outlineLevel="0" collapsed="false">
      <c r="A48" s="5"/>
      <c r="B48" s="5"/>
      <c r="C48" s="5"/>
      <c r="D48" s="5"/>
      <c r="E48" s="5"/>
      <c r="F48" s="5"/>
      <c r="G48" s="5"/>
      <c r="H48" s="5"/>
    </row>
    <row r="49" customFormat="false" ht="15" hidden="false" customHeight="true" outlineLevel="0" collapsed="false">
      <c r="A49" s="5"/>
      <c r="B49" s="5"/>
      <c r="C49" s="5"/>
      <c r="D49" s="5"/>
      <c r="E49" s="5"/>
      <c r="F49" s="5"/>
      <c r="G49" s="5"/>
      <c r="H49" s="5"/>
    </row>
    <row r="50" customFormat="false" ht="15" hidden="false" customHeight="true" outlineLevel="0" collapsed="false">
      <c r="A50" s="5"/>
      <c r="B50" s="5"/>
      <c r="C50" s="5"/>
      <c r="D50" s="5"/>
      <c r="E50" s="5"/>
      <c r="F50" s="5"/>
      <c r="G50" s="5"/>
      <c r="H50" s="5"/>
    </row>
    <row r="51" customFormat="false" ht="15" hidden="false" customHeight="true" outlineLevel="0" collapsed="false">
      <c r="A51" s="5"/>
      <c r="B51" s="5"/>
      <c r="C51" s="5"/>
      <c r="D51" s="5"/>
      <c r="E51" s="5"/>
      <c r="F51" s="5"/>
      <c r="G51" s="5"/>
      <c r="H51" s="5"/>
    </row>
    <row r="52" customFormat="false" ht="15" hidden="false" customHeight="true" outlineLevel="0" collapsed="false">
      <c r="A52" s="5"/>
      <c r="B52" s="5"/>
      <c r="C52" s="5"/>
      <c r="D52" s="5"/>
      <c r="E52" s="5"/>
      <c r="F52" s="5"/>
      <c r="G52" s="5"/>
      <c r="H52" s="5"/>
    </row>
    <row r="53" customFormat="false" ht="15" hidden="false" customHeight="true" outlineLevel="0" collapsed="false">
      <c r="A53" s="5"/>
      <c r="B53" s="5"/>
      <c r="C53" s="5"/>
      <c r="D53" s="5"/>
      <c r="E53" s="5"/>
      <c r="F53" s="5"/>
      <c r="G53" s="5"/>
      <c r="H53" s="5"/>
    </row>
    <row r="54" customFormat="false" ht="15" hidden="false" customHeight="true" outlineLevel="0" collapsed="false">
      <c r="A54" s="5"/>
      <c r="B54" s="5"/>
      <c r="C54" s="5"/>
      <c r="D54" s="5"/>
      <c r="E54" s="5"/>
      <c r="F54" s="5"/>
      <c r="G54" s="5"/>
      <c r="H54" s="5"/>
    </row>
    <row r="55" customFormat="false" ht="15" hidden="false" customHeight="true" outlineLevel="0" collapsed="false">
      <c r="A55" s="5"/>
      <c r="B55" s="5"/>
      <c r="C55" s="5"/>
      <c r="D55" s="5"/>
      <c r="E55" s="5"/>
      <c r="F55" s="5"/>
      <c r="G55" s="5"/>
      <c r="H55" s="5"/>
    </row>
    <row r="56" customFormat="false" ht="15" hidden="false" customHeight="true" outlineLevel="0" collapsed="false">
      <c r="A56" s="5"/>
      <c r="B56" s="5"/>
      <c r="C56" s="5"/>
      <c r="D56" s="5"/>
      <c r="E56" s="5"/>
      <c r="F56" s="5"/>
      <c r="G56" s="5"/>
      <c r="H56" s="5"/>
    </row>
    <row r="57" customFormat="false" ht="15" hidden="false" customHeight="true" outlineLevel="0" collapsed="false">
      <c r="A57" s="5"/>
      <c r="B57" s="5"/>
      <c r="C57" s="5"/>
      <c r="D57" s="5"/>
      <c r="E57" s="5"/>
      <c r="F57" s="5"/>
      <c r="G57" s="5"/>
      <c r="H57" s="5"/>
    </row>
    <row r="58" customFormat="false" ht="15" hidden="false" customHeight="true" outlineLevel="0" collapsed="false">
      <c r="A58" s="5"/>
      <c r="B58" s="5"/>
      <c r="C58" s="5"/>
      <c r="D58" s="5"/>
      <c r="E58" s="5"/>
      <c r="F58" s="5"/>
      <c r="G58" s="5"/>
      <c r="H58" s="5"/>
    </row>
    <row r="59" customFormat="false" ht="15" hidden="false" customHeight="true" outlineLevel="0" collapsed="false">
      <c r="A59" s="5"/>
      <c r="B59" s="5"/>
      <c r="C59" s="5"/>
      <c r="D59" s="5"/>
      <c r="E59" s="5"/>
      <c r="F59" s="5"/>
      <c r="G59" s="5"/>
      <c r="H59" s="5"/>
    </row>
    <row r="60" customFormat="false" ht="15" hidden="false" customHeight="true" outlineLevel="0" collapsed="false">
      <c r="A60" s="5"/>
      <c r="B60" s="5"/>
      <c r="C60" s="5"/>
      <c r="D60" s="5"/>
      <c r="E60" s="5"/>
      <c r="F60" s="5"/>
      <c r="G60" s="5"/>
      <c r="H60" s="5"/>
    </row>
    <row r="61" customFormat="false" ht="15" hidden="false" customHeight="true" outlineLevel="0" collapsed="false">
      <c r="A61" s="5"/>
      <c r="B61" s="5"/>
      <c r="C61" s="5"/>
      <c r="D61" s="5"/>
      <c r="E61" s="5"/>
      <c r="F61" s="5"/>
      <c r="G61" s="5"/>
      <c r="H61" s="5"/>
    </row>
    <row r="62" customFormat="false" ht="15" hidden="false" customHeight="true" outlineLevel="0" collapsed="false">
      <c r="A62" s="5"/>
      <c r="B62" s="5"/>
      <c r="C62" s="5"/>
      <c r="D62" s="5"/>
      <c r="E62" s="5"/>
      <c r="F62" s="5"/>
      <c r="G62" s="5"/>
      <c r="H62" s="5"/>
    </row>
    <row r="63" customFormat="false" ht="15" hidden="false" customHeight="true" outlineLevel="0" collapsed="false">
      <c r="A63" s="5"/>
      <c r="B63" s="5"/>
      <c r="C63" s="5"/>
      <c r="D63" s="5"/>
      <c r="E63" s="5"/>
      <c r="F63" s="5"/>
      <c r="G63" s="5"/>
      <c r="H63" s="5"/>
    </row>
    <row r="64" customFormat="false" ht="15" hidden="false" customHeight="true" outlineLevel="0" collapsed="false">
      <c r="A64" s="5"/>
      <c r="B64" s="5"/>
      <c r="C64" s="5"/>
      <c r="D64" s="5"/>
      <c r="E64" s="5"/>
      <c r="F64" s="5"/>
      <c r="G64" s="5"/>
      <c r="H64" s="5"/>
    </row>
    <row r="65" customFormat="false" ht="15" hidden="false" customHeight="true" outlineLevel="0" collapsed="false">
      <c r="A65" s="5"/>
      <c r="B65" s="5"/>
      <c r="C65" s="5"/>
      <c r="D65" s="5"/>
      <c r="E65" s="5"/>
      <c r="F65" s="5"/>
      <c r="G65" s="5"/>
      <c r="H65" s="5"/>
    </row>
    <row r="66" customFormat="false" ht="15" hidden="false" customHeight="true" outlineLevel="0" collapsed="false">
      <c r="A66" s="5"/>
      <c r="B66" s="5"/>
      <c r="C66" s="5"/>
      <c r="D66" s="5"/>
      <c r="E66" s="5"/>
      <c r="F66" s="5"/>
      <c r="G66" s="5"/>
      <c r="H66" s="5"/>
    </row>
    <row r="67" customFormat="false" ht="15" hidden="false" customHeight="true" outlineLevel="0" collapsed="false">
      <c r="A67" s="5"/>
      <c r="B67" s="5"/>
      <c r="C67" s="5"/>
      <c r="D67" s="5"/>
      <c r="E67" s="5"/>
      <c r="F67" s="5"/>
      <c r="G67" s="5"/>
      <c r="H67" s="5"/>
    </row>
    <row r="68" customFormat="false" ht="15" hidden="false" customHeight="true" outlineLevel="0" collapsed="false">
      <c r="A68" s="5"/>
      <c r="B68" s="5"/>
      <c r="C68" s="5"/>
      <c r="D68" s="5"/>
      <c r="E68" s="5"/>
      <c r="F68" s="5"/>
      <c r="G68" s="5"/>
      <c r="H68" s="5"/>
    </row>
    <row r="69" customFormat="false" ht="15" hidden="false" customHeight="true" outlineLevel="0" collapsed="false">
      <c r="A69" s="5"/>
      <c r="B69" s="5"/>
      <c r="C69" s="5"/>
      <c r="D69" s="5"/>
      <c r="E69" s="5"/>
      <c r="F69" s="5"/>
      <c r="G69" s="5"/>
      <c r="H69" s="5"/>
    </row>
    <row r="70" customFormat="false" ht="15" hidden="false" customHeight="true" outlineLevel="0" collapsed="false">
      <c r="A70" s="5"/>
      <c r="B70" s="5"/>
      <c r="C70" s="5"/>
      <c r="D70" s="5"/>
      <c r="E70" s="5"/>
      <c r="F70" s="5"/>
      <c r="G70" s="5"/>
      <c r="H70" s="5"/>
    </row>
    <row r="71" customFormat="false" ht="15" hidden="false" customHeight="true" outlineLevel="0" collapsed="false">
      <c r="A71" s="5"/>
      <c r="B71" s="5"/>
      <c r="C71" s="5"/>
      <c r="D71" s="5"/>
      <c r="E71" s="5"/>
      <c r="F71" s="5"/>
      <c r="G71" s="5"/>
      <c r="H71" s="5"/>
    </row>
    <row r="72" customFormat="false" ht="15" hidden="false" customHeight="true" outlineLevel="0" collapsed="false">
      <c r="A72" s="5"/>
      <c r="B72" s="5"/>
      <c r="C72" s="5"/>
      <c r="D72" s="5"/>
      <c r="E72" s="5"/>
      <c r="F72" s="5"/>
      <c r="G72" s="5"/>
      <c r="H72" s="5"/>
    </row>
    <row r="73" customFormat="false" ht="15" hidden="false" customHeight="true" outlineLevel="0" collapsed="false">
      <c r="A73" s="5"/>
      <c r="B73" s="5"/>
      <c r="C73" s="5"/>
      <c r="D73" s="5"/>
      <c r="E73" s="5"/>
      <c r="F73" s="5"/>
      <c r="G73" s="5"/>
      <c r="H73" s="5"/>
    </row>
    <row r="74" customFormat="false" ht="15" hidden="false" customHeight="true" outlineLevel="0" collapsed="false">
      <c r="A74" s="5"/>
      <c r="B74" s="5"/>
      <c r="C74" s="5"/>
      <c r="D74" s="5"/>
      <c r="E74" s="5"/>
      <c r="F74" s="5"/>
      <c r="G74" s="5"/>
      <c r="H74" s="5"/>
    </row>
    <row r="75" customFormat="false" ht="15" hidden="false" customHeight="true" outlineLevel="0" collapsed="false">
      <c r="A75" s="5"/>
      <c r="B75" s="5"/>
      <c r="C75" s="5"/>
      <c r="D75" s="5"/>
      <c r="E75" s="5"/>
      <c r="F75" s="5"/>
      <c r="G75" s="5"/>
      <c r="H75" s="5"/>
    </row>
    <row r="76" customFormat="false" ht="15" hidden="false" customHeight="true" outlineLevel="0" collapsed="false">
      <c r="A76" s="5"/>
      <c r="B76" s="5"/>
      <c r="C76" s="5"/>
      <c r="D76" s="5"/>
      <c r="E76" s="5"/>
      <c r="F76" s="5"/>
      <c r="G76" s="5"/>
      <c r="H76" s="5"/>
    </row>
    <row r="77" customFormat="false" ht="15" hidden="false" customHeight="true" outlineLevel="0" collapsed="false">
      <c r="A77" s="5"/>
      <c r="B77" s="5"/>
      <c r="C77" s="5"/>
      <c r="D77" s="5"/>
      <c r="E77" s="5"/>
      <c r="F77" s="5"/>
      <c r="G77" s="5"/>
      <c r="H77" s="5"/>
    </row>
    <row r="78" customFormat="false" ht="15" hidden="false" customHeight="true" outlineLevel="0" collapsed="false">
      <c r="A78" s="5"/>
      <c r="B78" s="5"/>
      <c r="C78" s="5"/>
      <c r="D78" s="5"/>
      <c r="E78" s="5"/>
      <c r="F78" s="5"/>
      <c r="G78" s="5"/>
      <c r="H78" s="5"/>
    </row>
    <row r="79" customFormat="false" ht="15" hidden="false" customHeight="true" outlineLevel="0" collapsed="false">
      <c r="A79" s="5"/>
      <c r="B79" s="5"/>
      <c r="C79" s="5"/>
      <c r="D79" s="5"/>
      <c r="E79" s="5"/>
      <c r="F79" s="5"/>
      <c r="G79" s="5"/>
      <c r="H79" s="5"/>
    </row>
    <row r="80" customFormat="false" ht="15" hidden="false" customHeight="true" outlineLevel="0" collapsed="false">
      <c r="A80" s="5"/>
      <c r="B80" s="5"/>
      <c r="C80" s="5"/>
      <c r="D80" s="5"/>
      <c r="E80" s="5"/>
      <c r="F80" s="5"/>
      <c r="G80" s="5"/>
      <c r="H80" s="5"/>
    </row>
    <row r="81" customFormat="false" ht="15" hidden="false" customHeight="true" outlineLevel="0" collapsed="false">
      <c r="A81" s="5"/>
      <c r="B81" s="5"/>
      <c r="C81" s="5"/>
      <c r="D81" s="5"/>
      <c r="E81" s="5"/>
      <c r="F81" s="5"/>
      <c r="G81" s="5"/>
      <c r="H81" s="5"/>
    </row>
    <row r="82" customFormat="false" ht="15" hidden="false" customHeight="true" outlineLevel="0" collapsed="false">
      <c r="A82" s="5"/>
      <c r="B82" s="5"/>
      <c r="C82" s="5"/>
      <c r="D82" s="5"/>
      <c r="E82" s="5"/>
      <c r="F82" s="5"/>
      <c r="G82" s="5"/>
      <c r="H82" s="5"/>
    </row>
    <row r="83" customFormat="false" ht="15" hidden="false" customHeight="true" outlineLevel="0" collapsed="false">
      <c r="A83" s="5"/>
      <c r="B83" s="5"/>
      <c r="C83" s="5"/>
      <c r="D83" s="5"/>
      <c r="E83" s="5"/>
      <c r="F83" s="5"/>
      <c r="G83" s="5"/>
      <c r="H83" s="5"/>
    </row>
    <row r="84" customFormat="false" ht="15" hidden="false" customHeight="true" outlineLevel="0" collapsed="false">
      <c r="A84" s="5"/>
      <c r="B84" s="5"/>
      <c r="C84" s="5"/>
      <c r="D84" s="5"/>
      <c r="E84" s="5"/>
      <c r="F84" s="5"/>
      <c r="G84" s="5"/>
      <c r="H84" s="5"/>
    </row>
    <row r="85" customFormat="false" ht="15" hidden="false" customHeight="true" outlineLevel="0" collapsed="false">
      <c r="A85" s="5"/>
      <c r="B85" s="5"/>
      <c r="C85" s="5"/>
      <c r="D85" s="5"/>
      <c r="E85" s="5"/>
      <c r="F85" s="5"/>
      <c r="G85" s="5"/>
      <c r="H85" s="5"/>
    </row>
    <row r="86" customFormat="false" ht="15" hidden="false" customHeight="true" outlineLevel="0" collapsed="false">
      <c r="A86" s="5"/>
      <c r="B86" s="5"/>
      <c r="C86" s="5"/>
      <c r="D86" s="5"/>
      <c r="E86" s="5"/>
      <c r="F86" s="5"/>
      <c r="G86" s="5"/>
      <c r="H86" s="5"/>
    </row>
    <row r="87" customFormat="false" ht="15" hidden="false" customHeight="true" outlineLevel="0" collapsed="false">
      <c r="A87" s="5"/>
      <c r="B87" s="5"/>
      <c r="C87" s="5"/>
      <c r="D87" s="5"/>
      <c r="E87" s="5"/>
      <c r="F87" s="5"/>
      <c r="G87" s="5"/>
      <c r="H87" s="5"/>
    </row>
    <row r="88" customFormat="false" ht="15" hidden="false" customHeight="true" outlineLevel="0" collapsed="false">
      <c r="A88" s="5"/>
      <c r="B88" s="5"/>
      <c r="C88" s="5"/>
      <c r="D88" s="5"/>
      <c r="E88" s="5"/>
      <c r="F88" s="5"/>
      <c r="G88" s="5"/>
      <c r="H88" s="5"/>
    </row>
    <row r="89" customFormat="false" ht="15" hidden="false" customHeight="true" outlineLevel="0" collapsed="false">
      <c r="A89" s="5"/>
      <c r="B89" s="5"/>
      <c r="C89" s="5"/>
      <c r="D89" s="5"/>
      <c r="E89" s="5"/>
      <c r="F89" s="5"/>
      <c r="G89" s="5"/>
      <c r="H89" s="5"/>
    </row>
    <row r="90" customFormat="false" ht="15" hidden="false" customHeight="true" outlineLevel="0" collapsed="false">
      <c r="A90" s="5"/>
      <c r="B90" s="5"/>
      <c r="C90" s="5"/>
      <c r="D90" s="5"/>
      <c r="E90" s="5"/>
      <c r="F90" s="5"/>
      <c r="G90" s="5"/>
      <c r="H90" s="5"/>
    </row>
    <row r="91" customFormat="false" ht="15" hidden="false" customHeight="true" outlineLevel="0" collapsed="false">
      <c r="A91" s="5"/>
      <c r="B91" s="5"/>
      <c r="C91" s="5"/>
      <c r="D91" s="5"/>
      <c r="E91" s="5"/>
      <c r="F91" s="5"/>
      <c r="G91" s="5"/>
      <c r="H91" s="5"/>
    </row>
    <row r="92" customFormat="false" ht="15" hidden="false" customHeight="true" outlineLevel="0" collapsed="false">
      <c r="A92" s="5"/>
      <c r="B92" s="5"/>
      <c r="C92" s="5"/>
      <c r="D92" s="5"/>
      <c r="E92" s="5"/>
      <c r="F92" s="5"/>
      <c r="G92" s="5"/>
      <c r="H92" s="5"/>
    </row>
    <row r="93" customFormat="false" ht="15" hidden="false" customHeight="true" outlineLevel="0" collapsed="false">
      <c r="A93" s="5"/>
      <c r="B93" s="5"/>
      <c r="C93" s="5"/>
      <c r="D93" s="5"/>
      <c r="E93" s="5"/>
      <c r="F93" s="5"/>
      <c r="G93" s="5"/>
      <c r="H93" s="5"/>
    </row>
    <row r="94" customFormat="false" ht="15" hidden="false" customHeight="true" outlineLevel="0" collapsed="false">
      <c r="A94" s="5"/>
      <c r="B94" s="5"/>
      <c r="C94" s="5"/>
      <c r="D94" s="5"/>
      <c r="E94" s="5"/>
      <c r="F94" s="5"/>
      <c r="G94" s="5"/>
      <c r="H94" s="5"/>
    </row>
    <row r="95" customFormat="false" ht="15" hidden="false" customHeight="true" outlineLevel="0" collapsed="false">
      <c r="A95" s="5"/>
      <c r="B95" s="5"/>
      <c r="C95" s="5"/>
      <c r="D95" s="5"/>
      <c r="E95" s="5"/>
      <c r="F95" s="5"/>
      <c r="G95" s="5"/>
      <c r="H95" s="5"/>
    </row>
    <row r="96" customFormat="false" ht="15" hidden="false" customHeight="true" outlineLevel="0" collapsed="false">
      <c r="A96" s="5"/>
      <c r="B96" s="5"/>
      <c r="C96" s="5"/>
      <c r="D96" s="5"/>
      <c r="E96" s="5"/>
      <c r="F96" s="5"/>
      <c r="G96" s="5"/>
      <c r="H96" s="5"/>
    </row>
    <row r="97" customFormat="false" ht="15" hidden="false" customHeight="true" outlineLevel="0" collapsed="false">
      <c r="A97" s="5"/>
      <c r="B97" s="5"/>
      <c r="C97" s="5"/>
      <c r="D97" s="5"/>
      <c r="E97" s="5"/>
      <c r="F97" s="5"/>
      <c r="G97" s="5"/>
      <c r="H97" s="5"/>
    </row>
    <row r="98" customFormat="false" ht="15" hidden="false" customHeight="true" outlineLevel="0" collapsed="false">
      <c r="A98" s="5"/>
      <c r="B98" s="5"/>
      <c r="C98" s="5"/>
      <c r="D98" s="5"/>
      <c r="E98" s="5"/>
      <c r="F98" s="5"/>
      <c r="G98" s="5"/>
      <c r="H98" s="5"/>
    </row>
    <row r="99" customFormat="false" ht="15" hidden="false" customHeight="true" outlineLevel="0" collapsed="false">
      <c r="A99" s="5"/>
      <c r="B99" s="5"/>
      <c r="C99" s="5"/>
      <c r="D99" s="5"/>
      <c r="E99" s="5"/>
      <c r="F99" s="5"/>
      <c r="G99" s="5"/>
      <c r="H99" s="5"/>
    </row>
    <row r="100" customFormat="false" ht="15" hidden="false" customHeight="true" outlineLevel="0" collapsed="false">
      <c r="A100" s="5"/>
      <c r="B100" s="5"/>
      <c r="C100" s="5"/>
      <c r="D100" s="5"/>
      <c r="E100" s="5"/>
      <c r="F100" s="5"/>
      <c r="G100" s="5"/>
      <c r="H100" s="5"/>
    </row>
    <row r="101" customFormat="false" ht="15" hidden="false" customHeight="true" outlineLevel="0" collapsed="false">
      <c r="A101" s="5"/>
      <c r="B101" s="5"/>
      <c r="C101" s="5"/>
      <c r="D101" s="5"/>
      <c r="E101" s="5"/>
      <c r="F101" s="5"/>
      <c r="G101" s="5"/>
      <c r="H101" s="5"/>
    </row>
    <row r="102" customFormat="false" ht="15" hidden="false" customHeight="true" outlineLevel="0" collapsed="false">
      <c r="A102" s="5"/>
      <c r="B102" s="5"/>
      <c r="C102" s="5"/>
      <c r="D102" s="5"/>
      <c r="E102" s="5"/>
      <c r="F102" s="5"/>
      <c r="G102" s="5"/>
      <c r="H102" s="5"/>
    </row>
    <row r="103" customFormat="false" ht="15" hidden="false" customHeight="true" outlineLevel="0" collapsed="false">
      <c r="A103" s="5"/>
      <c r="B103" s="5"/>
      <c r="C103" s="5"/>
      <c r="D103" s="5"/>
      <c r="E103" s="5"/>
      <c r="F103" s="5"/>
      <c r="G103" s="5"/>
      <c r="H103" s="5"/>
    </row>
    <row r="104" customFormat="false" ht="15" hidden="false" customHeight="true" outlineLevel="0" collapsed="false">
      <c r="A104" s="5"/>
      <c r="B104" s="5"/>
      <c r="C104" s="5"/>
      <c r="D104" s="5"/>
      <c r="E104" s="5"/>
      <c r="F104" s="5"/>
      <c r="G104" s="5"/>
      <c r="H104" s="5"/>
    </row>
    <row r="105" customFormat="false" ht="15" hidden="false" customHeight="true" outlineLevel="0" collapsed="false">
      <c r="A105" s="5"/>
      <c r="B105" s="5"/>
      <c r="C105" s="5"/>
      <c r="D105" s="5"/>
      <c r="E105" s="5"/>
      <c r="F105" s="5"/>
      <c r="G105" s="5"/>
      <c r="H105" s="5"/>
    </row>
    <row r="106" customFormat="false" ht="15" hidden="false" customHeight="true" outlineLevel="0" collapsed="false">
      <c r="A106" s="5"/>
      <c r="B106" s="5"/>
      <c r="C106" s="5"/>
      <c r="D106" s="5"/>
      <c r="E106" s="5"/>
      <c r="F106" s="5"/>
      <c r="G106" s="5"/>
      <c r="H106" s="5"/>
    </row>
    <row r="107" customFormat="false" ht="15" hidden="false" customHeight="true" outlineLevel="0" collapsed="false">
      <c r="A107" s="5"/>
      <c r="B107" s="5"/>
      <c r="C107" s="5"/>
      <c r="D107" s="5"/>
      <c r="E107" s="5"/>
      <c r="F107" s="5"/>
      <c r="G107" s="5"/>
      <c r="H107" s="5"/>
    </row>
    <row r="108" customFormat="false" ht="15" hidden="false" customHeight="true" outlineLevel="0" collapsed="false">
      <c r="A108" s="5"/>
      <c r="B108" s="5"/>
      <c r="C108" s="5"/>
      <c r="D108" s="5"/>
      <c r="E108" s="5"/>
      <c r="F108" s="5"/>
      <c r="G108" s="5"/>
      <c r="H108" s="5"/>
    </row>
    <row r="109" customFormat="false" ht="15" hidden="false" customHeight="true" outlineLevel="0" collapsed="false">
      <c r="A109" s="5"/>
      <c r="B109" s="5"/>
      <c r="C109" s="5"/>
      <c r="D109" s="5"/>
      <c r="E109" s="5"/>
      <c r="F109" s="5"/>
      <c r="G109" s="5"/>
      <c r="H109" s="5"/>
    </row>
    <row r="110" customFormat="false" ht="15" hidden="false" customHeight="true" outlineLevel="0" collapsed="false">
      <c r="A110" s="5"/>
      <c r="B110" s="5"/>
      <c r="C110" s="5"/>
      <c r="D110" s="5"/>
      <c r="E110" s="5"/>
      <c r="F110" s="5"/>
      <c r="G110" s="5"/>
      <c r="H110" s="5"/>
    </row>
    <row r="111" customFormat="false" ht="15" hidden="false" customHeight="true" outlineLevel="0" collapsed="false">
      <c r="A111" s="5"/>
      <c r="B111" s="5"/>
      <c r="C111" s="5"/>
      <c r="D111" s="5"/>
      <c r="E111" s="5"/>
      <c r="F111" s="5"/>
      <c r="G111" s="5"/>
      <c r="H111" s="5"/>
    </row>
    <row r="112" customFormat="false" ht="15" hidden="false" customHeight="true" outlineLevel="0" collapsed="false">
      <c r="A112" s="5"/>
      <c r="B112" s="5"/>
      <c r="C112" s="5"/>
      <c r="D112" s="5"/>
      <c r="E112" s="5"/>
      <c r="F112" s="5"/>
      <c r="G112" s="5"/>
      <c r="H112" s="5"/>
    </row>
    <row r="113" customFormat="false" ht="15" hidden="false" customHeight="true" outlineLevel="0" collapsed="false">
      <c r="A113" s="5"/>
      <c r="B113" s="5"/>
      <c r="C113" s="5"/>
      <c r="D113" s="5"/>
      <c r="E113" s="5"/>
      <c r="F113" s="5"/>
      <c r="G113" s="5"/>
      <c r="H113" s="5"/>
    </row>
    <row r="114" customFormat="false" ht="15" hidden="false" customHeight="true" outlineLevel="0" collapsed="false">
      <c r="A114" s="5"/>
      <c r="B114" s="5"/>
      <c r="C114" s="5"/>
      <c r="D114" s="5"/>
      <c r="E114" s="5"/>
      <c r="F114" s="5"/>
      <c r="G114" s="5"/>
      <c r="H114" s="5"/>
    </row>
    <row r="115" customFormat="false" ht="15" hidden="false" customHeight="true" outlineLevel="0" collapsed="false">
      <c r="A115" s="5"/>
      <c r="B115" s="5"/>
      <c r="C115" s="5"/>
      <c r="D115" s="5"/>
      <c r="E115" s="5"/>
      <c r="F115" s="5"/>
      <c r="G115" s="5"/>
      <c r="H115" s="5"/>
    </row>
    <row r="116" customFormat="false" ht="15" hidden="false" customHeight="true" outlineLevel="0" collapsed="false">
      <c r="A116" s="5"/>
      <c r="B116" s="5"/>
      <c r="C116" s="5"/>
      <c r="D116" s="5"/>
      <c r="E116" s="5"/>
      <c r="F116" s="5"/>
      <c r="G116" s="5"/>
      <c r="H116" s="5"/>
    </row>
    <row r="117" customFormat="false" ht="15" hidden="false" customHeight="true" outlineLevel="0" collapsed="false">
      <c r="A117" s="5"/>
      <c r="B117" s="5"/>
      <c r="C117" s="5"/>
      <c r="D117" s="5"/>
      <c r="E117" s="5"/>
      <c r="F117" s="5"/>
      <c r="G117" s="5"/>
      <c r="H117" s="5"/>
    </row>
    <row r="118" customFormat="false" ht="15" hidden="false" customHeight="true" outlineLevel="0" collapsed="false">
      <c r="A118" s="5"/>
      <c r="B118" s="5"/>
      <c r="C118" s="5"/>
      <c r="D118" s="5"/>
      <c r="E118" s="5"/>
      <c r="F118" s="5"/>
      <c r="G118" s="5"/>
      <c r="H118" s="5"/>
    </row>
    <row r="119" customFormat="false" ht="15" hidden="false" customHeight="true" outlineLevel="0" collapsed="false">
      <c r="A119" s="5"/>
      <c r="B119" s="5"/>
      <c r="C119" s="5"/>
      <c r="D119" s="5"/>
      <c r="E119" s="5"/>
      <c r="F119" s="5"/>
      <c r="G119" s="5"/>
      <c r="H119" s="5"/>
    </row>
    <row r="120" customFormat="false" ht="15" hidden="false" customHeight="true" outlineLevel="0" collapsed="false">
      <c r="A120" s="5"/>
      <c r="B120" s="5"/>
      <c r="C120" s="5"/>
      <c r="D120" s="5"/>
      <c r="E120" s="5"/>
      <c r="F120" s="5"/>
      <c r="G120" s="5"/>
      <c r="H120" s="5"/>
    </row>
    <row r="121" customFormat="false" ht="15" hidden="false" customHeight="true" outlineLevel="0" collapsed="false">
      <c r="A121" s="5"/>
      <c r="B121" s="5"/>
      <c r="C121" s="5"/>
      <c r="D121" s="5"/>
      <c r="E121" s="5"/>
      <c r="F121" s="5"/>
      <c r="G121" s="5"/>
      <c r="H121" s="5"/>
    </row>
    <row r="122" customFormat="false" ht="15" hidden="false" customHeight="true" outlineLevel="0" collapsed="false">
      <c r="A122" s="5"/>
      <c r="B122" s="5"/>
      <c r="C122" s="5"/>
      <c r="D122" s="5"/>
      <c r="E122" s="5"/>
      <c r="F122" s="5"/>
      <c r="G122" s="5"/>
      <c r="H122" s="5"/>
    </row>
    <row r="123" customFormat="false" ht="15" hidden="false" customHeight="true" outlineLevel="0" collapsed="false">
      <c r="A123" s="5"/>
      <c r="B123" s="5"/>
      <c r="C123" s="5"/>
      <c r="D123" s="5"/>
      <c r="E123" s="5"/>
      <c r="F123" s="5"/>
      <c r="G123" s="5"/>
      <c r="H123" s="5"/>
    </row>
    <row r="124" customFormat="false" ht="15" hidden="false" customHeight="true" outlineLevel="0" collapsed="false">
      <c r="A124" s="5"/>
      <c r="B124" s="5"/>
      <c r="C124" s="5"/>
      <c r="D124" s="5"/>
      <c r="E124" s="5"/>
      <c r="F124" s="5"/>
      <c r="G124" s="5"/>
      <c r="H124" s="5"/>
    </row>
    <row r="125" customFormat="false" ht="15" hidden="false" customHeight="true" outlineLevel="0" collapsed="false">
      <c r="A125" s="5"/>
      <c r="B125" s="5"/>
      <c r="C125" s="5"/>
      <c r="D125" s="5"/>
      <c r="E125" s="5"/>
      <c r="F125" s="5"/>
      <c r="G125" s="5"/>
      <c r="H125" s="5"/>
    </row>
    <row r="126" customFormat="false" ht="15" hidden="false" customHeight="true" outlineLevel="0" collapsed="false">
      <c r="A126" s="5"/>
      <c r="B126" s="5"/>
      <c r="C126" s="5"/>
      <c r="D126" s="5"/>
      <c r="E126" s="5"/>
      <c r="F126" s="5"/>
      <c r="G126" s="5"/>
      <c r="H126" s="5"/>
    </row>
    <row r="127" customFormat="false" ht="15" hidden="false" customHeight="true" outlineLevel="0" collapsed="false">
      <c r="A127" s="5"/>
      <c r="B127" s="5"/>
      <c r="C127" s="5"/>
      <c r="D127" s="5"/>
      <c r="E127" s="5"/>
      <c r="F127" s="5"/>
      <c r="G127" s="5"/>
      <c r="H127" s="5"/>
    </row>
    <row r="128" customFormat="false" ht="15" hidden="false" customHeight="true" outlineLevel="0" collapsed="false">
      <c r="A128" s="5"/>
      <c r="B128" s="5"/>
      <c r="C128" s="5"/>
      <c r="D128" s="5"/>
      <c r="E128" s="5"/>
      <c r="F128" s="5"/>
      <c r="G128" s="5"/>
      <c r="H128" s="5"/>
    </row>
    <row r="129" customFormat="false" ht="15" hidden="false" customHeight="true" outlineLevel="0" collapsed="false">
      <c r="A129" s="5"/>
      <c r="B129" s="5"/>
      <c r="C129" s="5"/>
      <c r="D129" s="5"/>
      <c r="E129" s="5"/>
      <c r="F129" s="5"/>
      <c r="G129" s="5"/>
      <c r="H129" s="5"/>
    </row>
    <row r="130" customFormat="false" ht="15" hidden="false" customHeight="true" outlineLevel="0" collapsed="false">
      <c r="A130" s="5"/>
      <c r="B130" s="5"/>
      <c r="C130" s="5"/>
      <c r="D130" s="5"/>
      <c r="E130" s="5"/>
      <c r="F130" s="5"/>
      <c r="G130" s="5"/>
      <c r="H130" s="5"/>
    </row>
    <row r="131" customFormat="false" ht="15" hidden="false" customHeight="true" outlineLevel="0" collapsed="false">
      <c r="A131" s="5"/>
      <c r="B131" s="5"/>
      <c r="C131" s="5"/>
      <c r="D131" s="5"/>
      <c r="E131" s="5"/>
      <c r="F131" s="5"/>
      <c r="G131" s="5"/>
      <c r="H131" s="5"/>
    </row>
    <row r="132" customFormat="false" ht="15" hidden="false" customHeight="true" outlineLevel="0" collapsed="false">
      <c r="A132" s="5"/>
      <c r="B132" s="5"/>
      <c r="C132" s="5"/>
      <c r="D132" s="5"/>
      <c r="E132" s="5"/>
      <c r="F132" s="5"/>
      <c r="G132" s="5"/>
      <c r="H132" s="5"/>
    </row>
    <row r="133" customFormat="false" ht="15" hidden="false" customHeight="true" outlineLevel="0" collapsed="false">
      <c r="A133" s="5"/>
      <c r="B133" s="5"/>
      <c r="C133" s="5"/>
      <c r="D133" s="5"/>
      <c r="E133" s="5"/>
      <c r="F133" s="5"/>
      <c r="G133" s="5"/>
      <c r="H133" s="5"/>
    </row>
    <row r="134" customFormat="false" ht="15" hidden="false" customHeight="true" outlineLevel="0" collapsed="false">
      <c r="A134" s="5"/>
      <c r="B134" s="5"/>
      <c r="C134" s="5"/>
      <c r="D134" s="5"/>
      <c r="E134" s="5"/>
      <c r="F134" s="5"/>
      <c r="G134" s="5"/>
      <c r="H134" s="5"/>
    </row>
    <row r="135" customFormat="false" ht="15" hidden="false" customHeight="true" outlineLevel="0" collapsed="false">
      <c r="A135" s="5"/>
      <c r="B135" s="5"/>
      <c r="C135" s="5"/>
      <c r="D135" s="5"/>
      <c r="E135" s="5"/>
      <c r="F135" s="5"/>
      <c r="G135" s="5"/>
      <c r="H135" s="5"/>
    </row>
    <row r="136" customFormat="false" ht="15" hidden="false" customHeight="true" outlineLevel="0" collapsed="false">
      <c r="A136" s="5"/>
      <c r="B136" s="5"/>
      <c r="C136" s="5"/>
      <c r="D136" s="5"/>
      <c r="E136" s="5"/>
      <c r="F136" s="5"/>
      <c r="G136" s="5"/>
      <c r="H136" s="5"/>
    </row>
    <row r="137" customFormat="false" ht="15" hidden="false" customHeight="true" outlineLevel="0" collapsed="false">
      <c r="A137" s="5"/>
      <c r="B137" s="5"/>
      <c r="C137" s="5"/>
      <c r="D137" s="5"/>
      <c r="E137" s="5"/>
      <c r="F137" s="5"/>
      <c r="G137" s="5"/>
      <c r="H137" s="5"/>
    </row>
    <row r="138" customFormat="false" ht="15" hidden="false" customHeight="true" outlineLevel="0" collapsed="false">
      <c r="A138" s="5"/>
      <c r="B138" s="5"/>
      <c r="C138" s="5"/>
      <c r="D138" s="5"/>
      <c r="E138" s="5"/>
      <c r="F138" s="5"/>
      <c r="G138" s="5"/>
      <c r="H138" s="5"/>
    </row>
    <row r="139" customFormat="false" ht="15" hidden="false" customHeight="true" outlineLevel="0" collapsed="false">
      <c r="A139" s="5"/>
      <c r="B139" s="5"/>
      <c r="C139" s="5"/>
      <c r="D139" s="5"/>
      <c r="E139" s="5"/>
      <c r="F139" s="5"/>
      <c r="G139" s="5"/>
      <c r="H139" s="5"/>
    </row>
    <row r="140" customFormat="false" ht="15" hidden="false" customHeight="true" outlineLevel="0" collapsed="false">
      <c r="A140" s="5"/>
      <c r="B140" s="5"/>
      <c r="C140" s="5"/>
      <c r="D140" s="5"/>
      <c r="E140" s="5"/>
      <c r="F140" s="5"/>
      <c r="G140" s="5"/>
      <c r="H140" s="5"/>
    </row>
    <row r="141" customFormat="false" ht="15" hidden="false" customHeight="true" outlineLevel="0" collapsed="false">
      <c r="A141" s="5"/>
      <c r="B141" s="5"/>
      <c r="C141" s="5"/>
      <c r="D141" s="5"/>
      <c r="E141" s="5"/>
      <c r="F141" s="5"/>
      <c r="G141" s="5"/>
      <c r="H141" s="5"/>
    </row>
    <row r="142" customFormat="false" ht="15" hidden="false" customHeight="true" outlineLevel="0" collapsed="false">
      <c r="A142" s="5"/>
      <c r="B142" s="5"/>
      <c r="C142" s="5"/>
      <c r="D142" s="5"/>
      <c r="E142" s="5"/>
      <c r="F142" s="5"/>
      <c r="G142" s="5"/>
      <c r="H142" s="5"/>
    </row>
    <row r="143" customFormat="false" ht="15" hidden="false" customHeight="true" outlineLevel="0" collapsed="false">
      <c r="A143" s="5"/>
      <c r="B143" s="5"/>
      <c r="C143" s="5"/>
      <c r="D143" s="5"/>
      <c r="E143" s="5"/>
      <c r="F143" s="5"/>
      <c r="G143" s="5"/>
      <c r="H143" s="5"/>
    </row>
    <row r="144" customFormat="false" ht="15" hidden="false" customHeight="true" outlineLevel="0" collapsed="false">
      <c r="A144" s="5"/>
      <c r="B144" s="5"/>
      <c r="C144" s="5"/>
      <c r="D144" s="5"/>
      <c r="E144" s="5"/>
      <c r="F144" s="5"/>
      <c r="G144" s="5"/>
      <c r="H144" s="5"/>
    </row>
    <row r="145" customFormat="false" ht="15" hidden="false" customHeight="true" outlineLevel="0" collapsed="false">
      <c r="A145" s="5"/>
      <c r="B145" s="5"/>
      <c r="C145" s="5"/>
      <c r="D145" s="5"/>
      <c r="E145" s="5"/>
      <c r="F145" s="5"/>
      <c r="G145" s="5"/>
      <c r="H145" s="5"/>
    </row>
    <row r="146" customFormat="false" ht="15" hidden="false" customHeight="true" outlineLevel="0" collapsed="false">
      <c r="A146" s="5"/>
      <c r="B146" s="5"/>
      <c r="C146" s="5"/>
      <c r="D146" s="5"/>
      <c r="E146" s="5"/>
      <c r="F146" s="5"/>
      <c r="G146" s="5"/>
      <c r="H146" s="5"/>
    </row>
    <row r="147" customFormat="false" ht="15" hidden="false" customHeight="true" outlineLevel="0" collapsed="false">
      <c r="A147" s="5"/>
      <c r="B147" s="5"/>
      <c r="C147" s="5"/>
      <c r="D147" s="5"/>
      <c r="E147" s="5"/>
      <c r="F147" s="5"/>
      <c r="G147" s="5"/>
      <c r="H147" s="5"/>
    </row>
    <row r="148" customFormat="false" ht="15" hidden="false" customHeight="true" outlineLevel="0" collapsed="false">
      <c r="A148" s="5"/>
      <c r="B148" s="5"/>
      <c r="C148" s="5"/>
      <c r="D148" s="5"/>
      <c r="E148" s="5"/>
      <c r="F148" s="5"/>
      <c r="G148" s="5"/>
      <c r="H148" s="5"/>
    </row>
    <row r="149" customFormat="false" ht="15" hidden="false" customHeight="true" outlineLevel="0" collapsed="false">
      <c r="A149" s="5"/>
      <c r="B149" s="5"/>
      <c r="C149" s="5"/>
      <c r="D149" s="5"/>
      <c r="E149" s="5"/>
      <c r="F149" s="5"/>
      <c r="G149" s="5"/>
      <c r="H149" s="5"/>
    </row>
    <row r="150" customFormat="false" ht="15" hidden="false" customHeight="true" outlineLevel="0" collapsed="false">
      <c r="A150" s="5"/>
      <c r="B150" s="5"/>
      <c r="C150" s="5"/>
      <c r="D150" s="5"/>
      <c r="E150" s="5"/>
      <c r="F150" s="5"/>
      <c r="G150" s="5"/>
      <c r="H150" s="5"/>
    </row>
    <row r="151" customFormat="false" ht="15" hidden="false" customHeight="true" outlineLevel="0" collapsed="false">
      <c r="A151" s="5"/>
      <c r="B151" s="5"/>
      <c r="C151" s="5"/>
      <c r="D151" s="5"/>
      <c r="E151" s="5"/>
      <c r="F151" s="5"/>
      <c r="G151" s="5"/>
      <c r="H151" s="5"/>
    </row>
    <row r="152" customFormat="false" ht="15" hidden="false" customHeight="true" outlineLevel="0" collapsed="false">
      <c r="A152" s="5"/>
      <c r="B152" s="5"/>
      <c r="C152" s="5"/>
      <c r="D152" s="5"/>
      <c r="E152" s="5"/>
      <c r="F152" s="5"/>
      <c r="G152" s="5"/>
      <c r="H152" s="5"/>
    </row>
    <row r="153" customFormat="false" ht="15" hidden="false" customHeight="true" outlineLevel="0" collapsed="false">
      <c r="A153" s="5"/>
      <c r="B153" s="5"/>
      <c r="C153" s="5"/>
      <c r="D153" s="5"/>
      <c r="E153" s="5"/>
      <c r="F153" s="5"/>
      <c r="G153" s="5"/>
      <c r="H153" s="5"/>
    </row>
    <row r="154" customFormat="false" ht="15" hidden="false" customHeight="true" outlineLevel="0" collapsed="false">
      <c r="A154" s="5"/>
      <c r="B154" s="5"/>
      <c r="C154" s="5"/>
      <c r="D154" s="5"/>
      <c r="E154" s="5"/>
      <c r="F154" s="5"/>
      <c r="G154" s="5"/>
      <c r="H154" s="5"/>
    </row>
    <row r="155" customFormat="false" ht="15" hidden="false" customHeight="true" outlineLevel="0" collapsed="false">
      <c r="A155" s="5"/>
      <c r="B155" s="5"/>
      <c r="C155" s="5"/>
      <c r="D155" s="5"/>
      <c r="E155" s="5"/>
      <c r="F155" s="5"/>
      <c r="G155" s="5"/>
      <c r="H155" s="5"/>
    </row>
    <row r="156" customFormat="false" ht="15" hidden="false" customHeight="true" outlineLevel="0" collapsed="false">
      <c r="A156" s="5"/>
      <c r="B156" s="5"/>
      <c r="C156" s="5"/>
      <c r="D156" s="5"/>
      <c r="E156" s="5"/>
      <c r="F156" s="5"/>
      <c r="G156" s="5"/>
      <c r="H156" s="5"/>
    </row>
    <row r="157" customFormat="false" ht="15" hidden="false" customHeight="true" outlineLevel="0" collapsed="false">
      <c r="A157" s="5"/>
      <c r="B157" s="5"/>
      <c r="C157" s="5"/>
      <c r="D157" s="5"/>
      <c r="E157" s="5"/>
      <c r="F157" s="5"/>
      <c r="G157" s="5"/>
      <c r="H157" s="5"/>
    </row>
    <row r="158" customFormat="false" ht="15" hidden="false" customHeight="true" outlineLevel="0" collapsed="false">
      <c r="A158" s="5"/>
      <c r="B158" s="5"/>
      <c r="C158" s="5"/>
      <c r="D158" s="5"/>
      <c r="E158" s="5"/>
      <c r="F158" s="5"/>
      <c r="G158" s="5"/>
      <c r="H158" s="5"/>
    </row>
    <row r="159" customFormat="false" ht="15" hidden="false" customHeight="true" outlineLevel="0" collapsed="false">
      <c r="A159" s="5"/>
      <c r="B159" s="5"/>
      <c r="C159" s="5"/>
      <c r="D159" s="5"/>
      <c r="E159" s="5"/>
      <c r="F159" s="5"/>
      <c r="G159" s="5"/>
      <c r="H159" s="5"/>
    </row>
    <row r="160" customFormat="false" ht="15" hidden="false" customHeight="true" outlineLevel="0" collapsed="false">
      <c r="A160" s="5"/>
      <c r="B160" s="5"/>
      <c r="C160" s="5"/>
      <c r="D160" s="5"/>
      <c r="E160" s="5"/>
      <c r="F160" s="5"/>
      <c r="G160" s="5"/>
      <c r="H160" s="5"/>
    </row>
    <row r="161" customFormat="false" ht="15" hidden="false" customHeight="true" outlineLevel="0" collapsed="false">
      <c r="A161" s="5"/>
      <c r="B161" s="5"/>
      <c r="C161" s="5"/>
      <c r="D161" s="5"/>
      <c r="E161" s="5"/>
      <c r="F161" s="5"/>
      <c r="G161" s="5"/>
      <c r="H161" s="5"/>
    </row>
    <row r="162" customFormat="false" ht="15" hidden="false" customHeight="true" outlineLevel="0" collapsed="false">
      <c r="A162" s="5"/>
      <c r="B162" s="5"/>
      <c r="C162" s="5"/>
      <c r="D162" s="5"/>
      <c r="E162" s="5"/>
      <c r="F162" s="5"/>
      <c r="G162" s="5"/>
      <c r="H162" s="5"/>
    </row>
    <row r="163" customFormat="false" ht="15" hidden="false" customHeight="true" outlineLevel="0" collapsed="false">
      <c r="A163" s="5"/>
      <c r="B163" s="5"/>
      <c r="C163" s="5"/>
      <c r="D163" s="5"/>
      <c r="E163" s="5"/>
      <c r="F163" s="5"/>
      <c r="G163" s="5"/>
      <c r="H163" s="5"/>
    </row>
    <row r="164" customFormat="false" ht="15" hidden="false" customHeight="true" outlineLevel="0" collapsed="false">
      <c r="A164" s="5"/>
      <c r="B164" s="5"/>
      <c r="C164" s="5"/>
      <c r="D164" s="5"/>
      <c r="E164" s="5"/>
      <c r="F164" s="5"/>
      <c r="G164" s="5"/>
      <c r="H164" s="5"/>
    </row>
    <row r="165" customFormat="false" ht="15" hidden="false" customHeight="true" outlineLevel="0" collapsed="false">
      <c r="A165" s="5"/>
      <c r="B165" s="5"/>
      <c r="C165" s="5"/>
      <c r="D165" s="5"/>
      <c r="E165" s="5"/>
      <c r="F165" s="5"/>
      <c r="G165" s="5"/>
      <c r="H165" s="5"/>
    </row>
    <row r="166" customFormat="false" ht="15" hidden="false" customHeight="true" outlineLevel="0" collapsed="false">
      <c r="A166" s="5"/>
      <c r="B166" s="5"/>
      <c r="C166" s="5"/>
      <c r="D166" s="5"/>
      <c r="E166" s="5"/>
      <c r="F166" s="5"/>
      <c r="G166" s="5"/>
      <c r="H166" s="5"/>
    </row>
    <row r="167" customFormat="false" ht="15" hidden="false" customHeight="true" outlineLevel="0" collapsed="false">
      <c r="A167" s="5"/>
      <c r="B167" s="5"/>
      <c r="C167" s="5"/>
      <c r="D167" s="5"/>
      <c r="E167" s="5"/>
      <c r="F167" s="5"/>
      <c r="G167" s="5"/>
      <c r="H167" s="5"/>
    </row>
    <row r="168" customFormat="false" ht="15" hidden="false" customHeight="true" outlineLevel="0" collapsed="false">
      <c r="A168" s="5"/>
      <c r="B168" s="5"/>
      <c r="C168" s="5"/>
      <c r="D168" s="5"/>
      <c r="E168" s="5"/>
      <c r="F168" s="5"/>
      <c r="G168" s="5"/>
      <c r="H168" s="5"/>
    </row>
    <row r="169" customFormat="false" ht="15" hidden="false" customHeight="true" outlineLevel="0" collapsed="false">
      <c r="A169" s="5"/>
      <c r="B169" s="5"/>
      <c r="C169" s="5"/>
      <c r="D169" s="5"/>
      <c r="E169" s="5"/>
      <c r="F169" s="5"/>
      <c r="G169" s="5"/>
      <c r="H169" s="5"/>
    </row>
    <row r="170" customFormat="false" ht="15" hidden="false" customHeight="true" outlineLevel="0" collapsed="false">
      <c r="A170" s="5"/>
      <c r="B170" s="5"/>
      <c r="C170" s="5"/>
      <c r="D170" s="5"/>
      <c r="E170" s="5"/>
      <c r="F170" s="5"/>
      <c r="G170" s="5"/>
      <c r="H170" s="5"/>
    </row>
    <row r="171" customFormat="false" ht="15" hidden="false" customHeight="true" outlineLevel="0" collapsed="false">
      <c r="A171" s="5"/>
      <c r="B171" s="5"/>
      <c r="C171" s="5"/>
      <c r="D171" s="5"/>
      <c r="E171" s="5"/>
      <c r="F171" s="5"/>
      <c r="G171" s="5"/>
      <c r="H171" s="5"/>
    </row>
    <row r="172" customFormat="false" ht="15" hidden="false" customHeight="true" outlineLevel="0" collapsed="false">
      <c r="A172" s="5"/>
      <c r="B172" s="5"/>
      <c r="C172" s="5"/>
      <c r="D172" s="5"/>
      <c r="E172" s="5"/>
      <c r="F172" s="5"/>
      <c r="G172" s="5"/>
      <c r="H172" s="5"/>
    </row>
    <row r="173" customFormat="false" ht="15" hidden="false" customHeight="true" outlineLevel="0" collapsed="false">
      <c r="A173" s="5"/>
      <c r="B173" s="5"/>
      <c r="C173" s="5"/>
      <c r="D173" s="5"/>
      <c r="E173" s="5"/>
      <c r="F173" s="5"/>
      <c r="G173" s="5"/>
      <c r="H173" s="5"/>
    </row>
    <row r="174" customFormat="false" ht="15" hidden="false" customHeight="true" outlineLevel="0" collapsed="false">
      <c r="A174" s="5"/>
      <c r="B174" s="5"/>
      <c r="C174" s="5"/>
      <c r="D174" s="5"/>
      <c r="E174" s="5"/>
      <c r="F174" s="5"/>
      <c r="G174" s="5"/>
      <c r="H174" s="5"/>
    </row>
    <row r="175" customFormat="false" ht="15" hidden="false" customHeight="true" outlineLevel="0" collapsed="false">
      <c r="A175" s="5"/>
      <c r="B175" s="5"/>
      <c r="C175" s="5"/>
      <c r="D175" s="5"/>
      <c r="E175" s="5"/>
      <c r="F175" s="5"/>
      <c r="G175" s="5"/>
      <c r="H175" s="5"/>
    </row>
    <row r="176" customFormat="false" ht="15" hidden="false" customHeight="true" outlineLevel="0" collapsed="false">
      <c r="A176" s="5"/>
      <c r="B176" s="5"/>
      <c r="C176" s="5"/>
      <c r="D176" s="5"/>
      <c r="E176" s="5"/>
      <c r="F176" s="5"/>
      <c r="G176" s="5"/>
      <c r="H176" s="5"/>
    </row>
    <row r="177" customFormat="false" ht="15" hidden="false" customHeight="true" outlineLevel="0" collapsed="false">
      <c r="A177" s="5"/>
      <c r="B177" s="5"/>
      <c r="C177" s="5"/>
      <c r="D177" s="5"/>
      <c r="E177" s="5"/>
      <c r="F177" s="5"/>
      <c r="G177" s="5"/>
      <c r="H177" s="5"/>
    </row>
    <row r="178" customFormat="false" ht="15" hidden="false" customHeight="true" outlineLevel="0" collapsed="false">
      <c r="A178" s="5"/>
      <c r="B178" s="5"/>
      <c r="C178" s="5"/>
      <c r="D178" s="5"/>
      <c r="E178" s="5"/>
      <c r="F178" s="5"/>
      <c r="G178" s="5"/>
      <c r="H178" s="5"/>
    </row>
    <row r="179" customFormat="false" ht="15" hidden="false" customHeight="true" outlineLevel="0" collapsed="false">
      <c r="A179" s="5"/>
      <c r="B179" s="5"/>
      <c r="C179" s="5"/>
      <c r="D179" s="5"/>
      <c r="E179" s="5"/>
      <c r="F179" s="5"/>
      <c r="G179" s="5"/>
      <c r="H179" s="5"/>
    </row>
    <row r="180" customFormat="false" ht="15" hidden="false" customHeight="true" outlineLevel="0" collapsed="false">
      <c r="A180" s="5"/>
      <c r="B180" s="5"/>
      <c r="C180" s="5"/>
      <c r="D180" s="5"/>
      <c r="E180" s="5"/>
      <c r="F180" s="5"/>
      <c r="G180" s="5"/>
      <c r="H180" s="5"/>
    </row>
    <row r="181" customFormat="false" ht="15" hidden="false" customHeight="true" outlineLevel="0" collapsed="false">
      <c r="A181" s="5"/>
      <c r="B181" s="5"/>
      <c r="C181" s="5"/>
      <c r="D181" s="5"/>
      <c r="E181" s="5"/>
      <c r="F181" s="5"/>
      <c r="G181" s="5"/>
      <c r="H181" s="5"/>
    </row>
    <row r="182" customFormat="false" ht="15" hidden="false" customHeight="true" outlineLevel="0" collapsed="false">
      <c r="A182" s="5"/>
      <c r="B182" s="5"/>
      <c r="C182" s="5"/>
      <c r="D182" s="5"/>
      <c r="E182" s="5"/>
      <c r="F182" s="5"/>
      <c r="G182" s="5"/>
      <c r="H182" s="5"/>
    </row>
    <row r="183" customFormat="false" ht="15" hidden="false" customHeight="true" outlineLevel="0" collapsed="false">
      <c r="A183" s="5"/>
      <c r="B183" s="5"/>
      <c r="C183" s="5"/>
      <c r="D183" s="5"/>
      <c r="E183" s="5"/>
      <c r="F183" s="5"/>
      <c r="G183" s="5"/>
      <c r="H183" s="5"/>
    </row>
    <row r="184" customFormat="false" ht="15" hidden="false" customHeight="true" outlineLevel="0" collapsed="false">
      <c r="A184" s="5"/>
      <c r="B184" s="5"/>
      <c r="C184" s="5"/>
      <c r="D184" s="5"/>
      <c r="E184" s="5"/>
      <c r="F184" s="5"/>
      <c r="G184" s="5"/>
      <c r="H184" s="5"/>
    </row>
    <row r="185" customFormat="false" ht="15" hidden="false" customHeight="true" outlineLevel="0" collapsed="false">
      <c r="A185" s="5"/>
      <c r="B185" s="5"/>
      <c r="C185" s="5"/>
      <c r="D185" s="5"/>
      <c r="E185" s="5"/>
      <c r="F185" s="5"/>
      <c r="G185" s="5"/>
      <c r="H185" s="5"/>
    </row>
    <row r="186" customFormat="false" ht="15" hidden="false" customHeight="true" outlineLevel="0" collapsed="false">
      <c r="A186" s="5"/>
      <c r="B186" s="5"/>
      <c r="C186" s="5"/>
      <c r="D186" s="5"/>
      <c r="E186" s="5"/>
      <c r="F186" s="5"/>
      <c r="G186" s="5"/>
      <c r="H186" s="5"/>
    </row>
    <row r="187" customFormat="false" ht="15" hidden="false" customHeight="true" outlineLevel="0" collapsed="false">
      <c r="A187" s="5"/>
      <c r="B187" s="5"/>
      <c r="C187" s="5"/>
      <c r="D187" s="5"/>
      <c r="E187" s="5"/>
      <c r="F187" s="5"/>
      <c r="G187" s="5"/>
      <c r="H187" s="5"/>
    </row>
    <row r="188" customFormat="false" ht="15" hidden="false" customHeight="true" outlineLevel="0" collapsed="false">
      <c r="A188" s="5"/>
      <c r="B188" s="5"/>
      <c r="C188" s="5"/>
      <c r="D188" s="5"/>
      <c r="E188" s="5"/>
      <c r="F188" s="5"/>
      <c r="G188" s="5"/>
      <c r="H188" s="5"/>
    </row>
    <row r="189" customFormat="false" ht="15" hidden="false" customHeight="true" outlineLevel="0" collapsed="false">
      <c r="A189" s="5"/>
      <c r="B189" s="5"/>
      <c r="C189" s="5"/>
      <c r="D189" s="5"/>
      <c r="E189" s="5"/>
      <c r="F189" s="5"/>
      <c r="G189" s="5"/>
      <c r="H189" s="5"/>
    </row>
    <row r="190" customFormat="false" ht="15" hidden="false" customHeight="true" outlineLevel="0" collapsed="false">
      <c r="A190" s="5"/>
      <c r="B190" s="5"/>
      <c r="C190" s="5"/>
      <c r="D190" s="5"/>
      <c r="E190" s="5"/>
      <c r="F190" s="5"/>
      <c r="G190" s="5"/>
      <c r="H190" s="5"/>
    </row>
    <row r="191" customFormat="false" ht="15" hidden="false" customHeight="true" outlineLevel="0" collapsed="false">
      <c r="A191" s="5"/>
      <c r="B191" s="5"/>
      <c r="C191" s="5"/>
      <c r="D191" s="5"/>
      <c r="E191" s="5"/>
      <c r="F191" s="5"/>
      <c r="G191" s="5"/>
      <c r="H191" s="5"/>
    </row>
    <row r="192" customFormat="false" ht="15" hidden="false" customHeight="true" outlineLevel="0" collapsed="false">
      <c r="A192" s="5"/>
      <c r="B192" s="5"/>
      <c r="C192" s="5"/>
      <c r="D192" s="5"/>
      <c r="E192" s="5"/>
      <c r="F192" s="5"/>
      <c r="G192" s="5"/>
      <c r="H192" s="5"/>
    </row>
    <row r="193" customFormat="false" ht="15" hidden="false" customHeight="true" outlineLevel="0" collapsed="false">
      <c r="A193" s="5"/>
      <c r="B193" s="5"/>
      <c r="C193" s="5"/>
      <c r="D193" s="5"/>
      <c r="E193" s="5"/>
      <c r="F193" s="5"/>
      <c r="G193" s="5"/>
      <c r="H193" s="5"/>
    </row>
    <row r="194" customFormat="false" ht="15" hidden="false" customHeight="true" outlineLevel="0" collapsed="false">
      <c r="A194" s="5"/>
      <c r="B194" s="5"/>
      <c r="C194" s="5"/>
      <c r="D194" s="5"/>
      <c r="E194" s="5"/>
      <c r="F194" s="5"/>
      <c r="G194" s="5"/>
      <c r="H194" s="5"/>
    </row>
    <row r="195" customFormat="false" ht="15" hidden="false" customHeight="true" outlineLevel="0" collapsed="false">
      <c r="A195" s="5"/>
      <c r="B195" s="5"/>
      <c r="C195" s="5"/>
      <c r="D195" s="5"/>
      <c r="E195" s="5"/>
      <c r="F195" s="5"/>
      <c r="G195" s="5"/>
      <c r="H195" s="5"/>
    </row>
    <row r="196" customFormat="false" ht="15" hidden="false" customHeight="true" outlineLevel="0" collapsed="false">
      <c r="A196" s="5"/>
      <c r="B196" s="5"/>
      <c r="C196" s="5"/>
      <c r="D196" s="5"/>
      <c r="E196" s="5"/>
      <c r="F196" s="5"/>
      <c r="G196" s="5"/>
      <c r="H196" s="5"/>
    </row>
    <row r="197" customFormat="false" ht="15" hidden="false" customHeight="true" outlineLevel="0" collapsed="false">
      <c r="A197" s="5"/>
      <c r="B197" s="5"/>
      <c r="C197" s="5"/>
      <c r="D197" s="5"/>
      <c r="E197" s="5"/>
      <c r="F197" s="5"/>
      <c r="G197" s="5"/>
      <c r="H197" s="5"/>
    </row>
    <row r="198" customFormat="false" ht="15" hidden="false" customHeight="true" outlineLevel="0" collapsed="false">
      <c r="A198" s="5"/>
      <c r="B198" s="5"/>
      <c r="C198" s="5"/>
      <c r="D198" s="5"/>
      <c r="E198" s="5"/>
      <c r="F198" s="5"/>
      <c r="G198" s="5"/>
      <c r="H198" s="5"/>
    </row>
    <row r="199" customFormat="false" ht="15" hidden="false" customHeight="true" outlineLevel="0" collapsed="false">
      <c r="A199" s="5"/>
      <c r="B199" s="5"/>
      <c r="C199" s="5"/>
      <c r="D199" s="5"/>
      <c r="E199" s="5"/>
      <c r="F199" s="5"/>
      <c r="G199" s="5"/>
      <c r="H199" s="5"/>
    </row>
    <row r="200" customFormat="false" ht="15" hidden="false" customHeight="true" outlineLevel="0" collapsed="false">
      <c r="A200" s="5"/>
      <c r="B200" s="5"/>
      <c r="C200" s="5"/>
      <c r="D200" s="5"/>
      <c r="E200" s="5"/>
      <c r="F200" s="5"/>
      <c r="G200" s="5"/>
      <c r="H200" s="5"/>
    </row>
    <row r="201" customFormat="false" ht="15" hidden="false" customHeight="true" outlineLevel="0" collapsed="false">
      <c r="A201" s="5"/>
      <c r="B201" s="5"/>
      <c r="C201" s="5"/>
      <c r="D201" s="5"/>
      <c r="E201" s="5"/>
      <c r="F201" s="5"/>
      <c r="G201" s="5"/>
      <c r="H201" s="5"/>
    </row>
  </sheetData>
  <dataValidations count="2">
    <dataValidation allowBlank="true" errorStyle="stop" operator="between" showDropDown="false" showErrorMessage="false" showInputMessage="false" sqref="D2:D201" type="list">
      <formula1>"Finding,Surprise,Question,Future-research,LinkedIn-post,Newsletter,Methodology-note"</formula1>
      <formula2>0</formula2>
    </dataValidation>
    <dataValidation allowBlank="true" errorStyle="stop" operator="between" showDropDown="false" showErrorMessage="false" showInputMessage="false" sqref="H2:H201" type="list">
      <formula1>"Open,Actioned,Archived"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36"/>
    <col collapsed="false" customWidth="true" hidden="false" outlineLevel="0" max="4" min="3" style="1" width="22"/>
    <col collapsed="false" customWidth="true" hidden="false" outlineLevel="0" max="5" min="5" style="1" width="34"/>
    <col collapsed="false" customWidth="true" hidden="false" outlineLevel="0" max="6" min="6" style="1" width="12"/>
    <col collapsed="false" customWidth="true" hidden="false" outlineLevel="0" max="7" min="7" style="1" width="18"/>
    <col collapsed="false" customWidth="true" hidden="false" outlineLevel="0" max="8" min="8" style="1" width="22"/>
    <col collapsed="false" customWidth="true" hidden="false" outlineLevel="0" max="9" min="9" style="1" width="30"/>
    <col collapsed="false" customWidth="true" hidden="false" outlineLevel="0" max="10" min="10" style="1" width="12"/>
    <col collapsed="false" customWidth="true" hidden="false" outlineLevel="0" max="11" min="11" style="1" width="26"/>
  </cols>
  <sheetData>
    <row r="1" customFormat="false" ht="33.75" hidden="false" customHeight="true" outlineLevel="0" collapsed="false">
      <c r="A1" s="12" t="s">
        <v>248</v>
      </c>
      <c r="B1" s="12" t="s">
        <v>250</v>
      </c>
      <c r="C1" s="12" t="s">
        <v>252</v>
      </c>
      <c r="D1" s="12" t="s">
        <v>254</v>
      </c>
      <c r="E1" s="12" t="s">
        <v>255</v>
      </c>
      <c r="F1" s="12" t="s">
        <v>233</v>
      </c>
      <c r="G1" s="12" t="s">
        <v>245</v>
      </c>
      <c r="H1" s="12" t="s">
        <v>259</v>
      </c>
      <c r="I1" s="12" t="s">
        <v>1618</v>
      </c>
      <c r="J1" s="12" t="s">
        <v>160</v>
      </c>
      <c r="K1" s="12" t="s">
        <v>92</v>
      </c>
    </row>
    <row r="2" customFormat="false" ht="15" hidden="false" customHeight="true" outlineLevel="0" collapsed="false">
      <c r="A2" s="5"/>
      <c r="B2" s="5"/>
      <c r="C2" s="5"/>
      <c r="D2" s="5"/>
      <c r="E2" s="5"/>
      <c r="F2" s="5"/>
      <c r="G2" s="5"/>
      <c r="H2" s="5"/>
      <c r="I2" s="5"/>
      <c r="J2" s="5"/>
      <c r="K2" s="5"/>
    </row>
    <row r="3" customFormat="false" ht="15" hidden="false" customHeight="true" outlineLevel="0" collapsed="false">
      <c r="A3" s="5"/>
      <c r="B3" s="5"/>
      <c r="C3" s="5"/>
      <c r="D3" s="5"/>
      <c r="E3" s="5"/>
      <c r="F3" s="5"/>
      <c r="G3" s="5"/>
      <c r="H3" s="5"/>
      <c r="I3" s="5"/>
      <c r="J3" s="5"/>
      <c r="K3" s="5"/>
    </row>
    <row r="4" customFormat="false" ht="15" hidden="false" customHeight="true" outlineLevel="0" collapsed="false">
      <c r="A4" s="5"/>
      <c r="B4" s="5"/>
      <c r="C4" s="5"/>
      <c r="D4" s="5"/>
      <c r="E4" s="5"/>
      <c r="F4" s="5"/>
      <c r="G4" s="5"/>
      <c r="H4" s="5"/>
      <c r="I4" s="5"/>
      <c r="J4" s="5"/>
      <c r="K4" s="5"/>
    </row>
    <row r="5" customFormat="false" ht="15" hidden="false" customHeight="true" outlineLevel="0" collapsed="false">
      <c r="A5" s="5"/>
      <c r="B5" s="5"/>
      <c r="C5" s="5"/>
      <c r="D5" s="5"/>
      <c r="E5" s="5"/>
      <c r="F5" s="5"/>
      <c r="G5" s="5"/>
      <c r="H5" s="5"/>
      <c r="I5" s="5"/>
      <c r="J5" s="5"/>
      <c r="K5" s="5"/>
    </row>
    <row r="6" customFormat="false" ht="15" hidden="false" customHeight="true" outlineLevel="0" collapsed="false">
      <c r="A6" s="5"/>
      <c r="B6" s="5"/>
      <c r="C6" s="5"/>
      <c r="D6" s="5"/>
      <c r="E6" s="5"/>
      <c r="F6" s="5"/>
      <c r="G6" s="5"/>
      <c r="H6" s="5"/>
      <c r="I6" s="5"/>
      <c r="J6" s="5"/>
      <c r="K6" s="5"/>
    </row>
    <row r="7" customFormat="false" ht="15" hidden="false" customHeight="true" outlineLevel="0" collapsed="false">
      <c r="A7" s="5"/>
      <c r="B7" s="5"/>
      <c r="C7" s="5"/>
      <c r="D7" s="5"/>
      <c r="E7" s="5"/>
      <c r="F7" s="5"/>
      <c r="G7" s="5"/>
      <c r="H7" s="5"/>
      <c r="I7" s="5"/>
      <c r="J7" s="5"/>
      <c r="K7" s="5"/>
    </row>
    <row r="8" customFormat="false" ht="15" hidden="false" customHeight="true" outlineLevel="0" collapsed="false">
      <c r="A8" s="5"/>
      <c r="B8" s="5"/>
      <c r="C8" s="5"/>
      <c r="D8" s="5"/>
      <c r="E8" s="5"/>
      <c r="F8" s="5"/>
      <c r="G8" s="5"/>
      <c r="H8" s="5"/>
      <c r="I8" s="5"/>
      <c r="J8" s="5"/>
      <c r="K8" s="5"/>
    </row>
    <row r="9" customFormat="false" ht="15" hidden="false" customHeight="true" outlineLevel="0" collapsed="false">
      <c r="A9" s="5"/>
      <c r="B9" s="5"/>
      <c r="C9" s="5"/>
      <c r="D9" s="5"/>
      <c r="E9" s="5"/>
      <c r="F9" s="5"/>
      <c r="G9" s="5"/>
      <c r="H9" s="5"/>
      <c r="I9" s="5"/>
      <c r="J9" s="5"/>
      <c r="K9" s="5"/>
    </row>
    <row r="10" customFormat="false" ht="15" hidden="false" customHeight="true" outlineLevel="0" collapsed="false">
      <c r="A10" s="5"/>
      <c r="B10" s="5"/>
      <c r="C10" s="5"/>
      <c r="D10" s="5"/>
      <c r="E10" s="5"/>
      <c r="F10" s="5"/>
      <c r="G10" s="5"/>
      <c r="H10" s="5"/>
      <c r="I10" s="5"/>
      <c r="J10" s="5"/>
      <c r="K10" s="5"/>
    </row>
    <row r="11" customFormat="false" ht="15" hidden="false" customHeight="true" outlineLevel="0" collapsed="false">
      <c r="A11" s="5"/>
      <c r="B11" s="5"/>
      <c r="C11" s="5"/>
      <c r="D11" s="5"/>
      <c r="E11" s="5"/>
      <c r="F11" s="5"/>
      <c r="G11" s="5"/>
      <c r="H11" s="5"/>
      <c r="I11" s="5"/>
      <c r="J11" s="5"/>
      <c r="K11" s="5"/>
    </row>
    <row r="12" customFormat="false" ht="15" hidden="false" customHeight="true" outlineLevel="0" collapsed="false">
      <c r="A12" s="5"/>
      <c r="B12" s="5"/>
      <c r="C12" s="5"/>
      <c r="D12" s="5"/>
      <c r="E12" s="5"/>
      <c r="F12" s="5"/>
      <c r="G12" s="5"/>
      <c r="H12" s="5"/>
      <c r="I12" s="5"/>
      <c r="J12" s="5"/>
      <c r="K12" s="5"/>
    </row>
    <row r="13" customFormat="false" ht="15" hidden="false" customHeight="true" outlineLevel="0" collapsed="false">
      <c r="A13" s="5"/>
      <c r="B13" s="5"/>
      <c r="C13" s="5"/>
      <c r="D13" s="5"/>
      <c r="E13" s="5"/>
      <c r="F13" s="5"/>
      <c r="G13" s="5"/>
      <c r="H13" s="5"/>
      <c r="I13" s="5"/>
      <c r="J13" s="5"/>
      <c r="K13" s="5"/>
    </row>
    <row r="14" customFormat="false" ht="15" hidden="false" customHeight="true" outlineLevel="0" collapsed="false">
      <c r="A14" s="5"/>
      <c r="B14" s="5"/>
      <c r="C14" s="5"/>
      <c r="D14" s="5"/>
      <c r="E14" s="5"/>
      <c r="F14" s="5"/>
      <c r="G14" s="5"/>
      <c r="H14" s="5"/>
      <c r="I14" s="5"/>
      <c r="J14" s="5"/>
      <c r="K14" s="5"/>
    </row>
    <row r="15" customFormat="false" ht="15" hidden="false" customHeight="true" outlineLevel="0" collapsed="false">
      <c r="A15" s="5"/>
      <c r="B15" s="5"/>
      <c r="C15" s="5"/>
      <c r="D15" s="5"/>
      <c r="E15" s="5"/>
      <c r="F15" s="5"/>
      <c r="G15" s="5"/>
      <c r="H15" s="5"/>
      <c r="I15" s="5"/>
      <c r="J15" s="5"/>
      <c r="K15" s="5"/>
    </row>
    <row r="16" customFormat="false" ht="15" hidden="false" customHeight="true" outlineLevel="0" collapsed="false">
      <c r="A16" s="5"/>
      <c r="B16" s="5"/>
      <c r="C16" s="5"/>
      <c r="D16" s="5"/>
      <c r="E16" s="5"/>
      <c r="F16" s="5"/>
      <c r="G16" s="5"/>
      <c r="H16" s="5"/>
      <c r="I16" s="5"/>
      <c r="J16" s="5"/>
      <c r="K16" s="5"/>
    </row>
    <row r="17" customFormat="false" ht="15" hidden="false" customHeight="true" outlineLevel="0" collapsed="false">
      <c r="A17" s="5"/>
      <c r="B17" s="5"/>
      <c r="C17" s="5"/>
      <c r="D17" s="5"/>
      <c r="E17" s="5"/>
      <c r="F17" s="5"/>
      <c r="G17" s="5"/>
      <c r="H17" s="5"/>
      <c r="I17" s="5"/>
      <c r="J17" s="5"/>
      <c r="K17" s="5"/>
    </row>
    <row r="18" customFormat="false" ht="15" hidden="false" customHeight="true" outlineLevel="0" collapsed="false">
      <c r="A18" s="5"/>
      <c r="B18" s="5"/>
      <c r="C18" s="5"/>
      <c r="D18" s="5"/>
      <c r="E18" s="5"/>
      <c r="F18" s="5"/>
      <c r="G18" s="5"/>
      <c r="H18" s="5"/>
      <c r="I18" s="5"/>
      <c r="J18" s="5"/>
      <c r="K18" s="5"/>
    </row>
    <row r="19" customFormat="false" ht="15" hidden="false" customHeight="true" outlineLevel="0" collapsed="false">
      <c r="A19" s="5"/>
      <c r="B19" s="5"/>
      <c r="C19" s="5"/>
      <c r="D19" s="5"/>
      <c r="E19" s="5"/>
      <c r="F19" s="5"/>
      <c r="G19" s="5"/>
      <c r="H19" s="5"/>
      <c r="I19" s="5"/>
      <c r="J19" s="5"/>
      <c r="K19" s="5"/>
    </row>
    <row r="20" customFormat="false" ht="15" hidden="false" customHeight="true" outlineLevel="0" collapsed="false">
      <c r="A20" s="5"/>
      <c r="B20" s="5"/>
      <c r="C20" s="5"/>
      <c r="D20" s="5"/>
      <c r="E20" s="5"/>
      <c r="F20" s="5"/>
      <c r="G20" s="5"/>
      <c r="H20" s="5"/>
      <c r="I20" s="5"/>
      <c r="J20" s="5"/>
      <c r="K20" s="5"/>
    </row>
    <row r="21" customFormat="false" ht="15" hidden="false" customHeight="true" outlineLevel="0" collapsed="false">
      <c r="A21" s="5"/>
      <c r="B21" s="5"/>
      <c r="C21" s="5"/>
      <c r="D21" s="5"/>
      <c r="E21" s="5"/>
      <c r="F21" s="5"/>
      <c r="G21" s="5"/>
      <c r="H21" s="5"/>
      <c r="I21" s="5"/>
      <c r="J21" s="5"/>
      <c r="K21" s="5"/>
    </row>
    <row r="22" customFormat="false" ht="15" hidden="false" customHeight="true" outlineLevel="0" collapsed="false">
      <c r="A22" s="5"/>
      <c r="B22" s="5"/>
      <c r="C22" s="5"/>
      <c r="D22" s="5"/>
      <c r="E22" s="5"/>
      <c r="F22" s="5"/>
      <c r="G22" s="5"/>
      <c r="H22" s="5"/>
      <c r="I22" s="5"/>
      <c r="J22" s="5"/>
      <c r="K22" s="5"/>
    </row>
    <row r="23" customFormat="false" ht="15" hidden="false" customHeight="true" outlineLevel="0" collapsed="false">
      <c r="A23" s="5"/>
      <c r="B23" s="5"/>
      <c r="C23" s="5"/>
      <c r="D23" s="5"/>
      <c r="E23" s="5"/>
      <c r="F23" s="5"/>
      <c r="G23" s="5"/>
      <c r="H23" s="5"/>
      <c r="I23" s="5"/>
      <c r="J23" s="5"/>
      <c r="K23" s="5"/>
    </row>
    <row r="24" customFormat="false" ht="15" hidden="false" customHeight="true" outlineLevel="0" collapsed="false">
      <c r="A24" s="5"/>
      <c r="B24" s="5"/>
      <c r="C24" s="5"/>
      <c r="D24" s="5"/>
      <c r="E24" s="5"/>
      <c r="F24" s="5"/>
      <c r="G24" s="5"/>
      <c r="H24" s="5"/>
      <c r="I24" s="5"/>
      <c r="J24" s="5"/>
      <c r="K24" s="5"/>
    </row>
    <row r="25" customFormat="false" ht="15" hidden="false" customHeight="true" outlineLevel="0" collapsed="false">
      <c r="A25" s="5"/>
      <c r="B25" s="5"/>
      <c r="C25" s="5"/>
      <c r="D25" s="5"/>
      <c r="E25" s="5"/>
      <c r="F25" s="5"/>
      <c r="G25" s="5"/>
      <c r="H25" s="5"/>
      <c r="I25" s="5"/>
      <c r="J25" s="5"/>
      <c r="K25" s="5"/>
    </row>
    <row r="26" customFormat="false" ht="15" hidden="false" customHeight="true" outlineLevel="0" collapsed="false">
      <c r="A26" s="5"/>
      <c r="B26" s="5"/>
      <c r="C26" s="5"/>
      <c r="D26" s="5"/>
      <c r="E26" s="5"/>
      <c r="F26" s="5"/>
      <c r="G26" s="5"/>
      <c r="H26" s="5"/>
      <c r="I26" s="5"/>
      <c r="J26" s="5"/>
      <c r="K26" s="5"/>
    </row>
    <row r="27" customFormat="false" ht="15" hidden="false" customHeight="true" outlineLevel="0" collapsed="false">
      <c r="A27" s="5"/>
      <c r="B27" s="5"/>
      <c r="C27" s="5"/>
      <c r="D27" s="5"/>
      <c r="E27" s="5"/>
      <c r="F27" s="5"/>
      <c r="G27" s="5"/>
      <c r="H27" s="5"/>
      <c r="I27" s="5"/>
      <c r="J27" s="5"/>
      <c r="K27" s="5"/>
    </row>
    <row r="28" customFormat="false" ht="15" hidden="false" customHeight="true" outlineLevel="0" collapsed="false">
      <c r="A28" s="5"/>
      <c r="B28" s="5"/>
      <c r="C28" s="5"/>
      <c r="D28" s="5"/>
      <c r="E28" s="5"/>
      <c r="F28" s="5"/>
      <c r="G28" s="5"/>
      <c r="H28" s="5"/>
      <c r="I28" s="5"/>
      <c r="J28" s="5"/>
      <c r="K28" s="5"/>
    </row>
    <row r="29" customFormat="false" ht="15" hidden="false" customHeight="true" outlineLevel="0" collapsed="false">
      <c r="A29" s="5"/>
      <c r="B29" s="5"/>
      <c r="C29" s="5"/>
      <c r="D29" s="5"/>
      <c r="E29" s="5"/>
      <c r="F29" s="5"/>
      <c r="G29" s="5"/>
      <c r="H29" s="5"/>
      <c r="I29" s="5"/>
      <c r="J29" s="5"/>
      <c r="K29" s="5"/>
    </row>
    <row r="30" customFormat="false" ht="15" hidden="false" customHeight="true" outlineLevel="0" collapsed="false">
      <c r="A30" s="5"/>
      <c r="B30" s="5"/>
      <c r="C30" s="5"/>
      <c r="D30" s="5"/>
      <c r="E30" s="5"/>
      <c r="F30" s="5"/>
      <c r="G30" s="5"/>
      <c r="H30" s="5"/>
      <c r="I30" s="5"/>
      <c r="J30" s="5"/>
      <c r="K30" s="5"/>
    </row>
    <row r="31" customFormat="false" ht="15" hidden="false" customHeight="true" outlineLevel="0" collapsed="false">
      <c r="A31" s="5"/>
      <c r="B31" s="5"/>
      <c r="C31" s="5"/>
      <c r="D31" s="5"/>
      <c r="E31" s="5"/>
      <c r="F31" s="5"/>
      <c r="G31" s="5"/>
      <c r="H31" s="5"/>
      <c r="I31" s="5"/>
      <c r="J31" s="5"/>
      <c r="K31" s="5"/>
    </row>
    <row r="32" customFormat="false" ht="15" hidden="false" customHeight="true" outlineLevel="0" collapsed="false">
      <c r="A32" s="5"/>
      <c r="B32" s="5"/>
      <c r="C32" s="5"/>
      <c r="D32" s="5"/>
      <c r="E32" s="5"/>
      <c r="F32" s="5"/>
      <c r="G32" s="5"/>
      <c r="H32" s="5"/>
      <c r="I32" s="5"/>
      <c r="J32" s="5"/>
      <c r="K32" s="5"/>
    </row>
    <row r="33" customFormat="false" ht="15" hidden="false" customHeight="true" outlineLevel="0" collapsed="false">
      <c r="A33" s="5"/>
      <c r="B33" s="5"/>
      <c r="C33" s="5"/>
      <c r="D33" s="5"/>
      <c r="E33" s="5"/>
      <c r="F33" s="5"/>
      <c r="G33" s="5"/>
      <c r="H33" s="5"/>
      <c r="I33" s="5"/>
      <c r="J33" s="5"/>
      <c r="K33" s="5"/>
    </row>
    <row r="34" customFormat="false" ht="15" hidden="false" customHeight="true" outlineLevel="0" collapsed="false">
      <c r="A34" s="5"/>
      <c r="B34" s="5"/>
      <c r="C34" s="5"/>
      <c r="D34" s="5"/>
      <c r="E34" s="5"/>
      <c r="F34" s="5"/>
      <c r="G34" s="5"/>
      <c r="H34" s="5"/>
      <c r="I34" s="5"/>
      <c r="J34" s="5"/>
      <c r="K34" s="5"/>
    </row>
    <row r="35" customFormat="false" ht="15" hidden="false" customHeight="true" outlineLevel="0" collapsed="false">
      <c r="A35" s="5"/>
      <c r="B35" s="5"/>
      <c r="C35" s="5"/>
      <c r="D35" s="5"/>
      <c r="E35" s="5"/>
      <c r="F35" s="5"/>
      <c r="G35" s="5"/>
      <c r="H35" s="5"/>
      <c r="I35" s="5"/>
      <c r="J35" s="5"/>
      <c r="K35" s="5"/>
    </row>
    <row r="36" customFormat="false" ht="15" hidden="false" customHeight="true" outlineLevel="0" collapsed="false">
      <c r="A36" s="5"/>
      <c r="B36" s="5"/>
      <c r="C36" s="5"/>
      <c r="D36" s="5"/>
      <c r="E36" s="5"/>
      <c r="F36" s="5"/>
      <c r="G36" s="5"/>
      <c r="H36" s="5"/>
      <c r="I36" s="5"/>
      <c r="J36" s="5"/>
      <c r="K36" s="5"/>
    </row>
    <row r="37" customFormat="false" ht="15" hidden="false" customHeight="true" outlineLevel="0" collapsed="false">
      <c r="A37" s="5"/>
      <c r="B37" s="5"/>
      <c r="C37" s="5"/>
      <c r="D37" s="5"/>
      <c r="E37" s="5"/>
      <c r="F37" s="5"/>
      <c r="G37" s="5"/>
      <c r="H37" s="5"/>
      <c r="I37" s="5"/>
      <c r="J37" s="5"/>
      <c r="K37" s="5"/>
    </row>
    <row r="38" customFormat="false" ht="15" hidden="false" customHeight="true" outlineLevel="0" collapsed="false">
      <c r="A38" s="5"/>
      <c r="B38" s="5"/>
      <c r="C38" s="5"/>
      <c r="D38" s="5"/>
      <c r="E38" s="5"/>
      <c r="F38" s="5"/>
      <c r="G38" s="5"/>
      <c r="H38" s="5"/>
      <c r="I38" s="5"/>
      <c r="J38" s="5"/>
      <c r="K38" s="5"/>
    </row>
    <row r="39" customFormat="false" ht="15" hidden="false" customHeight="true" outlineLevel="0" collapsed="false">
      <c r="A39" s="5"/>
      <c r="B39" s="5"/>
      <c r="C39" s="5"/>
      <c r="D39" s="5"/>
      <c r="E39" s="5"/>
      <c r="F39" s="5"/>
      <c r="G39" s="5"/>
      <c r="H39" s="5"/>
      <c r="I39" s="5"/>
      <c r="J39" s="5"/>
      <c r="K39" s="5"/>
    </row>
    <row r="40" customFormat="false" ht="15" hidden="false" customHeight="true" outlineLevel="0" collapsed="false">
      <c r="A40" s="5"/>
      <c r="B40" s="5"/>
      <c r="C40" s="5"/>
      <c r="D40" s="5"/>
      <c r="E40" s="5"/>
      <c r="F40" s="5"/>
      <c r="G40" s="5"/>
      <c r="H40" s="5"/>
      <c r="I40" s="5"/>
      <c r="J40" s="5"/>
      <c r="K40" s="5"/>
    </row>
    <row r="41" customFormat="false" ht="15" hidden="false" customHeight="true" outlineLevel="0" collapsed="false">
      <c r="A41" s="5"/>
      <c r="B41" s="5"/>
      <c r="C41" s="5"/>
      <c r="D41" s="5"/>
      <c r="E41" s="5"/>
      <c r="F41" s="5"/>
      <c r="G41" s="5"/>
      <c r="H41" s="5"/>
      <c r="I41" s="5"/>
      <c r="J41" s="5"/>
      <c r="K41" s="5"/>
    </row>
    <row r="42" customFormat="false" ht="15" hidden="false" customHeight="true" outlineLevel="0" collapsed="false">
      <c r="A42" s="5"/>
      <c r="B42" s="5"/>
      <c r="C42" s="5"/>
      <c r="D42" s="5"/>
      <c r="E42" s="5"/>
      <c r="F42" s="5"/>
      <c r="G42" s="5"/>
      <c r="H42" s="5"/>
      <c r="I42" s="5"/>
      <c r="J42" s="5"/>
      <c r="K42" s="5"/>
    </row>
    <row r="43" customFormat="false" ht="15" hidden="false" customHeight="true" outlineLevel="0" collapsed="false">
      <c r="A43" s="5"/>
      <c r="B43" s="5"/>
      <c r="C43" s="5"/>
      <c r="D43" s="5"/>
      <c r="E43" s="5"/>
      <c r="F43" s="5"/>
      <c r="G43" s="5"/>
      <c r="H43" s="5"/>
      <c r="I43" s="5"/>
      <c r="J43" s="5"/>
      <c r="K43" s="5"/>
    </row>
    <row r="44" customFormat="false" ht="15" hidden="false" customHeight="true" outlineLevel="0" collapsed="false">
      <c r="A44" s="5"/>
      <c r="B44" s="5"/>
      <c r="C44" s="5"/>
      <c r="D44" s="5"/>
      <c r="E44" s="5"/>
      <c r="F44" s="5"/>
      <c r="G44" s="5"/>
      <c r="H44" s="5"/>
      <c r="I44" s="5"/>
      <c r="J44" s="5"/>
      <c r="K44" s="5"/>
    </row>
    <row r="45" customFormat="false" ht="15" hidden="false" customHeight="true" outlineLevel="0" collapsed="false">
      <c r="A45" s="5"/>
      <c r="B45" s="5"/>
      <c r="C45" s="5"/>
      <c r="D45" s="5"/>
      <c r="E45" s="5"/>
      <c r="F45" s="5"/>
      <c r="G45" s="5"/>
      <c r="H45" s="5"/>
      <c r="I45" s="5"/>
      <c r="J45" s="5"/>
      <c r="K45" s="5"/>
    </row>
    <row r="46" customFormat="false" ht="15" hidden="false" customHeight="true" outlineLevel="0" collapsed="false">
      <c r="A46" s="5"/>
      <c r="B46" s="5"/>
      <c r="C46" s="5"/>
      <c r="D46" s="5"/>
      <c r="E46" s="5"/>
      <c r="F46" s="5"/>
      <c r="G46" s="5"/>
      <c r="H46" s="5"/>
      <c r="I46" s="5"/>
      <c r="J46" s="5"/>
      <c r="K46" s="5"/>
    </row>
    <row r="47" customFormat="false" ht="15" hidden="false" customHeight="true" outlineLevel="0" collapsed="false">
      <c r="A47" s="5"/>
      <c r="B47" s="5"/>
      <c r="C47" s="5"/>
      <c r="D47" s="5"/>
      <c r="E47" s="5"/>
      <c r="F47" s="5"/>
      <c r="G47" s="5"/>
      <c r="H47" s="5"/>
      <c r="I47" s="5"/>
      <c r="J47" s="5"/>
      <c r="K47" s="5"/>
    </row>
    <row r="48" customFormat="false" ht="15" hidden="false" customHeight="true" outlineLevel="0" collapsed="false">
      <c r="A48" s="5"/>
      <c r="B48" s="5"/>
      <c r="C48" s="5"/>
      <c r="D48" s="5"/>
      <c r="E48" s="5"/>
      <c r="F48" s="5"/>
      <c r="G48" s="5"/>
      <c r="H48" s="5"/>
      <c r="I48" s="5"/>
      <c r="J48" s="5"/>
      <c r="K48" s="5"/>
    </row>
    <row r="49" customFormat="false" ht="15" hidden="false" customHeight="true" outlineLevel="0" collapsed="false">
      <c r="A49" s="5"/>
      <c r="B49" s="5"/>
      <c r="C49" s="5"/>
      <c r="D49" s="5"/>
      <c r="E49" s="5"/>
      <c r="F49" s="5"/>
      <c r="G49" s="5"/>
      <c r="H49" s="5"/>
      <c r="I49" s="5"/>
      <c r="J49" s="5"/>
      <c r="K49" s="5"/>
    </row>
    <row r="50" customFormat="false" ht="15" hidden="false" customHeight="true" outlineLevel="0" collapsed="false">
      <c r="A50" s="5"/>
      <c r="B50" s="5"/>
      <c r="C50" s="5"/>
      <c r="D50" s="5"/>
      <c r="E50" s="5"/>
      <c r="F50" s="5"/>
      <c r="G50" s="5"/>
      <c r="H50" s="5"/>
      <c r="I50" s="5"/>
      <c r="J50" s="5"/>
      <c r="K50" s="5"/>
    </row>
    <row r="51" customFormat="false" ht="15" hidden="false" customHeight="true" outlineLevel="0" collapsed="false">
      <c r="A51" s="5"/>
      <c r="B51" s="5"/>
      <c r="C51" s="5"/>
      <c r="D51" s="5"/>
      <c r="E51" s="5"/>
      <c r="F51" s="5"/>
      <c r="G51" s="5"/>
      <c r="H51" s="5"/>
      <c r="I51" s="5"/>
      <c r="J51" s="5"/>
      <c r="K51" s="5"/>
    </row>
    <row r="52" customFormat="false" ht="15" hidden="false" customHeight="true" outlineLevel="0" collapsed="false">
      <c r="A52" s="5"/>
      <c r="B52" s="5"/>
      <c r="C52" s="5"/>
      <c r="D52" s="5"/>
      <c r="E52" s="5"/>
      <c r="F52" s="5"/>
      <c r="G52" s="5"/>
      <c r="H52" s="5"/>
      <c r="I52" s="5"/>
      <c r="J52" s="5"/>
      <c r="K52" s="5"/>
    </row>
    <row r="53" customFormat="false" ht="15" hidden="false" customHeight="true" outlineLevel="0" collapsed="false">
      <c r="A53" s="5"/>
      <c r="B53" s="5"/>
      <c r="C53" s="5"/>
      <c r="D53" s="5"/>
      <c r="E53" s="5"/>
      <c r="F53" s="5"/>
      <c r="G53" s="5"/>
      <c r="H53" s="5"/>
      <c r="I53" s="5"/>
      <c r="J53" s="5"/>
      <c r="K53" s="5"/>
    </row>
    <row r="54" customFormat="false" ht="15" hidden="false" customHeight="true" outlineLevel="0" collapsed="false">
      <c r="A54" s="5"/>
      <c r="B54" s="5"/>
      <c r="C54" s="5"/>
      <c r="D54" s="5"/>
      <c r="E54" s="5"/>
      <c r="F54" s="5"/>
      <c r="G54" s="5"/>
      <c r="H54" s="5"/>
      <c r="I54" s="5"/>
      <c r="J54" s="5"/>
      <c r="K54" s="5"/>
    </row>
    <row r="55" customFormat="false" ht="15" hidden="false" customHeight="true" outlineLevel="0" collapsed="false">
      <c r="A55" s="5"/>
      <c r="B55" s="5"/>
      <c r="C55" s="5"/>
      <c r="D55" s="5"/>
      <c r="E55" s="5"/>
      <c r="F55" s="5"/>
      <c r="G55" s="5"/>
      <c r="H55" s="5"/>
      <c r="I55" s="5"/>
      <c r="J55" s="5"/>
      <c r="K55" s="5"/>
    </row>
    <row r="56" customFormat="false" ht="15" hidden="false" customHeight="true" outlineLevel="0" collapsed="false">
      <c r="A56" s="5"/>
      <c r="B56" s="5"/>
      <c r="C56" s="5"/>
      <c r="D56" s="5"/>
      <c r="E56" s="5"/>
      <c r="F56" s="5"/>
      <c r="G56" s="5"/>
      <c r="H56" s="5"/>
      <c r="I56" s="5"/>
      <c r="J56" s="5"/>
      <c r="K56" s="5"/>
    </row>
    <row r="57" customFormat="false" ht="15" hidden="false" customHeight="true" outlineLevel="0" collapsed="false">
      <c r="A57" s="5"/>
      <c r="B57" s="5"/>
      <c r="C57" s="5"/>
      <c r="D57" s="5"/>
      <c r="E57" s="5"/>
      <c r="F57" s="5"/>
      <c r="G57" s="5"/>
      <c r="H57" s="5"/>
      <c r="I57" s="5"/>
      <c r="J57" s="5"/>
      <c r="K57" s="5"/>
    </row>
    <row r="58" customFormat="false" ht="15" hidden="false" customHeight="true" outlineLevel="0" collapsed="false">
      <c r="A58" s="5"/>
      <c r="B58" s="5"/>
      <c r="C58" s="5"/>
      <c r="D58" s="5"/>
      <c r="E58" s="5"/>
      <c r="F58" s="5"/>
      <c r="G58" s="5"/>
      <c r="H58" s="5"/>
      <c r="I58" s="5"/>
      <c r="J58" s="5"/>
      <c r="K58" s="5"/>
    </row>
    <row r="59" customFormat="false" ht="15" hidden="false" customHeight="true" outlineLevel="0" collapsed="false">
      <c r="A59" s="5"/>
      <c r="B59" s="5"/>
      <c r="C59" s="5"/>
      <c r="D59" s="5"/>
      <c r="E59" s="5"/>
      <c r="F59" s="5"/>
      <c r="G59" s="5"/>
      <c r="H59" s="5"/>
      <c r="I59" s="5"/>
      <c r="J59" s="5"/>
      <c r="K59" s="5"/>
    </row>
    <row r="60" customFormat="false" ht="15" hidden="false" customHeight="true" outlineLevel="0" collapsed="false">
      <c r="A60" s="5"/>
      <c r="B60" s="5"/>
      <c r="C60" s="5"/>
      <c r="D60" s="5"/>
      <c r="E60" s="5"/>
      <c r="F60" s="5"/>
      <c r="G60" s="5"/>
      <c r="H60" s="5"/>
      <c r="I60" s="5"/>
      <c r="J60" s="5"/>
      <c r="K60" s="5"/>
    </row>
    <row r="61" customFormat="false" ht="15" hidden="false" customHeight="true" outlineLevel="0" collapsed="false">
      <c r="A61" s="5"/>
      <c r="B61" s="5"/>
      <c r="C61" s="5"/>
      <c r="D61" s="5"/>
      <c r="E61" s="5"/>
      <c r="F61" s="5"/>
      <c r="G61" s="5"/>
      <c r="H61" s="5"/>
      <c r="I61" s="5"/>
      <c r="J61" s="5"/>
      <c r="K61" s="5"/>
    </row>
    <row r="62" customFormat="false" ht="15" hidden="false" customHeight="true" outlineLevel="0" collapsed="false">
      <c r="A62" s="5"/>
      <c r="B62" s="5"/>
      <c r="C62" s="5"/>
      <c r="D62" s="5"/>
      <c r="E62" s="5"/>
      <c r="F62" s="5"/>
      <c r="G62" s="5"/>
      <c r="H62" s="5"/>
      <c r="I62" s="5"/>
      <c r="J62" s="5"/>
      <c r="K62" s="5"/>
    </row>
    <row r="63" customFormat="false" ht="15" hidden="false" customHeight="true" outlineLevel="0" collapsed="false">
      <c r="A63" s="5"/>
      <c r="B63" s="5"/>
      <c r="C63" s="5"/>
      <c r="D63" s="5"/>
      <c r="E63" s="5"/>
      <c r="F63" s="5"/>
      <c r="G63" s="5"/>
      <c r="H63" s="5"/>
      <c r="I63" s="5"/>
      <c r="J63" s="5"/>
      <c r="K63" s="5"/>
    </row>
    <row r="64" customFormat="false" ht="15" hidden="false" customHeight="true" outlineLevel="0" collapsed="false">
      <c r="A64" s="5"/>
      <c r="B64" s="5"/>
      <c r="C64" s="5"/>
      <c r="D64" s="5"/>
      <c r="E64" s="5"/>
      <c r="F64" s="5"/>
      <c r="G64" s="5"/>
      <c r="H64" s="5"/>
      <c r="I64" s="5"/>
      <c r="J64" s="5"/>
      <c r="K64" s="5"/>
    </row>
    <row r="65" customFormat="false" ht="15" hidden="false" customHeight="true" outlineLevel="0" collapsed="false">
      <c r="A65" s="5"/>
      <c r="B65" s="5"/>
      <c r="C65" s="5"/>
      <c r="D65" s="5"/>
      <c r="E65" s="5"/>
      <c r="F65" s="5"/>
      <c r="G65" s="5"/>
      <c r="H65" s="5"/>
      <c r="I65" s="5"/>
      <c r="J65" s="5"/>
      <c r="K65" s="5"/>
    </row>
    <row r="66" customFormat="false" ht="15" hidden="false" customHeight="true" outlineLevel="0" collapsed="false">
      <c r="A66" s="5"/>
      <c r="B66" s="5"/>
      <c r="C66" s="5"/>
      <c r="D66" s="5"/>
      <c r="E66" s="5"/>
      <c r="F66" s="5"/>
      <c r="G66" s="5"/>
      <c r="H66" s="5"/>
      <c r="I66" s="5"/>
      <c r="J66" s="5"/>
      <c r="K66" s="5"/>
    </row>
    <row r="67" customFormat="false" ht="15" hidden="false" customHeight="true" outlineLevel="0" collapsed="false">
      <c r="A67" s="5"/>
      <c r="B67" s="5"/>
      <c r="C67" s="5"/>
      <c r="D67" s="5"/>
      <c r="E67" s="5"/>
      <c r="F67" s="5"/>
      <c r="G67" s="5"/>
      <c r="H67" s="5"/>
      <c r="I67" s="5"/>
      <c r="J67" s="5"/>
      <c r="K67" s="5"/>
    </row>
    <row r="68" customFormat="false" ht="15" hidden="false" customHeight="true" outlineLevel="0" collapsed="false">
      <c r="A68" s="5"/>
      <c r="B68" s="5"/>
      <c r="C68" s="5"/>
      <c r="D68" s="5"/>
      <c r="E68" s="5"/>
      <c r="F68" s="5"/>
      <c r="G68" s="5"/>
      <c r="H68" s="5"/>
      <c r="I68" s="5"/>
      <c r="J68" s="5"/>
      <c r="K68" s="5"/>
    </row>
    <row r="69" customFormat="false" ht="15" hidden="false" customHeight="true" outlineLevel="0" collapsed="false">
      <c r="A69" s="5"/>
      <c r="B69" s="5"/>
      <c r="C69" s="5"/>
      <c r="D69" s="5"/>
      <c r="E69" s="5"/>
      <c r="F69" s="5"/>
      <c r="G69" s="5"/>
      <c r="H69" s="5"/>
      <c r="I69" s="5"/>
      <c r="J69" s="5"/>
      <c r="K69" s="5"/>
    </row>
    <row r="70" customFormat="false" ht="15" hidden="false" customHeight="true" outlineLevel="0" collapsed="false">
      <c r="A70" s="5"/>
      <c r="B70" s="5"/>
      <c r="C70" s="5"/>
      <c r="D70" s="5"/>
      <c r="E70" s="5"/>
      <c r="F70" s="5"/>
      <c r="G70" s="5"/>
      <c r="H70" s="5"/>
      <c r="I70" s="5"/>
      <c r="J70" s="5"/>
      <c r="K70" s="5"/>
    </row>
    <row r="71" customFormat="false" ht="15" hidden="false" customHeight="true" outlineLevel="0" collapsed="false">
      <c r="A71" s="5"/>
      <c r="B71" s="5"/>
      <c r="C71" s="5"/>
      <c r="D71" s="5"/>
      <c r="E71" s="5"/>
      <c r="F71" s="5"/>
      <c r="G71" s="5"/>
      <c r="H71" s="5"/>
      <c r="I71" s="5"/>
      <c r="J71" s="5"/>
      <c r="K71" s="5"/>
    </row>
    <row r="72" customFormat="false" ht="15" hidden="false" customHeight="true" outlineLevel="0" collapsed="false">
      <c r="A72" s="5"/>
      <c r="B72" s="5"/>
      <c r="C72" s="5"/>
      <c r="D72" s="5"/>
      <c r="E72" s="5"/>
      <c r="F72" s="5"/>
      <c r="G72" s="5"/>
      <c r="H72" s="5"/>
      <c r="I72" s="5"/>
      <c r="J72" s="5"/>
      <c r="K72" s="5"/>
    </row>
    <row r="73" customFormat="false" ht="15" hidden="false" customHeight="true" outlineLevel="0" collapsed="false">
      <c r="A73" s="5"/>
      <c r="B73" s="5"/>
      <c r="C73" s="5"/>
      <c r="D73" s="5"/>
      <c r="E73" s="5"/>
      <c r="F73" s="5"/>
      <c r="G73" s="5"/>
      <c r="H73" s="5"/>
      <c r="I73" s="5"/>
      <c r="J73" s="5"/>
      <c r="K73" s="5"/>
    </row>
    <row r="74" customFormat="false" ht="15" hidden="false" customHeight="true" outlineLevel="0" collapsed="false">
      <c r="A74" s="5"/>
      <c r="B74" s="5"/>
      <c r="C74" s="5"/>
      <c r="D74" s="5"/>
      <c r="E74" s="5"/>
      <c r="F74" s="5"/>
      <c r="G74" s="5"/>
      <c r="H74" s="5"/>
      <c r="I74" s="5"/>
      <c r="J74" s="5"/>
      <c r="K74" s="5"/>
    </row>
    <row r="75" customFormat="false" ht="15" hidden="false" customHeight="true" outlineLevel="0" collapsed="false">
      <c r="A75" s="5"/>
      <c r="B75" s="5"/>
      <c r="C75" s="5"/>
      <c r="D75" s="5"/>
      <c r="E75" s="5"/>
      <c r="F75" s="5"/>
      <c r="G75" s="5"/>
      <c r="H75" s="5"/>
      <c r="I75" s="5"/>
      <c r="J75" s="5"/>
      <c r="K75" s="5"/>
    </row>
    <row r="76" customFormat="false" ht="15" hidden="false" customHeight="true" outlineLevel="0" collapsed="false">
      <c r="A76" s="5"/>
      <c r="B76" s="5"/>
      <c r="C76" s="5"/>
      <c r="D76" s="5"/>
      <c r="E76" s="5"/>
      <c r="F76" s="5"/>
      <c r="G76" s="5"/>
      <c r="H76" s="5"/>
      <c r="I76" s="5"/>
      <c r="J76" s="5"/>
      <c r="K76" s="5"/>
    </row>
    <row r="77" customFormat="false" ht="15" hidden="false" customHeight="true" outlineLevel="0" collapsed="false">
      <c r="A77" s="5"/>
      <c r="B77" s="5"/>
      <c r="C77" s="5"/>
      <c r="D77" s="5"/>
      <c r="E77" s="5"/>
      <c r="F77" s="5"/>
      <c r="G77" s="5"/>
      <c r="H77" s="5"/>
      <c r="I77" s="5"/>
      <c r="J77" s="5"/>
      <c r="K77" s="5"/>
    </row>
    <row r="78" customFormat="false" ht="15" hidden="false" customHeight="true" outlineLevel="0" collapsed="false">
      <c r="A78" s="5"/>
      <c r="B78" s="5"/>
      <c r="C78" s="5"/>
      <c r="D78" s="5"/>
      <c r="E78" s="5"/>
      <c r="F78" s="5"/>
      <c r="G78" s="5"/>
      <c r="H78" s="5"/>
      <c r="I78" s="5"/>
      <c r="J78" s="5"/>
      <c r="K78" s="5"/>
    </row>
    <row r="79" customFormat="false" ht="15" hidden="false" customHeight="true" outlineLevel="0" collapsed="false">
      <c r="A79" s="5"/>
      <c r="B79" s="5"/>
      <c r="C79" s="5"/>
      <c r="D79" s="5"/>
      <c r="E79" s="5"/>
      <c r="F79" s="5"/>
      <c r="G79" s="5"/>
      <c r="H79" s="5"/>
      <c r="I79" s="5"/>
      <c r="J79" s="5"/>
      <c r="K79" s="5"/>
    </row>
    <row r="80" customFormat="false" ht="15" hidden="false" customHeight="true" outlineLevel="0" collapsed="false">
      <c r="A80" s="5"/>
      <c r="B80" s="5"/>
      <c r="C80" s="5"/>
      <c r="D80" s="5"/>
      <c r="E80" s="5"/>
      <c r="F80" s="5"/>
      <c r="G80" s="5"/>
      <c r="H80" s="5"/>
      <c r="I80" s="5"/>
      <c r="J80" s="5"/>
      <c r="K80" s="5"/>
    </row>
    <row r="81" customFormat="false" ht="15" hidden="false" customHeight="true" outlineLevel="0" collapsed="false">
      <c r="A81" s="5"/>
      <c r="B81" s="5"/>
      <c r="C81" s="5"/>
      <c r="D81" s="5"/>
      <c r="E81" s="5"/>
      <c r="F81" s="5"/>
      <c r="G81" s="5"/>
      <c r="H81" s="5"/>
      <c r="I81" s="5"/>
      <c r="J81" s="5"/>
      <c r="K81" s="5"/>
    </row>
    <row r="82" customFormat="false" ht="15" hidden="false" customHeight="true" outlineLevel="0" collapsed="false">
      <c r="A82" s="5"/>
      <c r="B82" s="5"/>
      <c r="C82" s="5"/>
      <c r="D82" s="5"/>
      <c r="E82" s="5"/>
      <c r="F82" s="5"/>
      <c r="G82" s="5"/>
      <c r="H82" s="5"/>
      <c r="I82" s="5"/>
      <c r="J82" s="5"/>
      <c r="K82" s="5"/>
    </row>
    <row r="83" customFormat="false" ht="15" hidden="false" customHeight="true" outlineLevel="0" collapsed="false">
      <c r="A83" s="5"/>
      <c r="B83" s="5"/>
      <c r="C83" s="5"/>
      <c r="D83" s="5"/>
      <c r="E83" s="5"/>
      <c r="F83" s="5"/>
      <c r="G83" s="5"/>
      <c r="H83" s="5"/>
      <c r="I83" s="5"/>
      <c r="J83" s="5"/>
      <c r="K83" s="5"/>
    </row>
    <row r="84" customFormat="false" ht="15" hidden="false" customHeight="true" outlineLevel="0" collapsed="false">
      <c r="A84" s="5"/>
      <c r="B84" s="5"/>
      <c r="C84" s="5"/>
      <c r="D84" s="5"/>
      <c r="E84" s="5"/>
      <c r="F84" s="5"/>
      <c r="G84" s="5"/>
      <c r="H84" s="5"/>
      <c r="I84" s="5"/>
      <c r="J84" s="5"/>
      <c r="K84" s="5"/>
    </row>
    <row r="85" customFormat="false" ht="15" hidden="false" customHeight="true" outlineLevel="0" collapsed="false">
      <c r="A85" s="5"/>
      <c r="B85" s="5"/>
      <c r="C85" s="5"/>
      <c r="D85" s="5"/>
      <c r="E85" s="5"/>
      <c r="F85" s="5"/>
      <c r="G85" s="5"/>
      <c r="H85" s="5"/>
      <c r="I85" s="5"/>
      <c r="J85" s="5"/>
      <c r="K85" s="5"/>
    </row>
    <row r="86" customFormat="false" ht="15" hidden="false" customHeight="true" outlineLevel="0" collapsed="false">
      <c r="A86" s="5"/>
      <c r="B86" s="5"/>
      <c r="C86" s="5"/>
      <c r="D86" s="5"/>
      <c r="E86" s="5"/>
      <c r="F86" s="5"/>
      <c r="G86" s="5"/>
      <c r="H86" s="5"/>
      <c r="I86" s="5"/>
      <c r="J86" s="5"/>
      <c r="K86" s="5"/>
    </row>
    <row r="87" customFormat="false" ht="15" hidden="false" customHeight="true" outlineLevel="0" collapsed="false">
      <c r="A87" s="5"/>
      <c r="B87" s="5"/>
      <c r="C87" s="5"/>
      <c r="D87" s="5"/>
      <c r="E87" s="5"/>
      <c r="F87" s="5"/>
      <c r="G87" s="5"/>
      <c r="H87" s="5"/>
      <c r="I87" s="5"/>
      <c r="J87" s="5"/>
      <c r="K87" s="5"/>
    </row>
    <row r="88" customFormat="false" ht="15" hidden="false" customHeight="true" outlineLevel="0" collapsed="false">
      <c r="A88" s="5"/>
      <c r="B88" s="5"/>
      <c r="C88" s="5"/>
      <c r="D88" s="5"/>
      <c r="E88" s="5"/>
      <c r="F88" s="5"/>
      <c r="G88" s="5"/>
      <c r="H88" s="5"/>
      <c r="I88" s="5"/>
      <c r="J88" s="5"/>
      <c r="K88" s="5"/>
    </row>
    <row r="89" customFormat="false" ht="15" hidden="false" customHeight="true" outlineLevel="0" collapsed="false">
      <c r="A89" s="5"/>
      <c r="B89" s="5"/>
      <c r="C89" s="5"/>
      <c r="D89" s="5"/>
      <c r="E89" s="5"/>
      <c r="F89" s="5"/>
      <c r="G89" s="5"/>
      <c r="H89" s="5"/>
      <c r="I89" s="5"/>
      <c r="J89" s="5"/>
      <c r="K89" s="5"/>
    </row>
    <row r="90" customFormat="false" ht="15" hidden="false" customHeight="true" outlineLevel="0" collapsed="false">
      <c r="A90" s="5"/>
      <c r="B90" s="5"/>
      <c r="C90" s="5"/>
      <c r="D90" s="5"/>
      <c r="E90" s="5"/>
      <c r="F90" s="5"/>
      <c r="G90" s="5"/>
      <c r="H90" s="5"/>
      <c r="I90" s="5"/>
      <c r="J90" s="5"/>
      <c r="K90" s="5"/>
    </row>
    <row r="91" customFormat="false" ht="15" hidden="false" customHeight="true" outlineLevel="0" collapsed="false">
      <c r="A91" s="5"/>
      <c r="B91" s="5"/>
      <c r="C91" s="5"/>
      <c r="D91" s="5"/>
      <c r="E91" s="5"/>
      <c r="F91" s="5"/>
      <c r="G91" s="5"/>
      <c r="H91" s="5"/>
      <c r="I91" s="5"/>
      <c r="J91" s="5"/>
      <c r="K91" s="5"/>
    </row>
    <row r="92" customFormat="false" ht="15" hidden="false" customHeight="true" outlineLevel="0" collapsed="false">
      <c r="A92" s="5"/>
      <c r="B92" s="5"/>
      <c r="C92" s="5"/>
      <c r="D92" s="5"/>
      <c r="E92" s="5"/>
      <c r="F92" s="5"/>
      <c r="G92" s="5"/>
      <c r="H92" s="5"/>
      <c r="I92" s="5"/>
      <c r="J92" s="5"/>
      <c r="K92" s="5"/>
    </row>
    <row r="93" customFormat="false" ht="15" hidden="false" customHeight="true" outlineLevel="0" collapsed="false">
      <c r="A93" s="5"/>
      <c r="B93" s="5"/>
      <c r="C93" s="5"/>
      <c r="D93" s="5"/>
      <c r="E93" s="5"/>
      <c r="F93" s="5"/>
      <c r="G93" s="5"/>
      <c r="H93" s="5"/>
      <c r="I93" s="5"/>
      <c r="J93" s="5"/>
      <c r="K93" s="5"/>
    </row>
    <row r="94" customFormat="false" ht="15" hidden="false" customHeight="true" outlineLevel="0" collapsed="false">
      <c r="A94" s="5"/>
      <c r="B94" s="5"/>
      <c r="C94" s="5"/>
      <c r="D94" s="5"/>
      <c r="E94" s="5"/>
      <c r="F94" s="5"/>
      <c r="G94" s="5"/>
      <c r="H94" s="5"/>
      <c r="I94" s="5"/>
      <c r="J94" s="5"/>
      <c r="K94" s="5"/>
    </row>
    <row r="95" customFormat="false" ht="15" hidden="false" customHeight="true" outlineLevel="0" collapsed="false">
      <c r="A95" s="5"/>
      <c r="B95" s="5"/>
      <c r="C95" s="5"/>
      <c r="D95" s="5"/>
      <c r="E95" s="5"/>
      <c r="F95" s="5"/>
      <c r="G95" s="5"/>
      <c r="H95" s="5"/>
      <c r="I95" s="5"/>
      <c r="J95" s="5"/>
      <c r="K95" s="5"/>
    </row>
    <row r="96" customFormat="false" ht="15" hidden="false" customHeight="true" outlineLevel="0" collapsed="false">
      <c r="A96" s="5"/>
      <c r="B96" s="5"/>
      <c r="C96" s="5"/>
      <c r="D96" s="5"/>
      <c r="E96" s="5"/>
      <c r="F96" s="5"/>
      <c r="G96" s="5"/>
      <c r="H96" s="5"/>
      <c r="I96" s="5"/>
      <c r="J96" s="5"/>
      <c r="K96" s="5"/>
    </row>
    <row r="97" customFormat="false" ht="15" hidden="false" customHeight="true" outlineLevel="0" collapsed="false">
      <c r="A97" s="5"/>
      <c r="B97" s="5"/>
      <c r="C97" s="5"/>
      <c r="D97" s="5"/>
      <c r="E97" s="5"/>
      <c r="F97" s="5"/>
      <c r="G97" s="5"/>
      <c r="H97" s="5"/>
      <c r="I97" s="5"/>
      <c r="J97" s="5"/>
      <c r="K97" s="5"/>
    </row>
    <row r="98" customFormat="false" ht="15" hidden="false" customHeight="true" outlineLevel="0" collapsed="false">
      <c r="A98" s="5"/>
      <c r="B98" s="5"/>
      <c r="C98" s="5"/>
      <c r="D98" s="5"/>
      <c r="E98" s="5"/>
      <c r="F98" s="5"/>
      <c r="G98" s="5"/>
      <c r="H98" s="5"/>
      <c r="I98" s="5"/>
      <c r="J98" s="5"/>
      <c r="K98" s="5"/>
    </row>
    <row r="99" customFormat="false" ht="15" hidden="false" customHeight="true" outlineLevel="0" collapsed="false">
      <c r="A99" s="5"/>
      <c r="B99" s="5"/>
      <c r="C99" s="5"/>
      <c r="D99" s="5"/>
      <c r="E99" s="5"/>
      <c r="F99" s="5"/>
      <c r="G99" s="5"/>
      <c r="H99" s="5"/>
      <c r="I99" s="5"/>
      <c r="J99" s="5"/>
      <c r="K99" s="5"/>
    </row>
    <row r="100" customFormat="false" ht="15" hidden="false" customHeight="true" outlineLevel="0" collapsed="false">
      <c r="A100" s="5"/>
      <c r="B100" s="5"/>
      <c r="C100" s="5"/>
      <c r="D100" s="5"/>
      <c r="E100" s="5"/>
      <c r="F100" s="5"/>
      <c r="G100" s="5"/>
      <c r="H100" s="5"/>
      <c r="I100" s="5"/>
      <c r="J100" s="5"/>
      <c r="K100" s="5"/>
    </row>
    <row r="101" customFormat="false" ht="15" hidden="false" customHeight="true" outlineLevel="0" collapsed="false">
      <c r="A101" s="5"/>
      <c r="B101" s="5"/>
      <c r="C101" s="5"/>
      <c r="D101" s="5"/>
      <c r="E101" s="5"/>
      <c r="F101" s="5"/>
      <c r="G101" s="5"/>
      <c r="H101" s="5"/>
      <c r="I101" s="5"/>
      <c r="J101" s="5"/>
      <c r="K101" s="5"/>
    </row>
    <row r="102" customFormat="false" ht="15" hidden="false" customHeight="true" outlineLevel="0" collapsed="false">
      <c r="A102" s="5"/>
      <c r="B102" s="5"/>
      <c r="C102" s="5"/>
      <c r="D102" s="5"/>
      <c r="E102" s="5"/>
      <c r="F102" s="5"/>
      <c r="G102" s="5"/>
      <c r="H102" s="5"/>
      <c r="I102" s="5"/>
      <c r="J102" s="5"/>
      <c r="K102" s="5"/>
    </row>
    <row r="103" customFormat="false" ht="15" hidden="false" customHeight="true" outlineLevel="0" collapsed="false">
      <c r="A103" s="5"/>
      <c r="B103" s="5"/>
      <c r="C103" s="5"/>
      <c r="D103" s="5"/>
      <c r="E103" s="5"/>
      <c r="F103" s="5"/>
      <c r="G103" s="5"/>
      <c r="H103" s="5"/>
      <c r="I103" s="5"/>
      <c r="J103" s="5"/>
      <c r="K103" s="5"/>
    </row>
    <row r="104" customFormat="false" ht="15" hidden="false" customHeight="true" outlineLevel="0" collapsed="false">
      <c r="A104" s="5"/>
      <c r="B104" s="5"/>
      <c r="C104" s="5"/>
      <c r="D104" s="5"/>
      <c r="E104" s="5"/>
      <c r="F104" s="5"/>
      <c r="G104" s="5"/>
      <c r="H104" s="5"/>
      <c r="I104" s="5"/>
      <c r="J104" s="5"/>
      <c r="K104" s="5"/>
    </row>
    <row r="105" customFormat="false" ht="15" hidden="false" customHeight="true" outlineLevel="0" collapsed="false">
      <c r="A105" s="5"/>
      <c r="B105" s="5"/>
      <c r="C105" s="5"/>
      <c r="D105" s="5"/>
      <c r="E105" s="5"/>
      <c r="F105" s="5"/>
      <c r="G105" s="5"/>
      <c r="H105" s="5"/>
      <c r="I105" s="5"/>
      <c r="J105" s="5"/>
      <c r="K105" s="5"/>
    </row>
    <row r="106" customFormat="false" ht="15" hidden="false" customHeight="true" outlineLevel="0" collapsed="false">
      <c r="A106" s="5"/>
      <c r="B106" s="5"/>
      <c r="C106" s="5"/>
      <c r="D106" s="5"/>
      <c r="E106" s="5"/>
      <c r="F106" s="5"/>
      <c r="G106" s="5"/>
      <c r="H106" s="5"/>
      <c r="I106" s="5"/>
      <c r="J106" s="5"/>
      <c r="K106" s="5"/>
    </row>
    <row r="107" customFormat="false" ht="15" hidden="false" customHeight="true" outlineLevel="0" collapsed="false">
      <c r="A107" s="5"/>
      <c r="B107" s="5"/>
      <c r="C107" s="5"/>
      <c r="D107" s="5"/>
      <c r="E107" s="5"/>
      <c r="F107" s="5"/>
      <c r="G107" s="5"/>
      <c r="H107" s="5"/>
      <c r="I107" s="5"/>
      <c r="J107" s="5"/>
      <c r="K107" s="5"/>
    </row>
    <row r="108" customFormat="false" ht="15" hidden="false" customHeight="true" outlineLevel="0" collapsed="false">
      <c r="A108" s="5"/>
      <c r="B108" s="5"/>
      <c r="C108" s="5"/>
      <c r="D108" s="5"/>
      <c r="E108" s="5"/>
      <c r="F108" s="5"/>
      <c r="G108" s="5"/>
      <c r="H108" s="5"/>
      <c r="I108" s="5"/>
      <c r="J108" s="5"/>
      <c r="K108" s="5"/>
    </row>
    <row r="109" customFormat="false" ht="15" hidden="false" customHeight="true" outlineLevel="0" collapsed="false">
      <c r="A109" s="5"/>
      <c r="B109" s="5"/>
      <c r="C109" s="5"/>
      <c r="D109" s="5"/>
      <c r="E109" s="5"/>
      <c r="F109" s="5"/>
      <c r="G109" s="5"/>
      <c r="H109" s="5"/>
      <c r="I109" s="5"/>
      <c r="J109" s="5"/>
      <c r="K109" s="5"/>
    </row>
    <row r="110" customFormat="false" ht="15" hidden="false" customHeight="true" outlineLevel="0" collapsed="false">
      <c r="A110" s="5"/>
      <c r="B110" s="5"/>
      <c r="C110" s="5"/>
      <c r="D110" s="5"/>
      <c r="E110" s="5"/>
      <c r="F110" s="5"/>
      <c r="G110" s="5"/>
      <c r="H110" s="5"/>
      <c r="I110" s="5"/>
      <c r="J110" s="5"/>
      <c r="K110" s="5"/>
    </row>
    <row r="111" customFormat="false" ht="15" hidden="false" customHeight="true" outlineLevel="0" collapsed="false">
      <c r="A111" s="5"/>
      <c r="B111" s="5"/>
      <c r="C111" s="5"/>
      <c r="D111" s="5"/>
      <c r="E111" s="5"/>
      <c r="F111" s="5"/>
      <c r="G111" s="5"/>
      <c r="H111" s="5"/>
      <c r="I111" s="5"/>
      <c r="J111" s="5"/>
      <c r="K111" s="5"/>
    </row>
    <row r="112" customFormat="false" ht="15" hidden="false" customHeight="true" outlineLevel="0" collapsed="false">
      <c r="A112" s="5"/>
      <c r="B112" s="5"/>
      <c r="C112" s="5"/>
      <c r="D112" s="5"/>
      <c r="E112" s="5"/>
      <c r="F112" s="5"/>
      <c r="G112" s="5"/>
      <c r="H112" s="5"/>
      <c r="I112" s="5"/>
      <c r="J112" s="5"/>
      <c r="K112" s="5"/>
    </row>
    <row r="113" customFormat="false" ht="15" hidden="false" customHeight="true" outlineLevel="0" collapsed="false">
      <c r="A113" s="5"/>
      <c r="B113" s="5"/>
      <c r="C113" s="5"/>
      <c r="D113" s="5"/>
      <c r="E113" s="5"/>
      <c r="F113" s="5"/>
      <c r="G113" s="5"/>
      <c r="H113" s="5"/>
      <c r="I113" s="5"/>
      <c r="J113" s="5"/>
      <c r="K113" s="5"/>
    </row>
    <row r="114" customFormat="false" ht="15" hidden="false" customHeight="true" outlineLevel="0" collapsed="false">
      <c r="A114" s="5"/>
      <c r="B114" s="5"/>
      <c r="C114" s="5"/>
      <c r="D114" s="5"/>
      <c r="E114" s="5"/>
      <c r="F114" s="5"/>
      <c r="G114" s="5"/>
      <c r="H114" s="5"/>
      <c r="I114" s="5"/>
      <c r="J114" s="5"/>
      <c r="K114" s="5"/>
    </row>
    <row r="115" customFormat="false" ht="15" hidden="false" customHeight="true" outlineLevel="0" collapsed="false">
      <c r="A115" s="5"/>
      <c r="B115" s="5"/>
      <c r="C115" s="5"/>
      <c r="D115" s="5"/>
      <c r="E115" s="5"/>
      <c r="F115" s="5"/>
      <c r="G115" s="5"/>
      <c r="H115" s="5"/>
      <c r="I115" s="5"/>
      <c r="J115" s="5"/>
      <c r="K115" s="5"/>
    </row>
    <row r="116" customFormat="false" ht="15" hidden="false" customHeight="true" outlineLevel="0" collapsed="false">
      <c r="A116" s="5"/>
      <c r="B116" s="5"/>
      <c r="C116" s="5"/>
      <c r="D116" s="5"/>
      <c r="E116" s="5"/>
      <c r="F116" s="5"/>
      <c r="G116" s="5"/>
      <c r="H116" s="5"/>
      <c r="I116" s="5"/>
      <c r="J116" s="5"/>
      <c r="K116" s="5"/>
    </row>
    <row r="117" customFormat="false" ht="15" hidden="false" customHeight="true" outlineLevel="0" collapsed="false">
      <c r="A117" s="5"/>
      <c r="B117" s="5"/>
      <c r="C117" s="5"/>
      <c r="D117" s="5"/>
      <c r="E117" s="5"/>
      <c r="F117" s="5"/>
      <c r="G117" s="5"/>
      <c r="H117" s="5"/>
      <c r="I117" s="5"/>
      <c r="J117" s="5"/>
      <c r="K117" s="5"/>
    </row>
    <row r="118" customFormat="false" ht="15" hidden="false" customHeight="true" outlineLevel="0" collapsed="false">
      <c r="A118" s="5"/>
      <c r="B118" s="5"/>
      <c r="C118" s="5"/>
      <c r="D118" s="5"/>
      <c r="E118" s="5"/>
      <c r="F118" s="5"/>
      <c r="G118" s="5"/>
      <c r="H118" s="5"/>
      <c r="I118" s="5"/>
      <c r="J118" s="5"/>
      <c r="K118" s="5"/>
    </row>
    <row r="119" customFormat="false" ht="15" hidden="false" customHeight="true" outlineLevel="0" collapsed="false">
      <c r="A119" s="5"/>
      <c r="B119" s="5"/>
      <c r="C119" s="5"/>
      <c r="D119" s="5"/>
      <c r="E119" s="5"/>
      <c r="F119" s="5"/>
      <c r="G119" s="5"/>
      <c r="H119" s="5"/>
      <c r="I119" s="5"/>
      <c r="J119" s="5"/>
      <c r="K119" s="5"/>
    </row>
    <row r="120" customFormat="false" ht="15" hidden="false" customHeight="true" outlineLevel="0" collapsed="false">
      <c r="A120" s="5"/>
      <c r="B120" s="5"/>
      <c r="C120" s="5"/>
      <c r="D120" s="5"/>
      <c r="E120" s="5"/>
      <c r="F120" s="5"/>
      <c r="G120" s="5"/>
      <c r="H120" s="5"/>
      <c r="I120" s="5"/>
      <c r="J120" s="5"/>
      <c r="K120" s="5"/>
    </row>
    <row r="121" customFormat="false" ht="15" hidden="false" customHeight="true" outlineLevel="0" collapsed="false">
      <c r="A121" s="5"/>
      <c r="B121" s="5"/>
      <c r="C121" s="5"/>
      <c r="D121" s="5"/>
      <c r="E121" s="5"/>
      <c r="F121" s="5"/>
      <c r="G121" s="5"/>
      <c r="H121" s="5"/>
      <c r="I121" s="5"/>
      <c r="J121" s="5"/>
      <c r="K121" s="5"/>
    </row>
    <row r="122" customFormat="false" ht="15" hidden="false" customHeight="true" outlineLevel="0" collapsed="false">
      <c r="A122" s="5"/>
      <c r="B122" s="5"/>
      <c r="C122" s="5"/>
      <c r="D122" s="5"/>
      <c r="E122" s="5"/>
      <c r="F122" s="5"/>
      <c r="G122" s="5"/>
      <c r="H122" s="5"/>
      <c r="I122" s="5"/>
      <c r="J122" s="5"/>
      <c r="K122" s="5"/>
    </row>
    <row r="123" customFormat="false" ht="15" hidden="false" customHeight="true" outlineLevel="0" collapsed="false">
      <c r="A123" s="5"/>
      <c r="B123" s="5"/>
      <c r="C123" s="5"/>
      <c r="D123" s="5"/>
      <c r="E123" s="5"/>
      <c r="F123" s="5"/>
      <c r="G123" s="5"/>
      <c r="H123" s="5"/>
      <c r="I123" s="5"/>
      <c r="J123" s="5"/>
      <c r="K123" s="5"/>
    </row>
    <row r="124" customFormat="false" ht="15" hidden="false" customHeight="true" outlineLevel="0" collapsed="false">
      <c r="A124" s="5"/>
      <c r="B124" s="5"/>
      <c r="C124" s="5"/>
      <c r="D124" s="5"/>
      <c r="E124" s="5"/>
      <c r="F124" s="5"/>
      <c r="G124" s="5"/>
      <c r="H124" s="5"/>
      <c r="I124" s="5"/>
      <c r="J124" s="5"/>
      <c r="K124" s="5"/>
    </row>
    <row r="125" customFormat="false" ht="15" hidden="false" customHeight="true" outlineLevel="0" collapsed="false">
      <c r="A125" s="5"/>
      <c r="B125" s="5"/>
      <c r="C125" s="5"/>
      <c r="D125" s="5"/>
      <c r="E125" s="5"/>
      <c r="F125" s="5"/>
      <c r="G125" s="5"/>
      <c r="H125" s="5"/>
      <c r="I125" s="5"/>
      <c r="J125" s="5"/>
      <c r="K125" s="5"/>
    </row>
    <row r="126" customFormat="false" ht="15" hidden="false" customHeight="true" outlineLevel="0" collapsed="false">
      <c r="A126" s="5"/>
      <c r="B126" s="5"/>
      <c r="C126" s="5"/>
      <c r="D126" s="5"/>
      <c r="E126" s="5"/>
      <c r="F126" s="5"/>
      <c r="G126" s="5"/>
      <c r="H126" s="5"/>
      <c r="I126" s="5"/>
      <c r="J126" s="5"/>
      <c r="K126" s="5"/>
    </row>
    <row r="127" customFormat="false" ht="15" hidden="false" customHeight="true" outlineLevel="0" collapsed="false">
      <c r="A127" s="5"/>
      <c r="B127" s="5"/>
      <c r="C127" s="5"/>
      <c r="D127" s="5"/>
      <c r="E127" s="5"/>
      <c r="F127" s="5"/>
      <c r="G127" s="5"/>
      <c r="H127" s="5"/>
      <c r="I127" s="5"/>
      <c r="J127" s="5"/>
      <c r="K127" s="5"/>
    </row>
    <row r="128" customFormat="false" ht="15" hidden="false" customHeight="true" outlineLevel="0" collapsed="false">
      <c r="A128" s="5"/>
      <c r="B128" s="5"/>
      <c r="C128" s="5"/>
      <c r="D128" s="5"/>
      <c r="E128" s="5"/>
      <c r="F128" s="5"/>
      <c r="G128" s="5"/>
      <c r="H128" s="5"/>
      <c r="I128" s="5"/>
      <c r="J128" s="5"/>
      <c r="K128" s="5"/>
    </row>
    <row r="129" customFormat="false" ht="15" hidden="false" customHeight="true" outlineLevel="0" collapsed="false">
      <c r="A129" s="5"/>
      <c r="B129" s="5"/>
      <c r="C129" s="5"/>
      <c r="D129" s="5"/>
      <c r="E129" s="5"/>
      <c r="F129" s="5"/>
      <c r="G129" s="5"/>
      <c r="H129" s="5"/>
      <c r="I129" s="5"/>
      <c r="J129" s="5"/>
      <c r="K129" s="5"/>
    </row>
    <row r="130" customFormat="false" ht="15" hidden="false" customHeight="true" outlineLevel="0" collapsed="false">
      <c r="A130" s="5"/>
      <c r="B130" s="5"/>
      <c r="C130" s="5"/>
      <c r="D130" s="5"/>
      <c r="E130" s="5"/>
      <c r="F130" s="5"/>
      <c r="G130" s="5"/>
      <c r="H130" s="5"/>
      <c r="I130" s="5"/>
      <c r="J130" s="5"/>
      <c r="K130" s="5"/>
    </row>
    <row r="131" customFormat="false" ht="15" hidden="false" customHeight="true" outlineLevel="0" collapsed="false">
      <c r="A131" s="5"/>
      <c r="B131" s="5"/>
      <c r="C131" s="5"/>
      <c r="D131" s="5"/>
      <c r="E131" s="5"/>
      <c r="F131" s="5"/>
      <c r="G131" s="5"/>
      <c r="H131" s="5"/>
      <c r="I131" s="5"/>
      <c r="J131" s="5"/>
      <c r="K131" s="5"/>
    </row>
    <row r="132" customFormat="false" ht="15" hidden="false" customHeight="true" outlineLevel="0" collapsed="false">
      <c r="A132" s="5"/>
      <c r="B132" s="5"/>
      <c r="C132" s="5"/>
      <c r="D132" s="5"/>
      <c r="E132" s="5"/>
      <c r="F132" s="5"/>
      <c r="G132" s="5"/>
      <c r="H132" s="5"/>
      <c r="I132" s="5"/>
      <c r="J132" s="5"/>
      <c r="K132" s="5"/>
    </row>
    <row r="133" customFormat="false" ht="15" hidden="false" customHeight="true" outlineLevel="0" collapsed="false">
      <c r="A133" s="5"/>
      <c r="B133" s="5"/>
      <c r="C133" s="5"/>
      <c r="D133" s="5"/>
      <c r="E133" s="5"/>
      <c r="F133" s="5"/>
      <c r="G133" s="5"/>
      <c r="H133" s="5"/>
      <c r="I133" s="5"/>
      <c r="J133" s="5"/>
      <c r="K133" s="5"/>
    </row>
    <row r="134" customFormat="false" ht="15" hidden="false" customHeight="true" outlineLevel="0" collapsed="false">
      <c r="A134" s="5"/>
      <c r="B134" s="5"/>
      <c r="C134" s="5"/>
      <c r="D134" s="5"/>
      <c r="E134" s="5"/>
      <c r="F134" s="5"/>
      <c r="G134" s="5"/>
      <c r="H134" s="5"/>
      <c r="I134" s="5"/>
      <c r="J134" s="5"/>
      <c r="K134" s="5"/>
    </row>
    <row r="135" customFormat="false" ht="15" hidden="false" customHeight="true" outlineLevel="0" collapsed="false">
      <c r="A135" s="5"/>
      <c r="B135" s="5"/>
      <c r="C135" s="5"/>
      <c r="D135" s="5"/>
      <c r="E135" s="5"/>
      <c r="F135" s="5"/>
      <c r="G135" s="5"/>
      <c r="H135" s="5"/>
      <c r="I135" s="5"/>
      <c r="J135" s="5"/>
      <c r="K135" s="5"/>
    </row>
    <row r="136" customFormat="false" ht="15" hidden="false" customHeight="true" outlineLevel="0" collapsed="false">
      <c r="A136" s="5"/>
      <c r="B136" s="5"/>
      <c r="C136" s="5"/>
      <c r="D136" s="5"/>
      <c r="E136" s="5"/>
      <c r="F136" s="5"/>
      <c r="G136" s="5"/>
      <c r="H136" s="5"/>
      <c r="I136" s="5"/>
      <c r="J136" s="5"/>
      <c r="K136" s="5"/>
    </row>
    <row r="137" customFormat="false" ht="15" hidden="false" customHeight="true" outlineLevel="0" collapsed="false">
      <c r="A137" s="5"/>
      <c r="B137" s="5"/>
      <c r="C137" s="5"/>
      <c r="D137" s="5"/>
      <c r="E137" s="5"/>
      <c r="F137" s="5"/>
      <c r="G137" s="5"/>
      <c r="H137" s="5"/>
      <c r="I137" s="5"/>
      <c r="J137" s="5"/>
      <c r="K137" s="5"/>
    </row>
    <row r="138" customFormat="false" ht="15" hidden="false" customHeight="true" outlineLevel="0" collapsed="false">
      <c r="A138" s="5"/>
      <c r="B138" s="5"/>
      <c r="C138" s="5"/>
      <c r="D138" s="5"/>
      <c r="E138" s="5"/>
      <c r="F138" s="5"/>
      <c r="G138" s="5"/>
      <c r="H138" s="5"/>
      <c r="I138" s="5"/>
      <c r="J138" s="5"/>
      <c r="K138" s="5"/>
    </row>
    <row r="139" customFormat="false" ht="15" hidden="false" customHeight="true" outlineLevel="0" collapsed="false">
      <c r="A139" s="5"/>
      <c r="B139" s="5"/>
      <c r="C139" s="5"/>
      <c r="D139" s="5"/>
      <c r="E139" s="5"/>
      <c r="F139" s="5"/>
      <c r="G139" s="5"/>
      <c r="H139" s="5"/>
      <c r="I139" s="5"/>
      <c r="J139" s="5"/>
      <c r="K139" s="5"/>
    </row>
    <row r="140" customFormat="false" ht="15" hidden="false" customHeight="true" outlineLevel="0" collapsed="false">
      <c r="A140" s="5"/>
      <c r="B140" s="5"/>
      <c r="C140" s="5"/>
      <c r="D140" s="5"/>
      <c r="E140" s="5"/>
      <c r="F140" s="5"/>
      <c r="G140" s="5"/>
      <c r="H140" s="5"/>
      <c r="I140" s="5"/>
      <c r="J140" s="5"/>
      <c r="K140" s="5"/>
    </row>
    <row r="141" customFormat="false" ht="15" hidden="false" customHeight="true" outlineLevel="0" collapsed="false">
      <c r="A141" s="5"/>
      <c r="B141" s="5"/>
      <c r="C141" s="5"/>
      <c r="D141" s="5"/>
      <c r="E141" s="5"/>
      <c r="F141" s="5"/>
      <c r="G141" s="5"/>
      <c r="H141" s="5"/>
      <c r="I141" s="5"/>
      <c r="J141" s="5"/>
      <c r="K141" s="5"/>
    </row>
    <row r="142" customFormat="false" ht="15" hidden="false" customHeight="true" outlineLevel="0" collapsed="false">
      <c r="A142" s="5"/>
      <c r="B142" s="5"/>
      <c r="C142" s="5"/>
      <c r="D142" s="5"/>
      <c r="E142" s="5"/>
      <c r="F142" s="5"/>
      <c r="G142" s="5"/>
      <c r="H142" s="5"/>
      <c r="I142" s="5"/>
      <c r="J142" s="5"/>
      <c r="K142" s="5"/>
    </row>
    <row r="143" customFormat="false" ht="15" hidden="false" customHeight="true" outlineLevel="0" collapsed="false">
      <c r="A143" s="5"/>
      <c r="B143" s="5"/>
      <c r="C143" s="5"/>
      <c r="D143" s="5"/>
      <c r="E143" s="5"/>
      <c r="F143" s="5"/>
      <c r="G143" s="5"/>
      <c r="H143" s="5"/>
      <c r="I143" s="5"/>
      <c r="J143" s="5"/>
      <c r="K143" s="5"/>
    </row>
    <row r="144" customFormat="false" ht="15" hidden="false" customHeight="true" outlineLevel="0" collapsed="false">
      <c r="A144" s="5"/>
      <c r="B144" s="5"/>
      <c r="C144" s="5"/>
      <c r="D144" s="5"/>
      <c r="E144" s="5"/>
      <c r="F144" s="5"/>
      <c r="G144" s="5"/>
      <c r="H144" s="5"/>
      <c r="I144" s="5"/>
      <c r="J144" s="5"/>
      <c r="K144" s="5"/>
    </row>
    <row r="145" customFormat="false" ht="15" hidden="false" customHeight="true" outlineLevel="0" collapsed="false">
      <c r="A145" s="5"/>
      <c r="B145" s="5"/>
      <c r="C145" s="5"/>
      <c r="D145" s="5"/>
      <c r="E145" s="5"/>
      <c r="F145" s="5"/>
      <c r="G145" s="5"/>
      <c r="H145" s="5"/>
      <c r="I145" s="5"/>
      <c r="J145" s="5"/>
      <c r="K145" s="5"/>
    </row>
    <row r="146" customFormat="false" ht="15" hidden="false" customHeight="true" outlineLevel="0" collapsed="false">
      <c r="A146" s="5"/>
      <c r="B146" s="5"/>
      <c r="C146" s="5"/>
      <c r="D146" s="5"/>
      <c r="E146" s="5"/>
      <c r="F146" s="5"/>
      <c r="G146" s="5"/>
      <c r="H146" s="5"/>
      <c r="I146" s="5"/>
      <c r="J146" s="5"/>
      <c r="K146" s="5"/>
    </row>
    <row r="147" customFormat="false" ht="15" hidden="false" customHeight="true" outlineLevel="0" collapsed="false">
      <c r="A147" s="5"/>
      <c r="B147" s="5"/>
      <c r="C147" s="5"/>
      <c r="D147" s="5"/>
      <c r="E147" s="5"/>
      <c r="F147" s="5"/>
      <c r="G147" s="5"/>
      <c r="H147" s="5"/>
      <c r="I147" s="5"/>
      <c r="J147" s="5"/>
      <c r="K147" s="5"/>
    </row>
    <row r="148" customFormat="false" ht="15" hidden="false" customHeight="true" outlineLevel="0" collapsed="false">
      <c r="A148" s="5"/>
      <c r="B148" s="5"/>
      <c r="C148" s="5"/>
      <c r="D148" s="5"/>
      <c r="E148" s="5"/>
      <c r="F148" s="5"/>
      <c r="G148" s="5"/>
      <c r="H148" s="5"/>
      <c r="I148" s="5"/>
      <c r="J148" s="5"/>
      <c r="K148" s="5"/>
    </row>
    <row r="149" customFormat="false" ht="15" hidden="false" customHeight="true" outlineLevel="0" collapsed="false">
      <c r="A149" s="5"/>
      <c r="B149" s="5"/>
      <c r="C149" s="5"/>
      <c r="D149" s="5"/>
      <c r="E149" s="5"/>
      <c r="F149" s="5"/>
      <c r="G149" s="5"/>
      <c r="H149" s="5"/>
      <c r="I149" s="5"/>
      <c r="J149" s="5"/>
      <c r="K149" s="5"/>
    </row>
    <row r="150" customFormat="false" ht="15" hidden="false" customHeight="true" outlineLevel="0" collapsed="false">
      <c r="A150" s="5"/>
      <c r="B150" s="5"/>
      <c r="C150" s="5"/>
      <c r="D150" s="5"/>
      <c r="E150" s="5"/>
      <c r="F150" s="5"/>
      <c r="G150" s="5"/>
      <c r="H150" s="5"/>
      <c r="I150" s="5"/>
      <c r="J150" s="5"/>
      <c r="K150" s="5"/>
    </row>
    <row r="151" customFormat="false" ht="15" hidden="false" customHeight="true" outlineLevel="0" collapsed="false">
      <c r="A151" s="5"/>
      <c r="B151" s="5"/>
      <c r="C151" s="5"/>
      <c r="D151" s="5"/>
      <c r="E151" s="5"/>
      <c r="F151" s="5"/>
      <c r="G151" s="5"/>
      <c r="H151" s="5"/>
      <c r="I151" s="5"/>
      <c r="J151" s="5"/>
      <c r="K151" s="5"/>
    </row>
    <row r="152" customFormat="false" ht="15" hidden="false" customHeight="true" outlineLevel="0" collapsed="false">
      <c r="A152" s="5"/>
      <c r="B152" s="5"/>
      <c r="C152" s="5"/>
      <c r="D152" s="5"/>
      <c r="E152" s="5"/>
      <c r="F152" s="5"/>
      <c r="G152" s="5"/>
      <c r="H152" s="5"/>
      <c r="I152" s="5"/>
      <c r="J152" s="5"/>
      <c r="K152" s="5"/>
    </row>
    <row r="153" customFormat="false" ht="15" hidden="false" customHeight="true" outlineLevel="0" collapsed="false">
      <c r="A153" s="5"/>
      <c r="B153" s="5"/>
      <c r="C153" s="5"/>
      <c r="D153" s="5"/>
      <c r="E153" s="5"/>
      <c r="F153" s="5"/>
      <c r="G153" s="5"/>
      <c r="H153" s="5"/>
      <c r="I153" s="5"/>
      <c r="J153" s="5"/>
      <c r="K153" s="5"/>
    </row>
    <row r="154" customFormat="false" ht="15" hidden="false" customHeight="true" outlineLevel="0" collapsed="false">
      <c r="A154" s="5"/>
      <c r="B154" s="5"/>
      <c r="C154" s="5"/>
      <c r="D154" s="5"/>
      <c r="E154" s="5"/>
      <c r="F154" s="5"/>
      <c r="G154" s="5"/>
      <c r="H154" s="5"/>
      <c r="I154" s="5"/>
      <c r="J154" s="5"/>
      <c r="K154" s="5"/>
    </row>
    <row r="155" customFormat="false" ht="15" hidden="false" customHeight="true" outlineLevel="0" collapsed="false">
      <c r="A155" s="5"/>
      <c r="B155" s="5"/>
      <c r="C155" s="5"/>
      <c r="D155" s="5"/>
      <c r="E155" s="5"/>
      <c r="F155" s="5"/>
      <c r="G155" s="5"/>
      <c r="H155" s="5"/>
      <c r="I155" s="5"/>
      <c r="J155" s="5"/>
      <c r="K155" s="5"/>
    </row>
    <row r="156" customFormat="false" ht="15" hidden="false" customHeight="true" outlineLevel="0" collapsed="false">
      <c r="A156" s="5"/>
      <c r="B156" s="5"/>
      <c r="C156" s="5"/>
      <c r="D156" s="5"/>
      <c r="E156" s="5"/>
      <c r="F156" s="5"/>
      <c r="G156" s="5"/>
      <c r="H156" s="5"/>
      <c r="I156" s="5"/>
      <c r="J156" s="5"/>
      <c r="K156" s="5"/>
    </row>
    <row r="157" customFormat="false" ht="15" hidden="false" customHeight="true" outlineLevel="0" collapsed="false">
      <c r="A157" s="5"/>
      <c r="B157" s="5"/>
      <c r="C157" s="5"/>
      <c r="D157" s="5"/>
      <c r="E157" s="5"/>
      <c r="F157" s="5"/>
      <c r="G157" s="5"/>
      <c r="H157" s="5"/>
      <c r="I157" s="5"/>
      <c r="J157" s="5"/>
      <c r="K157" s="5"/>
    </row>
    <row r="158" customFormat="false" ht="15" hidden="false" customHeight="true" outlineLevel="0" collapsed="false">
      <c r="A158" s="5"/>
      <c r="B158" s="5"/>
      <c r="C158" s="5"/>
      <c r="D158" s="5"/>
      <c r="E158" s="5"/>
      <c r="F158" s="5"/>
      <c r="G158" s="5"/>
      <c r="H158" s="5"/>
      <c r="I158" s="5"/>
      <c r="J158" s="5"/>
      <c r="K158" s="5"/>
    </row>
    <row r="159" customFormat="false" ht="15" hidden="false" customHeight="true" outlineLevel="0" collapsed="false">
      <c r="A159" s="5"/>
      <c r="B159" s="5"/>
      <c r="C159" s="5"/>
      <c r="D159" s="5"/>
      <c r="E159" s="5"/>
      <c r="F159" s="5"/>
      <c r="G159" s="5"/>
      <c r="H159" s="5"/>
      <c r="I159" s="5"/>
      <c r="J159" s="5"/>
      <c r="K159" s="5"/>
    </row>
    <row r="160" customFormat="false" ht="15" hidden="false" customHeight="true" outlineLevel="0" collapsed="false">
      <c r="A160" s="5"/>
      <c r="B160" s="5"/>
      <c r="C160" s="5"/>
      <c r="D160" s="5"/>
      <c r="E160" s="5"/>
      <c r="F160" s="5"/>
      <c r="G160" s="5"/>
      <c r="H160" s="5"/>
      <c r="I160" s="5"/>
      <c r="J160" s="5"/>
      <c r="K160" s="5"/>
    </row>
    <row r="161" customFormat="false" ht="15" hidden="false" customHeight="true" outlineLevel="0" collapsed="false">
      <c r="A161" s="5"/>
      <c r="B161" s="5"/>
      <c r="C161" s="5"/>
      <c r="D161" s="5"/>
      <c r="E161" s="5"/>
      <c r="F161" s="5"/>
      <c r="G161" s="5"/>
      <c r="H161" s="5"/>
      <c r="I161" s="5"/>
      <c r="J161" s="5"/>
      <c r="K161" s="5"/>
    </row>
    <row r="162" customFormat="false" ht="15" hidden="false" customHeight="true" outlineLevel="0" collapsed="false">
      <c r="A162" s="5"/>
      <c r="B162" s="5"/>
      <c r="C162" s="5"/>
      <c r="D162" s="5"/>
      <c r="E162" s="5"/>
      <c r="F162" s="5"/>
      <c r="G162" s="5"/>
      <c r="H162" s="5"/>
      <c r="I162" s="5"/>
      <c r="J162" s="5"/>
      <c r="K162" s="5"/>
    </row>
    <row r="163" customFormat="false" ht="15" hidden="false" customHeight="true" outlineLevel="0" collapsed="false">
      <c r="A163" s="5"/>
      <c r="B163" s="5"/>
      <c r="C163" s="5"/>
      <c r="D163" s="5"/>
      <c r="E163" s="5"/>
      <c r="F163" s="5"/>
      <c r="G163" s="5"/>
      <c r="H163" s="5"/>
      <c r="I163" s="5"/>
      <c r="J163" s="5"/>
      <c r="K163" s="5"/>
    </row>
    <row r="164" customFormat="false" ht="15" hidden="false" customHeight="true" outlineLevel="0" collapsed="false">
      <c r="A164" s="5"/>
      <c r="B164" s="5"/>
      <c r="C164" s="5"/>
      <c r="D164" s="5"/>
      <c r="E164" s="5"/>
      <c r="F164" s="5"/>
      <c r="G164" s="5"/>
      <c r="H164" s="5"/>
      <c r="I164" s="5"/>
      <c r="J164" s="5"/>
      <c r="K164" s="5"/>
    </row>
    <row r="165" customFormat="false" ht="15" hidden="false" customHeight="true" outlineLevel="0" collapsed="false">
      <c r="A165" s="5"/>
      <c r="B165" s="5"/>
      <c r="C165" s="5"/>
      <c r="D165" s="5"/>
      <c r="E165" s="5"/>
      <c r="F165" s="5"/>
      <c r="G165" s="5"/>
      <c r="H165" s="5"/>
      <c r="I165" s="5"/>
      <c r="J165" s="5"/>
      <c r="K165" s="5"/>
    </row>
    <row r="166" customFormat="false" ht="15" hidden="false" customHeight="true" outlineLevel="0" collapsed="false">
      <c r="A166" s="5"/>
      <c r="B166" s="5"/>
      <c r="C166" s="5"/>
      <c r="D166" s="5"/>
      <c r="E166" s="5"/>
      <c r="F166" s="5"/>
      <c r="G166" s="5"/>
      <c r="H166" s="5"/>
      <c r="I166" s="5"/>
      <c r="J166" s="5"/>
      <c r="K166" s="5"/>
    </row>
    <row r="167" customFormat="false" ht="15" hidden="false" customHeight="true" outlineLevel="0" collapsed="false">
      <c r="A167" s="5"/>
      <c r="B167" s="5"/>
      <c r="C167" s="5"/>
      <c r="D167" s="5"/>
      <c r="E167" s="5"/>
      <c r="F167" s="5"/>
      <c r="G167" s="5"/>
      <c r="H167" s="5"/>
      <c r="I167" s="5"/>
      <c r="J167" s="5"/>
      <c r="K167" s="5"/>
    </row>
    <row r="168" customFormat="false" ht="15" hidden="false" customHeight="true" outlineLevel="0" collapsed="false">
      <c r="A168" s="5"/>
      <c r="B168" s="5"/>
      <c r="C168" s="5"/>
      <c r="D168" s="5"/>
      <c r="E168" s="5"/>
      <c r="F168" s="5"/>
      <c r="G168" s="5"/>
      <c r="H168" s="5"/>
      <c r="I168" s="5"/>
      <c r="J168" s="5"/>
      <c r="K168" s="5"/>
    </row>
    <row r="169" customFormat="false" ht="15" hidden="false" customHeight="true" outlineLevel="0" collapsed="false">
      <c r="A169" s="5"/>
      <c r="B169" s="5"/>
      <c r="C169" s="5"/>
      <c r="D169" s="5"/>
      <c r="E169" s="5"/>
      <c r="F169" s="5"/>
      <c r="G169" s="5"/>
      <c r="H169" s="5"/>
      <c r="I169" s="5"/>
      <c r="J169" s="5"/>
      <c r="K169" s="5"/>
    </row>
    <row r="170" customFormat="false" ht="15" hidden="false" customHeight="true" outlineLevel="0" collapsed="false">
      <c r="A170" s="5"/>
      <c r="B170" s="5"/>
      <c r="C170" s="5"/>
      <c r="D170" s="5"/>
      <c r="E170" s="5"/>
      <c r="F170" s="5"/>
      <c r="G170" s="5"/>
      <c r="H170" s="5"/>
      <c r="I170" s="5"/>
      <c r="J170" s="5"/>
      <c r="K170" s="5"/>
    </row>
    <row r="171" customFormat="false" ht="15" hidden="false" customHeight="true" outlineLevel="0" collapsed="false">
      <c r="A171" s="5"/>
      <c r="B171" s="5"/>
      <c r="C171" s="5"/>
      <c r="D171" s="5"/>
      <c r="E171" s="5"/>
      <c r="F171" s="5"/>
      <c r="G171" s="5"/>
      <c r="H171" s="5"/>
      <c r="I171" s="5"/>
      <c r="J171" s="5"/>
      <c r="K171" s="5"/>
    </row>
    <row r="172" customFormat="false" ht="15" hidden="false" customHeight="true" outlineLevel="0" collapsed="false">
      <c r="A172" s="5"/>
      <c r="B172" s="5"/>
      <c r="C172" s="5"/>
      <c r="D172" s="5"/>
      <c r="E172" s="5"/>
      <c r="F172" s="5"/>
      <c r="G172" s="5"/>
      <c r="H172" s="5"/>
      <c r="I172" s="5"/>
      <c r="J172" s="5"/>
      <c r="K172" s="5"/>
    </row>
    <row r="173" customFormat="false" ht="15" hidden="false" customHeight="true" outlineLevel="0" collapsed="false">
      <c r="A173" s="5"/>
      <c r="B173" s="5"/>
      <c r="C173" s="5"/>
      <c r="D173" s="5"/>
      <c r="E173" s="5"/>
      <c r="F173" s="5"/>
      <c r="G173" s="5"/>
      <c r="H173" s="5"/>
      <c r="I173" s="5"/>
      <c r="J173" s="5"/>
      <c r="K173" s="5"/>
    </row>
    <row r="174" customFormat="false" ht="15" hidden="false" customHeight="true" outlineLevel="0" collapsed="false">
      <c r="A174" s="5"/>
      <c r="B174" s="5"/>
      <c r="C174" s="5"/>
      <c r="D174" s="5"/>
      <c r="E174" s="5"/>
      <c r="F174" s="5"/>
      <c r="G174" s="5"/>
      <c r="H174" s="5"/>
      <c r="I174" s="5"/>
      <c r="J174" s="5"/>
      <c r="K174" s="5"/>
    </row>
    <row r="175" customFormat="false" ht="15" hidden="false" customHeight="true" outlineLevel="0" collapsed="false">
      <c r="A175" s="5"/>
      <c r="B175" s="5"/>
      <c r="C175" s="5"/>
      <c r="D175" s="5"/>
      <c r="E175" s="5"/>
      <c r="F175" s="5"/>
      <c r="G175" s="5"/>
      <c r="H175" s="5"/>
      <c r="I175" s="5"/>
      <c r="J175" s="5"/>
      <c r="K175" s="5"/>
    </row>
    <row r="176" customFormat="false" ht="15" hidden="false" customHeight="true" outlineLevel="0" collapsed="false">
      <c r="A176" s="5"/>
      <c r="B176" s="5"/>
      <c r="C176" s="5"/>
      <c r="D176" s="5"/>
      <c r="E176" s="5"/>
      <c r="F176" s="5"/>
      <c r="G176" s="5"/>
      <c r="H176" s="5"/>
      <c r="I176" s="5"/>
      <c r="J176" s="5"/>
      <c r="K176" s="5"/>
    </row>
    <row r="177" customFormat="false" ht="15" hidden="false" customHeight="true" outlineLevel="0" collapsed="false">
      <c r="A177" s="5"/>
      <c r="B177" s="5"/>
      <c r="C177" s="5"/>
      <c r="D177" s="5"/>
      <c r="E177" s="5"/>
      <c r="F177" s="5"/>
      <c r="G177" s="5"/>
      <c r="H177" s="5"/>
      <c r="I177" s="5"/>
      <c r="J177" s="5"/>
      <c r="K177" s="5"/>
    </row>
    <row r="178" customFormat="false" ht="15" hidden="false" customHeight="true" outlineLevel="0" collapsed="false">
      <c r="A178" s="5"/>
      <c r="B178" s="5"/>
      <c r="C178" s="5"/>
      <c r="D178" s="5"/>
      <c r="E178" s="5"/>
      <c r="F178" s="5"/>
      <c r="G178" s="5"/>
      <c r="H178" s="5"/>
      <c r="I178" s="5"/>
      <c r="J178" s="5"/>
      <c r="K178" s="5"/>
    </row>
    <row r="179" customFormat="false" ht="15" hidden="false" customHeight="true" outlineLevel="0" collapsed="false">
      <c r="A179" s="5"/>
      <c r="B179" s="5"/>
      <c r="C179" s="5"/>
      <c r="D179" s="5"/>
      <c r="E179" s="5"/>
      <c r="F179" s="5"/>
      <c r="G179" s="5"/>
      <c r="H179" s="5"/>
      <c r="I179" s="5"/>
      <c r="J179" s="5"/>
      <c r="K179" s="5"/>
    </row>
    <row r="180" customFormat="false" ht="15" hidden="false" customHeight="true" outlineLevel="0" collapsed="false">
      <c r="A180" s="5"/>
      <c r="B180" s="5"/>
      <c r="C180" s="5"/>
      <c r="D180" s="5"/>
      <c r="E180" s="5"/>
      <c r="F180" s="5"/>
      <c r="G180" s="5"/>
      <c r="H180" s="5"/>
      <c r="I180" s="5"/>
      <c r="J180" s="5"/>
      <c r="K180" s="5"/>
    </row>
    <row r="181" customFormat="false" ht="15" hidden="false" customHeight="true" outlineLevel="0" collapsed="false">
      <c r="A181" s="5"/>
      <c r="B181" s="5"/>
      <c r="C181" s="5"/>
      <c r="D181" s="5"/>
      <c r="E181" s="5"/>
      <c r="F181" s="5"/>
      <c r="G181" s="5"/>
      <c r="H181" s="5"/>
      <c r="I181" s="5"/>
      <c r="J181" s="5"/>
      <c r="K181" s="5"/>
    </row>
    <row r="182" customFormat="false" ht="15" hidden="false" customHeight="true" outlineLevel="0" collapsed="false">
      <c r="A182" s="5"/>
      <c r="B182" s="5"/>
      <c r="C182" s="5"/>
      <c r="D182" s="5"/>
      <c r="E182" s="5"/>
      <c r="F182" s="5"/>
      <c r="G182" s="5"/>
      <c r="H182" s="5"/>
      <c r="I182" s="5"/>
      <c r="J182" s="5"/>
      <c r="K182" s="5"/>
    </row>
    <row r="183" customFormat="false" ht="15" hidden="false" customHeight="true" outlineLevel="0" collapsed="false">
      <c r="A183" s="5"/>
      <c r="B183" s="5"/>
      <c r="C183" s="5"/>
      <c r="D183" s="5"/>
      <c r="E183" s="5"/>
      <c r="F183" s="5"/>
      <c r="G183" s="5"/>
      <c r="H183" s="5"/>
      <c r="I183" s="5"/>
      <c r="J183" s="5"/>
      <c r="K183" s="5"/>
    </row>
    <row r="184" customFormat="false" ht="15" hidden="false" customHeight="true" outlineLevel="0" collapsed="false">
      <c r="A184" s="5"/>
      <c r="B184" s="5"/>
      <c r="C184" s="5"/>
      <c r="D184" s="5"/>
      <c r="E184" s="5"/>
      <c r="F184" s="5"/>
      <c r="G184" s="5"/>
      <c r="H184" s="5"/>
      <c r="I184" s="5"/>
      <c r="J184" s="5"/>
      <c r="K184" s="5"/>
    </row>
    <row r="185" customFormat="false" ht="15" hidden="false" customHeight="true" outlineLevel="0" collapsed="false">
      <c r="A185" s="5"/>
      <c r="B185" s="5"/>
      <c r="C185" s="5"/>
      <c r="D185" s="5"/>
      <c r="E185" s="5"/>
      <c r="F185" s="5"/>
      <c r="G185" s="5"/>
      <c r="H185" s="5"/>
      <c r="I185" s="5"/>
      <c r="J185" s="5"/>
      <c r="K185" s="5"/>
    </row>
    <row r="186" customFormat="false" ht="15" hidden="false" customHeight="true" outlineLevel="0" collapsed="false">
      <c r="A186" s="5"/>
      <c r="B186" s="5"/>
      <c r="C186" s="5"/>
      <c r="D186" s="5"/>
      <c r="E186" s="5"/>
      <c r="F186" s="5"/>
      <c r="G186" s="5"/>
      <c r="H186" s="5"/>
      <c r="I186" s="5"/>
      <c r="J186" s="5"/>
      <c r="K186" s="5"/>
    </row>
    <row r="187" customFormat="false" ht="15" hidden="false" customHeight="true" outlineLevel="0" collapsed="false">
      <c r="A187" s="5"/>
      <c r="B187" s="5"/>
      <c r="C187" s="5"/>
      <c r="D187" s="5"/>
      <c r="E187" s="5"/>
      <c r="F187" s="5"/>
      <c r="G187" s="5"/>
      <c r="H187" s="5"/>
      <c r="I187" s="5"/>
      <c r="J187" s="5"/>
      <c r="K187" s="5"/>
    </row>
    <row r="188" customFormat="false" ht="15" hidden="false" customHeight="true" outlineLevel="0" collapsed="false">
      <c r="A188" s="5"/>
      <c r="B188" s="5"/>
      <c r="C188" s="5"/>
      <c r="D188" s="5"/>
      <c r="E188" s="5"/>
      <c r="F188" s="5"/>
      <c r="G188" s="5"/>
      <c r="H188" s="5"/>
      <c r="I188" s="5"/>
      <c r="J188" s="5"/>
      <c r="K188" s="5"/>
    </row>
    <row r="189" customFormat="false" ht="15" hidden="false" customHeight="true" outlineLevel="0" collapsed="false">
      <c r="A189" s="5"/>
      <c r="B189" s="5"/>
      <c r="C189" s="5"/>
      <c r="D189" s="5"/>
      <c r="E189" s="5"/>
      <c r="F189" s="5"/>
      <c r="G189" s="5"/>
      <c r="H189" s="5"/>
      <c r="I189" s="5"/>
      <c r="J189" s="5"/>
      <c r="K189" s="5"/>
    </row>
    <row r="190" customFormat="false" ht="15" hidden="false" customHeight="true" outlineLevel="0" collapsed="false">
      <c r="A190" s="5"/>
      <c r="B190" s="5"/>
      <c r="C190" s="5"/>
      <c r="D190" s="5"/>
      <c r="E190" s="5"/>
      <c r="F190" s="5"/>
      <c r="G190" s="5"/>
      <c r="H190" s="5"/>
      <c r="I190" s="5"/>
      <c r="J190" s="5"/>
      <c r="K190" s="5"/>
    </row>
    <row r="191" customFormat="false" ht="15" hidden="false" customHeight="true" outlineLevel="0" collapsed="false">
      <c r="A191" s="5"/>
      <c r="B191" s="5"/>
      <c r="C191" s="5"/>
      <c r="D191" s="5"/>
      <c r="E191" s="5"/>
      <c r="F191" s="5"/>
      <c r="G191" s="5"/>
      <c r="H191" s="5"/>
      <c r="I191" s="5"/>
      <c r="J191" s="5"/>
      <c r="K191" s="5"/>
    </row>
    <row r="192" customFormat="false" ht="15" hidden="false" customHeight="true" outlineLevel="0" collapsed="false">
      <c r="A192" s="5"/>
      <c r="B192" s="5"/>
      <c r="C192" s="5"/>
      <c r="D192" s="5"/>
      <c r="E192" s="5"/>
      <c r="F192" s="5"/>
      <c r="G192" s="5"/>
      <c r="H192" s="5"/>
      <c r="I192" s="5"/>
      <c r="J192" s="5"/>
      <c r="K192" s="5"/>
    </row>
    <row r="193" customFormat="false" ht="15" hidden="false" customHeight="true" outlineLevel="0" collapsed="false">
      <c r="A193" s="5"/>
      <c r="B193" s="5"/>
      <c r="C193" s="5"/>
      <c r="D193" s="5"/>
      <c r="E193" s="5"/>
      <c r="F193" s="5"/>
      <c r="G193" s="5"/>
      <c r="H193" s="5"/>
      <c r="I193" s="5"/>
      <c r="J193" s="5"/>
      <c r="K193" s="5"/>
    </row>
    <row r="194" customFormat="false" ht="15" hidden="false" customHeight="true" outlineLevel="0" collapsed="false">
      <c r="A194" s="5"/>
      <c r="B194" s="5"/>
      <c r="C194" s="5"/>
      <c r="D194" s="5"/>
      <c r="E194" s="5"/>
      <c r="F194" s="5"/>
      <c r="G194" s="5"/>
      <c r="H194" s="5"/>
      <c r="I194" s="5"/>
      <c r="J194" s="5"/>
      <c r="K194" s="5"/>
    </row>
    <row r="195" customFormat="false" ht="15" hidden="false" customHeight="true" outlineLevel="0" collapsed="false">
      <c r="A195" s="5"/>
      <c r="B195" s="5"/>
      <c r="C195" s="5"/>
      <c r="D195" s="5"/>
      <c r="E195" s="5"/>
      <c r="F195" s="5"/>
      <c r="G195" s="5"/>
      <c r="H195" s="5"/>
      <c r="I195" s="5"/>
      <c r="J195" s="5"/>
      <c r="K195" s="5"/>
    </row>
    <row r="196" customFormat="false" ht="15" hidden="false" customHeight="true" outlineLevel="0" collapsed="false">
      <c r="A196" s="5"/>
      <c r="B196" s="5"/>
      <c r="C196" s="5"/>
      <c r="D196" s="5"/>
      <c r="E196" s="5"/>
      <c r="F196" s="5"/>
      <c r="G196" s="5"/>
      <c r="H196" s="5"/>
      <c r="I196" s="5"/>
      <c r="J196" s="5"/>
      <c r="K196" s="5"/>
    </row>
    <row r="197" customFormat="false" ht="15" hidden="false" customHeight="true" outlineLevel="0" collapsed="false">
      <c r="A197" s="5"/>
      <c r="B197" s="5"/>
      <c r="C197" s="5"/>
      <c r="D197" s="5"/>
      <c r="E197" s="5"/>
      <c r="F197" s="5"/>
      <c r="G197" s="5"/>
      <c r="H197" s="5"/>
      <c r="I197" s="5"/>
      <c r="J197" s="5"/>
      <c r="K197" s="5"/>
    </row>
    <row r="198" customFormat="false" ht="15" hidden="false" customHeight="true" outlineLevel="0" collapsed="false">
      <c r="A198" s="5"/>
      <c r="B198" s="5"/>
      <c r="C198" s="5"/>
      <c r="D198" s="5"/>
      <c r="E198" s="5"/>
      <c r="F198" s="5"/>
      <c r="G198" s="5"/>
      <c r="H198" s="5"/>
      <c r="I198" s="5"/>
      <c r="J198" s="5"/>
      <c r="K198" s="5"/>
    </row>
    <row r="199" customFormat="false" ht="15" hidden="false" customHeight="true" outlineLevel="0" collapsed="false">
      <c r="A199" s="5"/>
      <c r="B199" s="5"/>
      <c r="C199" s="5"/>
      <c r="D199" s="5"/>
      <c r="E199" s="5"/>
      <c r="F199" s="5"/>
      <c r="G199" s="5"/>
      <c r="H199" s="5"/>
      <c r="I199" s="5"/>
      <c r="J199" s="5"/>
      <c r="K199" s="5"/>
    </row>
    <row r="200" customFormat="false" ht="15" hidden="false" customHeight="true" outlineLevel="0" collapsed="false">
      <c r="A200" s="5"/>
      <c r="B200" s="5"/>
      <c r="C200" s="5"/>
      <c r="D200" s="5"/>
      <c r="E200" s="5"/>
      <c r="F200" s="5"/>
      <c r="G200" s="5"/>
      <c r="H200" s="5"/>
      <c r="I200" s="5"/>
      <c r="J200" s="5"/>
      <c r="K200" s="5"/>
    </row>
    <row r="201" customFormat="false" ht="15" hidden="false" customHeight="true" outlineLevel="0" collapsed="false">
      <c r="A201" s="5"/>
      <c r="B201" s="5"/>
      <c r="C201" s="5"/>
      <c r="D201" s="5"/>
      <c r="E201" s="5"/>
      <c r="F201" s="5"/>
      <c r="G201" s="5"/>
      <c r="H201" s="5"/>
      <c r="I201" s="5"/>
      <c r="J201" s="5"/>
      <c r="K201" s="5"/>
    </row>
  </sheetData>
  <dataValidations count="3">
    <dataValidation allowBlank="true" errorStyle="stop" operator="between" showDropDown="false" showErrorMessage="false" showInputMessage="false" sqref="F2:F201" type="list">
      <formula1>"High,Medium,Low"</formula1>
      <formula2>0</formula2>
    </dataValidation>
    <dataValidation allowBlank="true" errorStyle="stop" operator="between" showDropDown="false" showErrorMessage="false" showInputMessage="false" sqref="G2:G201" type="list">
      <formula1>"Candidate,Confirmed,Rejected,Needs More Evidence"</formula1>
      <formula2>0</formula2>
    </dataValidation>
    <dataValidation allowBlank="true" errorStyle="stop" operator="between" showDropDown="false" showErrorMessage="false" showInputMessage="false" sqref="H2:H201" type="list">
      <formula1>"Headline Finding,Pattern Section,What Didn't Hold Up,What Surprised Us,Practical Takeaways,Other"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1" width="32"/>
    <col collapsed="false" customWidth="true" hidden="false" outlineLevel="0" max="3" min="3" style="1" width="28"/>
    <col collapsed="false" customWidth="true" hidden="false" outlineLevel="0" max="4" min="4" style="1" width="32"/>
  </cols>
  <sheetData>
    <row r="1" customFormat="false" ht="15" hidden="false" customHeight="true" outlineLevel="0" collapsed="false">
      <c r="A1" s="1" t="s">
        <v>1619</v>
      </c>
      <c r="B1" s="1" t="s">
        <v>1620</v>
      </c>
      <c r="C1" s="1" t="s">
        <v>1621</v>
      </c>
      <c r="D1" s="1" t="s">
        <v>1622</v>
      </c>
    </row>
    <row r="2" customFormat="false" ht="15" hidden="false" customHeight="true" outlineLevel="0" collapsed="false">
      <c r="A2" s="1" t="s">
        <v>22</v>
      </c>
      <c r="B2" s="1" t="s">
        <v>1623</v>
      </c>
      <c r="C2" s="1" t="s">
        <v>1624</v>
      </c>
      <c r="D2" s="1" t="s">
        <v>35</v>
      </c>
    </row>
    <row r="3" customFormat="false" ht="15" hidden="false" customHeight="true" outlineLevel="0" collapsed="false">
      <c r="A3" s="1" t="s">
        <v>23</v>
      </c>
      <c r="B3" s="1" t="s">
        <v>1624</v>
      </c>
      <c r="C3" s="1" t="s">
        <v>1625</v>
      </c>
      <c r="D3" s="1" t="s">
        <v>36</v>
      </c>
    </row>
    <row r="4" customFormat="false" ht="15" hidden="false" customHeight="true" outlineLevel="0" collapsed="false">
      <c r="A4" s="1" t="s">
        <v>24</v>
      </c>
      <c r="B4" s="1" t="s">
        <v>1625</v>
      </c>
      <c r="C4" s="1" t="s">
        <v>1626</v>
      </c>
      <c r="D4" s="1" t="s">
        <v>37</v>
      </c>
    </row>
    <row r="5" customFormat="false" ht="15" hidden="false" customHeight="true" outlineLevel="0" collapsed="false">
      <c r="A5" s="1" t="s">
        <v>25</v>
      </c>
      <c r="B5" s="1" t="s">
        <v>1627</v>
      </c>
      <c r="C5" s="1" t="s">
        <v>1628</v>
      </c>
      <c r="D5" s="1" t="s">
        <v>38</v>
      </c>
    </row>
    <row r="6" customFormat="false" ht="15" hidden="false" customHeight="true" outlineLevel="0" collapsed="false">
      <c r="A6" s="1" t="s">
        <v>26</v>
      </c>
      <c r="B6" s="1" t="s">
        <v>1629</v>
      </c>
      <c r="C6" s="1" t="s">
        <v>1630</v>
      </c>
      <c r="D6" s="1" t="s">
        <v>39</v>
      </c>
    </row>
    <row r="7" customFormat="false" ht="15" hidden="false" customHeight="true" outlineLevel="0" collapsed="false">
      <c r="A7" s="1" t="s">
        <v>27</v>
      </c>
      <c r="B7" s="1" t="s">
        <v>1631</v>
      </c>
      <c r="C7" s="1" t="s">
        <v>1632</v>
      </c>
      <c r="D7" s="1" t="s">
        <v>40</v>
      </c>
    </row>
    <row r="8" customFormat="false" ht="15" hidden="false" customHeight="true" outlineLevel="0" collapsed="false">
      <c r="A8" s="1" t="s">
        <v>28</v>
      </c>
      <c r="B8" s="1" t="s">
        <v>1633</v>
      </c>
      <c r="C8" s="1" t="s">
        <v>1634</v>
      </c>
      <c r="D8" s="1" t="s">
        <v>41</v>
      </c>
    </row>
    <row r="9" customFormat="false" ht="15" hidden="false" customHeight="true" outlineLevel="0" collapsed="false">
      <c r="A9" s="1" t="s">
        <v>29</v>
      </c>
      <c r="B9" s="1" t="s">
        <v>1635</v>
      </c>
      <c r="C9" s="1" t="s">
        <v>1636</v>
      </c>
      <c r="D9" s="1" t="s">
        <v>42</v>
      </c>
    </row>
    <row r="10" customFormat="false" ht="15" hidden="false" customHeight="true" outlineLevel="0" collapsed="false">
      <c r="A10" s="1" t="s">
        <v>30</v>
      </c>
      <c r="B10" s="1" t="s">
        <v>1637</v>
      </c>
      <c r="C10" s="1" t="s">
        <v>1638</v>
      </c>
      <c r="D10" s="1" t="s">
        <v>43</v>
      </c>
    </row>
    <row r="11" customFormat="false" ht="15" hidden="false" customHeight="true" outlineLevel="0" collapsed="false">
      <c r="A11" s="1" t="s">
        <v>31</v>
      </c>
      <c r="C11" s="1" t="s">
        <v>1639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2026-06-26T16:52:02Z</dcterms:created>
  <dc:creator>openpyxl</dc:creator>
  <dc:description/>
  <dc:language>en-US</dc:language>
  <cp:lastModifiedBy/>
  <dcterms:modified xsi:type="dcterms:W3CDTF">2026-06-29T23:29:59Z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